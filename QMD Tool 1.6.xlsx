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ltgou\Documents\Code Projects\Java\Minecraft Mods\QMD\"/>
    </mc:Choice>
  </mc:AlternateContent>
  <xr:revisionPtr revIDLastSave="0" documentId="13_ncr:1_{FB4D3697-C0C8-4E6A-A47C-042497E3EC0D}" xr6:coauthVersionLast="47" xr6:coauthVersionMax="47" xr10:uidLastSave="{00000000-0000-0000-0000-000000000000}"/>
  <bookViews>
    <workbookView xWindow="-103" yWindow="-103" windowWidth="33120" windowHeight="18000" tabRatio="809" xr2:uid="{00000000-000D-0000-FFFF-FFFF00000000}"/>
  </bookViews>
  <sheets>
    <sheet name="Explanation" sheetId="7" r:id="rId1"/>
    <sheet name="Settings" sheetId="1" r:id="rId2"/>
    <sheet name="Accelerator Calculator" sheetId="4" r:id="rId3"/>
    <sheet name="NSC Calculator" sheetId="5" r:id="rId4"/>
    <sheet name="Liquefier Calculator" sheetId="12" r:id="rId5"/>
    <sheet name="Mass Defect Calculator" sheetId="6" r:id="rId6"/>
    <sheet name="Target Chamber Recipes" sheetId="2" r:id="rId7"/>
    <sheet name="Spallation Yields" sheetId="13" r:id="rId8"/>
    <sheet name="Fission Yields" sheetId="14" r:id="rId9"/>
    <sheet name="NSC Recipes" sheetId="3" r:id="rId10"/>
    <sheet name="Collision Chamber Recipes" sheetId="8" r:id="rId11"/>
    <sheet name="Decay Chamber Recipes" sheetId="10" r:id="rId12"/>
    <sheet name="Liquefier Recipes" sheetId="11" r:id="rId13"/>
  </sheets>
  <definedNames>
    <definedName name="amu">'Mass Defect Calculator'!$I$21</definedName>
    <definedName name="beam_atten">Settings!$A$19</definedName>
    <definedName name="c_s">'NSC Recipes'!$V$25</definedName>
    <definedName name="E_smin">Settings!$A$22</definedName>
    <definedName name="h">'NSC Recipes'!$U$25</definedName>
    <definedName name="HPM_EM_ratio">Settings!$C$28</definedName>
    <definedName name="HX_EM_h">Settings!$C$30</definedName>
    <definedName name="I_b">Settings!$A$7</definedName>
    <definedName name="k">'NSC Recipes'!$T$25</definedName>
    <definedName name="keV_to_H">'NSC Recipes'!$C$10</definedName>
    <definedName name="LiqNozzleSpeed">Settings!$A$25</definedName>
    <definedName name="m_e">'Mass Defect Calculator'!$I$23</definedName>
    <definedName name="M_HP_ratio">Settings!$B$28</definedName>
    <definedName name="m_n">'Mass Defect Calculator'!$I$27</definedName>
    <definedName name="m_p">'Mass Defect Calculator'!$I$25</definedName>
    <definedName name="mole">Settings!$A$37</definedName>
    <definedName name="muon_ratio">'NSC Recipes'!$A$10</definedName>
    <definedName name="NSC_HM_h">Settings!$A$30</definedName>
    <definedName name="NSC_M_h">Settings!$A$28</definedName>
    <definedName name="p_debuff">'NSC Recipes'!$A$101</definedName>
    <definedName name="r_0">'NSC Recipes'!$R$25</definedName>
    <definedName name="r_debuff">'NSC Recipes'!$A$49</definedName>
    <definedName name="r_p">'NSC Recipes'!$S$25</definedName>
    <definedName name="sf_beam">Settings!$A$10</definedName>
    <definedName name="sf_NSC">Settings!$A$16</definedName>
    <definedName name="sf_TC">Settings!$A$13</definedName>
    <definedName name="Turb_HPM_RF">Settings!$B$30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5" l="1"/>
  <c r="E48" i="5"/>
  <c r="F48" i="5"/>
  <c r="G48" i="5" a="1"/>
  <c r="D49" i="5"/>
  <c r="E49" i="5"/>
  <c r="F49" i="5"/>
  <c r="G49" i="5" a="1"/>
  <c r="D50" i="5"/>
  <c r="E50" i="5"/>
  <c r="F50" i="5"/>
  <c r="G50" i="5" a="1"/>
  <c r="D51" i="5"/>
  <c r="D52" i="5"/>
  <c r="E52" i="5" s="1"/>
  <c r="F52" i="5"/>
  <c r="G52" i="5" a="1"/>
  <c r="D53" i="5"/>
  <c r="F129" i="3"/>
  <c r="K129" i="3" s="1"/>
  <c r="F130" i="3"/>
  <c r="F107" i="3"/>
  <c r="G107" i="3"/>
  <c r="H107" i="3" s="1"/>
  <c r="I107" i="3" s="1"/>
  <c r="M107" i="3" s="1"/>
  <c r="N107" i="3" s="1"/>
  <c r="J107" i="3"/>
  <c r="K107" i="3"/>
  <c r="L107" i="3"/>
  <c r="F133" i="3"/>
  <c r="G133" i="3"/>
  <c r="H133" i="3" s="1"/>
  <c r="I133" i="3" s="1"/>
  <c r="M133" i="3" s="1"/>
  <c r="N133" i="3" s="1"/>
  <c r="J133" i="3"/>
  <c r="K133" i="3"/>
  <c r="L133" i="3"/>
  <c r="F132" i="3"/>
  <c r="G132" i="3" s="1"/>
  <c r="H132" i="3" s="1"/>
  <c r="I132" i="3" s="1"/>
  <c r="M132" i="3" s="1"/>
  <c r="N132" i="3" s="1"/>
  <c r="J132" i="3"/>
  <c r="K132" i="3"/>
  <c r="L132" i="3"/>
  <c r="F121" i="3"/>
  <c r="G121" i="3"/>
  <c r="H121" i="3" s="1"/>
  <c r="I121" i="3" s="1"/>
  <c r="M121" i="3" s="1"/>
  <c r="N121" i="3" s="1"/>
  <c r="J121" i="3"/>
  <c r="K121" i="3"/>
  <c r="L121" i="3"/>
  <c r="F119" i="3"/>
  <c r="G119" i="3" s="1"/>
  <c r="H119" i="3" s="1"/>
  <c r="I119" i="3" s="1"/>
  <c r="M119" i="3" s="1"/>
  <c r="N119" i="3" s="1"/>
  <c r="L119" i="3"/>
  <c r="F116" i="3"/>
  <c r="L116" i="3"/>
  <c r="F114" i="3"/>
  <c r="G114" i="3"/>
  <c r="H114" i="3" s="1"/>
  <c r="I114" i="3" s="1"/>
  <c r="M114" i="3" s="1"/>
  <c r="N114" i="3" s="1"/>
  <c r="L114" i="3"/>
  <c r="F111" i="3"/>
  <c r="L111" i="3"/>
  <c r="F104" i="3"/>
  <c r="G104" i="3"/>
  <c r="H104" i="3" s="1"/>
  <c r="I104" i="3" s="1"/>
  <c r="M104" i="3" s="1"/>
  <c r="N104" i="3" s="1"/>
  <c r="L104" i="3"/>
  <c r="E73" i="3"/>
  <c r="F73" i="3" s="1"/>
  <c r="G73" i="3" s="1"/>
  <c r="I73" i="3" s="1"/>
  <c r="J73" i="3" s="1"/>
  <c r="H73" i="3"/>
  <c r="E71" i="3"/>
  <c r="F71" i="3" s="1"/>
  <c r="G71" i="3" s="1"/>
  <c r="I71" i="3" s="1"/>
  <c r="J71" i="3" s="1"/>
  <c r="H71" i="3"/>
  <c r="E68" i="3"/>
  <c r="F68" i="3" s="1"/>
  <c r="G68" i="3" s="1"/>
  <c r="I68" i="3" s="1"/>
  <c r="J68" i="3" s="1"/>
  <c r="H68" i="3"/>
  <c r="E64" i="3"/>
  <c r="F64" i="3" s="1"/>
  <c r="G64" i="3" s="1"/>
  <c r="I64" i="3" s="1"/>
  <c r="J64" i="3" s="1"/>
  <c r="H64" i="3"/>
  <c r="E61" i="3"/>
  <c r="F61" i="3" s="1"/>
  <c r="G61" i="3" s="1"/>
  <c r="I61" i="3" s="1"/>
  <c r="J61" i="3" s="1"/>
  <c r="H61" i="3"/>
  <c r="E58" i="3"/>
  <c r="F58" i="3" s="1"/>
  <c r="G58" i="3" s="1"/>
  <c r="I58" i="3" s="1"/>
  <c r="J58" i="3" s="1"/>
  <c r="H58" i="3"/>
  <c r="E59" i="3"/>
  <c r="F59" i="3" s="1"/>
  <c r="G59" i="3" s="1"/>
  <c r="I59" i="3" s="1"/>
  <c r="J59" i="3" s="1"/>
  <c r="H59" i="3"/>
  <c r="B387" i="2"/>
  <c r="H387" i="2" s="1"/>
  <c r="B399" i="2"/>
  <c r="H399" i="2" s="1"/>
  <c r="B385" i="2"/>
  <c r="H385" i="2" s="1"/>
  <c r="B382" i="2"/>
  <c r="H382" i="2" s="1"/>
  <c r="B384" i="2"/>
  <c r="H384" i="2" s="1"/>
  <c r="B396" i="2"/>
  <c r="H396" i="2" s="1"/>
  <c r="B211" i="2"/>
  <c r="H211" i="2" s="1"/>
  <c r="B379" i="2"/>
  <c r="H379" i="2" s="1"/>
  <c r="B338" i="2"/>
  <c r="H338" i="2" s="1"/>
  <c r="B380" i="2"/>
  <c r="H380" i="2" s="1"/>
  <c r="B203" i="2"/>
  <c r="H203" i="2" s="1"/>
  <c r="B386" i="2"/>
  <c r="H386" i="2" s="1"/>
  <c r="B275" i="2"/>
  <c r="H275" i="2" s="1"/>
  <c r="B43" i="2"/>
  <c r="H43" i="2" s="1"/>
  <c r="B344" i="2"/>
  <c r="H344" i="2" s="1"/>
  <c r="B284" i="2"/>
  <c r="H284" i="2" s="1"/>
  <c r="B39" i="2"/>
  <c r="H39" i="2" s="1"/>
  <c r="B35" i="2"/>
  <c r="H35" i="2" s="1"/>
  <c r="B267" i="2"/>
  <c r="H267" i="2" s="1"/>
  <c r="B374" i="2"/>
  <c r="H374" i="2" s="1"/>
  <c r="B28" i="2"/>
  <c r="H28" i="2" s="1"/>
  <c r="B17" i="2"/>
  <c r="H17" i="2" s="1"/>
  <c r="B24" i="2"/>
  <c r="H24" i="2" s="1"/>
  <c r="B27" i="2"/>
  <c r="H27" i="2" s="1"/>
  <c r="B365" i="2"/>
  <c r="H365" i="2" s="1"/>
  <c r="B12" i="2"/>
  <c r="H12" i="2" s="1"/>
  <c r="B364" i="2"/>
  <c r="H364" i="2" s="1"/>
  <c r="B363" i="2"/>
  <c r="H363" i="2" s="1"/>
  <c r="B38" i="2"/>
  <c r="H38" i="2" s="1"/>
  <c r="B369" i="2"/>
  <c r="H369" i="2" s="1"/>
  <c r="B370" i="2"/>
  <c r="H370" i="2" s="1"/>
  <c r="B377" i="2"/>
  <c r="H377" i="2" s="1"/>
  <c r="B367" i="2"/>
  <c r="H367" i="2" s="1"/>
  <c r="B373" i="2"/>
  <c r="H373" i="2" s="1"/>
  <c r="B41" i="2"/>
  <c r="H41" i="2" s="1"/>
  <c r="B19" i="2"/>
  <c r="H19" i="2" s="1"/>
  <c r="B274" i="2"/>
  <c r="H274" i="2" s="1"/>
  <c r="B336" i="2"/>
  <c r="H336" i="2" s="1"/>
  <c r="B375" i="2"/>
  <c r="H375" i="2" s="1"/>
  <c r="L18" i="13"/>
  <c r="M21" i="13" s="1"/>
  <c r="F17" i="13"/>
  <c r="F18" i="13"/>
  <c r="F19" i="13"/>
  <c r="F20" i="13"/>
  <c r="F21" i="13"/>
  <c r="F22" i="13"/>
  <c r="F23" i="13"/>
  <c r="F24" i="13"/>
  <c r="F25" i="13"/>
  <c r="F26" i="13"/>
  <c r="F27" i="13"/>
  <c r="F28" i="13"/>
  <c r="F29" i="13"/>
  <c r="F30" i="13"/>
  <c r="F31" i="13"/>
  <c r="F32" i="13"/>
  <c r="F33" i="13"/>
  <c r="F34" i="13"/>
  <c r="F35" i="13"/>
  <c r="F36" i="13"/>
  <c r="F16" i="13"/>
  <c r="T17" i="13"/>
  <c r="T18" i="13"/>
  <c r="T19" i="13"/>
  <c r="T20" i="13"/>
  <c r="T21" i="13"/>
  <c r="T22" i="13"/>
  <c r="T23" i="13"/>
  <c r="T24" i="13"/>
  <c r="T25" i="13"/>
  <c r="T26" i="13"/>
  <c r="T27" i="13"/>
  <c r="T28" i="13"/>
  <c r="T29" i="13"/>
  <c r="T30" i="13"/>
  <c r="T31" i="13"/>
  <c r="T32" i="13"/>
  <c r="T33" i="13"/>
  <c r="T34" i="13"/>
  <c r="T35" i="13"/>
  <c r="T36" i="13"/>
  <c r="T16" i="13"/>
  <c r="S38" i="13" a="1"/>
  <c r="AA17" i="13"/>
  <c r="AA18" i="13"/>
  <c r="AA19" i="13"/>
  <c r="AA20" i="13"/>
  <c r="AA21" i="13"/>
  <c r="AA22" i="13"/>
  <c r="AA23" i="13"/>
  <c r="AA24" i="13"/>
  <c r="AA25" i="13"/>
  <c r="AA26" i="13"/>
  <c r="AA27" i="13"/>
  <c r="AA28" i="13"/>
  <c r="AA29" i="13"/>
  <c r="AA30" i="13"/>
  <c r="AA31" i="13"/>
  <c r="AA32" i="13"/>
  <c r="AA33" i="13"/>
  <c r="AA34" i="13"/>
  <c r="AA35" i="13"/>
  <c r="AA36" i="13"/>
  <c r="AA16" i="13"/>
  <c r="Z38" i="13" a="1"/>
  <c r="AH17" i="13"/>
  <c r="AH18" i="13"/>
  <c r="AH19" i="13"/>
  <c r="AH20" i="13"/>
  <c r="AH21" i="13"/>
  <c r="AH22" i="13"/>
  <c r="AH23" i="13"/>
  <c r="AH24" i="13"/>
  <c r="AH25" i="13"/>
  <c r="AH26" i="13"/>
  <c r="AH27" i="13"/>
  <c r="AH28" i="13"/>
  <c r="AH29" i="13"/>
  <c r="AH30" i="13"/>
  <c r="AH31" i="13"/>
  <c r="AH32" i="13"/>
  <c r="AH33" i="13"/>
  <c r="AH34" i="13"/>
  <c r="AH35" i="13"/>
  <c r="AH36" i="13"/>
  <c r="AH16" i="13"/>
  <c r="AG38" i="13" a="1"/>
  <c r="AO17" i="13"/>
  <c r="AO18" i="13"/>
  <c r="AO19" i="13"/>
  <c r="AO20" i="13"/>
  <c r="AO21" i="13"/>
  <c r="AO22" i="13"/>
  <c r="AO23" i="13"/>
  <c r="AO24" i="13"/>
  <c r="AO25" i="13"/>
  <c r="AO26" i="13"/>
  <c r="AO27" i="13"/>
  <c r="AO28" i="13"/>
  <c r="AO29" i="13"/>
  <c r="AO30" i="13"/>
  <c r="AO31" i="13"/>
  <c r="AO32" i="13"/>
  <c r="AO33" i="13"/>
  <c r="AO34" i="13"/>
  <c r="AO35" i="13"/>
  <c r="AO36" i="13"/>
  <c r="AO16" i="13"/>
  <c r="AN38" i="13" a="1"/>
  <c r="AV17" i="13"/>
  <c r="AV18" i="13"/>
  <c r="AV19" i="13"/>
  <c r="AV20" i="13"/>
  <c r="AV21" i="13"/>
  <c r="AV22" i="13"/>
  <c r="AV23" i="13"/>
  <c r="AV24" i="13"/>
  <c r="AV25" i="13"/>
  <c r="AV26" i="13"/>
  <c r="AV27" i="13"/>
  <c r="AV28" i="13"/>
  <c r="AV29" i="13"/>
  <c r="AV30" i="13"/>
  <c r="AV31" i="13"/>
  <c r="AV32" i="13"/>
  <c r="AV33" i="13"/>
  <c r="AV34" i="13"/>
  <c r="AV35" i="13"/>
  <c r="AV36" i="13"/>
  <c r="AV16" i="13"/>
  <c r="AU38" i="13" a="1"/>
  <c r="BC17" i="13"/>
  <c r="BC18" i="13"/>
  <c r="BC19" i="13"/>
  <c r="BC20" i="13"/>
  <c r="BC21" i="13"/>
  <c r="BC22" i="13"/>
  <c r="BC23" i="13"/>
  <c r="BC24" i="13"/>
  <c r="BC25" i="13"/>
  <c r="BC26" i="13"/>
  <c r="BC27" i="13"/>
  <c r="BC28" i="13"/>
  <c r="BC29" i="13"/>
  <c r="BC30" i="13"/>
  <c r="BC31" i="13"/>
  <c r="BC32" i="13"/>
  <c r="BC33" i="13"/>
  <c r="BC34" i="13"/>
  <c r="BC35" i="13"/>
  <c r="BC36" i="13"/>
  <c r="BC16" i="13"/>
  <c r="BB38" i="13" a="1"/>
  <c r="BJ17" i="13"/>
  <c r="BJ18" i="13"/>
  <c r="BJ19" i="13"/>
  <c r="BJ20" i="13"/>
  <c r="BJ21" i="13"/>
  <c r="BJ22" i="13"/>
  <c r="BJ23" i="13"/>
  <c r="BJ24" i="13"/>
  <c r="BJ25" i="13"/>
  <c r="BJ26" i="13"/>
  <c r="BJ27" i="13"/>
  <c r="BJ28" i="13"/>
  <c r="BJ29" i="13"/>
  <c r="BJ30" i="13"/>
  <c r="BJ31" i="13"/>
  <c r="BJ32" i="13"/>
  <c r="BJ33" i="13"/>
  <c r="BJ34" i="13"/>
  <c r="BJ35" i="13"/>
  <c r="BJ36" i="13"/>
  <c r="BJ16" i="13"/>
  <c r="BI38" i="13" a="1"/>
  <c r="BQ17" i="13"/>
  <c r="BQ18" i="13"/>
  <c r="BQ19" i="13"/>
  <c r="BQ20" i="13"/>
  <c r="BQ21" i="13"/>
  <c r="BQ22" i="13"/>
  <c r="BQ23" i="13"/>
  <c r="BQ24" i="13"/>
  <c r="BQ25" i="13"/>
  <c r="BQ26" i="13"/>
  <c r="BQ27" i="13"/>
  <c r="BQ28" i="13"/>
  <c r="BQ29" i="13"/>
  <c r="BQ30" i="13"/>
  <c r="BQ31" i="13"/>
  <c r="BQ32" i="13"/>
  <c r="BQ33" i="13"/>
  <c r="BQ34" i="13"/>
  <c r="BQ35" i="13"/>
  <c r="BQ36" i="13"/>
  <c r="BQ16" i="13"/>
  <c r="BP38" i="13" a="1"/>
  <c r="BW38" i="13" a="1"/>
  <c r="BX17" i="13"/>
  <c r="BX21" i="13"/>
  <c r="BX23" i="13"/>
  <c r="BX25" i="13"/>
  <c r="BX27" i="13"/>
  <c r="BX28" i="13"/>
  <c r="BX29" i="13"/>
  <c r="BX30" i="13"/>
  <c r="BX31" i="13"/>
  <c r="BX32" i="13"/>
  <c r="BX33" i="13"/>
  <c r="BX34" i="13"/>
  <c r="BX35" i="13"/>
  <c r="BX36" i="13"/>
  <c r="BX16" i="13"/>
  <c r="CD38" i="13" a="1"/>
  <c r="CE17" i="13"/>
  <c r="CE21" i="13"/>
  <c r="CE22" i="13"/>
  <c r="CE23" i="13"/>
  <c r="CE27" i="13"/>
  <c r="CE28" i="13"/>
  <c r="CE29" i="13"/>
  <c r="CE30" i="13"/>
  <c r="CE31" i="13"/>
  <c r="CE32" i="13"/>
  <c r="CE33" i="13"/>
  <c r="CE34" i="13"/>
  <c r="CE35" i="13"/>
  <c r="CE36" i="13"/>
  <c r="CE16" i="13"/>
  <c r="CK38" i="13" a="1"/>
  <c r="CL17" i="13"/>
  <c r="CL18" i="13"/>
  <c r="CL21" i="13"/>
  <c r="CL22" i="13"/>
  <c r="CL23" i="13"/>
  <c r="CL28" i="13"/>
  <c r="CL29" i="13"/>
  <c r="CL30" i="13"/>
  <c r="CL31" i="13"/>
  <c r="CL32" i="13"/>
  <c r="CL33" i="13"/>
  <c r="CL34" i="13"/>
  <c r="CL35" i="13"/>
  <c r="CL36" i="13"/>
  <c r="CL16" i="13"/>
  <c r="CR38" i="13" a="1"/>
  <c r="CS17" i="13"/>
  <c r="CS18" i="13"/>
  <c r="CS19" i="13"/>
  <c r="CS21" i="13"/>
  <c r="CS22" i="13"/>
  <c r="CS23" i="13"/>
  <c r="CS28" i="13"/>
  <c r="CS29" i="13"/>
  <c r="CS30" i="13"/>
  <c r="CS32" i="13"/>
  <c r="CS33" i="13"/>
  <c r="CS34" i="13"/>
  <c r="CS35" i="13"/>
  <c r="CS36" i="13"/>
  <c r="CS16" i="13"/>
  <c r="CY38" i="13" a="1"/>
  <c r="CZ17" i="13"/>
  <c r="CZ18" i="13"/>
  <c r="CZ19" i="13"/>
  <c r="CZ20" i="13"/>
  <c r="CZ21" i="13"/>
  <c r="CZ22" i="13"/>
  <c r="CZ23" i="13"/>
  <c r="CZ25" i="13"/>
  <c r="CZ29" i="13"/>
  <c r="CZ30" i="13"/>
  <c r="CZ33" i="13"/>
  <c r="CZ34" i="13"/>
  <c r="CZ35" i="13"/>
  <c r="CZ36" i="13"/>
  <c r="CZ16" i="13"/>
  <c r="DG17" i="13"/>
  <c r="DG18" i="13"/>
  <c r="DG19" i="13"/>
  <c r="DG20" i="13"/>
  <c r="DG21" i="13"/>
  <c r="DG22" i="13"/>
  <c r="DG23" i="13"/>
  <c r="DG24" i="13"/>
  <c r="DG25" i="13"/>
  <c r="DG26" i="13"/>
  <c r="DG27" i="13"/>
  <c r="DG28" i="13"/>
  <c r="DG29" i="13"/>
  <c r="DG30" i="13"/>
  <c r="DG31" i="13"/>
  <c r="DG32" i="13"/>
  <c r="DG33" i="13"/>
  <c r="DG34" i="13"/>
  <c r="DG35" i="13"/>
  <c r="DG36" i="13"/>
  <c r="DG16" i="13"/>
  <c r="DF38" i="13" a="1"/>
  <c r="DN17" i="13"/>
  <c r="DN18" i="13"/>
  <c r="DN19" i="13"/>
  <c r="DN20" i="13"/>
  <c r="DN21" i="13"/>
  <c r="DN22" i="13"/>
  <c r="DN23" i="13"/>
  <c r="DN24" i="13"/>
  <c r="DN25" i="13"/>
  <c r="DN26" i="13"/>
  <c r="DN27" i="13"/>
  <c r="DN28" i="13"/>
  <c r="DN29" i="13"/>
  <c r="DN30" i="13"/>
  <c r="DN31" i="13"/>
  <c r="DN32" i="13"/>
  <c r="DN33" i="13"/>
  <c r="DN34" i="13"/>
  <c r="DN35" i="13"/>
  <c r="DN36" i="13"/>
  <c r="DN16" i="13"/>
  <c r="DM38" i="13" a="1"/>
  <c r="DU17" i="13"/>
  <c r="DU18" i="13"/>
  <c r="DU19" i="13"/>
  <c r="DU20" i="13"/>
  <c r="DU21" i="13"/>
  <c r="DU22" i="13"/>
  <c r="DU23" i="13"/>
  <c r="DU24" i="13"/>
  <c r="DU25" i="13"/>
  <c r="DU26" i="13"/>
  <c r="DU27" i="13"/>
  <c r="DU28" i="13"/>
  <c r="DU29" i="13"/>
  <c r="DU30" i="13"/>
  <c r="DU31" i="13"/>
  <c r="DU32" i="13"/>
  <c r="DU33" i="13"/>
  <c r="DU34" i="13"/>
  <c r="DU35" i="13"/>
  <c r="DU36" i="13"/>
  <c r="DU16" i="13"/>
  <c r="DT38" i="13" a="1"/>
  <c r="EB17" i="13"/>
  <c r="EB18" i="13"/>
  <c r="EB19" i="13"/>
  <c r="EB20" i="13"/>
  <c r="EB21" i="13"/>
  <c r="EB22" i="13"/>
  <c r="EB23" i="13"/>
  <c r="EB24" i="13"/>
  <c r="EB25" i="13"/>
  <c r="EB26" i="13"/>
  <c r="EB27" i="13"/>
  <c r="EB28" i="13"/>
  <c r="EB29" i="13"/>
  <c r="EB30" i="13"/>
  <c r="EB31" i="13"/>
  <c r="EB32" i="13"/>
  <c r="EB33" i="13"/>
  <c r="EB34" i="13"/>
  <c r="EB35" i="13"/>
  <c r="EB36" i="13"/>
  <c r="EB16" i="13"/>
  <c r="EA38" i="13" a="1"/>
  <c r="EI17" i="13"/>
  <c r="EI18" i="13"/>
  <c r="EI19" i="13"/>
  <c r="EI20" i="13"/>
  <c r="EI21" i="13"/>
  <c r="EI22" i="13"/>
  <c r="EI23" i="13"/>
  <c r="EI24" i="13"/>
  <c r="EI25" i="13"/>
  <c r="EI26" i="13"/>
  <c r="EI27" i="13"/>
  <c r="EI28" i="13"/>
  <c r="EI29" i="13"/>
  <c r="EI30" i="13"/>
  <c r="EI31" i="13"/>
  <c r="EI32" i="13"/>
  <c r="EI33" i="13"/>
  <c r="EI34" i="13"/>
  <c r="EI35" i="13"/>
  <c r="EI36" i="13"/>
  <c r="EI16" i="13"/>
  <c r="EH38" i="13" a="1"/>
  <c r="EO38" i="13" a="1"/>
  <c r="EP17" i="13"/>
  <c r="EP18" i="13"/>
  <c r="EP19" i="13"/>
  <c r="EP20" i="13"/>
  <c r="EP21" i="13"/>
  <c r="EP22" i="13"/>
  <c r="EP23" i="13"/>
  <c r="EP24" i="13"/>
  <c r="EP25" i="13"/>
  <c r="EP26" i="13"/>
  <c r="EP27" i="13"/>
  <c r="EP29" i="13"/>
  <c r="EP34" i="13"/>
  <c r="EP35" i="13"/>
  <c r="EP36" i="13"/>
  <c r="EP16" i="13"/>
  <c r="L38" i="13" a="1"/>
  <c r="M18" i="13" s="1"/>
  <c r="M23" i="13"/>
  <c r="M25" i="13"/>
  <c r="M26" i="13"/>
  <c r="M27" i="13"/>
  <c r="M28" i="13"/>
  <c r="M29" i="13"/>
  <c r="M30" i="13"/>
  <c r="M31" i="13"/>
  <c r="M32" i="13"/>
  <c r="M33" i="13"/>
  <c r="M34" i="13"/>
  <c r="M35" i="13"/>
  <c r="M36" i="13"/>
  <c r="M16" i="13"/>
  <c r="E38" i="13" a="1"/>
  <c r="H41" i="3"/>
  <c r="I41" i="3" s="1"/>
  <c r="J41" i="3" s="1"/>
  <c r="L41" i="3" s="1"/>
  <c r="M41" i="3" s="1"/>
  <c r="K41" i="3"/>
  <c r="H36" i="3"/>
  <c r="I36" i="3" s="1"/>
  <c r="J36" i="3" s="1"/>
  <c r="L36" i="3" s="1"/>
  <c r="B464" i="2"/>
  <c r="H464" i="2" s="1"/>
  <c r="B463" i="2"/>
  <c r="H463" i="2" s="1"/>
  <c r="B462" i="2"/>
  <c r="H462" i="2" s="1"/>
  <c r="B461" i="2"/>
  <c r="H461" i="2" s="1"/>
  <c r="B456" i="2"/>
  <c r="H456" i="2" s="1"/>
  <c r="B455" i="2"/>
  <c r="H455" i="2" s="1"/>
  <c r="B454" i="2"/>
  <c r="H454" i="2" s="1"/>
  <c r="B453" i="2"/>
  <c r="H453" i="2" s="1"/>
  <c r="B440" i="2"/>
  <c r="H440" i="2" s="1"/>
  <c r="B439" i="2"/>
  <c r="H439" i="2" s="1"/>
  <c r="B438" i="2"/>
  <c r="H438" i="2" s="1"/>
  <c r="B437" i="2"/>
  <c r="H437" i="2" s="1"/>
  <c r="B436" i="2"/>
  <c r="H436" i="2" s="1"/>
  <c r="B445" i="2"/>
  <c r="H445" i="2" s="1"/>
  <c r="B431" i="2"/>
  <c r="H431" i="2" s="1"/>
  <c r="B430" i="2"/>
  <c r="H430" i="2" s="1"/>
  <c r="B429" i="2"/>
  <c r="H429" i="2" s="1"/>
  <c r="B428" i="2"/>
  <c r="H428" i="2" s="1"/>
  <c r="B427" i="2"/>
  <c r="H427" i="2" s="1"/>
  <c r="N50" i="2" a="1"/>
  <c r="B57" i="2"/>
  <c r="H57" i="2" s="1"/>
  <c r="B350" i="2"/>
  <c r="H350" i="2" s="1"/>
  <c r="B276" i="2"/>
  <c r="H276" i="2" s="1"/>
  <c r="B174" i="2"/>
  <c r="H174" i="2" s="1"/>
  <c r="B228" i="2"/>
  <c r="H228" i="2" s="1"/>
  <c r="B63" i="2"/>
  <c r="H63" i="2" s="1"/>
  <c r="B65" i="2"/>
  <c r="H65" i="2" s="1"/>
  <c r="B66" i="2"/>
  <c r="H66" i="2" s="1"/>
  <c r="B67" i="2"/>
  <c r="H67" i="2" s="1"/>
  <c r="B68" i="2"/>
  <c r="H68" i="2" s="1"/>
  <c r="B69" i="2"/>
  <c r="H69" i="2" s="1"/>
  <c r="B70" i="2"/>
  <c r="H70" i="2" s="1"/>
  <c r="B71" i="2"/>
  <c r="H71" i="2" s="1"/>
  <c r="B72" i="2"/>
  <c r="H72" i="2" s="1"/>
  <c r="B73" i="2"/>
  <c r="H73" i="2" s="1"/>
  <c r="B74" i="2"/>
  <c r="H74" i="2" s="1"/>
  <c r="B272" i="2"/>
  <c r="H272" i="2" s="1"/>
  <c r="B241" i="2"/>
  <c r="H241" i="2" s="1"/>
  <c r="B184" i="2"/>
  <c r="H184" i="2" s="1"/>
  <c r="B173" i="2"/>
  <c r="H173" i="2" s="1"/>
  <c r="B48" i="2"/>
  <c r="H48" i="2" s="1"/>
  <c r="N38" i="2"/>
  <c r="O38" i="2" s="1"/>
  <c r="P38" i="2" s="1"/>
  <c r="Q38" i="2" s="1"/>
  <c r="DT30" i="13"/>
  <c r="DT32" i="13"/>
  <c r="DM27" i="13"/>
  <c r="L36" i="13"/>
  <c r="L35" i="13"/>
  <c r="L34" i="13"/>
  <c r="L33" i="13"/>
  <c r="L32" i="13"/>
  <c r="L31" i="13"/>
  <c r="L30" i="13"/>
  <c r="L29" i="13"/>
  <c r="L28" i="13"/>
  <c r="L27" i="13"/>
  <c r="L26" i="13"/>
  <c r="L25" i="13"/>
  <c r="L24" i="13"/>
  <c r="L23" i="13"/>
  <c r="L22" i="13"/>
  <c r="L21" i="13"/>
  <c r="L20" i="13"/>
  <c r="L19" i="13"/>
  <c r="L17" i="13"/>
  <c r="L16" i="13"/>
  <c r="S36" i="13"/>
  <c r="S35" i="13"/>
  <c r="S34" i="13"/>
  <c r="S33" i="13"/>
  <c r="S32" i="13"/>
  <c r="S31" i="13"/>
  <c r="S30" i="13"/>
  <c r="S29" i="13"/>
  <c r="S28" i="13"/>
  <c r="S27" i="13"/>
  <c r="S26" i="13"/>
  <c r="S25" i="13"/>
  <c r="S24" i="13"/>
  <c r="S23" i="13"/>
  <c r="S22" i="13"/>
  <c r="S21" i="13"/>
  <c r="S20" i="13"/>
  <c r="S19" i="13"/>
  <c r="S18" i="13"/>
  <c r="S17" i="13"/>
  <c r="S16" i="13"/>
  <c r="Z36" i="13"/>
  <c r="Z35" i="13"/>
  <c r="Z34" i="13"/>
  <c r="Z33" i="13"/>
  <c r="Z32" i="13"/>
  <c r="Z31" i="13"/>
  <c r="Z30" i="13"/>
  <c r="Z29" i="13"/>
  <c r="Z28" i="13"/>
  <c r="Z27" i="13"/>
  <c r="Z26" i="13"/>
  <c r="Z25" i="13"/>
  <c r="Z24" i="13"/>
  <c r="Z23" i="13"/>
  <c r="Z22" i="13"/>
  <c r="Z21" i="13"/>
  <c r="Z20" i="13"/>
  <c r="Z19" i="13"/>
  <c r="Z18" i="13"/>
  <c r="Z17" i="13"/>
  <c r="Z16" i="13"/>
  <c r="AG36" i="13"/>
  <c r="AG35" i="13"/>
  <c r="AG34" i="13"/>
  <c r="AG33" i="13"/>
  <c r="AG32" i="13"/>
  <c r="AG31" i="13"/>
  <c r="AG30" i="13"/>
  <c r="AG29" i="13"/>
  <c r="AG28" i="13"/>
  <c r="AG27" i="13"/>
  <c r="AG26" i="13"/>
  <c r="AG25" i="13"/>
  <c r="AG24" i="13"/>
  <c r="AG23" i="13"/>
  <c r="AG22" i="13"/>
  <c r="AG21" i="13"/>
  <c r="AG20" i="13"/>
  <c r="AG19" i="13"/>
  <c r="AG18" i="13"/>
  <c r="AG17" i="13"/>
  <c r="AG16" i="13"/>
  <c r="AN36" i="13"/>
  <c r="AN35" i="13"/>
  <c r="AN34" i="13"/>
  <c r="AN33" i="13"/>
  <c r="AN32" i="13"/>
  <c r="AN31" i="13"/>
  <c r="AN30" i="13"/>
  <c r="AN29" i="13"/>
  <c r="AN28" i="13"/>
  <c r="AN27" i="13"/>
  <c r="AN26" i="13"/>
  <c r="AN25" i="13"/>
  <c r="AN24" i="13"/>
  <c r="AN23" i="13"/>
  <c r="AN22" i="13"/>
  <c r="AN21" i="13"/>
  <c r="AN20" i="13"/>
  <c r="AN19" i="13"/>
  <c r="AN18" i="13"/>
  <c r="AN17" i="13"/>
  <c r="AN16" i="13"/>
  <c r="AU36" i="13"/>
  <c r="AU35" i="13"/>
  <c r="AU34" i="13"/>
  <c r="AU33" i="13"/>
  <c r="AU32" i="13"/>
  <c r="AU31" i="13"/>
  <c r="AU30" i="13"/>
  <c r="AU29" i="13"/>
  <c r="AU28" i="13"/>
  <c r="AU27" i="13"/>
  <c r="AU26" i="13"/>
  <c r="AU25" i="13"/>
  <c r="AU24" i="13"/>
  <c r="AU23" i="13"/>
  <c r="AU22" i="13"/>
  <c r="AU21" i="13"/>
  <c r="AU20" i="13"/>
  <c r="AU19" i="13"/>
  <c r="AU18" i="13"/>
  <c r="AU17" i="13"/>
  <c r="AU16" i="13"/>
  <c r="BB36" i="13"/>
  <c r="BB35" i="13"/>
  <c r="BB34" i="13"/>
  <c r="BB33" i="13"/>
  <c r="BB32" i="13"/>
  <c r="BB31" i="13"/>
  <c r="BB30" i="13"/>
  <c r="BB29" i="13"/>
  <c r="BB28" i="13"/>
  <c r="BB27" i="13"/>
  <c r="BB26" i="13"/>
  <c r="BB25" i="13"/>
  <c r="BB24" i="13"/>
  <c r="BB23" i="13"/>
  <c r="BB22" i="13"/>
  <c r="BB21" i="13"/>
  <c r="BB20" i="13"/>
  <c r="BB19" i="13"/>
  <c r="BB18" i="13"/>
  <c r="BB17" i="13"/>
  <c r="BB16" i="13"/>
  <c r="BI36" i="13"/>
  <c r="BI35" i="13"/>
  <c r="BI34" i="13"/>
  <c r="BI33" i="13"/>
  <c r="BI32" i="13"/>
  <c r="BI31" i="13"/>
  <c r="BI30" i="13"/>
  <c r="BI29" i="13"/>
  <c r="BI28" i="13"/>
  <c r="BI27" i="13"/>
  <c r="BI26" i="13"/>
  <c r="BI25" i="13"/>
  <c r="BI24" i="13"/>
  <c r="BI23" i="13"/>
  <c r="BI22" i="13"/>
  <c r="BI21" i="13"/>
  <c r="BI20" i="13"/>
  <c r="BI19" i="13"/>
  <c r="BI18" i="13"/>
  <c r="BI17" i="13"/>
  <c r="BI16" i="13"/>
  <c r="BP36" i="13"/>
  <c r="BP35" i="13"/>
  <c r="BP34" i="13"/>
  <c r="BP33" i="13"/>
  <c r="BP32" i="13"/>
  <c r="BP31" i="13"/>
  <c r="BP30" i="13"/>
  <c r="BP29" i="13"/>
  <c r="BP28" i="13"/>
  <c r="BP27" i="13"/>
  <c r="BP26" i="13"/>
  <c r="BP25" i="13"/>
  <c r="BP24" i="13"/>
  <c r="BP23" i="13"/>
  <c r="BP22" i="13"/>
  <c r="BP21" i="13"/>
  <c r="BP20" i="13"/>
  <c r="BP19" i="13"/>
  <c r="BP18" i="13"/>
  <c r="BP17" i="13"/>
  <c r="BP16" i="13"/>
  <c r="BW36" i="13"/>
  <c r="BW35" i="13"/>
  <c r="BW34" i="13"/>
  <c r="BW33" i="13"/>
  <c r="BW32" i="13"/>
  <c r="BW31" i="13"/>
  <c r="BW30" i="13"/>
  <c r="BW29" i="13"/>
  <c r="BW28" i="13"/>
  <c r="BW27" i="13"/>
  <c r="BW26" i="13"/>
  <c r="BW25" i="13"/>
  <c r="BW24" i="13"/>
  <c r="BW23" i="13"/>
  <c r="BW22" i="13"/>
  <c r="BW21" i="13"/>
  <c r="BW20" i="13"/>
  <c r="BW19" i="13"/>
  <c r="BW18" i="13"/>
  <c r="BW17" i="13"/>
  <c r="BW16" i="13"/>
  <c r="CD36" i="13"/>
  <c r="CD35" i="13"/>
  <c r="CD34" i="13"/>
  <c r="CD33" i="13"/>
  <c r="CD32" i="13"/>
  <c r="CD31" i="13"/>
  <c r="CD30" i="13"/>
  <c r="CD29" i="13"/>
  <c r="CD28" i="13"/>
  <c r="CD27" i="13"/>
  <c r="CD26" i="13"/>
  <c r="CD25" i="13"/>
  <c r="CD24" i="13"/>
  <c r="CD23" i="13"/>
  <c r="CD22" i="13"/>
  <c r="CD21" i="13"/>
  <c r="CD20" i="13"/>
  <c r="CD19" i="13"/>
  <c r="CD18" i="13"/>
  <c r="CD17" i="13"/>
  <c r="CD16" i="13"/>
  <c r="CK36" i="13"/>
  <c r="CK35" i="13"/>
  <c r="CK34" i="13"/>
  <c r="CK33" i="13"/>
  <c r="CK32" i="13"/>
  <c r="CK31" i="13"/>
  <c r="CK30" i="13"/>
  <c r="CK29" i="13"/>
  <c r="CK28" i="13"/>
  <c r="CK27" i="13"/>
  <c r="CK26" i="13"/>
  <c r="CK25" i="13"/>
  <c r="CK24" i="13"/>
  <c r="CK23" i="13"/>
  <c r="CK22" i="13"/>
  <c r="CK21" i="13"/>
  <c r="CK20" i="13"/>
  <c r="CK19" i="13"/>
  <c r="CK18" i="13"/>
  <c r="CK17" i="13"/>
  <c r="CK16" i="13"/>
  <c r="CR36" i="13"/>
  <c r="CR35" i="13"/>
  <c r="CR34" i="13"/>
  <c r="CR33" i="13"/>
  <c r="CR32" i="13"/>
  <c r="CR31" i="13"/>
  <c r="CR30" i="13"/>
  <c r="CR29" i="13"/>
  <c r="CR28" i="13"/>
  <c r="CR27" i="13"/>
  <c r="CR26" i="13"/>
  <c r="CR25" i="13"/>
  <c r="CR24" i="13"/>
  <c r="CR23" i="13"/>
  <c r="CR22" i="13"/>
  <c r="CR21" i="13"/>
  <c r="CR20" i="13"/>
  <c r="CR19" i="13"/>
  <c r="CR18" i="13"/>
  <c r="CR17" i="13"/>
  <c r="CR16" i="13"/>
  <c r="CY36" i="13"/>
  <c r="CY35" i="13"/>
  <c r="CY34" i="13"/>
  <c r="CY33" i="13"/>
  <c r="CY32" i="13"/>
  <c r="CY31" i="13"/>
  <c r="CY30" i="13"/>
  <c r="CY29" i="13"/>
  <c r="CY28" i="13"/>
  <c r="CY27" i="13"/>
  <c r="CY26" i="13"/>
  <c r="CY25" i="13"/>
  <c r="CY24" i="13"/>
  <c r="CY23" i="13"/>
  <c r="CY22" i="13"/>
  <c r="CY21" i="13"/>
  <c r="CY20" i="13"/>
  <c r="CY19" i="13"/>
  <c r="CY18" i="13"/>
  <c r="CY17" i="13"/>
  <c r="CY16" i="13"/>
  <c r="DF36" i="13"/>
  <c r="DF35" i="13"/>
  <c r="DF34" i="13"/>
  <c r="DF33" i="13"/>
  <c r="DF32" i="13"/>
  <c r="DF31" i="13"/>
  <c r="DF30" i="13"/>
  <c r="DF29" i="13"/>
  <c r="DF28" i="13"/>
  <c r="DF27" i="13"/>
  <c r="DF26" i="13"/>
  <c r="DF25" i="13"/>
  <c r="DF24" i="13"/>
  <c r="DF23" i="13"/>
  <c r="DF22" i="13"/>
  <c r="DF21" i="13"/>
  <c r="DF20" i="13"/>
  <c r="DF19" i="13"/>
  <c r="DF18" i="13"/>
  <c r="DF17" i="13"/>
  <c r="DF16" i="13"/>
  <c r="DM36" i="13"/>
  <c r="DM35" i="13"/>
  <c r="DM34" i="13"/>
  <c r="DM33" i="13"/>
  <c r="DM32" i="13"/>
  <c r="DM31" i="13"/>
  <c r="DM30" i="13"/>
  <c r="DM29" i="13"/>
  <c r="DM28" i="13"/>
  <c r="DM26" i="13"/>
  <c r="DM25" i="13"/>
  <c r="DM24" i="13"/>
  <c r="DM23" i="13"/>
  <c r="DM22" i="13"/>
  <c r="DM21" i="13"/>
  <c r="DM20" i="13"/>
  <c r="DM19" i="13"/>
  <c r="DM18" i="13"/>
  <c r="DM17" i="13"/>
  <c r="DM16" i="13"/>
  <c r="DT36" i="13"/>
  <c r="DT35" i="13"/>
  <c r="DT34" i="13"/>
  <c r="DT33" i="13"/>
  <c r="DT31" i="13"/>
  <c r="DT29" i="13"/>
  <c r="DT28" i="13"/>
  <c r="DT27" i="13"/>
  <c r="DT26" i="13"/>
  <c r="DT25" i="13"/>
  <c r="DT24" i="13"/>
  <c r="DT23" i="13"/>
  <c r="DT22" i="13"/>
  <c r="DT21" i="13"/>
  <c r="DT20" i="13"/>
  <c r="DT19" i="13"/>
  <c r="DT18" i="13"/>
  <c r="DT17" i="13"/>
  <c r="DT16" i="13"/>
  <c r="EA36" i="13"/>
  <c r="EA35" i="13"/>
  <c r="EA34" i="13"/>
  <c r="EA33" i="13"/>
  <c r="EA32" i="13"/>
  <c r="EA31" i="13"/>
  <c r="EA30" i="13"/>
  <c r="EA29" i="13"/>
  <c r="EA28" i="13"/>
  <c r="EA27" i="13"/>
  <c r="EA26" i="13"/>
  <c r="EA25" i="13"/>
  <c r="EA24" i="13"/>
  <c r="EA23" i="13"/>
  <c r="EA22" i="13"/>
  <c r="EA21" i="13"/>
  <c r="EA20" i="13"/>
  <c r="EA19" i="13"/>
  <c r="EA18" i="13"/>
  <c r="EA17" i="13"/>
  <c r="EA16" i="13"/>
  <c r="EH36" i="13"/>
  <c r="EH35" i="13"/>
  <c r="EH34" i="13"/>
  <c r="EH33" i="13"/>
  <c r="EH32" i="13"/>
  <c r="EH31" i="13"/>
  <c r="EH30" i="13"/>
  <c r="EH29" i="13"/>
  <c r="EH28" i="13"/>
  <c r="EH27" i="13"/>
  <c r="EH26" i="13"/>
  <c r="EH25" i="13"/>
  <c r="EH24" i="13"/>
  <c r="EH23" i="13"/>
  <c r="EH22" i="13"/>
  <c r="EH21" i="13"/>
  <c r="EH20" i="13"/>
  <c r="EH19" i="13"/>
  <c r="EH18" i="13"/>
  <c r="EH17" i="13"/>
  <c r="EH16" i="13"/>
  <c r="EO33" i="13"/>
  <c r="EO32" i="13"/>
  <c r="EO27" i="13"/>
  <c r="EO26" i="13"/>
  <c r="E36" i="13"/>
  <c r="EO36" i="13"/>
  <c r="EK208" i="14" a="1"/>
  <c r="EK206" i="14" a="1"/>
  <c r="EK200" i="14" a="1"/>
  <c r="EM43" i="14" s="1"/>
  <c r="EK199" i="14"/>
  <c r="EK192" i="14" a="1"/>
  <c r="EM42" i="14" s="1"/>
  <c r="EK191" i="14"/>
  <c r="EK185" i="14" a="1"/>
  <c r="EM41" i="14" s="1"/>
  <c r="EK184" i="14"/>
  <c r="EM40" i="14" s="1"/>
  <c r="EK177" i="14" a="1"/>
  <c r="EM39" i="14" s="1"/>
  <c r="EK176" i="14"/>
  <c r="EK169" i="14" a="1"/>
  <c r="EM38" i="14" s="1"/>
  <c r="EK168" i="14"/>
  <c r="EM37" i="14" s="1"/>
  <c r="EK166" i="14" a="1"/>
  <c r="EK159" i="14" a="1"/>
  <c r="EM36" i="14" s="1"/>
  <c r="EK158" i="14"/>
  <c r="EM35" i="14" s="1"/>
  <c r="EK151" i="14" a="1"/>
  <c r="EM34" i="14" s="1"/>
  <c r="EK150" i="14"/>
  <c r="EK146" i="14" a="1"/>
  <c r="EK144" i="14" a="1"/>
  <c r="EK137" i="14" a="1"/>
  <c r="EM33" i="14" s="1"/>
  <c r="EK136" i="14"/>
  <c r="EM32" i="14" s="1"/>
  <c r="EK135" i="14"/>
  <c r="EK126" i="14" a="1"/>
  <c r="EK125" i="14"/>
  <c r="EM31" i="14" s="1"/>
  <c r="EK117" i="14" a="1"/>
  <c r="EK115" i="14" a="1"/>
  <c r="EK105" i="14" a="1"/>
  <c r="EM30" i="14" s="1"/>
  <c r="EK103" i="14" a="1"/>
  <c r="EK95" i="14" a="1"/>
  <c r="EK93" i="14" a="1"/>
  <c r="EM29" i="14" s="1"/>
  <c r="EK86" i="14"/>
  <c r="EK85" i="14"/>
  <c r="EK78" i="14" a="1"/>
  <c r="EK75" i="14" a="1"/>
  <c r="EK68" i="14" a="1"/>
  <c r="EM26" i="14" s="1"/>
  <c r="EK67" i="14"/>
  <c r="EM25" i="14" s="1"/>
  <c r="EK62" i="14" a="1"/>
  <c r="EM24" i="14" s="1"/>
  <c r="EK61" i="14"/>
  <c r="EM23" i="14" s="1"/>
  <c r="EK60" i="14"/>
  <c r="EM22" i="14" s="1"/>
  <c r="EK56" i="14" a="1"/>
  <c r="EM21" i="14" s="1"/>
  <c r="EK54" i="14" a="1"/>
  <c r="EK48" i="14" a="1"/>
  <c r="EK46" i="14" a="1"/>
  <c r="EM44" i="14"/>
  <c r="EK40" i="14" a="1"/>
  <c r="EK39" i="14"/>
  <c r="EM20" i="14" s="1"/>
  <c r="EK34" i="14" a="1"/>
  <c r="EK32" i="14" a="1"/>
  <c r="EK27" i="14" a="1"/>
  <c r="EM19" i="14" s="1"/>
  <c r="EK25" i="14" a="1"/>
  <c r="EM18" i="14" s="1"/>
  <c r="EK19" i="14"/>
  <c r="EK18" i="14"/>
  <c r="EM15" i="14" s="1"/>
  <c r="EK14" i="14" a="1"/>
  <c r="EM14" i="14" s="1"/>
  <c r="U62" i="14" a="1"/>
  <c r="W24" i="14" s="1"/>
  <c r="DY62" i="14" a="1"/>
  <c r="EA24" i="14" s="1"/>
  <c r="DY61" i="14"/>
  <c r="EA23" i="14" s="1"/>
  <c r="DY60" i="14"/>
  <c r="EA22" i="14" s="1"/>
  <c r="DY208" i="14" a="1"/>
  <c r="DY206" i="14" a="1"/>
  <c r="DY200" i="14" a="1"/>
  <c r="DY199" i="14"/>
  <c r="DY192" i="14" a="1"/>
  <c r="EA42" i="14" s="1"/>
  <c r="DY191" i="14"/>
  <c r="DY185" i="14" a="1"/>
  <c r="EA41" i="14" s="1"/>
  <c r="DY184" i="14"/>
  <c r="EA40" i="14" s="1"/>
  <c r="DY177" i="14" a="1"/>
  <c r="EA39" i="14" s="1"/>
  <c r="DY176" i="14"/>
  <c r="DY169" i="14" a="1"/>
  <c r="EA38" i="14" s="1"/>
  <c r="DY168" i="14"/>
  <c r="EA37" i="14" s="1"/>
  <c r="DY166" i="14" a="1"/>
  <c r="DY159" i="14" a="1"/>
  <c r="EA36" i="14" s="1"/>
  <c r="DY158" i="14"/>
  <c r="EA35" i="14" s="1"/>
  <c r="DY151" i="14" a="1"/>
  <c r="EA34" i="14" s="1"/>
  <c r="DY150" i="14"/>
  <c r="DY146" i="14" a="1"/>
  <c r="DY144" i="14" a="1"/>
  <c r="DY137" i="14" a="1"/>
  <c r="EA33" i="14" s="1"/>
  <c r="DY136" i="14"/>
  <c r="EA32" i="14" s="1"/>
  <c r="DY135" i="14"/>
  <c r="DY126" i="14" a="1"/>
  <c r="DY125" i="14"/>
  <c r="EA31" i="14" s="1"/>
  <c r="DY117" i="14" a="1"/>
  <c r="DY115" i="14" a="1"/>
  <c r="DY105" i="14" a="1"/>
  <c r="EA30" i="14" s="1"/>
  <c r="DY103" i="14" a="1"/>
  <c r="DY95" i="14" a="1"/>
  <c r="DY93" i="14" a="1"/>
  <c r="EA29" i="14" s="1"/>
  <c r="DY87" i="14" a="1"/>
  <c r="EA28" i="14" s="1"/>
  <c r="DY86" i="14"/>
  <c r="DY85" i="14"/>
  <c r="EA27" i="14" s="1"/>
  <c r="DY78" i="14" a="1"/>
  <c r="DY75" i="14" a="1"/>
  <c r="DY68" i="14" a="1"/>
  <c r="EA26" i="14" s="1"/>
  <c r="DY67" i="14"/>
  <c r="EA25" i="14" s="1"/>
  <c r="DY56" i="14" a="1"/>
  <c r="EA21" i="14" s="1"/>
  <c r="DY54" i="14" a="1"/>
  <c r="DY48" i="14" a="1"/>
  <c r="DY46" i="14" a="1"/>
  <c r="EA44" i="14"/>
  <c r="EA43" i="14"/>
  <c r="DY40" i="14" a="1"/>
  <c r="DY39" i="14"/>
  <c r="EA20" i="14" s="1"/>
  <c r="DY34" i="14" a="1"/>
  <c r="DY32" i="14" a="1"/>
  <c r="DY27" i="14" a="1"/>
  <c r="EA19" i="14" s="1"/>
  <c r="DY25" i="14" a="1"/>
  <c r="EA18" i="14" s="1"/>
  <c r="DY19" i="14"/>
  <c r="DY18" i="14"/>
  <c r="EA15" i="14" s="1"/>
  <c r="DY14" i="14" a="1"/>
  <c r="EA14" i="14" s="1"/>
  <c r="CC125" i="14"/>
  <c r="CE31" i="14" s="1"/>
  <c r="DM208" i="14" a="1"/>
  <c r="DO44" i="14" s="1"/>
  <c r="DM206" i="14" a="1"/>
  <c r="DM200" i="14" a="1"/>
  <c r="DO43" i="14" s="1"/>
  <c r="DM199" i="14"/>
  <c r="DM192" i="14" a="1"/>
  <c r="DO42" i="14" s="1"/>
  <c r="DM191" i="14"/>
  <c r="DM185" i="14" a="1"/>
  <c r="DO41" i="14" s="1"/>
  <c r="DM184" i="14"/>
  <c r="DM177" i="14" a="1"/>
  <c r="DO39" i="14" s="1"/>
  <c r="DM176" i="14"/>
  <c r="DM168" i="14"/>
  <c r="DM166" i="14" a="1"/>
  <c r="DM158" i="14"/>
  <c r="DM151" i="14" a="1"/>
  <c r="DO34" i="14" s="1"/>
  <c r="DM150" i="14"/>
  <c r="DM146" i="14" a="1"/>
  <c r="DM144" i="14" a="1"/>
  <c r="DM136" i="14"/>
  <c r="DM135" i="14"/>
  <c r="DM126" i="14" a="1"/>
  <c r="DM125" i="14"/>
  <c r="DO31" i="14" s="1"/>
  <c r="DM117" i="14" a="1"/>
  <c r="DM115" i="14" a="1"/>
  <c r="DM105" i="14" a="1"/>
  <c r="DO30" i="14" s="1"/>
  <c r="DM103" i="14" a="1"/>
  <c r="DM95" i="14" a="1"/>
  <c r="DM93" i="14" a="1"/>
  <c r="DO29" i="14" s="1"/>
  <c r="DM86" i="14"/>
  <c r="DM85" i="14"/>
  <c r="DM78" i="14" a="1"/>
  <c r="DM75" i="14" a="1"/>
  <c r="DM68" i="14" a="1"/>
  <c r="DO26" i="14" s="1"/>
  <c r="DM67" i="14"/>
  <c r="DO25" i="14" s="1"/>
  <c r="DM61" i="14"/>
  <c r="DO23" i="14" s="1"/>
  <c r="DM60" i="14"/>
  <c r="DM56" i="14" a="1"/>
  <c r="DO21" i="14" s="1"/>
  <c r="DM54" i="14" a="1"/>
  <c r="DM48" i="14" a="1"/>
  <c r="DM46" i="14" a="1"/>
  <c r="DO40" i="14"/>
  <c r="DM40" i="14" a="1"/>
  <c r="DM39" i="14"/>
  <c r="DO20" i="14" s="1"/>
  <c r="DM34" i="14" a="1"/>
  <c r="DM32" i="14" a="1"/>
  <c r="DM27" i="14" a="1"/>
  <c r="DO19" i="14" s="1"/>
  <c r="DM25" i="14" a="1"/>
  <c r="DO18" i="14" s="1"/>
  <c r="DM19" i="14"/>
  <c r="DM18" i="14"/>
  <c r="DO15" i="14" s="1"/>
  <c r="DM14" i="14" a="1"/>
  <c r="DO14" i="14" s="1"/>
  <c r="E35" i="13"/>
  <c r="E34" i="13"/>
  <c r="E33" i="13"/>
  <c r="E32" i="13"/>
  <c r="E31" i="13"/>
  <c r="E30" i="13"/>
  <c r="E29" i="13"/>
  <c r="E28" i="13"/>
  <c r="E27" i="13"/>
  <c r="E26" i="13"/>
  <c r="E25" i="13"/>
  <c r="E24" i="13"/>
  <c r="E23" i="13"/>
  <c r="E22" i="13"/>
  <c r="E21" i="13"/>
  <c r="E20" i="13"/>
  <c r="E19" i="13"/>
  <c r="E18" i="13"/>
  <c r="E17" i="13"/>
  <c r="E16" i="13"/>
  <c r="AS25" i="14" a="1"/>
  <c r="AU18" i="14" s="1"/>
  <c r="AS27" i="14" a="1"/>
  <c r="AU19" i="14" s="1"/>
  <c r="U48" i="14" a="1"/>
  <c r="DA14" i="14" a="1"/>
  <c r="DC14" i="14" s="1"/>
  <c r="DA18" i="14"/>
  <c r="DC15" i="14" s="1"/>
  <c r="DA19" i="14"/>
  <c r="DC16" i="14" s="1"/>
  <c r="DA20" i="14" a="1"/>
  <c r="DC17" i="14" s="1"/>
  <c r="DA25" i="14" a="1"/>
  <c r="DC18" i="14" s="1"/>
  <c r="DA27" i="14" a="1"/>
  <c r="DC19" i="14" s="1"/>
  <c r="DA32" i="14" a="1"/>
  <c r="DA34" i="14" a="1"/>
  <c r="DA39" i="14"/>
  <c r="DC20" i="14" s="1"/>
  <c r="DA40" i="14" a="1"/>
  <c r="DA46" i="14" a="1"/>
  <c r="H14" i="14" a="1"/>
  <c r="J14" i="14" s="1"/>
  <c r="H18" i="14"/>
  <c r="J15" i="14" s="1"/>
  <c r="H19" i="14"/>
  <c r="J16" i="14" s="1"/>
  <c r="H25" i="14" a="1"/>
  <c r="J18" i="14" s="1"/>
  <c r="H27" i="14" a="1"/>
  <c r="J19" i="14" s="1"/>
  <c r="H32" i="14" a="1"/>
  <c r="H34" i="14" a="1"/>
  <c r="H39" i="14"/>
  <c r="J20" i="14" s="1"/>
  <c r="H40" i="14" a="1"/>
  <c r="H46" i="14" a="1"/>
  <c r="H48" i="14" a="1"/>
  <c r="H54" i="14" a="1"/>
  <c r="H56" i="14" a="1"/>
  <c r="J21" i="14" s="1"/>
  <c r="H60" i="14"/>
  <c r="J22" i="14" s="1"/>
  <c r="H61" i="14"/>
  <c r="J23" i="14" s="1"/>
  <c r="H67" i="14"/>
  <c r="J25" i="14" s="1"/>
  <c r="H68" i="14" a="1"/>
  <c r="J26" i="14" s="1"/>
  <c r="H75" i="14" a="1"/>
  <c r="H78" i="14" a="1"/>
  <c r="H85" i="14"/>
  <c r="J27" i="14" s="1"/>
  <c r="H86" i="14"/>
  <c r="H87" i="14" a="1"/>
  <c r="J28" i="14" s="1"/>
  <c r="H93" i="14" a="1"/>
  <c r="J29" i="14" s="1"/>
  <c r="H95" i="14" a="1"/>
  <c r="H103" i="14" a="1"/>
  <c r="H105" i="14" a="1"/>
  <c r="J30" i="14" s="1"/>
  <c r="H115" i="14" a="1"/>
  <c r="H117" i="14" a="1"/>
  <c r="H125" i="14"/>
  <c r="J31" i="14" s="1"/>
  <c r="H126" i="14" a="1"/>
  <c r="H135" i="14"/>
  <c r="H136" i="14"/>
  <c r="J32" i="14" s="1"/>
  <c r="H137" i="14" a="1"/>
  <c r="J33" i="14" s="1"/>
  <c r="H144" i="14" a="1"/>
  <c r="H146" i="14" a="1"/>
  <c r="H150" i="14"/>
  <c r="H151" i="14" a="1"/>
  <c r="J34" i="14" s="1"/>
  <c r="H158" i="14"/>
  <c r="J35" i="14" s="1"/>
  <c r="H166" i="14" a="1"/>
  <c r="H168" i="14"/>
  <c r="J37" i="14" s="1"/>
  <c r="H176" i="14"/>
  <c r="H177" i="14" a="1"/>
  <c r="J39" i="14" s="1"/>
  <c r="H184" i="14"/>
  <c r="J40" i="14" s="1"/>
  <c r="H185" i="14" a="1"/>
  <c r="J41" i="14" s="1"/>
  <c r="H191" i="14"/>
  <c r="H192" i="14" a="1"/>
  <c r="J42" i="14" s="1"/>
  <c r="H199" i="14"/>
  <c r="H200" i="14" a="1"/>
  <c r="J43" i="14" s="1"/>
  <c r="H206" i="14" a="1"/>
  <c r="H208" i="14" a="1"/>
  <c r="J44" i="14" s="1"/>
  <c r="EO35" i="13"/>
  <c r="EO34" i="13"/>
  <c r="CO208" i="14" a="1"/>
  <c r="CQ44" i="14" s="1"/>
  <c r="CO206" i="14" a="1"/>
  <c r="CO200" i="14" a="1"/>
  <c r="CQ43" i="14" s="1"/>
  <c r="CO199" i="14"/>
  <c r="CO192" i="14" a="1"/>
  <c r="CQ42" i="14" s="1"/>
  <c r="CO191" i="14"/>
  <c r="CO185" i="14" a="1"/>
  <c r="CQ41" i="14" s="1"/>
  <c r="CO184" i="14"/>
  <c r="CQ40" i="14" s="1"/>
  <c r="CO177" i="14" a="1"/>
  <c r="CQ39" i="14" s="1"/>
  <c r="CO176" i="14"/>
  <c r="CO168" i="14"/>
  <c r="CQ37" i="14" s="1"/>
  <c r="CO166" i="14" a="1"/>
  <c r="CO159" i="14" a="1"/>
  <c r="CQ36" i="14" s="1"/>
  <c r="CO158" i="14"/>
  <c r="CQ35" i="14" s="1"/>
  <c r="CO151" i="14" a="1"/>
  <c r="CQ34" i="14" s="1"/>
  <c r="CO150" i="14"/>
  <c r="CO146" i="14" a="1"/>
  <c r="CO144" i="14" a="1"/>
  <c r="CO136" i="14"/>
  <c r="CQ32" i="14" s="1"/>
  <c r="CO135" i="14"/>
  <c r="CO126" i="14" a="1"/>
  <c r="CO125" i="14"/>
  <c r="CQ31" i="14" s="1"/>
  <c r="CO117" i="14" a="1"/>
  <c r="CO115" i="14" a="1"/>
  <c r="CO105" i="14" a="1"/>
  <c r="CQ30" i="14" s="1"/>
  <c r="CO103" i="14" a="1"/>
  <c r="CO95" i="14" a="1"/>
  <c r="CO93" i="14" a="1"/>
  <c r="CQ29" i="14" s="1"/>
  <c r="CO87" i="14" a="1"/>
  <c r="CQ28" i="14" s="1"/>
  <c r="CO86" i="14"/>
  <c r="CO85" i="14"/>
  <c r="CQ27" i="14" s="1"/>
  <c r="CO78" i="14" a="1"/>
  <c r="CO75" i="14" a="1"/>
  <c r="CO68" i="14" a="1"/>
  <c r="CQ26" i="14" s="1"/>
  <c r="CO67" i="14"/>
  <c r="CQ25" i="14" s="1"/>
  <c r="CO61" i="14"/>
  <c r="CQ23" i="14" s="1"/>
  <c r="CO60" i="14"/>
  <c r="CQ22" i="14" s="1"/>
  <c r="CO56" i="14" a="1"/>
  <c r="CQ21" i="14" s="1"/>
  <c r="CO54" i="14" a="1"/>
  <c r="CO48" i="14" a="1"/>
  <c r="CO46" i="14" a="1"/>
  <c r="CO40" i="14" a="1"/>
  <c r="CO39" i="14"/>
  <c r="CQ20" i="14" s="1"/>
  <c r="CO34" i="14" a="1"/>
  <c r="CO32" i="14" a="1"/>
  <c r="CO27" i="14" a="1"/>
  <c r="CQ19" i="14" s="1"/>
  <c r="CO25" i="14" a="1"/>
  <c r="CQ18" i="14" s="1"/>
  <c r="CO19" i="14"/>
  <c r="CQ16" i="14" s="1"/>
  <c r="CO18" i="14"/>
  <c r="CQ15" i="14" s="1"/>
  <c r="CO14" i="14" a="1"/>
  <c r="CQ14" i="14" s="1"/>
  <c r="U208" i="14" a="1"/>
  <c r="W44" i="14" s="1"/>
  <c r="U206" i="14" a="1"/>
  <c r="U200" i="14" a="1"/>
  <c r="W43" i="14" s="1"/>
  <c r="U199" i="14"/>
  <c r="U192" i="14" a="1"/>
  <c r="W42" i="14" s="1"/>
  <c r="U191" i="14"/>
  <c r="U185" i="14" a="1"/>
  <c r="W41" i="14" s="1"/>
  <c r="U184" i="14"/>
  <c r="W40" i="14" s="1"/>
  <c r="U177" i="14" a="1"/>
  <c r="W39" i="14" s="1"/>
  <c r="U176" i="14"/>
  <c r="U168" i="14"/>
  <c r="U166" i="14" a="1"/>
  <c r="U158" i="14"/>
  <c r="U151" i="14" a="1"/>
  <c r="W34" i="14" s="1"/>
  <c r="U150" i="14"/>
  <c r="U146" i="14" a="1"/>
  <c r="U144" i="14" a="1"/>
  <c r="U136" i="14"/>
  <c r="U135" i="14"/>
  <c r="U126" i="14" a="1"/>
  <c r="U125" i="14"/>
  <c r="W31" i="14" s="1"/>
  <c r="U117" i="14" a="1"/>
  <c r="U115" i="14" a="1"/>
  <c r="U105" i="14" a="1"/>
  <c r="W30" i="14" s="1"/>
  <c r="U103" i="14" a="1"/>
  <c r="U95" i="14" a="1"/>
  <c r="U93" i="14" a="1"/>
  <c r="W29" i="14" s="1"/>
  <c r="U86" i="14"/>
  <c r="U85" i="14"/>
  <c r="U78" i="14" a="1"/>
  <c r="U75" i="14" a="1"/>
  <c r="U68" i="14" a="1"/>
  <c r="W26" i="14" s="1"/>
  <c r="U67" i="14"/>
  <c r="W25" i="14" s="1"/>
  <c r="U61" i="14"/>
  <c r="W23" i="14" s="1"/>
  <c r="U60" i="14"/>
  <c r="U56" i="14" a="1"/>
  <c r="W21" i="14" s="1"/>
  <c r="U54" i="14" a="1"/>
  <c r="U46" i="14" a="1"/>
  <c r="U40" i="14" a="1"/>
  <c r="U39" i="14"/>
  <c r="W20" i="14" s="1"/>
  <c r="U34" i="14" a="1"/>
  <c r="U32" i="14" a="1"/>
  <c r="U27" i="14" a="1"/>
  <c r="W19" i="14" s="1"/>
  <c r="U25" i="14" a="1"/>
  <c r="W18" i="14" s="1"/>
  <c r="U19" i="14"/>
  <c r="U18" i="14"/>
  <c r="W15" i="14" s="1"/>
  <c r="U14" i="14" a="1"/>
  <c r="W14" i="14" s="1"/>
  <c r="DA208" i="14" a="1"/>
  <c r="DC44" i="14" s="1"/>
  <c r="DA206" i="14" a="1"/>
  <c r="DA200" i="14" a="1"/>
  <c r="DC43" i="14" s="1"/>
  <c r="DA199" i="14"/>
  <c r="DA192" i="14" a="1"/>
  <c r="DC42" i="14" s="1"/>
  <c r="DA191" i="14"/>
  <c r="DA185" i="14" a="1"/>
  <c r="DC41" i="14" s="1"/>
  <c r="DA184" i="14"/>
  <c r="DC40" i="14" s="1"/>
  <c r="DA177" i="14" a="1"/>
  <c r="DC39" i="14" s="1"/>
  <c r="DA176" i="14"/>
  <c r="DA168" i="14"/>
  <c r="DC37" i="14" s="1"/>
  <c r="DA166" i="14" a="1"/>
  <c r="DA158" i="14"/>
  <c r="DC35" i="14" s="1"/>
  <c r="DA151" i="14" a="1"/>
  <c r="DC34" i="14" s="1"/>
  <c r="DA150" i="14"/>
  <c r="DA146" i="14" a="1"/>
  <c r="DA144" i="14" a="1"/>
  <c r="DA136" i="14"/>
  <c r="DA135" i="14"/>
  <c r="DA126" i="14" a="1"/>
  <c r="DA125" i="14"/>
  <c r="DC31" i="14" s="1"/>
  <c r="DA117" i="14" a="1"/>
  <c r="DA115" i="14" a="1"/>
  <c r="DA105" i="14" a="1"/>
  <c r="DC30" i="14" s="1"/>
  <c r="DA103" i="14" a="1"/>
  <c r="DA95" i="14" a="1"/>
  <c r="DA93" i="14" a="1"/>
  <c r="DC29" i="14" s="1"/>
  <c r="DA86" i="14"/>
  <c r="DA85" i="14"/>
  <c r="DA78" i="14" a="1"/>
  <c r="DA75" i="14" a="1"/>
  <c r="DA68" i="14" a="1"/>
  <c r="DC26" i="14" s="1"/>
  <c r="DA67" i="14"/>
  <c r="DC25" i="14" s="1"/>
  <c r="DA61" i="14"/>
  <c r="DC23" i="14" s="1"/>
  <c r="DA60" i="14"/>
  <c r="DC22" i="14" s="1"/>
  <c r="DA56" i="14" a="1"/>
  <c r="DC21" i="14" s="1"/>
  <c r="DA54" i="14" a="1"/>
  <c r="DA48" i="14" a="1"/>
  <c r="BE208" i="14" a="1"/>
  <c r="BG44" i="14" s="1"/>
  <c r="BE206" i="14" a="1"/>
  <c r="BE200" i="14" a="1"/>
  <c r="BG43" i="14" s="1"/>
  <c r="BE199" i="14"/>
  <c r="BE192" i="14" a="1"/>
  <c r="BG42" i="14" s="1"/>
  <c r="BE191" i="14"/>
  <c r="BE185" i="14" a="1"/>
  <c r="BG41" i="14" s="1"/>
  <c r="BE184" i="14"/>
  <c r="BG40" i="14" s="1"/>
  <c r="BE177" i="14" a="1"/>
  <c r="BG39" i="14" s="1"/>
  <c r="BE176" i="14"/>
  <c r="BE168" i="14"/>
  <c r="BG37" i="14" s="1"/>
  <c r="BE166" i="14" a="1"/>
  <c r="BE158" i="14"/>
  <c r="BG35" i="14" s="1"/>
  <c r="BE151" i="14" a="1"/>
  <c r="BG34" i="14" s="1"/>
  <c r="BE150" i="14"/>
  <c r="BE146" i="14" a="1"/>
  <c r="BE144" i="14" a="1"/>
  <c r="BE136" i="14"/>
  <c r="BG32" i="14" s="1"/>
  <c r="BE135" i="14"/>
  <c r="BE126" i="14" a="1"/>
  <c r="BE125" i="14"/>
  <c r="BG31" i="14" s="1"/>
  <c r="BE117" i="14" a="1"/>
  <c r="BE115" i="14" a="1"/>
  <c r="BE105" i="14" a="1"/>
  <c r="BG30" i="14" s="1"/>
  <c r="BE103" i="14" a="1"/>
  <c r="BE95" i="14" a="1"/>
  <c r="BE93" i="14" a="1"/>
  <c r="BG29" i="14" s="1"/>
  <c r="BE86" i="14"/>
  <c r="BE85" i="14"/>
  <c r="BE78" i="14" a="1"/>
  <c r="BE75" i="14" a="1"/>
  <c r="BE68" i="14" a="1"/>
  <c r="BG26" i="14" s="1"/>
  <c r="BE67" i="14"/>
  <c r="BG25" i="14" s="1"/>
  <c r="BE61" i="14"/>
  <c r="BG23" i="14" s="1"/>
  <c r="BE60" i="14"/>
  <c r="BG22" i="14" s="1"/>
  <c r="BE56" i="14" a="1"/>
  <c r="BG21" i="14" s="1"/>
  <c r="BE54" i="14" a="1"/>
  <c r="BE48" i="14" a="1"/>
  <c r="BE46" i="14" a="1"/>
  <c r="BE40" i="14" a="1"/>
  <c r="BE39" i="14"/>
  <c r="BG20" i="14" s="1"/>
  <c r="BE34" i="14" a="1"/>
  <c r="BE32" i="14" a="1"/>
  <c r="BE27" i="14" a="1"/>
  <c r="BG19" i="14" s="1"/>
  <c r="BE25" i="14" a="1"/>
  <c r="BG18" i="14" s="1"/>
  <c r="BE19" i="14"/>
  <c r="BG16" i="14" s="1"/>
  <c r="BE18" i="14"/>
  <c r="BG15" i="14" s="1"/>
  <c r="BE14" i="14" a="1"/>
  <c r="BG14" i="14" s="1"/>
  <c r="BQ208" i="14" a="1"/>
  <c r="BS44" i="14" s="1"/>
  <c r="BQ206" i="14" a="1"/>
  <c r="BQ200" i="14" a="1"/>
  <c r="BS43" i="14" s="1"/>
  <c r="BQ199" i="14"/>
  <c r="BQ192" i="14" a="1"/>
  <c r="BS42" i="14" s="1"/>
  <c r="BQ191" i="14"/>
  <c r="BQ185" i="14" a="1"/>
  <c r="BS41" i="14" s="1"/>
  <c r="BQ184" i="14"/>
  <c r="BS40" i="14" s="1"/>
  <c r="BQ177" i="14" a="1"/>
  <c r="BS39" i="14" s="1"/>
  <c r="BQ176" i="14"/>
  <c r="BQ168" i="14"/>
  <c r="BS37" i="14" s="1"/>
  <c r="BQ166" i="14" a="1"/>
  <c r="BQ158" i="14"/>
  <c r="BS35" i="14" s="1"/>
  <c r="BQ151" i="14" a="1"/>
  <c r="BS34" i="14" s="1"/>
  <c r="BQ150" i="14"/>
  <c r="BQ146" i="14" a="1"/>
  <c r="BQ144" i="14" a="1"/>
  <c r="BQ136" i="14"/>
  <c r="BS32" i="14" s="1"/>
  <c r="BQ135" i="14"/>
  <c r="BQ126" i="14" a="1"/>
  <c r="BQ125" i="14"/>
  <c r="BS31" i="14" s="1"/>
  <c r="BQ117" i="14" a="1"/>
  <c r="BQ115" i="14" a="1"/>
  <c r="BQ105" i="14" a="1"/>
  <c r="BS30" i="14" s="1"/>
  <c r="BQ103" i="14" a="1"/>
  <c r="BQ95" i="14" a="1"/>
  <c r="BQ93" i="14" a="1"/>
  <c r="BS29" i="14" s="1"/>
  <c r="BQ86" i="14"/>
  <c r="BQ85" i="14"/>
  <c r="BS27" i="14" s="1"/>
  <c r="BQ78" i="14" a="1"/>
  <c r="BQ75" i="14" a="1"/>
  <c r="BQ68" i="14" a="1"/>
  <c r="BS26" i="14" s="1"/>
  <c r="BQ67" i="14"/>
  <c r="BS25" i="14" s="1"/>
  <c r="BQ61" i="14"/>
  <c r="BS23" i="14" s="1"/>
  <c r="BQ60" i="14"/>
  <c r="BS22" i="14" s="1"/>
  <c r="BQ56" i="14" a="1"/>
  <c r="BS21" i="14" s="1"/>
  <c r="BQ54" i="14" a="1"/>
  <c r="BQ48" i="14" a="1"/>
  <c r="BQ46" i="14" a="1"/>
  <c r="BQ40" i="14" a="1"/>
  <c r="BQ39" i="14"/>
  <c r="BS20" i="14" s="1"/>
  <c r="BQ34" i="14" a="1"/>
  <c r="BQ32" i="14" a="1"/>
  <c r="BQ27" i="14" a="1"/>
  <c r="BS19" i="14" s="1"/>
  <c r="BQ25" i="14" a="1"/>
  <c r="BS18" i="14" s="1"/>
  <c r="BQ19" i="14"/>
  <c r="BS16" i="14" s="1"/>
  <c r="BQ18" i="14"/>
  <c r="BS15" i="14" s="1"/>
  <c r="BQ14" i="14" a="1"/>
  <c r="BS14" i="14" s="1"/>
  <c r="CC14" i="14" a="1"/>
  <c r="CE14" i="14" s="1"/>
  <c r="CC208" i="14" a="1"/>
  <c r="CE44" i="14" s="1"/>
  <c r="CC206" i="14" a="1"/>
  <c r="CC200" i="14" a="1"/>
  <c r="CE43" i="14" s="1"/>
  <c r="CC199" i="14"/>
  <c r="CC192" i="14" a="1"/>
  <c r="CE42" i="14" s="1"/>
  <c r="CC191" i="14"/>
  <c r="CC185" i="14" a="1"/>
  <c r="CE41" i="14" s="1"/>
  <c r="CC184" i="14"/>
  <c r="CE40" i="14" s="1"/>
  <c r="CC177" i="14" a="1"/>
  <c r="CE39" i="14" s="1"/>
  <c r="CC176" i="14"/>
  <c r="CC168" i="14"/>
  <c r="CE37" i="14" s="1"/>
  <c r="CC166" i="14" a="1"/>
  <c r="CC158" i="14"/>
  <c r="CE35" i="14" s="1"/>
  <c r="CC151" i="14" a="1"/>
  <c r="CE34" i="14" s="1"/>
  <c r="CC150" i="14"/>
  <c r="CC146" i="14" a="1"/>
  <c r="CC144" i="14" a="1"/>
  <c r="CC136" i="14"/>
  <c r="CE32" i="14" s="1"/>
  <c r="CC135" i="14"/>
  <c r="CC126" i="14" a="1"/>
  <c r="CC117" i="14" a="1"/>
  <c r="CC115" i="14" a="1"/>
  <c r="CC105" i="14" a="1"/>
  <c r="CE30" i="14" s="1"/>
  <c r="CC103" i="14" a="1"/>
  <c r="CC95" i="14" a="1"/>
  <c r="CC93" i="14" a="1"/>
  <c r="CE29" i="14" s="1"/>
  <c r="CC86" i="14"/>
  <c r="CC85" i="14"/>
  <c r="CE27" i="14" s="1"/>
  <c r="CC78" i="14" a="1"/>
  <c r="CC75" i="14" a="1"/>
  <c r="CC68" i="14" a="1"/>
  <c r="CE26" i="14" s="1"/>
  <c r="CC67" i="14"/>
  <c r="CE25" i="14" s="1"/>
  <c r="CC61" i="14"/>
  <c r="CE23" i="14" s="1"/>
  <c r="CC60" i="14"/>
  <c r="CE22" i="14" s="1"/>
  <c r="CC56" i="14" a="1"/>
  <c r="CE21" i="14" s="1"/>
  <c r="CC54" i="14" a="1"/>
  <c r="CC48" i="14" a="1"/>
  <c r="CC46" i="14" a="1"/>
  <c r="CC40" i="14" a="1"/>
  <c r="CC39" i="14"/>
  <c r="CE20" i="14" s="1"/>
  <c r="CC34" i="14" a="1"/>
  <c r="CC32" i="14" a="1"/>
  <c r="CC27" i="14" a="1"/>
  <c r="CE19" i="14" s="1"/>
  <c r="CC25" i="14" a="1"/>
  <c r="CE18" i="14" s="1"/>
  <c r="CC19" i="14"/>
  <c r="CE16" i="14" s="1"/>
  <c r="CC18" i="14"/>
  <c r="CE15" i="14" s="1"/>
  <c r="AS14" i="14" a="1"/>
  <c r="AU14" i="14" s="1"/>
  <c r="AS208" i="14" a="1"/>
  <c r="AU44" i="14" s="1"/>
  <c r="AG208" i="14" a="1"/>
  <c r="AI44" i="14" s="1"/>
  <c r="AS206" i="14" a="1"/>
  <c r="AG206" i="14" a="1"/>
  <c r="AS200" i="14" a="1"/>
  <c r="AU43" i="14" s="1"/>
  <c r="AG200" i="14" a="1"/>
  <c r="AI43" i="14" s="1"/>
  <c r="AS199" i="14"/>
  <c r="AG199" i="14"/>
  <c r="AS192" i="14" a="1"/>
  <c r="AU42" i="14" s="1"/>
  <c r="AG192" i="14" a="1"/>
  <c r="AI42" i="14" s="1"/>
  <c r="AS191" i="14"/>
  <c r="AG191" i="14"/>
  <c r="AS185" i="14" a="1"/>
  <c r="AU41" i="14" s="1"/>
  <c r="AG185" i="14" a="1"/>
  <c r="AI41" i="14" s="1"/>
  <c r="AS184" i="14"/>
  <c r="AU40" i="14" s="1"/>
  <c r="AG184" i="14"/>
  <c r="AI40" i="14" s="1"/>
  <c r="AS177" i="14" a="1"/>
  <c r="AU39" i="14" s="1"/>
  <c r="AG177" i="14" a="1"/>
  <c r="AI39" i="14" s="1"/>
  <c r="AS176" i="14"/>
  <c r="AG176" i="14"/>
  <c r="AS168" i="14"/>
  <c r="AU37" i="14" s="1"/>
  <c r="AG168" i="14"/>
  <c r="AS166" i="14" a="1"/>
  <c r="AG166" i="14" a="1"/>
  <c r="AS158" i="14"/>
  <c r="AU35" i="14" s="1"/>
  <c r="AG158" i="14"/>
  <c r="AS151" i="14" a="1"/>
  <c r="AU34" i="14" s="1"/>
  <c r="AG151" i="14" a="1"/>
  <c r="AI34" i="14" s="1"/>
  <c r="AS150" i="14"/>
  <c r="AG150" i="14"/>
  <c r="AS146" i="14" a="1"/>
  <c r="AG146" i="14" a="1"/>
  <c r="AS144" i="14" a="1"/>
  <c r="AG144" i="14" a="1"/>
  <c r="AS136" i="14"/>
  <c r="AU32" i="14" s="1"/>
  <c r="AG136" i="14"/>
  <c r="AS135" i="14"/>
  <c r="AG135" i="14"/>
  <c r="AS126" i="14" a="1"/>
  <c r="AG126" i="14" a="1"/>
  <c r="AS125" i="14"/>
  <c r="AU31" i="14" s="1"/>
  <c r="AG125" i="14"/>
  <c r="AI31" i="14" s="1"/>
  <c r="AS117" i="14" a="1"/>
  <c r="AG117" i="14" a="1"/>
  <c r="AS115" i="14" a="1"/>
  <c r="AG115" i="14" a="1"/>
  <c r="AS105" i="14" a="1"/>
  <c r="AU30" i="14" s="1"/>
  <c r="AG105" i="14" a="1"/>
  <c r="AI30" i="14" s="1"/>
  <c r="AS103" i="14" a="1"/>
  <c r="AG103" i="14" a="1"/>
  <c r="AS95" i="14" a="1"/>
  <c r="AG95" i="14" a="1"/>
  <c r="AS93" i="14" a="1"/>
  <c r="AU29" i="14" s="1"/>
  <c r="AG93" i="14" a="1"/>
  <c r="AI29" i="14" s="1"/>
  <c r="AS86" i="14"/>
  <c r="AG86" i="14"/>
  <c r="AS85" i="14"/>
  <c r="AU27" i="14" s="1"/>
  <c r="AG85" i="14"/>
  <c r="AS78" i="14" a="1"/>
  <c r="AG78" i="14" a="1"/>
  <c r="AS75" i="14" a="1"/>
  <c r="AG75" i="14" a="1"/>
  <c r="AS68" i="14" a="1"/>
  <c r="AU26" i="14" s="1"/>
  <c r="AG68" i="14" a="1"/>
  <c r="AI26" i="14" s="1"/>
  <c r="AS67" i="14"/>
  <c r="AU25" i="14" s="1"/>
  <c r="AG67" i="14"/>
  <c r="AI25" i="14" s="1"/>
  <c r="AS61" i="14"/>
  <c r="AU23" i="14" s="1"/>
  <c r="AG61" i="14"/>
  <c r="AI23" i="14" s="1"/>
  <c r="AS60" i="14"/>
  <c r="AG60" i="14"/>
  <c r="AS56" i="14" a="1"/>
  <c r="AU21" i="14" s="1"/>
  <c r="AG56" i="14" a="1"/>
  <c r="AI21" i="14" s="1"/>
  <c r="AS54" i="14" a="1"/>
  <c r="AG54" i="14" a="1"/>
  <c r="AS48" i="14" a="1"/>
  <c r="AG48" i="14" a="1"/>
  <c r="AS46" i="14" a="1"/>
  <c r="AG46" i="14" a="1"/>
  <c r="AS40" i="14" a="1"/>
  <c r="AG40" i="14" a="1"/>
  <c r="AS39" i="14"/>
  <c r="AU20" i="14" s="1"/>
  <c r="AG39" i="14"/>
  <c r="AI20" i="14" s="1"/>
  <c r="AS34" i="14" a="1"/>
  <c r="AG34" i="14" a="1"/>
  <c r="AS32" i="14" a="1"/>
  <c r="AG32" i="14" a="1"/>
  <c r="AG27" i="14" a="1"/>
  <c r="AI19" i="14" s="1"/>
  <c r="AG25" i="14" a="1"/>
  <c r="AI18" i="14" s="1"/>
  <c r="AG19" i="14"/>
  <c r="AS18" i="14"/>
  <c r="AU15" i="14" s="1"/>
  <c r="AG18" i="14"/>
  <c r="AI15" i="14" s="1"/>
  <c r="AG14" i="14" a="1"/>
  <c r="AI14" i="14" s="1"/>
  <c r="AS19" i="14"/>
  <c r="EO31" i="13"/>
  <c r="EO30" i="13"/>
  <c r="EO29" i="13"/>
  <c r="EO28" i="13"/>
  <c r="EO25" i="13"/>
  <c r="EO24" i="13"/>
  <c r="EO23" i="13"/>
  <c r="EO22" i="13"/>
  <c r="EO21" i="13"/>
  <c r="EO20" i="13"/>
  <c r="EO19" i="13"/>
  <c r="EO18" i="13"/>
  <c r="EO17" i="13"/>
  <c r="EO16" i="13"/>
  <c r="H51" i="3"/>
  <c r="E76" i="3"/>
  <c r="H76" i="3"/>
  <c r="E69" i="3"/>
  <c r="H69" i="3"/>
  <c r="G22" i="6"/>
  <c r="L103" i="3"/>
  <c r="L105" i="3"/>
  <c r="L106" i="3"/>
  <c r="L108" i="3"/>
  <c r="L109" i="3"/>
  <c r="L110" i="3"/>
  <c r="L112" i="3"/>
  <c r="L113" i="3"/>
  <c r="L115" i="3"/>
  <c r="L117" i="3"/>
  <c r="L118" i="3"/>
  <c r="L120" i="3"/>
  <c r="L122" i="3"/>
  <c r="L123" i="3"/>
  <c r="L124" i="3"/>
  <c r="L125" i="3"/>
  <c r="L126" i="3"/>
  <c r="L127" i="3"/>
  <c r="L128" i="3"/>
  <c r="L129" i="3"/>
  <c r="L130" i="3"/>
  <c r="L131" i="3"/>
  <c r="L134" i="3"/>
  <c r="L135" i="3"/>
  <c r="E52" i="3"/>
  <c r="E53" i="3"/>
  <c r="E54" i="3"/>
  <c r="E55" i="3"/>
  <c r="E56" i="3"/>
  <c r="E57" i="3"/>
  <c r="E60" i="3"/>
  <c r="E62" i="3"/>
  <c r="E63" i="3"/>
  <c r="E65" i="3"/>
  <c r="E66" i="3"/>
  <c r="E67" i="3"/>
  <c r="E70" i="3"/>
  <c r="E72" i="3"/>
  <c r="E74" i="3"/>
  <c r="E75" i="3"/>
  <c r="E77" i="3"/>
  <c r="E78" i="3"/>
  <c r="E79" i="3"/>
  <c r="E80" i="3"/>
  <c r="E81" i="3"/>
  <c r="E82" i="3"/>
  <c r="E83" i="3"/>
  <c r="E84" i="3"/>
  <c r="E85" i="3"/>
  <c r="E86" i="3"/>
  <c r="E87" i="3"/>
  <c r="E88" i="3"/>
  <c r="E89" i="3"/>
  <c r="E90" i="3"/>
  <c r="E91" i="3"/>
  <c r="E92" i="3"/>
  <c r="E93" i="3"/>
  <c r="E51" i="3"/>
  <c r="F103" i="3"/>
  <c r="K103" i="3" s="1"/>
  <c r="C30" i="1"/>
  <c r="A11" i="5" a="1"/>
  <c r="W27" i="3"/>
  <c r="AB27" i="3" s="1"/>
  <c r="H15" i="3"/>
  <c r="F110" i="3"/>
  <c r="K110" i="3" s="1"/>
  <c r="F135" i="3"/>
  <c r="K135" i="3" s="1"/>
  <c r="F134" i="3"/>
  <c r="K134" i="3" s="1"/>
  <c r="F131" i="3"/>
  <c r="F128" i="3"/>
  <c r="K128" i="3" s="1"/>
  <c r="F127" i="3"/>
  <c r="K127" i="3" s="1"/>
  <c r="F126" i="3"/>
  <c r="K126" i="3" s="1"/>
  <c r="F125" i="3"/>
  <c r="K125" i="3" s="1"/>
  <c r="F124" i="3"/>
  <c r="K124" i="3" s="1"/>
  <c r="F123" i="3"/>
  <c r="K123" i="3" s="1"/>
  <c r="F122" i="3"/>
  <c r="K122" i="3" s="1"/>
  <c r="F120" i="3"/>
  <c r="K120" i="3" s="1"/>
  <c r="F118" i="3"/>
  <c r="K118" i="3" s="1"/>
  <c r="F117" i="3"/>
  <c r="K117" i="3" s="1"/>
  <c r="F115" i="3"/>
  <c r="K115" i="3" s="1"/>
  <c r="F113" i="3"/>
  <c r="K113" i="3" s="1"/>
  <c r="F112" i="3"/>
  <c r="K112" i="3" s="1"/>
  <c r="F109" i="3"/>
  <c r="K109" i="3" s="1"/>
  <c r="F108" i="3"/>
  <c r="F106" i="3"/>
  <c r="K106" i="3" s="1"/>
  <c r="F105" i="3"/>
  <c r="K105" i="3" s="1"/>
  <c r="V18" i="3"/>
  <c r="AC27" i="3"/>
  <c r="Y18" i="3"/>
  <c r="L29" i="12"/>
  <c r="L30" i="12"/>
  <c r="M29" i="12"/>
  <c r="A26" i="12"/>
  <c r="A29" i="12"/>
  <c r="B26" i="12" s="1"/>
  <c r="C12" i="12"/>
  <c r="H29" i="12"/>
  <c r="K48" i="12"/>
  <c r="L48" i="12"/>
  <c r="M48" i="12"/>
  <c r="K49" i="12"/>
  <c r="L49" i="12"/>
  <c r="M49" i="12"/>
  <c r="K50" i="12"/>
  <c r="L50" i="12"/>
  <c r="M50" i="12"/>
  <c r="K51" i="12"/>
  <c r="L51" i="12"/>
  <c r="M51" i="12"/>
  <c r="K52" i="12"/>
  <c r="L52" i="12"/>
  <c r="M52" i="12"/>
  <c r="K53" i="12"/>
  <c r="L53" i="12"/>
  <c r="M53" i="12"/>
  <c r="K54" i="12"/>
  <c r="L54" i="12"/>
  <c r="M54" i="12"/>
  <c r="K55" i="12"/>
  <c r="L55" i="12"/>
  <c r="M55" i="12"/>
  <c r="K56" i="12"/>
  <c r="L56" i="12"/>
  <c r="M56" i="12"/>
  <c r="K57" i="12"/>
  <c r="L57" i="12"/>
  <c r="M57" i="12"/>
  <c r="K58" i="12"/>
  <c r="L58" i="12"/>
  <c r="M58" i="12"/>
  <c r="K59" i="12"/>
  <c r="L59" i="12"/>
  <c r="M59" i="12"/>
  <c r="K60" i="12"/>
  <c r="L60" i="12"/>
  <c r="M60" i="12"/>
  <c r="K61" i="12"/>
  <c r="L61" i="12"/>
  <c r="M61" i="12"/>
  <c r="K62" i="12"/>
  <c r="L62" i="12"/>
  <c r="M62" i="12"/>
  <c r="K63" i="12"/>
  <c r="L63" i="12"/>
  <c r="M63" i="12"/>
  <c r="K64" i="12"/>
  <c r="L64" i="12"/>
  <c r="M64" i="12"/>
  <c r="K65" i="12"/>
  <c r="L65" i="12"/>
  <c r="M65" i="12"/>
  <c r="M30" i="12"/>
  <c r="M31" i="12"/>
  <c r="M32" i="12"/>
  <c r="M33" i="12"/>
  <c r="M34" i="12"/>
  <c r="M35" i="12"/>
  <c r="M36" i="12"/>
  <c r="M37" i="12"/>
  <c r="M38" i="12"/>
  <c r="M39" i="12"/>
  <c r="M40" i="12"/>
  <c r="M41" i="12"/>
  <c r="M42" i="12"/>
  <c r="M43" i="12"/>
  <c r="M44" i="12"/>
  <c r="M45" i="12"/>
  <c r="M46" i="12"/>
  <c r="M47" i="12"/>
  <c r="L31" i="12"/>
  <c r="L32" i="12"/>
  <c r="L33" i="12"/>
  <c r="L34" i="12"/>
  <c r="L35" i="12"/>
  <c r="L36" i="12"/>
  <c r="L37" i="12"/>
  <c r="L38" i="12"/>
  <c r="L39" i="12"/>
  <c r="L40" i="12"/>
  <c r="L41" i="12"/>
  <c r="L42" i="12"/>
  <c r="L43" i="12"/>
  <c r="L44" i="12"/>
  <c r="L45" i="12"/>
  <c r="L46" i="12"/>
  <c r="L47" i="12"/>
  <c r="K30" i="12"/>
  <c r="K31" i="12"/>
  <c r="K32" i="12"/>
  <c r="K33" i="12"/>
  <c r="K34" i="12"/>
  <c r="K35" i="12"/>
  <c r="K36" i="12"/>
  <c r="K37" i="12"/>
  <c r="K38" i="12"/>
  <c r="K39" i="12"/>
  <c r="K40" i="12"/>
  <c r="K41" i="12"/>
  <c r="K42" i="12"/>
  <c r="K43" i="12"/>
  <c r="K44" i="12"/>
  <c r="K45" i="12"/>
  <c r="K46" i="12"/>
  <c r="K47" i="12"/>
  <c r="K29" i="12"/>
  <c r="F15" i="12"/>
  <c r="E15" i="12"/>
  <c r="D15" i="12"/>
  <c r="C15" i="12"/>
  <c r="B15" i="12"/>
  <c r="H12" i="12"/>
  <c r="N30" i="12" s="1"/>
  <c r="G12" i="12"/>
  <c r="F12" i="12"/>
  <c r="E12" i="12"/>
  <c r="D12" i="12"/>
  <c r="B12" i="12"/>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B334" i="2"/>
  <c r="H334" i="2" s="1"/>
  <c r="B337" i="2"/>
  <c r="H337" i="2" s="1"/>
  <c r="B335" i="2"/>
  <c r="H335" i="2" s="1"/>
  <c r="B333" i="2"/>
  <c r="H333" i="2" s="1"/>
  <c r="H49" i="5" l="1"/>
  <c r="I49" i="5"/>
  <c r="J49" i="5" s="1"/>
  <c r="H48" i="5"/>
  <c r="I48" i="5"/>
  <c r="J48" i="5" s="1"/>
  <c r="H50" i="5"/>
  <c r="I50" i="5"/>
  <c r="J50" i="5" s="1"/>
  <c r="F51" i="5"/>
  <c r="G51" i="5" s="1" a="1"/>
  <c r="E51" i="5"/>
  <c r="I52" i="5"/>
  <c r="J52" i="5" s="1"/>
  <c r="H52" i="5"/>
  <c r="E53" i="5"/>
  <c r="F53" i="5"/>
  <c r="G53" i="5" s="1" a="1"/>
  <c r="K130" i="3"/>
  <c r="J130" i="3"/>
  <c r="O133" i="3"/>
  <c r="O107" i="3"/>
  <c r="J116" i="3"/>
  <c r="K116" i="3"/>
  <c r="G116" i="3"/>
  <c r="H116" i="3" s="1"/>
  <c r="I116" i="3" s="1"/>
  <c r="M116" i="3" s="1"/>
  <c r="N116" i="3" s="1"/>
  <c r="O116" i="3" s="1"/>
  <c r="O132" i="3"/>
  <c r="O121" i="3"/>
  <c r="O119" i="3"/>
  <c r="J104" i="3"/>
  <c r="K104" i="3"/>
  <c r="J119" i="3"/>
  <c r="K119" i="3"/>
  <c r="O114" i="3"/>
  <c r="K114" i="3"/>
  <c r="J114" i="3"/>
  <c r="G111" i="3"/>
  <c r="H111" i="3" s="1"/>
  <c r="I111" i="3" s="1"/>
  <c r="M111" i="3" s="1"/>
  <c r="N111" i="3" s="1"/>
  <c r="O111" i="3" s="1"/>
  <c r="J111" i="3"/>
  <c r="K111" i="3"/>
  <c r="K68" i="3"/>
  <c r="K64" i="3"/>
  <c r="O104" i="3"/>
  <c r="K73" i="3"/>
  <c r="K71" i="3"/>
  <c r="K61" i="3"/>
  <c r="K58" i="3"/>
  <c r="K59" i="3"/>
  <c r="BX22" i="13"/>
  <c r="BX26" i="13"/>
  <c r="BX18" i="13"/>
  <c r="BX19" i="13"/>
  <c r="BX24" i="13"/>
  <c r="BX20" i="13"/>
  <c r="CE26" i="13"/>
  <c r="CE18" i="13"/>
  <c r="CE25" i="13"/>
  <c r="CE19" i="13"/>
  <c r="CE24" i="13"/>
  <c r="CE20" i="13"/>
  <c r="CL25" i="13"/>
  <c r="CL24" i="13"/>
  <c r="CL19" i="13"/>
  <c r="CL26" i="13"/>
  <c r="CL20" i="13"/>
  <c r="CL27" i="13"/>
  <c r="CS24" i="13"/>
  <c r="CS27" i="13"/>
  <c r="CS26" i="13"/>
  <c r="CS25" i="13"/>
  <c r="CS31" i="13"/>
  <c r="CS20" i="13"/>
  <c r="CZ24" i="13"/>
  <c r="CZ31" i="13"/>
  <c r="CZ26" i="13"/>
  <c r="CZ28" i="13"/>
  <c r="CZ27" i="13"/>
  <c r="CZ32" i="13"/>
  <c r="EP28" i="13"/>
  <c r="EP33" i="13"/>
  <c r="EP30" i="13"/>
  <c r="EP32" i="13"/>
  <c r="EP31" i="13"/>
  <c r="M17" i="13"/>
  <c r="M24" i="13"/>
  <c r="M19" i="13"/>
  <c r="M22" i="13"/>
  <c r="M20" i="13"/>
  <c r="N41" i="3"/>
  <c r="J108" i="3"/>
  <c r="K108" i="3"/>
  <c r="EM27" i="14"/>
  <c r="EK87" i="14" a="1"/>
  <c r="EM28" i="14" s="1"/>
  <c r="EM16" i="14"/>
  <c r="EK20" i="14" a="1"/>
  <c r="EM17" i="14" s="1"/>
  <c r="EA16" i="14"/>
  <c r="DY20" i="14" a="1"/>
  <c r="EA17" i="14" s="1"/>
  <c r="DM169" i="14" a="1"/>
  <c r="DO38" i="14" s="1"/>
  <c r="DO37" i="14"/>
  <c r="DM159" i="14" a="1"/>
  <c r="DO36" i="14" s="1"/>
  <c r="DO35" i="14"/>
  <c r="DM137" i="14" a="1"/>
  <c r="DO33" i="14" s="1"/>
  <c r="DO32" i="14"/>
  <c r="DC32" i="14"/>
  <c r="DA137" i="14" a="1"/>
  <c r="DC33" i="14" s="1"/>
  <c r="DC27" i="14"/>
  <c r="DA87" i="14" a="1"/>
  <c r="DC28" i="14" s="1"/>
  <c r="DO27" i="14"/>
  <c r="DM87" i="14" a="1"/>
  <c r="DO28" i="14" s="1"/>
  <c r="DO22" i="14"/>
  <c r="DM62" i="14" a="1"/>
  <c r="DO24" i="14" s="1"/>
  <c r="BE87" i="14" a="1"/>
  <c r="BG28" i="14" s="1"/>
  <c r="BG27" i="14"/>
  <c r="AG169" i="14" a="1"/>
  <c r="AI38" i="14" s="1"/>
  <c r="AI37" i="14"/>
  <c r="AG159" i="14" a="1"/>
  <c r="AI36" i="14" s="1"/>
  <c r="AI35" i="14"/>
  <c r="AG137" i="14" a="1"/>
  <c r="AI33" i="14" s="1"/>
  <c r="AI32" i="14"/>
  <c r="AG87" i="14" a="1"/>
  <c r="AI28" i="14" s="1"/>
  <c r="AI27" i="14"/>
  <c r="AG62" i="14" a="1"/>
  <c r="AI24" i="14" s="1"/>
  <c r="AI22" i="14"/>
  <c r="AG20" i="14" a="1"/>
  <c r="AI17" i="14" s="1"/>
  <c r="AI16" i="14"/>
  <c r="DO16" i="14"/>
  <c r="DM20" i="14" a="1"/>
  <c r="DO17" i="14" s="1"/>
  <c r="AS62" i="14" a="1"/>
  <c r="AU24" i="14" s="1"/>
  <c r="AU22" i="14"/>
  <c r="AS20" i="14" a="1"/>
  <c r="AU17" i="14" s="1"/>
  <c r="AU16" i="14"/>
  <c r="BE137" i="14" a="1"/>
  <c r="BG33" i="14" s="1"/>
  <c r="CC159" i="14" a="1"/>
  <c r="CE36" i="14" s="1"/>
  <c r="BE169" i="14" a="1"/>
  <c r="BG38" i="14" s="1"/>
  <c r="DA159" i="14" a="1"/>
  <c r="DC36" i="14" s="1"/>
  <c r="AS159" i="14" a="1"/>
  <c r="AU36" i="14" s="1"/>
  <c r="DA169" i="14" a="1"/>
  <c r="DC38" i="14" s="1"/>
  <c r="H62" i="14" a="1"/>
  <c r="J24" i="14" s="1"/>
  <c r="CO62" i="14" a="1"/>
  <c r="CQ24" i="14" s="1"/>
  <c r="CO20" i="14" a="1"/>
  <c r="CQ17" i="14" s="1"/>
  <c r="W35" i="14"/>
  <c r="U159" i="14" a="1"/>
  <c r="W36" i="14" s="1"/>
  <c r="AS137" i="14" a="1"/>
  <c r="AU33" i="14" s="1"/>
  <c r="AS87" i="14" a="1"/>
  <c r="AU28" i="14" s="1"/>
  <c r="H20" i="14" a="1"/>
  <c r="J17" i="14" s="1"/>
  <c r="BQ159" i="14" a="1"/>
  <c r="BS36" i="14" s="1"/>
  <c r="H159" i="14" a="1"/>
  <c r="J36" i="14" s="1"/>
  <c r="H169" i="14" a="1"/>
  <c r="J38" i="14" s="1"/>
  <c r="BQ169" i="14" a="1"/>
  <c r="BS38" i="14" s="1"/>
  <c r="CO169" i="14" a="1"/>
  <c r="CQ38" i="14" s="1"/>
  <c r="CO137" i="14" a="1"/>
  <c r="CQ33" i="14" s="1"/>
  <c r="U169" i="14" a="1"/>
  <c r="W38" i="14" s="1"/>
  <c r="W37" i="14"/>
  <c r="U137" i="14" a="1"/>
  <c r="W33" i="14" s="1"/>
  <c r="W32" i="14"/>
  <c r="W27" i="14"/>
  <c r="U87" i="14" a="1"/>
  <c r="W28" i="14" s="1"/>
  <c r="W22" i="14"/>
  <c r="U20" i="14" a="1"/>
  <c r="W17" i="14" s="1"/>
  <c r="X17" i="14" s="1"/>
  <c r="W16" i="14"/>
  <c r="DA62" i="14" a="1"/>
  <c r="DC24" i="14" s="1"/>
  <c r="BE159" i="14" a="1"/>
  <c r="BG36" i="14" s="1"/>
  <c r="BQ137" i="14" a="1"/>
  <c r="BS33" i="14" s="1"/>
  <c r="CC169" i="14" a="1"/>
  <c r="CE38" i="14" s="1"/>
  <c r="BQ62" i="14" a="1"/>
  <c r="BS24" i="14" s="1"/>
  <c r="BE62" i="14" a="1"/>
  <c r="BG24" i="14" s="1"/>
  <c r="BE20" i="14" a="1"/>
  <c r="BG17" i="14" s="1"/>
  <c r="BQ87" i="14" a="1"/>
  <c r="BS28" i="14" s="1"/>
  <c r="BQ20" i="14" a="1"/>
  <c r="BS17" i="14" s="1"/>
  <c r="CC137" i="14" a="1"/>
  <c r="CE33" i="14" s="1"/>
  <c r="AS169" i="14" a="1"/>
  <c r="AU38" i="14" s="1"/>
  <c r="CC87" i="14" a="1"/>
  <c r="CE28" i="14" s="1"/>
  <c r="CC62" i="14" a="1"/>
  <c r="CE24" i="14" s="1"/>
  <c r="CC20" i="14" a="1"/>
  <c r="CE17" i="14" s="1"/>
  <c r="K131" i="3"/>
  <c r="F76" i="3"/>
  <c r="G76" i="3" s="1"/>
  <c r="F69" i="3"/>
  <c r="G69" i="3" s="1"/>
  <c r="I69" i="3" s="1"/>
  <c r="J69" i="3" s="1"/>
  <c r="K69" i="3" s="1"/>
  <c r="F52" i="3"/>
  <c r="F53" i="3"/>
  <c r="F54" i="3"/>
  <c r="F55" i="3"/>
  <c r="F56" i="3"/>
  <c r="F57" i="3"/>
  <c r="F60" i="3"/>
  <c r="F62" i="3"/>
  <c r="F63" i="3"/>
  <c r="F65" i="3"/>
  <c r="F66" i="3"/>
  <c r="F67" i="3"/>
  <c r="F81" i="3"/>
  <c r="F83" i="3"/>
  <c r="F70" i="3"/>
  <c r="F72" i="3"/>
  <c r="F74" i="3"/>
  <c r="F75" i="3"/>
  <c r="F77" i="3"/>
  <c r="F78" i="3"/>
  <c r="F79" i="3"/>
  <c r="F80" i="3"/>
  <c r="F82" i="3"/>
  <c r="G103" i="3"/>
  <c r="H103" i="3" s="1"/>
  <c r="I103" i="3" s="1"/>
  <c r="M103" i="3" s="1"/>
  <c r="N103" i="3" s="1"/>
  <c r="J110" i="3"/>
  <c r="J135" i="3"/>
  <c r="J123" i="3"/>
  <c r="F84" i="3"/>
  <c r="F85" i="3"/>
  <c r="F86" i="3"/>
  <c r="F87" i="3"/>
  <c r="F88" i="3"/>
  <c r="F89" i="3"/>
  <c r="F90" i="3"/>
  <c r="F91" i="3"/>
  <c r="F92" i="3"/>
  <c r="F93" i="3"/>
  <c r="F51" i="3"/>
  <c r="G135" i="3"/>
  <c r="G129" i="3"/>
  <c r="G117" i="3"/>
  <c r="H117" i="3" s="1"/>
  <c r="I117" i="3" s="1"/>
  <c r="M117" i="3" s="1"/>
  <c r="N117" i="3" s="1"/>
  <c r="G110" i="3"/>
  <c r="G123" i="3"/>
  <c r="G105" i="3"/>
  <c r="H105" i="3" s="1"/>
  <c r="I105" i="3" s="1"/>
  <c r="M105" i="3" s="1"/>
  <c r="N105" i="3" s="1"/>
  <c r="J129" i="3"/>
  <c r="X27" i="3"/>
  <c r="J117" i="3"/>
  <c r="J124" i="3"/>
  <c r="G130" i="3"/>
  <c r="J126" i="3"/>
  <c r="G124" i="3"/>
  <c r="J131" i="3"/>
  <c r="J112" i="3"/>
  <c r="G113" i="3"/>
  <c r="H113" i="3" s="1"/>
  <c r="I113" i="3" s="1"/>
  <c r="M113" i="3" s="1"/>
  <c r="N113" i="3" s="1"/>
  <c r="O113" i="3" s="1"/>
  <c r="J113" i="3"/>
  <c r="J105" i="3"/>
  <c r="G134" i="3"/>
  <c r="H134" i="3" s="1"/>
  <c r="I134" i="3" s="1"/>
  <c r="M134" i="3" s="1"/>
  <c r="N134" i="3" s="1"/>
  <c r="J134" i="3"/>
  <c r="G131" i="3"/>
  <c r="H131" i="3" s="1"/>
  <c r="I131" i="3" s="1"/>
  <c r="M131" i="3" s="1"/>
  <c r="N131" i="3" s="1"/>
  <c r="O131" i="3" s="1"/>
  <c r="G128" i="3"/>
  <c r="H128" i="3" s="1"/>
  <c r="I128" i="3" s="1"/>
  <c r="M128" i="3" s="1"/>
  <c r="N128" i="3" s="1"/>
  <c r="O128" i="3" s="1"/>
  <c r="J128" i="3"/>
  <c r="G127" i="3"/>
  <c r="H127" i="3" s="1"/>
  <c r="I127" i="3" s="1"/>
  <c r="M127" i="3" s="1"/>
  <c r="N127" i="3" s="1"/>
  <c r="O127" i="3" s="1"/>
  <c r="J127" i="3"/>
  <c r="G126" i="3"/>
  <c r="H126" i="3" s="1"/>
  <c r="I126" i="3" s="1"/>
  <c r="M126" i="3" s="1"/>
  <c r="N126" i="3" s="1"/>
  <c r="O126" i="3" s="1"/>
  <c r="J125" i="3"/>
  <c r="G125" i="3"/>
  <c r="H125" i="3" s="1"/>
  <c r="I125" i="3" s="1"/>
  <c r="M125" i="3" s="1"/>
  <c r="G122" i="3"/>
  <c r="H122" i="3" s="1"/>
  <c r="I122" i="3" s="1"/>
  <c r="M122" i="3" s="1"/>
  <c r="N122" i="3" s="1"/>
  <c r="J122" i="3"/>
  <c r="J120" i="3"/>
  <c r="G120" i="3"/>
  <c r="H120" i="3" s="1"/>
  <c r="I120" i="3" s="1"/>
  <c r="M120" i="3" s="1"/>
  <c r="N120" i="3" s="1"/>
  <c r="G118" i="3"/>
  <c r="H118" i="3" s="1"/>
  <c r="I118" i="3" s="1"/>
  <c r="M118" i="3" s="1"/>
  <c r="N118" i="3" s="1"/>
  <c r="J118" i="3"/>
  <c r="J115" i="3"/>
  <c r="G115" i="3"/>
  <c r="H115" i="3" s="1"/>
  <c r="I115" i="3" s="1"/>
  <c r="M115" i="3" s="1"/>
  <c r="N115" i="3" s="1"/>
  <c r="G112" i="3"/>
  <c r="H112" i="3" s="1"/>
  <c r="I112" i="3" s="1"/>
  <c r="M112" i="3" s="1"/>
  <c r="N112" i="3" s="1"/>
  <c r="O112" i="3" s="1"/>
  <c r="G109" i="3"/>
  <c r="H109" i="3" s="1"/>
  <c r="I109" i="3" s="1"/>
  <c r="M109" i="3" s="1"/>
  <c r="N109" i="3" s="1"/>
  <c r="O109" i="3" s="1"/>
  <c r="J109" i="3"/>
  <c r="G108" i="3"/>
  <c r="H108" i="3" s="1"/>
  <c r="I108" i="3" s="1"/>
  <c r="M108" i="3" s="1"/>
  <c r="N108" i="3" s="1"/>
  <c r="G106" i="3"/>
  <c r="H106" i="3" s="1"/>
  <c r="I106" i="3" s="1"/>
  <c r="M106" i="3" s="1"/>
  <c r="N106" i="3" s="1"/>
  <c r="J106" i="3"/>
  <c r="J103" i="3"/>
  <c r="AA27" i="3"/>
  <c r="W18" i="3"/>
  <c r="X18" i="3" s="1"/>
  <c r="A18" i="12"/>
  <c r="C26" i="12"/>
  <c r="C32" i="12"/>
  <c r="N29" i="12"/>
  <c r="D26" i="12"/>
  <c r="G26" i="12" s="1"/>
  <c r="H26" i="12" s="1"/>
  <c r="N60" i="12"/>
  <c r="P60" i="12" s="1"/>
  <c r="B32" i="12"/>
  <c r="B18" i="12"/>
  <c r="N33" i="12"/>
  <c r="O33" i="12" s="1"/>
  <c r="N31" i="12"/>
  <c r="P31" i="12" s="1"/>
  <c r="N62" i="12"/>
  <c r="P62" i="12" s="1"/>
  <c r="N55" i="12"/>
  <c r="O30" i="12"/>
  <c r="N39" i="12"/>
  <c r="P39" i="12" s="1"/>
  <c r="N47" i="12"/>
  <c r="O47" i="12" s="1"/>
  <c r="N53" i="12"/>
  <c r="O53" i="12" s="1"/>
  <c r="N46" i="12"/>
  <c r="O46" i="12" s="1"/>
  <c r="N45" i="12"/>
  <c r="O45" i="12" s="1"/>
  <c r="N65" i="12"/>
  <c r="N52" i="12"/>
  <c r="P52" i="12" s="1"/>
  <c r="N44" i="12"/>
  <c r="O44" i="12" s="1"/>
  <c r="N59" i="12"/>
  <c r="P59" i="12" s="1"/>
  <c r="N43" i="12"/>
  <c r="P43" i="12" s="1"/>
  <c r="O52" i="12"/>
  <c r="N42" i="12"/>
  <c r="P42" i="12" s="1"/>
  <c r="N41" i="12"/>
  <c r="P41" i="12" s="1"/>
  <c r="N58" i="12"/>
  <c r="P58" i="12" s="1"/>
  <c r="N40" i="12"/>
  <c r="P40" i="12" s="1"/>
  <c r="N64" i="12"/>
  <c r="O64" i="12" s="1"/>
  <c r="N57" i="12"/>
  <c r="O57" i="12" s="1"/>
  <c r="N51" i="12"/>
  <c r="N38" i="12"/>
  <c r="O38" i="12" s="1"/>
  <c r="N37" i="12"/>
  <c r="P37" i="12" s="1"/>
  <c r="N36" i="12"/>
  <c r="P36" i="12" s="1"/>
  <c r="N35" i="12"/>
  <c r="P35" i="12" s="1"/>
  <c r="N34" i="12"/>
  <c r="P34" i="12" s="1"/>
  <c r="N63" i="12"/>
  <c r="O63" i="12" s="1"/>
  <c r="N56" i="12"/>
  <c r="P56" i="12" s="1"/>
  <c r="N50" i="12"/>
  <c r="N32" i="12"/>
  <c r="O32" i="12" s="1"/>
  <c r="N61" i="12"/>
  <c r="N54" i="12"/>
  <c r="N49" i="12"/>
  <c r="N48" i="12"/>
  <c r="O48" i="12" s="1"/>
  <c r="I24" i="4"/>
  <c r="I25" i="4"/>
  <c r="I23" i="4"/>
  <c r="G37" i="6"/>
  <c r="G34" i="6"/>
  <c r="G23" i="6"/>
  <c r="G24" i="6"/>
  <c r="G25" i="6"/>
  <c r="G26" i="6"/>
  <c r="G27" i="6"/>
  <c r="G28" i="6"/>
  <c r="G29" i="6"/>
  <c r="G30" i="6"/>
  <c r="G31" i="6"/>
  <c r="G32" i="6"/>
  <c r="G33" i="6"/>
  <c r="G35" i="6"/>
  <c r="G36"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K49" i="5" l="1"/>
  <c r="K52" i="5"/>
  <c r="K48" i="5"/>
  <c r="I51" i="5"/>
  <c r="J51" i="5" s="1"/>
  <c r="H51" i="5"/>
  <c r="K51" i="5" s="1"/>
  <c r="I53" i="5"/>
  <c r="J53" i="5" s="1"/>
  <c r="H53" i="5"/>
  <c r="K50" i="5"/>
  <c r="EM47" i="14" a="1"/>
  <c r="EA47" i="14" a="1"/>
  <c r="EB21" i="14" s="1"/>
  <c r="EB37" i="14"/>
  <c r="EB43" i="14"/>
  <c r="EB36" i="14"/>
  <c r="EB25" i="14"/>
  <c r="EB41" i="14"/>
  <c r="EB16" i="14"/>
  <c r="EB39" i="14"/>
  <c r="EB42" i="14"/>
  <c r="EB23" i="14"/>
  <c r="EB33" i="14"/>
  <c r="EB17" i="14"/>
  <c r="EB19" i="14"/>
  <c r="EB38" i="14"/>
  <c r="EB44" i="14"/>
  <c r="EB15" i="14"/>
  <c r="EB35" i="14"/>
  <c r="EB14" i="14"/>
  <c r="EB18" i="14"/>
  <c r="EB40" i="14"/>
  <c r="EB34" i="14"/>
  <c r="EB20" i="14"/>
  <c r="EB31" i="14"/>
  <c r="EB32" i="14"/>
  <c r="EB28" i="14"/>
  <c r="EB26" i="14"/>
  <c r="EB24" i="14"/>
  <c r="EB30" i="14"/>
  <c r="AJ16" i="14"/>
  <c r="AJ17" i="14"/>
  <c r="AJ14" i="14"/>
  <c r="AJ44" i="14"/>
  <c r="AJ43" i="14"/>
  <c r="AJ42" i="14"/>
  <c r="AJ41" i="14"/>
  <c r="AJ40" i="14"/>
  <c r="AJ39" i="14"/>
  <c r="AJ34" i="14"/>
  <c r="AJ19" i="14"/>
  <c r="AJ15" i="14"/>
  <c r="AJ25" i="14"/>
  <c r="AJ20" i="14"/>
  <c r="AJ18" i="14"/>
  <c r="AI47" i="14" a="1"/>
  <c r="AJ31" i="14"/>
  <c r="AJ36" i="14"/>
  <c r="AJ32" i="14"/>
  <c r="AJ22" i="14"/>
  <c r="AJ38" i="14"/>
  <c r="AJ37" i="14"/>
  <c r="AJ35" i="14"/>
  <c r="AJ33" i="14"/>
  <c r="CR23" i="14"/>
  <c r="CR32" i="14"/>
  <c r="CR35" i="14"/>
  <c r="CR40" i="14"/>
  <c r="CR42" i="14"/>
  <c r="CR44" i="14"/>
  <c r="CQ47" i="14" a="1"/>
  <c r="CR34" i="14" s="1"/>
  <c r="CR19" i="14"/>
  <c r="CR37" i="14"/>
  <c r="CR15" i="14"/>
  <c r="CR21" i="14"/>
  <c r="CR18" i="14"/>
  <c r="CR39" i="14"/>
  <c r="CR22" i="14"/>
  <c r="CR36" i="14"/>
  <c r="CR41" i="14"/>
  <c r="CR43" i="14"/>
  <c r="CR14" i="14"/>
  <c r="CR20" i="14"/>
  <c r="CR25" i="14"/>
  <c r="CR31" i="14"/>
  <c r="CR16" i="14"/>
  <c r="CR17" i="14"/>
  <c r="J47" i="14" a="1"/>
  <c r="K17" i="14"/>
  <c r="W47" i="14" a="1"/>
  <c r="X15" i="14"/>
  <c r="X16" i="14"/>
  <c r="X44" i="14"/>
  <c r="X42" i="14"/>
  <c r="X40" i="14"/>
  <c r="X39" i="14"/>
  <c r="X25" i="14"/>
  <c r="X19" i="14"/>
  <c r="X43" i="14"/>
  <c r="X41" i="14"/>
  <c r="X34" i="14"/>
  <c r="X31" i="14"/>
  <c r="X20" i="14"/>
  <c r="X18" i="14"/>
  <c r="X14" i="14"/>
  <c r="DD22" i="14"/>
  <c r="DD27" i="14"/>
  <c r="DD31" i="14"/>
  <c r="DD20" i="14"/>
  <c r="DD18" i="14"/>
  <c r="DD17" i="14"/>
  <c r="DD15" i="14"/>
  <c r="DD25" i="14"/>
  <c r="DD19" i="14"/>
  <c r="DD16" i="14"/>
  <c r="DD23" i="14"/>
  <c r="DC47" i="14" a="1"/>
  <c r="DD14" i="14"/>
  <c r="DD39" i="14"/>
  <c r="DD32" i="14"/>
  <c r="DD35" i="14"/>
  <c r="DD40" i="14"/>
  <c r="DD42" i="14"/>
  <c r="DD21" i="14"/>
  <c r="DD37" i="14"/>
  <c r="DD41" i="14"/>
  <c r="DD43" i="14"/>
  <c r="BH16" i="14"/>
  <c r="BH22" i="14"/>
  <c r="BH39" i="14"/>
  <c r="BH42" i="14"/>
  <c r="BH21" i="14"/>
  <c r="BH35" i="14"/>
  <c r="BH41" i="14"/>
  <c r="BG47" i="14" a="1"/>
  <c r="BH19" i="14"/>
  <c r="BH40" i="14"/>
  <c r="BH18" i="14"/>
  <c r="BH23" i="14"/>
  <c r="BH31" i="14"/>
  <c r="BH44" i="14"/>
  <c r="BH15" i="14"/>
  <c r="BH20" i="14"/>
  <c r="BH25" i="14"/>
  <c r="BH32" i="14"/>
  <c r="BH37" i="14"/>
  <c r="BH43" i="14"/>
  <c r="BH14" i="14"/>
  <c r="BH17" i="14"/>
  <c r="BT18" i="14"/>
  <c r="BS47" i="14" a="1"/>
  <c r="BT16" i="14"/>
  <c r="BT22" i="14"/>
  <c r="BT21" i="14"/>
  <c r="BT20" i="14"/>
  <c r="BT15" i="14"/>
  <c r="BT19" i="14"/>
  <c r="BT40" i="14"/>
  <c r="BT25" i="14"/>
  <c r="BT35" i="14"/>
  <c r="BT14" i="14"/>
  <c r="BT23" i="14"/>
  <c r="BT32" i="14"/>
  <c r="BT37" i="14"/>
  <c r="BT41" i="14"/>
  <c r="BT42" i="14"/>
  <c r="BT43" i="14"/>
  <c r="BT44" i="14"/>
  <c r="BT31" i="14"/>
  <c r="BT39" i="14"/>
  <c r="BT17" i="14"/>
  <c r="CE47" i="14" a="1"/>
  <c r="CF20" i="14"/>
  <c r="CF23" i="14"/>
  <c r="CF40" i="14"/>
  <c r="CF44" i="14"/>
  <c r="CF18" i="14"/>
  <c r="CF35" i="14"/>
  <c r="CF42" i="14"/>
  <c r="CF16" i="14"/>
  <c r="CF25" i="14"/>
  <c r="CF32" i="14"/>
  <c r="CF41" i="14"/>
  <c r="CF22" i="14"/>
  <c r="CF39" i="14"/>
  <c r="CF14" i="14"/>
  <c r="CF21" i="14"/>
  <c r="CF31" i="14"/>
  <c r="CF37" i="14"/>
  <c r="CF43" i="14"/>
  <c r="CF19" i="14"/>
  <c r="CF15" i="14"/>
  <c r="CF17" i="14"/>
  <c r="BT38" i="14"/>
  <c r="CR38" i="14"/>
  <c r="X38" i="14"/>
  <c r="X33" i="14"/>
  <c r="X27" i="14"/>
  <c r="BH36" i="14"/>
  <c r="CF38" i="14"/>
  <c r="CF36" i="14"/>
  <c r="BH38" i="14"/>
  <c r="X35" i="14"/>
  <c r="X36" i="14"/>
  <c r="BT36" i="14"/>
  <c r="DD38" i="14"/>
  <c r="X37" i="14"/>
  <c r="X32" i="14"/>
  <c r="DO47" i="14" a="1"/>
  <c r="AV22" i="14"/>
  <c r="AV25" i="14"/>
  <c r="AV38" i="14"/>
  <c r="AV15" i="14"/>
  <c r="AV18" i="14"/>
  <c r="AV16" i="14"/>
  <c r="AV17" i="14"/>
  <c r="AU47" i="14" a="1"/>
  <c r="AV42" i="14"/>
  <c r="AV35" i="14"/>
  <c r="AV41" i="14"/>
  <c r="AV19" i="14"/>
  <c r="AV40" i="14"/>
  <c r="AV37" i="14"/>
  <c r="AV44" i="14"/>
  <c r="AV39" i="14"/>
  <c r="AV43" i="14"/>
  <c r="I76" i="3"/>
  <c r="J76" i="3" s="1"/>
  <c r="K76" i="3" s="1"/>
  <c r="H110" i="3"/>
  <c r="I110" i="3" s="1"/>
  <c r="M110" i="3" s="1"/>
  <c r="N110" i="3" s="1"/>
  <c r="H135" i="3"/>
  <c r="I135" i="3" s="1"/>
  <c r="M135" i="3" s="1"/>
  <c r="N135" i="3" s="1"/>
  <c r="H123" i="3"/>
  <c r="H130" i="3"/>
  <c r="I130" i="3" s="1"/>
  <c r="M130" i="3" s="1"/>
  <c r="N130" i="3" s="1"/>
  <c r="H129" i="3"/>
  <c r="I129" i="3" s="1"/>
  <c r="M129" i="3" s="1"/>
  <c r="N129" i="3" s="1"/>
  <c r="O129" i="3" s="1"/>
  <c r="H124" i="3"/>
  <c r="I124" i="3" s="1"/>
  <c r="M124" i="3" s="1"/>
  <c r="N124" i="3" s="1"/>
  <c r="O124" i="3" s="1"/>
  <c r="O103" i="3"/>
  <c r="O117" i="3"/>
  <c r="O134" i="3"/>
  <c r="N125" i="3"/>
  <c r="O125" i="3" s="1"/>
  <c r="O122" i="3"/>
  <c r="O120" i="3"/>
  <c r="O118" i="3"/>
  <c r="O115" i="3"/>
  <c r="O108" i="3"/>
  <c r="O106" i="3"/>
  <c r="O105" i="3"/>
  <c r="Y27" i="3"/>
  <c r="Z18" i="3"/>
  <c r="P29" i="12"/>
  <c r="O29" i="12"/>
  <c r="E26" i="12"/>
  <c r="F26" i="12" s="1"/>
  <c r="E32" i="12" s="1"/>
  <c r="D32" i="12"/>
  <c r="D29" i="12"/>
  <c r="C29" i="12" s="1"/>
  <c r="B29" i="12" s="1"/>
  <c r="O60" i="12"/>
  <c r="O36" i="12"/>
  <c r="O37" i="12"/>
  <c r="P33" i="12"/>
  <c r="P45" i="12"/>
  <c r="P46" i="12"/>
  <c r="P47" i="12"/>
  <c r="P44" i="12"/>
  <c r="P64" i="12"/>
  <c r="O34" i="12"/>
  <c r="O31" i="12"/>
  <c r="P30" i="12"/>
  <c r="P63" i="12"/>
  <c r="O56" i="12"/>
  <c r="O62" i="12"/>
  <c r="O35" i="12"/>
  <c r="P38" i="12"/>
  <c r="O41" i="12"/>
  <c r="P32" i="12"/>
  <c r="O40" i="12"/>
  <c r="O43" i="12"/>
  <c r="P48" i="12"/>
  <c r="P57" i="12"/>
  <c r="O51" i="12"/>
  <c r="P51" i="12"/>
  <c r="O59" i="12"/>
  <c r="O61" i="12"/>
  <c r="P61" i="12"/>
  <c r="P53" i="12"/>
  <c r="O55" i="12"/>
  <c r="P55" i="12"/>
  <c r="P49" i="12"/>
  <c r="O49" i="12"/>
  <c r="O54" i="12"/>
  <c r="P54" i="12"/>
  <c r="O65" i="12"/>
  <c r="P65" i="12"/>
  <c r="O58" i="12"/>
  <c r="O50" i="12"/>
  <c r="P50" i="12"/>
  <c r="O39" i="12"/>
  <c r="O42" i="12"/>
  <c r="G21" i="6"/>
  <c r="P26" i="6"/>
  <c r="P27" i="6"/>
  <c r="P28" i="6"/>
  <c r="P25" i="6"/>
  <c r="B14" i="4"/>
  <c r="M26" i="6"/>
  <c r="M27" i="6"/>
  <c r="M28" i="6"/>
  <c r="M25" i="6"/>
  <c r="C14" i="4"/>
  <c r="R5" i="7"/>
  <c r="R6" i="7"/>
  <c r="R7" i="7"/>
  <c r="R8" i="7"/>
  <c r="R9" i="7"/>
  <c r="R10" i="7"/>
  <c r="R11" i="7"/>
  <c r="R12" i="7"/>
  <c r="R13" i="7"/>
  <c r="R14" i="7"/>
  <c r="R15" i="7"/>
  <c r="R16" i="7"/>
  <c r="R17" i="7"/>
  <c r="R18" i="7"/>
  <c r="R19" i="7"/>
  <c r="R20" i="7"/>
  <c r="R21" i="7"/>
  <c r="R22" i="7"/>
  <c r="R23" i="7"/>
  <c r="R24" i="7"/>
  <c r="R25" i="7"/>
  <c r="R26" i="7"/>
  <c r="R27" i="7"/>
  <c r="R28" i="7"/>
  <c r="R29" i="7"/>
  <c r="R30" i="7"/>
  <c r="R32" i="7"/>
  <c r="R33" i="7"/>
  <c r="R34" i="7"/>
  <c r="R36" i="7"/>
  <c r="R37" i="7"/>
  <c r="R38" i="7"/>
  <c r="R39" i="7"/>
  <c r="R40" i="7"/>
  <c r="R41" i="7"/>
  <c r="R42" i="7"/>
  <c r="R43" i="7"/>
  <c r="R44" i="7"/>
  <c r="R45" i="7"/>
  <c r="R46" i="7"/>
  <c r="R47" i="7"/>
  <c r="R48" i="7"/>
  <c r="R49" i="7"/>
  <c r="R50" i="7"/>
  <c r="R51" i="7"/>
  <c r="R52" i="7"/>
  <c r="R53" i="7"/>
  <c r="R54" i="7"/>
  <c r="R55" i="7"/>
  <c r="R56" i="7"/>
  <c r="R57" i="7"/>
  <c r="Q58" i="7"/>
  <c r="R58" i="7"/>
  <c r="R59" i="7"/>
  <c r="Q60" i="7"/>
  <c r="R60" i="7"/>
  <c r="R61" i="7"/>
  <c r="Q62" i="7"/>
  <c r="R62" i="7"/>
  <c r="Q63" i="7"/>
  <c r="R63" i="7"/>
  <c r="Q64" i="7"/>
  <c r="R64" i="7"/>
  <c r="Q65" i="7"/>
  <c r="R65" i="7"/>
  <c r="Q66" i="7"/>
  <c r="R66" i="7"/>
  <c r="Q67" i="7"/>
  <c r="R67" i="7"/>
  <c r="Q68" i="7"/>
  <c r="R68" i="7"/>
  <c r="P24" i="6"/>
  <c r="P21" i="6"/>
  <c r="K53" i="5" l="1"/>
  <c r="EN25" i="14"/>
  <c r="EN39" i="14"/>
  <c r="EN42" i="14"/>
  <c r="EN32" i="14"/>
  <c r="EN44" i="14"/>
  <c r="EN36" i="14"/>
  <c r="EN18" i="14"/>
  <c r="EN16" i="14"/>
  <c r="EN14" i="14"/>
  <c r="EN20" i="14"/>
  <c r="EN19" i="14"/>
  <c r="EN17" i="14"/>
  <c r="EN43" i="14"/>
  <c r="EN29" i="14"/>
  <c r="EN28" i="14"/>
  <c r="EN30" i="14"/>
  <c r="EN22" i="14"/>
  <c r="EN24" i="14"/>
  <c r="EN34" i="14"/>
  <c r="EN21" i="14"/>
  <c r="EN41" i="14"/>
  <c r="EN31" i="14"/>
  <c r="EN40" i="14"/>
  <c r="EN27" i="14"/>
  <c r="EN37" i="14"/>
  <c r="EN38" i="14"/>
  <c r="EN35" i="14"/>
  <c r="EN23" i="14"/>
  <c r="EN15" i="14"/>
  <c r="EN33" i="14"/>
  <c r="EN26" i="14"/>
  <c r="EB22" i="14"/>
  <c r="EB29" i="14"/>
  <c r="EB27" i="14"/>
  <c r="AJ23" i="14"/>
  <c r="AJ27" i="14"/>
  <c r="AJ30" i="14"/>
  <c r="AJ24" i="14"/>
  <c r="AJ26" i="14"/>
  <c r="AJ29" i="14"/>
  <c r="AJ21" i="14"/>
  <c r="AJ28" i="14"/>
  <c r="K38" i="14"/>
  <c r="K36" i="14"/>
  <c r="BT28" i="14"/>
  <c r="BT33" i="14"/>
  <c r="CR33" i="14"/>
  <c r="CR28" i="14"/>
  <c r="CR29" i="14"/>
  <c r="CR24" i="14"/>
  <c r="CR30" i="14"/>
  <c r="CR26" i="14"/>
  <c r="CR27" i="14"/>
  <c r="K41" i="14"/>
  <c r="K44" i="14"/>
  <c r="K21" i="14"/>
  <c r="K33" i="14"/>
  <c r="K39" i="14"/>
  <c r="K15" i="14"/>
  <c r="K24" i="14"/>
  <c r="K18" i="14"/>
  <c r="K26" i="14"/>
  <c r="K28" i="14"/>
  <c r="K25" i="14"/>
  <c r="K31" i="14"/>
  <c r="K30" i="14"/>
  <c r="K27" i="14"/>
  <c r="K34" i="14"/>
  <c r="K29" i="14"/>
  <c r="K35" i="14"/>
  <c r="K40" i="14"/>
  <c r="K42" i="14"/>
  <c r="K22" i="14"/>
  <c r="K19" i="14"/>
  <c r="K20" i="14"/>
  <c r="K32" i="14"/>
  <c r="K14" i="14"/>
  <c r="K43" i="14"/>
  <c r="K23" i="14"/>
  <c r="K16" i="14"/>
  <c r="K37" i="14"/>
  <c r="X24" i="14"/>
  <c r="X21" i="14"/>
  <c r="X22" i="14"/>
  <c r="X26" i="14"/>
  <c r="X29" i="14"/>
  <c r="X30" i="14"/>
  <c r="X28" i="14"/>
  <c r="X23" i="14"/>
  <c r="DD34" i="14"/>
  <c r="DD29" i="14"/>
  <c r="DD24" i="14"/>
  <c r="DD30" i="14"/>
  <c r="DD36" i="14"/>
  <c r="DD26" i="14"/>
  <c r="DD28" i="14"/>
  <c r="DD33" i="14"/>
  <c r="BH29" i="14"/>
  <c r="BH34" i="14"/>
  <c r="BH27" i="14"/>
  <c r="BH24" i="14"/>
  <c r="BH28" i="14"/>
  <c r="BH33" i="14"/>
  <c r="BH30" i="14"/>
  <c r="BH26" i="14"/>
  <c r="BT30" i="14"/>
  <c r="BT27" i="14"/>
  <c r="BT26" i="14"/>
  <c r="BT29" i="14"/>
  <c r="BT24" i="14"/>
  <c r="BT34" i="14"/>
  <c r="CF34" i="14"/>
  <c r="CF29" i="14"/>
  <c r="CF30" i="14"/>
  <c r="CF28" i="14"/>
  <c r="CF24" i="14"/>
  <c r="CF33" i="14"/>
  <c r="CF26" i="14"/>
  <c r="CF27" i="14"/>
  <c r="DP14" i="14"/>
  <c r="DP32" i="14"/>
  <c r="DP36" i="14"/>
  <c r="DP43" i="14"/>
  <c r="DP17" i="14"/>
  <c r="DP37" i="14"/>
  <c r="DP27" i="14"/>
  <c r="DP19" i="14"/>
  <c r="DP16" i="14"/>
  <c r="DP15" i="14"/>
  <c r="DP28" i="14"/>
  <c r="DP41" i="14"/>
  <c r="DP34" i="14"/>
  <c r="DP40" i="14"/>
  <c r="DP30" i="14"/>
  <c r="DP20" i="14"/>
  <c r="DP25" i="14"/>
  <c r="DP38" i="14"/>
  <c r="DP21" i="14"/>
  <c r="DP35" i="14"/>
  <c r="DP29" i="14"/>
  <c r="DP26" i="14"/>
  <c r="DP24" i="14"/>
  <c r="DP22" i="14"/>
  <c r="DP42" i="14"/>
  <c r="DP23" i="14"/>
  <c r="DP31" i="14"/>
  <c r="DP39" i="14"/>
  <c r="DP18" i="14"/>
  <c r="DP33" i="14"/>
  <c r="AV27" i="14"/>
  <c r="AV24" i="14"/>
  <c r="AV28" i="14"/>
  <c r="AV26" i="14"/>
  <c r="AV30" i="14"/>
  <c r="AV29" i="14"/>
  <c r="AV21" i="14"/>
  <c r="AV23" i="14"/>
  <c r="AV36" i="14"/>
  <c r="AV14" i="14"/>
  <c r="AV32" i="14"/>
  <c r="AV31" i="14"/>
  <c r="AV33" i="14"/>
  <c r="AV20" i="14"/>
  <c r="AV34" i="14"/>
  <c r="O135" i="3"/>
  <c r="O110" i="3"/>
  <c r="I123" i="3"/>
  <c r="M123" i="3" s="1"/>
  <c r="O130" i="3"/>
  <c r="Z27" i="3"/>
  <c r="A32" i="12"/>
  <c r="H32" i="12" s="1"/>
  <c r="F32" i="12"/>
  <c r="L13" i="4"/>
  <c r="L15" i="4" s="1"/>
  <c r="P23" i="6"/>
  <c r="M24" i="6"/>
  <c r="P22" i="6"/>
  <c r="M21" i="6"/>
  <c r="M23" i="6"/>
  <c r="M22" i="6"/>
  <c r="Q21" i="6" l="1"/>
  <c r="Q22" i="6" s="1"/>
  <c r="N123" i="3"/>
  <c r="O123" i="3" s="1"/>
  <c r="AD27" i="3"/>
  <c r="AE27" i="3" s="1"/>
  <c r="G32" i="12"/>
  <c r="G29" i="12"/>
  <c r="F29" i="12"/>
  <c r="B327" i="2"/>
  <c r="H327" i="2" s="1"/>
  <c r="B299" i="2"/>
  <c r="H299" i="2" s="1"/>
  <c r="B292" i="2"/>
  <c r="H292" i="2" s="1"/>
  <c r="B293" i="2"/>
  <c r="H293" i="2" s="1"/>
  <c r="B294" i="2"/>
  <c r="H294" i="2" s="1"/>
  <c r="B295" i="2"/>
  <c r="H295" i="2" s="1"/>
  <c r="B296" i="2"/>
  <c r="H296" i="2" s="1"/>
  <c r="B297" i="2"/>
  <c r="H297" i="2" s="1"/>
  <c r="B298" i="2"/>
  <c r="H298" i="2" s="1"/>
  <c r="B300" i="2"/>
  <c r="H300" i="2" s="1"/>
  <c r="B301" i="2"/>
  <c r="H301" i="2" s="1"/>
  <c r="B302" i="2"/>
  <c r="H302" i="2" s="1"/>
  <c r="B303" i="2"/>
  <c r="H303" i="2" s="1"/>
  <c r="B304" i="2"/>
  <c r="H304" i="2" s="1"/>
  <c r="B305" i="2"/>
  <c r="H305" i="2" s="1"/>
  <c r="B306" i="2"/>
  <c r="H306" i="2" s="1"/>
  <c r="B307" i="2"/>
  <c r="H307" i="2" s="1"/>
  <c r="B308" i="2"/>
  <c r="H308" i="2" s="1"/>
  <c r="B309" i="2"/>
  <c r="H309" i="2" s="1"/>
  <c r="B310" i="2"/>
  <c r="H310" i="2" s="1"/>
  <c r="B311" i="2"/>
  <c r="H311" i="2" s="1"/>
  <c r="B312" i="2"/>
  <c r="H312" i="2" s="1"/>
  <c r="B313" i="2"/>
  <c r="H313" i="2" s="1"/>
  <c r="B314" i="2"/>
  <c r="H314" i="2" s="1"/>
  <c r="B315" i="2"/>
  <c r="H315" i="2" s="1"/>
  <c r="B316" i="2"/>
  <c r="H316" i="2" s="1"/>
  <c r="B317" i="2"/>
  <c r="H317" i="2" s="1"/>
  <c r="B318" i="2"/>
  <c r="H318" i="2" s="1"/>
  <c r="B319" i="2"/>
  <c r="H319" i="2" s="1"/>
  <c r="B320" i="2"/>
  <c r="H320" i="2" s="1"/>
  <c r="B321" i="2"/>
  <c r="H321" i="2" s="1"/>
  <c r="B322" i="2"/>
  <c r="H322" i="2" s="1"/>
  <c r="B323" i="2"/>
  <c r="H323" i="2" s="1"/>
  <c r="B324" i="2"/>
  <c r="H324" i="2" s="1"/>
  <c r="B325" i="2"/>
  <c r="H325" i="2" s="1"/>
  <c r="B326" i="2"/>
  <c r="H326" i="2" s="1"/>
  <c r="B526" i="2"/>
  <c r="H526" i="2" s="1"/>
  <c r="B519" i="2"/>
  <c r="H519" i="2" s="1"/>
  <c r="B520" i="2"/>
  <c r="H520" i="2" s="1"/>
  <c r="B521" i="2"/>
  <c r="H521" i="2" s="1"/>
  <c r="B522" i="2"/>
  <c r="H522" i="2" s="1"/>
  <c r="B523" i="2"/>
  <c r="H523" i="2" s="1"/>
  <c r="B524" i="2"/>
  <c r="H524" i="2" s="1"/>
  <c r="B525" i="2"/>
  <c r="H525" i="2" s="1"/>
  <c r="B527" i="2"/>
  <c r="H527" i="2" s="1"/>
  <c r="B528" i="2"/>
  <c r="H528" i="2" s="1"/>
  <c r="B529" i="2"/>
  <c r="H529" i="2" s="1"/>
  <c r="B530" i="2"/>
  <c r="H530" i="2" s="1"/>
  <c r="B531" i="2"/>
  <c r="H531" i="2" s="1"/>
  <c r="B532" i="2"/>
  <c r="H532" i="2" s="1"/>
  <c r="B533" i="2"/>
  <c r="H533" i="2" s="1"/>
  <c r="B534" i="2"/>
  <c r="H534" i="2" s="1"/>
  <c r="B535" i="2"/>
  <c r="H535" i="2" s="1"/>
  <c r="B536" i="2"/>
  <c r="H536" i="2" s="1"/>
  <c r="B537" i="2"/>
  <c r="H537" i="2" s="1"/>
  <c r="B538" i="2"/>
  <c r="H538" i="2" s="1"/>
  <c r="B539" i="2"/>
  <c r="H539" i="2" s="1"/>
  <c r="B540" i="2"/>
  <c r="H540" i="2" s="1"/>
  <c r="B541" i="2"/>
  <c r="H541" i="2" s="1"/>
  <c r="B542" i="2"/>
  <c r="H542" i="2" s="1"/>
  <c r="B543" i="2"/>
  <c r="H543" i="2" s="1"/>
  <c r="B544" i="2"/>
  <c r="H544" i="2" s="1"/>
  <c r="B545" i="2"/>
  <c r="H545" i="2" s="1"/>
  <c r="B546" i="2"/>
  <c r="H546" i="2" s="1"/>
  <c r="B547" i="2"/>
  <c r="H547" i="2" s="1"/>
  <c r="B548" i="2"/>
  <c r="H548" i="2" s="1"/>
  <c r="B549" i="2"/>
  <c r="H549" i="2" s="1"/>
  <c r="B550" i="2"/>
  <c r="H550" i="2" s="1"/>
  <c r="B551" i="2"/>
  <c r="H551" i="2" s="1"/>
  <c r="B552" i="2"/>
  <c r="H552" i="2" s="1"/>
  <c r="B553" i="2"/>
  <c r="H553" i="2" s="1"/>
  <c r="B554" i="2"/>
  <c r="H554" i="2" s="1"/>
  <c r="AF27" i="3" l="1"/>
  <c r="E29" i="12"/>
  <c r="AF40" i="4"/>
  <c r="AF41" i="4"/>
  <c r="AF45" i="4"/>
  <c r="AF46" i="4"/>
  <c r="AF47" i="4"/>
  <c r="AF26" i="4"/>
  <c r="AF27" i="4"/>
  <c r="AF28" i="4"/>
  <c r="AF29" i="4"/>
  <c r="AF30" i="4"/>
  <c r="AF31" i="4"/>
  <c r="AF32" i="4"/>
  <c r="AF33" i="4"/>
  <c r="AF34" i="4"/>
  <c r="AF35" i="4"/>
  <c r="AF36" i="4"/>
  <c r="AF37" i="4"/>
  <c r="AF38" i="4"/>
  <c r="AF39" i="4"/>
  <c r="AF42" i="4"/>
  <c r="AF43" i="4"/>
  <c r="AF44" i="4"/>
  <c r="AF48" i="4"/>
  <c r="AF49" i="4"/>
  <c r="AF50" i="4"/>
  <c r="AF51" i="4"/>
  <c r="AF52" i="4"/>
  <c r="AF53" i="4"/>
  <c r="AF54" i="4"/>
  <c r="AF55" i="4"/>
  <c r="B161" i="2"/>
  <c r="H161" i="2" s="1"/>
  <c r="B162" i="2"/>
  <c r="H162" i="2" s="1"/>
  <c r="B163" i="2"/>
  <c r="H163" i="2" s="1"/>
  <c r="B164" i="2"/>
  <c r="H164" i="2" s="1"/>
  <c r="B165" i="2"/>
  <c r="H165" i="2" s="1"/>
  <c r="B166" i="2"/>
  <c r="H166" i="2" s="1"/>
  <c r="B167" i="2"/>
  <c r="H167" i="2" s="1"/>
  <c r="B168" i="2"/>
  <c r="H168" i="2" s="1"/>
  <c r="B169" i="2"/>
  <c r="H169" i="2" s="1"/>
  <c r="B170" i="2"/>
  <c r="H170" i="2" s="1"/>
  <c r="B171" i="2"/>
  <c r="H171" i="2" s="1"/>
  <c r="B172" i="2"/>
  <c r="H172" i="2" s="1"/>
  <c r="B175" i="2"/>
  <c r="H175" i="2" s="1"/>
  <c r="B176" i="2"/>
  <c r="H176" i="2" s="1"/>
  <c r="B177" i="2"/>
  <c r="H177" i="2" s="1"/>
  <c r="B178" i="2"/>
  <c r="H178" i="2" s="1"/>
  <c r="B179" i="2"/>
  <c r="H179" i="2" s="1"/>
  <c r="B180" i="2"/>
  <c r="H180" i="2" s="1"/>
  <c r="B181" i="2"/>
  <c r="H181" i="2" s="1"/>
  <c r="B182" i="2"/>
  <c r="H182" i="2" s="1"/>
  <c r="B183" i="2"/>
  <c r="H183" i="2" s="1"/>
  <c r="B185" i="2"/>
  <c r="H185" i="2" s="1"/>
  <c r="B186" i="2"/>
  <c r="H186" i="2" s="1"/>
  <c r="B152" i="2"/>
  <c r="H152" i="2" s="1"/>
  <c r="B156" i="2"/>
  <c r="B155" i="2"/>
  <c r="H155" i="2" s="1"/>
  <c r="B154" i="2"/>
  <c r="H154" i="2" s="1"/>
  <c r="B153" i="2"/>
  <c r="H153" i="2" s="1"/>
  <c r="B151" i="2"/>
  <c r="H151" i="2" s="1"/>
  <c r="B150" i="2"/>
  <c r="H150" i="2" s="1"/>
  <c r="B149" i="2"/>
  <c r="H149" i="2" s="1"/>
  <c r="B148" i="2"/>
  <c r="H148" i="2" s="1"/>
  <c r="B147" i="2"/>
  <c r="H147" i="2" s="1"/>
  <c r="B146" i="2"/>
  <c r="H146" i="2" s="1"/>
  <c r="B145" i="2"/>
  <c r="H145" i="2" s="1"/>
  <c r="B144" i="2"/>
  <c r="H144" i="2" s="1"/>
  <c r="B143" i="2"/>
  <c r="H143" i="2" s="1"/>
  <c r="B142" i="2"/>
  <c r="H142" i="2" s="1"/>
  <c r="B141" i="2"/>
  <c r="H141" i="2" s="1"/>
  <c r="B140" i="2"/>
  <c r="H140" i="2" s="1"/>
  <c r="B139" i="2"/>
  <c r="H139" i="2" s="1"/>
  <c r="B138" i="2"/>
  <c r="H138" i="2" s="1"/>
  <c r="B137" i="2"/>
  <c r="H137" i="2" s="1"/>
  <c r="B136" i="2"/>
  <c r="H136" i="2" s="1"/>
  <c r="B135" i="2"/>
  <c r="H135" i="2" s="1"/>
  <c r="B134" i="2"/>
  <c r="H134" i="2" s="1"/>
  <c r="B133" i="2"/>
  <c r="H133" i="2" s="1"/>
  <c r="B132" i="2"/>
  <c r="H132" i="2" s="1"/>
  <c r="B131" i="2"/>
  <c r="H131" i="2" s="1"/>
  <c r="B130" i="2"/>
  <c r="H130" i="2" s="1"/>
  <c r="B129" i="2"/>
  <c r="H129" i="2" s="1"/>
  <c r="B127" i="2"/>
  <c r="H127" i="2" s="1"/>
  <c r="B126" i="2"/>
  <c r="H126" i="2" s="1"/>
  <c r="B125" i="2"/>
  <c r="H125" i="2" s="1"/>
  <c r="B124" i="2"/>
  <c r="H124" i="2" s="1"/>
  <c r="B123" i="2"/>
  <c r="H123" i="2" s="1"/>
  <c r="B122" i="2"/>
  <c r="H122" i="2" s="1"/>
  <c r="B121" i="2"/>
  <c r="H121" i="2" s="1"/>
  <c r="B128" i="2"/>
  <c r="H128" i="2" s="1"/>
  <c r="H156" i="2" l="1"/>
  <c r="M15" i="4"/>
  <c r="T55" i="4" l="1"/>
  <c r="W15" i="4"/>
  <c r="W18" i="4" s="1" a="1"/>
  <c r="N15" i="4"/>
  <c r="N19" i="2"/>
  <c r="N20" i="2"/>
  <c r="N21" i="2"/>
  <c r="N22" i="2"/>
  <c r="N23" i="2"/>
  <c r="N24" i="2"/>
  <c r="N25" i="2"/>
  <c r="N26" i="2"/>
  <c r="N27" i="2"/>
  <c r="N28" i="2"/>
  <c r="N29" i="2"/>
  <c r="N30" i="2"/>
  <c r="N31" i="2"/>
  <c r="N32" i="2"/>
  <c r="N33" i="2"/>
  <c r="N34" i="2"/>
  <c r="N35" i="2"/>
  <c r="N36" i="2"/>
  <c r="N37" i="2"/>
  <c r="N39" i="2"/>
  <c r="N40" i="2"/>
  <c r="N41" i="2"/>
  <c r="N42" i="2"/>
  <c r="N43" i="2"/>
  <c r="N44" i="2"/>
  <c r="N45" i="2"/>
  <c r="N18" i="2"/>
  <c r="B513" i="2"/>
  <c r="B512" i="2"/>
  <c r="B511" i="2"/>
  <c r="B510" i="2"/>
  <c r="B509" i="2"/>
  <c r="B508" i="2"/>
  <c r="B507" i="2"/>
  <c r="B506" i="2"/>
  <c r="B505" i="2"/>
  <c r="B504" i="2"/>
  <c r="B503" i="2"/>
  <c r="B502" i="2"/>
  <c r="B501" i="2"/>
  <c r="B500" i="2"/>
  <c r="B499" i="2"/>
  <c r="B498" i="2"/>
  <c r="B497" i="2"/>
  <c r="B496" i="2"/>
  <c r="B495" i="2"/>
  <c r="B494" i="2"/>
  <c r="B493" i="2"/>
  <c r="B492" i="2"/>
  <c r="B490" i="2"/>
  <c r="B489" i="2"/>
  <c r="B491" i="2"/>
  <c r="B488" i="2"/>
  <c r="B487" i="2"/>
  <c r="B485" i="2"/>
  <c r="B484" i="2"/>
  <c r="B483" i="2"/>
  <c r="B482" i="2"/>
  <c r="B481" i="2"/>
  <c r="B480" i="2"/>
  <c r="B479" i="2"/>
  <c r="B486" i="2"/>
  <c r="B514"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1" i="2"/>
  <c r="B90" i="2"/>
  <c r="B89" i="2"/>
  <c r="B88" i="2"/>
  <c r="B87" i="2"/>
  <c r="B86" i="2"/>
  <c r="B85" i="2"/>
  <c r="B92" i="2"/>
  <c r="B120" i="2"/>
  <c r="B469" i="2"/>
  <c r="B474" i="2"/>
  <c r="B446" i="2"/>
  <c r="B447" i="2"/>
  <c r="B448" i="2"/>
  <c r="B420" i="2"/>
  <c r="B421" i="2"/>
  <c r="B422" i="2"/>
  <c r="B419" i="2"/>
  <c r="B418" i="2"/>
  <c r="B412" i="2"/>
  <c r="B407" i="2"/>
  <c r="B406" i="2"/>
  <c r="B360" i="2"/>
  <c r="B361" i="2"/>
  <c r="B366" i="2"/>
  <c r="B362" i="2"/>
  <c r="B368" i="2"/>
  <c r="B371" i="2"/>
  <c r="B372" i="2"/>
  <c r="B376" i="2"/>
  <c r="B378" i="2"/>
  <c r="B383" i="2"/>
  <c r="B381" i="2"/>
  <c r="B388" i="2"/>
  <c r="B389" i="2"/>
  <c r="B390" i="2"/>
  <c r="B391" i="2"/>
  <c r="B392" i="2"/>
  <c r="B393" i="2"/>
  <c r="B394" i="2"/>
  <c r="B395" i="2"/>
  <c r="B397" i="2"/>
  <c r="B398" i="2"/>
  <c r="B400" i="2"/>
  <c r="B401" i="2"/>
  <c r="B359" i="2"/>
  <c r="B345" i="2"/>
  <c r="B346" i="2"/>
  <c r="B347" i="2"/>
  <c r="B348" i="2"/>
  <c r="B349" i="2"/>
  <c r="B351" i="2"/>
  <c r="B352" i="2"/>
  <c r="B353" i="2"/>
  <c r="B354" i="2"/>
  <c r="B343" i="2"/>
  <c r="B263" i="2"/>
  <c r="B264" i="2"/>
  <c r="B265" i="2"/>
  <c r="B266" i="2"/>
  <c r="B268" i="2"/>
  <c r="B269" i="2"/>
  <c r="B270" i="2"/>
  <c r="B271" i="2"/>
  <c r="B273" i="2"/>
  <c r="B277" i="2"/>
  <c r="B278" i="2"/>
  <c r="B279" i="2"/>
  <c r="B280" i="2"/>
  <c r="B281" i="2"/>
  <c r="B282" i="2"/>
  <c r="B283" i="2"/>
  <c r="B285" i="2"/>
  <c r="B286" i="2"/>
  <c r="B287" i="2"/>
  <c r="B288" i="2"/>
  <c r="B289" i="2"/>
  <c r="B290" i="2"/>
  <c r="B291" i="2"/>
  <c r="B262" i="2"/>
  <c r="B255" i="2"/>
  <c r="B256" i="2"/>
  <c r="B257" i="2"/>
  <c r="B254" i="2"/>
  <c r="B222" i="2"/>
  <c r="B223" i="2"/>
  <c r="B224" i="2"/>
  <c r="B225" i="2"/>
  <c r="B226" i="2"/>
  <c r="B227" i="2"/>
  <c r="B229" i="2"/>
  <c r="B230" i="2"/>
  <c r="B231" i="2"/>
  <c r="B232" i="2"/>
  <c r="B233" i="2"/>
  <c r="B234" i="2"/>
  <c r="B235" i="2"/>
  <c r="B236" i="2"/>
  <c r="B237" i="2"/>
  <c r="B238" i="2"/>
  <c r="B240" i="2"/>
  <c r="B239" i="2"/>
  <c r="B242" i="2"/>
  <c r="B243" i="2"/>
  <c r="B244" i="2"/>
  <c r="B245" i="2"/>
  <c r="B246" i="2"/>
  <c r="B247" i="2"/>
  <c r="B248" i="2"/>
  <c r="B221" i="2"/>
  <c r="B187" i="2"/>
  <c r="B188" i="2"/>
  <c r="B189" i="2"/>
  <c r="B190" i="2"/>
  <c r="B191" i="2"/>
  <c r="B192" i="2"/>
  <c r="B193" i="2"/>
  <c r="B194" i="2"/>
  <c r="B195" i="2"/>
  <c r="B196" i="2"/>
  <c r="B197" i="2"/>
  <c r="B198" i="2"/>
  <c r="B199" i="2"/>
  <c r="B200" i="2"/>
  <c r="B201" i="2"/>
  <c r="B202" i="2"/>
  <c r="B204" i="2"/>
  <c r="B205" i="2"/>
  <c r="B206" i="2"/>
  <c r="B207" i="2"/>
  <c r="B208" i="2"/>
  <c r="B209" i="2"/>
  <c r="B210" i="2"/>
  <c r="B212" i="2"/>
  <c r="B213" i="2"/>
  <c r="B214" i="2"/>
  <c r="B215" i="2"/>
  <c r="B216" i="2"/>
  <c r="B6" i="2"/>
  <c r="B7" i="2"/>
  <c r="B8" i="2"/>
  <c r="B9" i="2"/>
  <c r="B10" i="2"/>
  <c r="B11" i="2"/>
  <c r="B13" i="2"/>
  <c r="B14" i="2"/>
  <c r="B15" i="2"/>
  <c r="B16" i="2"/>
  <c r="B18" i="2"/>
  <c r="B20" i="2"/>
  <c r="B21" i="2"/>
  <c r="B22" i="2"/>
  <c r="B23" i="2"/>
  <c r="B25" i="2"/>
  <c r="B26" i="2"/>
  <c r="B29" i="2"/>
  <c r="B30" i="2"/>
  <c r="B31" i="2"/>
  <c r="B32" i="2"/>
  <c r="B33" i="2"/>
  <c r="B34" i="2"/>
  <c r="B36" i="2"/>
  <c r="B37" i="2"/>
  <c r="B40" i="2"/>
  <c r="B42" i="2"/>
  <c r="B44" i="2"/>
  <c r="B45" i="2"/>
  <c r="B46" i="2"/>
  <c r="B47" i="2"/>
  <c r="B49" i="2"/>
  <c r="B50" i="2"/>
  <c r="B51" i="2"/>
  <c r="B52" i="2"/>
  <c r="B76" i="2"/>
  <c r="B77" i="2"/>
  <c r="B53" i="2"/>
  <c r="B54" i="2"/>
  <c r="B55" i="2"/>
  <c r="B56" i="2"/>
  <c r="B58" i="2"/>
  <c r="B59" i="2"/>
  <c r="B60" i="2"/>
  <c r="B61" i="2"/>
  <c r="B62" i="2"/>
  <c r="B64" i="2"/>
  <c r="B75" i="2"/>
  <c r="H75" i="2" s="1"/>
  <c r="B78" i="2"/>
  <c r="B81" i="2"/>
  <c r="B82" i="2"/>
  <c r="B84" i="2"/>
  <c r="B79" i="2"/>
  <c r="B83" i="2"/>
  <c r="B80" i="2"/>
  <c r="AB12" i="3"/>
  <c r="Y12" i="3"/>
  <c r="Z12" i="3" s="1"/>
  <c r="AA12" i="3" s="1"/>
  <c r="AC12" i="3" s="1"/>
  <c r="H52" i="3"/>
  <c r="H53" i="3"/>
  <c r="H54" i="3"/>
  <c r="H55" i="3"/>
  <c r="H56" i="3"/>
  <c r="H57" i="3"/>
  <c r="H60" i="3"/>
  <c r="H62" i="3"/>
  <c r="H63" i="3"/>
  <c r="H65" i="3"/>
  <c r="H66" i="3"/>
  <c r="H67" i="3"/>
  <c r="H70" i="3"/>
  <c r="H72" i="3"/>
  <c r="H74" i="3"/>
  <c r="H75" i="3"/>
  <c r="H77" i="3"/>
  <c r="H78" i="3"/>
  <c r="H79" i="3"/>
  <c r="H80" i="3"/>
  <c r="H81" i="3"/>
  <c r="H82" i="3"/>
  <c r="H83" i="3"/>
  <c r="H84" i="3"/>
  <c r="H85" i="3"/>
  <c r="H86" i="3"/>
  <c r="H87" i="3"/>
  <c r="H88" i="3"/>
  <c r="H89" i="3"/>
  <c r="H90" i="3"/>
  <c r="H91" i="3"/>
  <c r="H92" i="3"/>
  <c r="H93" i="3"/>
  <c r="G92" i="3"/>
  <c r="G91" i="3"/>
  <c r="G89" i="3"/>
  <c r="G88" i="3"/>
  <c r="G87" i="3"/>
  <c r="G86" i="3"/>
  <c r="G85" i="3"/>
  <c r="G84" i="3"/>
  <c r="G83" i="3"/>
  <c r="G82" i="3"/>
  <c r="G81" i="3"/>
  <c r="G80" i="3"/>
  <c r="G79" i="3"/>
  <c r="G78" i="3"/>
  <c r="G77" i="3"/>
  <c r="G75" i="3"/>
  <c r="G67" i="3"/>
  <c r="G66" i="3"/>
  <c r="G65" i="3"/>
  <c r="G63" i="3"/>
  <c r="G62" i="3"/>
  <c r="G60" i="3"/>
  <c r="G57" i="3"/>
  <c r="G52" i="3"/>
  <c r="G51" i="3"/>
  <c r="H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13" i="3"/>
  <c r="H40" i="3"/>
  <c r="I40" i="3" s="1"/>
  <c r="H39" i="3"/>
  <c r="I39" i="3" s="1"/>
  <c r="H38" i="3"/>
  <c r="I38" i="3" s="1"/>
  <c r="H37" i="3"/>
  <c r="I37"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I15" i="3"/>
  <c r="H14" i="3"/>
  <c r="I14" i="3" s="1"/>
  <c r="C11" i="5" l="1" a="1"/>
  <c r="J21" i="3"/>
  <c r="L21" i="3" s="1"/>
  <c r="M21" i="3" s="1"/>
  <c r="J22" i="3"/>
  <c r="L22" i="3" s="1"/>
  <c r="J23" i="3"/>
  <c r="L23" i="3" s="1"/>
  <c r="M23" i="3" s="1"/>
  <c r="N23" i="3" s="1"/>
  <c r="J24" i="3"/>
  <c r="L24" i="3" s="1"/>
  <c r="M24" i="3" s="1"/>
  <c r="N24" i="3" s="1"/>
  <c r="J14" i="3"/>
  <c r="L14" i="3" s="1"/>
  <c r="M14" i="3" s="1"/>
  <c r="N14" i="3" s="1"/>
  <c r="J15" i="3"/>
  <c r="L15" i="3" s="1"/>
  <c r="M15" i="3" s="1"/>
  <c r="N15" i="3" s="1"/>
  <c r="J16" i="3"/>
  <c r="L16" i="3" s="1"/>
  <c r="M16" i="3" s="1"/>
  <c r="N16" i="3" s="1"/>
  <c r="J17" i="3"/>
  <c r="L17" i="3" s="1"/>
  <c r="M17" i="3" s="1"/>
  <c r="N17" i="3" s="1"/>
  <c r="J18" i="3"/>
  <c r="L18" i="3" s="1"/>
  <c r="M18" i="3" s="1"/>
  <c r="N18" i="3" s="1"/>
  <c r="J19" i="3"/>
  <c r="L19" i="3" s="1"/>
  <c r="M19" i="3" s="1"/>
  <c r="N19" i="3" s="1"/>
  <c r="J20" i="3"/>
  <c r="L20" i="3" s="1"/>
  <c r="M20" i="3" s="1"/>
  <c r="N20" i="3" s="1"/>
  <c r="J26" i="3"/>
  <c r="L26" i="3" s="1"/>
  <c r="M26" i="3" s="1"/>
  <c r="N26" i="3" s="1"/>
  <c r="J27" i="3"/>
  <c r="L27" i="3" s="1"/>
  <c r="M27" i="3" s="1"/>
  <c r="N27" i="3" s="1"/>
  <c r="J28" i="3"/>
  <c r="L28" i="3" s="1"/>
  <c r="M28" i="3" s="1"/>
  <c r="N28" i="3" s="1"/>
  <c r="J29" i="3"/>
  <c r="L29" i="3" s="1"/>
  <c r="M29" i="3" s="1"/>
  <c r="N29" i="3" s="1"/>
  <c r="J30" i="3"/>
  <c r="L30" i="3" s="1"/>
  <c r="M30" i="3" s="1"/>
  <c r="N30" i="3" s="1"/>
  <c r="J31" i="3"/>
  <c r="L31" i="3" s="1"/>
  <c r="M31" i="3" s="1"/>
  <c r="N31" i="3" s="1"/>
  <c r="J32" i="3"/>
  <c r="L32" i="3" s="1"/>
  <c r="M32" i="3" s="1"/>
  <c r="N32" i="3" s="1"/>
  <c r="J33" i="3"/>
  <c r="L33" i="3" s="1"/>
  <c r="M33" i="3" s="1"/>
  <c r="N33" i="3" s="1"/>
  <c r="J34" i="3"/>
  <c r="L34" i="3" s="1"/>
  <c r="M34" i="3" s="1"/>
  <c r="N34" i="3" s="1"/>
  <c r="J35" i="3"/>
  <c r="L35" i="3" s="1"/>
  <c r="M35" i="3" s="1"/>
  <c r="N35" i="3" s="1"/>
  <c r="J37" i="3"/>
  <c r="L37" i="3" s="1"/>
  <c r="M37" i="3" s="1"/>
  <c r="N37" i="3" s="1"/>
  <c r="J38" i="3"/>
  <c r="L38" i="3" s="1"/>
  <c r="M38" i="3" s="1"/>
  <c r="N38" i="3" s="1"/>
  <c r="J39" i="3"/>
  <c r="L39" i="3" s="1"/>
  <c r="M39" i="3" s="1"/>
  <c r="N39" i="3" s="1"/>
  <c r="J40" i="3"/>
  <c r="L40" i="3" s="1"/>
  <c r="M40" i="3" s="1"/>
  <c r="N40" i="3" s="1"/>
  <c r="J25" i="3"/>
  <c r="L25" i="3" s="1"/>
  <c r="M25" i="3" s="1"/>
  <c r="N25" i="3" s="1"/>
  <c r="AE20" i="4"/>
  <c r="AE21" i="4"/>
  <c r="AE18" i="4"/>
  <c r="AE19" i="4"/>
  <c r="AF24" i="4"/>
  <c r="AF25" i="4"/>
  <c r="AA18" i="3"/>
  <c r="AB18" i="3" s="1"/>
  <c r="AD12" i="3"/>
  <c r="AE12" i="3" s="1"/>
  <c r="I13" i="3"/>
  <c r="J13" i="3" s="1"/>
  <c r="L13" i="3" s="1"/>
  <c r="G90" i="3"/>
  <c r="I90" i="3" s="1"/>
  <c r="J90" i="3" s="1"/>
  <c r="K90" i="3" s="1"/>
  <c r="G53" i="3"/>
  <c r="I53" i="3" s="1"/>
  <c r="J53" i="3" s="1"/>
  <c r="K53" i="3" s="1"/>
  <c r="I92" i="3"/>
  <c r="J92" i="3" s="1"/>
  <c r="K92" i="3" s="1"/>
  <c r="G55" i="3"/>
  <c r="I55" i="3" s="1"/>
  <c r="J55" i="3" s="1"/>
  <c r="K55" i="3" s="1"/>
  <c r="I89" i="3"/>
  <c r="J89" i="3" s="1"/>
  <c r="K89" i="3" s="1"/>
  <c r="G74" i="3"/>
  <c r="I74" i="3" s="1"/>
  <c r="J74" i="3" s="1"/>
  <c r="K74" i="3" s="1"/>
  <c r="I51" i="3"/>
  <c r="J51" i="3" s="1"/>
  <c r="K51" i="3" s="1"/>
  <c r="G72" i="3"/>
  <c r="I72" i="3" s="1"/>
  <c r="J72" i="3" s="1"/>
  <c r="K72" i="3" s="1"/>
  <c r="I91" i="3"/>
  <c r="J91" i="3" s="1"/>
  <c r="K91" i="3" s="1"/>
  <c r="I57" i="3"/>
  <c r="J57" i="3" s="1"/>
  <c r="K57" i="3" s="1"/>
  <c r="I60" i="3"/>
  <c r="J60" i="3" s="1"/>
  <c r="K60" i="3" s="1"/>
  <c r="G93" i="3"/>
  <c r="I93" i="3" s="1"/>
  <c r="J93" i="3" s="1"/>
  <c r="K93" i="3" s="1"/>
  <c r="G56" i="3"/>
  <c r="I56" i="3" s="1"/>
  <c r="J56" i="3" s="1"/>
  <c r="K56" i="3" s="1"/>
  <c r="I66" i="3"/>
  <c r="J66" i="3" s="1"/>
  <c r="K66" i="3" s="1"/>
  <c r="I67" i="3"/>
  <c r="J67" i="3" s="1"/>
  <c r="K67" i="3" s="1"/>
  <c r="G54" i="3"/>
  <c r="I54" i="3" s="1"/>
  <c r="J54" i="3" s="1"/>
  <c r="K54" i="3" s="1"/>
  <c r="I84" i="3"/>
  <c r="J84" i="3" s="1"/>
  <c r="K84" i="3" s="1"/>
  <c r="I85" i="3"/>
  <c r="J85" i="3" s="1"/>
  <c r="K85" i="3" s="1"/>
  <c r="I52" i="3"/>
  <c r="J52" i="3" s="1"/>
  <c r="K52" i="3" s="1"/>
  <c r="I88" i="3"/>
  <c r="J88" i="3" s="1"/>
  <c r="K88" i="3" s="1"/>
  <c r="G70" i="3"/>
  <c r="I70" i="3" s="1"/>
  <c r="J70" i="3" s="1"/>
  <c r="K70" i="3" s="1"/>
  <c r="I86" i="3"/>
  <c r="J86" i="3" s="1"/>
  <c r="K86" i="3" s="1"/>
  <c r="I87" i="3"/>
  <c r="J87" i="3" s="1"/>
  <c r="K87" i="3" s="1"/>
  <c r="I75" i="3"/>
  <c r="J75" i="3" s="1"/>
  <c r="K75" i="3" s="1"/>
  <c r="I77" i="3"/>
  <c r="J77" i="3" s="1"/>
  <c r="K77" i="3" s="1"/>
  <c r="I78" i="3"/>
  <c r="J78" i="3" s="1"/>
  <c r="K78" i="3" s="1"/>
  <c r="I79" i="3"/>
  <c r="J79" i="3" s="1"/>
  <c r="K79" i="3" s="1"/>
  <c r="I80" i="3"/>
  <c r="J80" i="3" s="1"/>
  <c r="K80" i="3" s="1"/>
  <c r="I62" i="3"/>
  <c r="J62" i="3" s="1"/>
  <c r="K62" i="3" s="1"/>
  <c r="I81" i="3"/>
  <c r="J81" i="3" s="1"/>
  <c r="K81" i="3" s="1"/>
  <c r="I63" i="3"/>
  <c r="J63" i="3" s="1"/>
  <c r="K63" i="3" s="1"/>
  <c r="I82" i="3"/>
  <c r="J82" i="3" s="1"/>
  <c r="K82" i="3" s="1"/>
  <c r="I65" i="3"/>
  <c r="J65" i="3" s="1"/>
  <c r="K65" i="3" s="1"/>
  <c r="I83" i="3"/>
  <c r="J83" i="3" s="1"/>
  <c r="K83" i="3" s="1"/>
  <c r="M22" i="3"/>
  <c r="N22" i="3" s="1"/>
  <c r="N21" i="3"/>
  <c r="M36" i="3"/>
  <c r="N36" i="3" s="1"/>
  <c r="O19" i="2"/>
  <c r="P19" i="2" s="1"/>
  <c r="Q19" i="2" s="1"/>
  <c r="O20" i="2"/>
  <c r="P20" i="2" s="1"/>
  <c r="Q20" i="2" s="1"/>
  <c r="O21" i="2"/>
  <c r="P21" i="2" s="1"/>
  <c r="Q21" i="2" s="1"/>
  <c r="O22" i="2"/>
  <c r="P22" i="2" s="1"/>
  <c r="Q22" i="2" s="1"/>
  <c r="O23" i="2"/>
  <c r="P23" i="2" s="1"/>
  <c r="Q23" i="2" s="1"/>
  <c r="O24" i="2"/>
  <c r="P24" i="2" s="1"/>
  <c r="Q24" i="2" s="1"/>
  <c r="O25" i="2"/>
  <c r="P25" i="2" s="1"/>
  <c r="Q25" i="2" s="1"/>
  <c r="O26" i="2"/>
  <c r="P26" i="2" s="1"/>
  <c r="Q26" i="2" s="1"/>
  <c r="O27" i="2"/>
  <c r="P27" i="2" s="1"/>
  <c r="Q27" i="2" s="1"/>
  <c r="O28" i="2"/>
  <c r="P28" i="2" s="1"/>
  <c r="Q28" i="2" s="1"/>
  <c r="O29" i="2"/>
  <c r="P29" i="2" s="1"/>
  <c r="Q29" i="2" s="1"/>
  <c r="O30" i="2"/>
  <c r="P30" i="2" s="1"/>
  <c r="Q30" i="2" s="1"/>
  <c r="O31" i="2"/>
  <c r="P31" i="2" s="1"/>
  <c r="Q31" i="2" s="1"/>
  <c r="O32" i="2"/>
  <c r="P32" i="2" s="1"/>
  <c r="Q32" i="2" s="1"/>
  <c r="O33" i="2"/>
  <c r="O35" i="2"/>
  <c r="O36" i="2"/>
  <c r="O37" i="2"/>
  <c r="O39" i="2"/>
  <c r="O40" i="2"/>
  <c r="O41" i="2"/>
  <c r="O42" i="2"/>
  <c r="O43" i="2"/>
  <c r="O44" i="2"/>
  <c r="O45" i="2"/>
  <c r="O18" i="2"/>
  <c r="H513" i="2"/>
  <c r="H512" i="2"/>
  <c r="H511" i="2"/>
  <c r="H510" i="2"/>
  <c r="H509" i="2"/>
  <c r="H508" i="2"/>
  <c r="H507" i="2"/>
  <c r="H506" i="2"/>
  <c r="H505" i="2"/>
  <c r="H504" i="2"/>
  <c r="H503" i="2"/>
  <c r="H502" i="2"/>
  <c r="H501" i="2"/>
  <c r="H500" i="2"/>
  <c r="H499" i="2"/>
  <c r="H498" i="2"/>
  <c r="H497" i="2"/>
  <c r="H496" i="2"/>
  <c r="H495" i="2"/>
  <c r="H494" i="2"/>
  <c r="H493" i="2"/>
  <c r="H492" i="2"/>
  <c r="H490" i="2"/>
  <c r="H489" i="2"/>
  <c r="H491" i="2"/>
  <c r="H488" i="2"/>
  <c r="H487" i="2"/>
  <c r="H485" i="2"/>
  <c r="H484" i="2"/>
  <c r="H483" i="2"/>
  <c r="H482" i="2"/>
  <c r="H481" i="2"/>
  <c r="H480" i="2"/>
  <c r="H479" i="2"/>
  <c r="H486" i="2"/>
  <c r="H514"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1" i="2"/>
  <c r="H90" i="2"/>
  <c r="H89" i="2"/>
  <c r="H88" i="2"/>
  <c r="H87" i="2"/>
  <c r="H86" i="2"/>
  <c r="H85" i="2"/>
  <c r="A18" i="4" s="1" a="1"/>
  <c r="H92" i="2"/>
  <c r="H120" i="2"/>
  <c r="H469" i="2"/>
  <c r="H474" i="2"/>
  <c r="H446" i="2"/>
  <c r="H447" i="2"/>
  <c r="H448" i="2"/>
  <c r="H420" i="2"/>
  <c r="H421" i="2"/>
  <c r="H422" i="2"/>
  <c r="H419" i="2"/>
  <c r="H418" i="2"/>
  <c r="H412" i="2"/>
  <c r="H407" i="2"/>
  <c r="H406" i="2"/>
  <c r="H360" i="2"/>
  <c r="H361" i="2"/>
  <c r="H366" i="2"/>
  <c r="H362" i="2"/>
  <c r="H368" i="2"/>
  <c r="H371" i="2"/>
  <c r="H372" i="2"/>
  <c r="H376" i="2"/>
  <c r="H378" i="2"/>
  <c r="H383" i="2"/>
  <c r="H381" i="2"/>
  <c r="H388" i="2"/>
  <c r="H389" i="2"/>
  <c r="H390" i="2"/>
  <c r="H391" i="2"/>
  <c r="H392" i="2"/>
  <c r="H393" i="2"/>
  <c r="H394" i="2"/>
  <c r="H395" i="2"/>
  <c r="H397" i="2"/>
  <c r="H398" i="2"/>
  <c r="H400" i="2"/>
  <c r="H401" i="2"/>
  <c r="H359" i="2"/>
  <c r="H345" i="2"/>
  <c r="H346" i="2"/>
  <c r="H347" i="2"/>
  <c r="H348" i="2"/>
  <c r="H349" i="2"/>
  <c r="H351" i="2"/>
  <c r="H352" i="2"/>
  <c r="H353" i="2"/>
  <c r="H354" i="2"/>
  <c r="H343" i="2"/>
  <c r="H263" i="2"/>
  <c r="H264" i="2"/>
  <c r="H265" i="2"/>
  <c r="H266" i="2"/>
  <c r="H268" i="2"/>
  <c r="H269" i="2"/>
  <c r="H270" i="2"/>
  <c r="H271" i="2"/>
  <c r="H273" i="2"/>
  <c r="H277" i="2"/>
  <c r="H278" i="2"/>
  <c r="H279" i="2"/>
  <c r="H280" i="2"/>
  <c r="H281" i="2"/>
  <c r="H282" i="2"/>
  <c r="H283" i="2"/>
  <c r="H285" i="2"/>
  <c r="H286" i="2"/>
  <c r="H287" i="2"/>
  <c r="H288" i="2"/>
  <c r="H289" i="2"/>
  <c r="H290" i="2"/>
  <c r="H291" i="2"/>
  <c r="H262" i="2"/>
  <c r="H255" i="2"/>
  <c r="H256" i="2"/>
  <c r="H257" i="2"/>
  <c r="H254" i="2"/>
  <c r="H244" i="2"/>
  <c r="H245" i="2"/>
  <c r="H222" i="2"/>
  <c r="H223" i="2"/>
  <c r="H224" i="2"/>
  <c r="H225" i="2"/>
  <c r="H226" i="2"/>
  <c r="H227" i="2"/>
  <c r="H229" i="2"/>
  <c r="H230" i="2"/>
  <c r="H231" i="2"/>
  <c r="H232" i="2"/>
  <c r="H233" i="2"/>
  <c r="H234" i="2"/>
  <c r="H235" i="2"/>
  <c r="H236" i="2"/>
  <c r="H237" i="2"/>
  <c r="H238" i="2"/>
  <c r="H240" i="2"/>
  <c r="H239" i="2"/>
  <c r="H242" i="2"/>
  <c r="H243" i="2"/>
  <c r="H246" i="2"/>
  <c r="H247" i="2"/>
  <c r="H248" i="2"/>
  <c r="H221" i="2"/>
  <c r="H187" i="2"/>
  <c r="H188" i="2"/>
  <c r="H189" i="2"/>
  <c r="H190" i="2"/>
  <c r="H191" i="2"/>
  <c r="H192" i="2"/>
  <c r="H193" i="2"/>
  <c r="H194" i="2"/>
  <c r="H195" i="2"/>
  <c r="H196" i="2"/>
  <c r="H197" i="2"/>
  <c r="H198" i="2"/>
  <c r="H199" i="2"/>
  <c r="H200" i="2"/>
  <c r="H201" i="2"/>
  <c r="H202" i="2"/>
  <c r="H204" i="2"/>
  <c r="H205" i="2"/>
  <c r="H206" i="2"/>
  <c r="H207" i="2"/>
  <c r="H208" i="2"/>
  <c r="H209" i="2"/>
  <c r="H210" i="2"/>
  <c r="H212" i="2"/>
  <c r="H213" i="2"/>
  <c r="H214" i="2"/>
  <c r="H215" i="2"/>
  <c r="H216" i="2"/>
  <c r="H7" i="2"/>
  <c r="H8" i="2"/>
  <c r="H9" i="2"/>
  <c r="H10" i="2"/>
  <c r="H11" i="2"/>
  <c r="H13" i="2"/>
  <c r="H14" i="2"/>
  <c r="H15" i="2"/>
  <c r="H16" i="2"/>
  <c r="H18" i="2"/>
  <c r="H20" i="2"/>
  <c r="H21" i="2"/>
  <c r="H22" i="2"/>
  <c r="H23" i="2"/>
  <c r="H25" i="2"/>
  <c r="H26" i="2"/>
  <c r="H29" i="2"/>
  <c r="H30" i="2"/>
  <c r="H31" i="2"/>
  <c r="H32" i="2"/>
  <c r="H33" i="2"/>
  <c r="H34" i="2"/>
  <c r="H36" i="2"/>
  <c r="H37" i="2"/>
  <c r="H40" i="2"/>
  <c r="H42" i="2"/>
  <c r="H44" i="2"/>
  <c r="H45" i="2"/>
  <c r="H46" i="2"/>
  <c r="H47" i="2"/>
  <c r="H49" i="2"/>
  <c r="H50" i="2"/>
  <c r="H51" i="2"/>
  <c r="H52" i="2"/>
  <c r="H76" i="2"/>
  <c r="H77" i="2"/>
  <c r="H53" i="2"/>
  <c r="H54" i="2"/>
  <c r="H55" i="2"/>
  <c r="H56" i="2"/>
  <c r="H58" i="2"/>
  <c r="H59" i="2"/>
  <c r="H60" i="2"/>
  <c r="H61" i="2"/>
  <c r="H62" i="2"/>
  <c r="H64" i="2"/>
  <c r="H78" i="2"/>
  <c r="H81" i="2"/>
  <c r="H82" i="2"/>
  <c r="H84" i="2"/>
  <c r="H79" i="2"/>
  <c r="H83" i="2"/>
  <c r="H80" i="2"/>
  <c r="H6" i="2"/>
  <c r="M13" i="3" l="1"/>
  <c r="N13" i="3" s="1"/>
  <c r="B11" i="5" a="1"/>
  <c r="L18" i="4" a="1"/>
  <c r="T19" i="4"/>
  <c r="U19" i="4" s="1"/>
  <c r="T40" i="4"/>
  <c r="U40" i="4" s="1"/>
  <c r="T31" i="4"/>
  <c r="U31" i="4" s="1"/>
  <c r="T33" i="4"/>
  <c r="U33" i="4" s="1"/>
  <c r="T36" i="4"/>
  <c r="U36" i="4" s="1"/>
  <c r="T28" i="4"/>
  <c r="U28" i="4" s="1"/>
  <c r="T41" i="4"/>
  <c r="U41" i="4" s="1"/>
  <c r="T20" i="4"/>
  <c r="U20" i="4" s="1"/>
  <c r="T49" i="4"/>
  <c r="U49" i="4" s="1"/>
  <c r="T24" i="4"/>
  <c r="U24" i="4" s="1"/>
  <c r="T30" i="4"/>
  <c r="U30" i="4" s="1"/>
  <c r="T32" i="4"/>
  <c r="U32" i="4" s="1"/>
  <c r="T48" i="4"/>
  <c r="U48" i="4" s="1"/>
  <c r="T22" i="4"/>
  <c r="U22" i="4" s="1"/>
  <c r="T25" i="4"/>
  <c r="U25" i="4" s="1"/>
  <c r="T50" i="4"/>
  <c r="U50" i="4" s="1"/>
  <c r="T53" i="4"/>
  <c r="U53" i="4" s="1"/>
  <c r="T46" i="4"/>
  <c r="U46" i="4" s="1"/>
  <c r="T29" i="4"/>
  <c r="U29" i="4" s="1"/>
  <c r="T43" i="4"/>
  <c r="U43" i="4" s="1"/>
  <c r="T27" i="4"/>
  <c r="U27" i="4" s="1"/>
  <c r="T52" i="4"/>
  <c r="U52" i="4" s="1"/>
  <c r="T34" i="4"/>
  <c r="U34" i="4" s="1"/>
  <c r="T37" i="4"/>
  <c r="U37" i="4" s="1"/>
  <c r="T54" i="4"/>
  <c r="U54" i="4" s="1"/>
  <c r="T23" i="4"/>
  <c r="U23" i="4" s="1"/>
  <c r="T44" i="4"/>
  <c r="U44" i="4" s="1"/>
  <c r="T38" i="4"/>
  <c r="U38" i="4" s="1"/>
  <c r="T39" i="4"/>
  <c r="U39" i="4" s="1"/>
  <c r="T18" i="4"/>
  <c r="U18" i="4" s="1"/>
  <c r="T42" i="4"/>
  <c r="U42" i="4" s="1"/>
  <c r="T51" i="4"/>
  <c r="U51" i="4" s="1"/>
  <c r="T47" i="4"/>
  <c r="U47" i="4" s="1"/>
  <c r="T35" i="4"/>
  <c r="U35" i="4" s="1"/>
  <c r="T45" i="4"/>
  <c r="U45" i="4" s="1"/>
  <c r="T21" i="4"/>
  <c r="U21" i="4" s="1"/>
  <c r="T26" i="4"/>
  <c r="U26" i="4" s="1"/>
  <c r="D46" i="5"/>
  <c r="D47" i="5"/>
  <c r="D45" i="5"/>
  <c r="E45" i="5" s="1"/>
  <c r="D44" i="5"/>
  <c r="E44" i="5" s="1"/>
  <c r="U55" i="4"/>
  <c r="O34" i="2"/>
  <c r="P34" i="2" s="1"/>
  <c r="Q34" i="2" s="1"/>
  <c r="P37" i="2"/>
  <c r="Q37" i="2" s="1"/>
  <c r="P45" i="2"/>
  <c r="Q45" i="2" s="1"/>
  <c r="P43" i="2"/>
  <c r="Q43" i="2" s="1"/>
  <c r="P40" i="2"/>
  <c r="Q40" i="2" s="1"/>
  <c r="P33" i="2"/>
  <c r="Q33" i="2" s="1"/>
  <c r="P42" i="2"/>
  <c r="Q42" i="2" s="1"/>
  <c r="P36" i="2"/>
  <c r="Q36" i="2" s="1"/>
  <c r="P35" i="2"/>
  <c r="Q35" i="2" s="1"/>
  <c r="P44" i="2"/>
  <c r="Q44" i="2" s="1"/>
  <c r="P41" i="2"/>
  <c r="Q41" i="2" s="1"/>
  <c r="P39" i="2"/>
  <c r="Q39" i="2" s="1"/>
  <c r="P18" i="2"/>
  <c r="Q18" i="2" s="1"/>
  <c r="D40" i="5" l="1"/>
  <c r="D41" i="5"/>
  <c r="D42" i="5"/>
  <c r="E42" i="5" s="1"/>
  <c r="D43" i="5"/>
  <c r="D14" i="5"/>
  <c r="D12" i="5"/>
  <c r="D13" i="5"/>
  <c r="E13" i="5" s="1"/>
  <c r="D28" i="5"/>
  <c r="D23" i="5"/>
  <c r="D27" i="5"/>
  <c r="D35" i="5"/>
  <c r="D20" i="5"/>
  <c r="D21" i="5"/>
  <c r="D34" i="5"/>
  <c r="D37" i="5"/>
  <c r="D18" i="5"/>
  <c r="D15" i="5"/>
  <c r="D19" i="5"/>
  <c r="D38" i="5"/>
  <c r="D26" i="5"/>
  <c r="D25" i="5"/>
  <c r="D24" i="5"/>
  <c r="D36" i="5"/>
  <c r="D30" i="5"/>
  <c r="D16" i="5"/>
  <c r="D39" i="5"/>
  <c r="D32" i="5"/>
  <c r="D22" i="5"/>
  <c r="D31" i="5"/>
  <c r="D33" i="5"/>
  <c r="D17" i="5"/>
  <c r="D29" i="5"/>
  <c r="I18" i="4"/>
  <c r="F46" i="5"/>
  <c r="G46" i="5" s="1" a="1"/>
  <c r="E46" i="5"/>
  <c r="F47" i="5"/>
  <c r="G47" i="5" s="1" a="1"/>
  <c r="E47" i="5"/>
  <c r="F44" i="5"/>
  <c r="G44" i="5" s="1" a="1"/>
  <c r="F45" i="5"/>
  <c r="G45" i="5" s="1" a="1"/>
  <c r="F42" i="5"/>
  <c r="G42" i="5" s="1" a="1"/>
  <c r="I21" i="4"/>
  <c r="I20" i="4"/>
  <c r="J20" i="4" s="1"/>
  <c r="I19" i="4"/>
  <c r="J19" i="4" s="1"/>
  <c r="I22" i="4"/>
  <c r="J22" i="4" s="1"/>
  <c r="J50" i="4"/>
  <c r="J37" i="4"/>
  <c r="J33" i="4"/>
  <c r="J31" i="4"/>
  <c r="J40" i="4"/>
  <c r="J55" i="4"/>
  <c r="J27" i="4"/>
  <c r="J26" i="4"/>
  <c r="J25" i="4"/>
  <c r="J24" i="4"/>
  <c r="J23" i="4"/>
  <c r="J49" i="4"/>
  <c r="J47" i="4"/>
  <c r="J46" i="4"/>
  <c r="J44" i="4"/>
  <c r="J43" i="4"/>
  <c r="J41" i="4"/>
  <c r="J30" i="4"/>
  <c r="J38" i="4"/>
  <c r="J48" i="4"/>
  <c r="J36" i="4"/>
  <c r="J35" i="4"/>
  <c r="J39" i="4"/>
  <c r="J28" i="4"/>
  <c r="J54" i="4"/>
  <c r="J53" i="4"/>
  <c r="J52" i="4"/>
  <c r="J51" i="4"/>
  <c r="J45" i="4"/>
  <c r="J42" i="4"/>
  <c r="J29" i="4"/>
  <c r="J34" i="4"/>
  <c r="J32" i="4"/>
  <c r="AF21" i="4"/>
  <c r="AF19" i="4"/>
  <c r="AF20" i="4"/>
  <c r="AF23" i="4"/>
  <c r="AF22" i="4"/>
  <c r="AF18" i="4"/>
  <c r="E40" i="5" l="1"/>
  <c r="F40" i="5"/>
  <c r="G40" i="5" s="1" a="1"/>
  <c r="E41" i="5"/>
  <c r="F41" i="5"/>
  <c r="G41" i="5" s="1" a="1"/>
  <c r="I41" i="5" s="1"/>
  <c r="J41" i="5" s="1"/>
  <c r="E43" i="5"/>
  <c r="F43" i="5"/>
  <c r="G43" i="5" s="1" a="1"/>
  <c r="F14" i="5"/>
  <c r="G14" i="5" s="1" a="1"/>
  <c r="E14" i="5"/>
  <c r="E17" i="5"/>
  <c r="F17" i="5"/>
  <c r="G17" i="5" s="1" a="1"/>
  <c r="E12" i="5"/>
  <c r="F12" i="5"/>
  <c r="G12" i="5" s="1" a="1"/>
  <c r="F27" i="5"/>
  <c r="G27" i="5" s="1" a="1"/>
  <c r="E27" i="5"/>
  <c r="E36" i="5"/>
  <c r="F36" i="5"/>
  <c r="G36" i="5" s="1" a="1"/>
  <c r="E34" i="5"/>
  <c r="F34" i="5"/>
  <c r="G34" i="5" s="1" a="1"/>
  <c r="F37" i="5"/>
  <c r="G37" i="5" s="1" a="1"/>
  <c r="E37" i="5"/>
  <c r="E18" i="5"/>
  <c r="F18" i="5"/>
  <c r="G18" i="5" s="1" a="1"/>
  <c r="E19" i="5"/>
  <c r="F19" i="5"/>
  <c r="G19" i="5" s="1" a="1"/>
  <c r="E25" i="5"/>
  <c r="F25" i="5"/>
  <c r="G25" i="5" s="1" a="1"/>
  <c r="F24" i="5"/>
  <c r="G24" i="5" s="1" a="1"/>
  <c r="E24" i="5"/>
  <c r="F39" i="5"/>
  <c r="G39" i="5" s="1" a="1"/>
  <c r="E39" i="5"/>
  <c r="F15" i="5"/>
  <c r="G15" i="5" s="1" a="1"/>
  <c r="E15" i="5"/>
  <c r="E16" i="5"/>
  <c r="F16" i="5"/>
  <c r="G16" i="5" s="1" a="1"/>
  <c r="F22" i="5"/>
  <c r="G22" i="5" s="1" a="1"/>
  <c r="E22" i="5"/>
  <c r="F29" i="5"/>
  <c r="G29" i="5" s="1" a="1"/>
  <c r="E29" i="5"/>
  <c r="D11" i="5"/>
  <c r="F13" i="5"/>
  <c r="G13" i="5" s="1" a="1"/>
  <c r="E28" i="5"/>
  <c r="F28" i="5"/>
  <c r="G28" i="5" s="1" a="1"/>
  <c r="E30" i="5"/>
  <c r="F30" i="5"/>
  <c r="G30" i="5" s="1" a="1"/>
  <c r="E32" i="5"/>
  <c r="F32" i="5"/>
  <c r="G32" i="5" s="1" a="1"/>
  <c r="E23" i="5"/>
  <c r="F23" i="5"/>
  <c r="G23" i="5" s="1" a="1"/>
  <c r="E21" i="5"/>
  <c r="F21" i="5"/>
  <c r="G21" i="5" s="1" a="1"/>
  <c r="F35" i="5"/>
  <c r="G35" i="5" s="1" a="1"/>
  <c r="E35" i="5"/>
  <c r="F20" i="5"/>
  <c r="G20" i="5" s="1" a="1"/>
  <c r="E20" i="5"/>
  <c r="F38" i="5"/>
  <c r="G38" i="5" s="1" a="1"/>
  <c r="E38" i="5"/>
  <c r="F26" i="5"/>
  <c r="G26" i="5" s="1" a="1"/>
  <c r="E26" i="5"/>
  <c r="E31" i="5"/>
  <c r="F31" i="5"/>
  <c r="G31" i="5" s="1" a="1"/>
  <c r="F33" i="5"/>
  <c r="G33" i="5" s="1" a="1"/>
  <c r="E33" i="5"/>
  <c r="J21" i="4"/>
  <c r="I46" i="5"/>
  <c r="J46" i="5" s="1"/>
  <c r="H46" i="5"/>
  <c r="K46" i="5" s="1"/>
  <c r="H47" i="5"/>
  <c r="I47" i="5"/>
  <c r="J47" i="5" s="1"/>
  <c r="H43" i="5"/>
  <c r="I43" i="5"/>
  <c r="J43" i="5" s="1"/>
  <c r="H44" i="5"/>
  <c r="I44" i="5"/>
  <c r="J44" i="5" s="1"/>
  <c r="H40" i="5"/>
  <c r="I40" i="5"/>
  <c r="J40" i="5" s="1"/>
  <c r="H41" i="5"/>
  <c r="H45" i="5"/>
  <c r="I45" i="5"/>
  <c r="J45" i="5" s="1"/>
  <c r="H42" i="5"/>
  <c r="I42" i="5"/>
  <c r="J42" i="5" s="1"/>
  <c r="J18" i="4"/>
  <c r="H14" i="5" l="1"/>
  <c r="I14" i="5"/>
  <c r="J14" i="5" s="1"/>
  <c r="H17" i="5"/>
  <c r="I17" i="5"/>
  <c r="J17" i="5" s="1"/>
  <c r="I12" i="5"/>
  <c r="J12" i="5" s="1"/>
  <c r="H12" i="5"/>
  <c r="I27" i="5"/>
  <c r="J27" i="5" s="1"/>
  <c r="H27" i="5"/>
  <c r="H24" i="5"/>
  <c r="I24" i="5"/>
  <c r="J24" i="5" s="1"/>
  <c r="H36" i="5"/>
  <c r="I36" i="5"/>
  <c r="J36" i="5" s="1"/>
  <c r="H39" i="5"/>
  <c r="I39" i="5"/>
  <c r="J39" i="5" s="1"/>
  <c r="I34" i="5"/>
  <c r="J34" i="5" s="1"/>
  <c r="H34" i="5"/>
  <c r="H37" i="5"/>
  <c r="I37" i="5"/>
  <c r="J37" i="5" s="1"/>
  <c r="H18" i="5"/>
  <c r="I18" i="5"/>
  <c r="J18" i="5" s="1"/>
  <c r="H19" i="5"/>
  <c r="I19" i="5"/>
  <c r="J19" i="5" s="1"/>
  <c r="H25" i="5"/>
  <c r="I25" i="5"/>
  <c r="J25" i="5" s="1"/>
  <c r="I15" i="5"/>
  <c r="J15" i="5" s="1"/>
  <c r="H15" i="5"/>
  <c r="H29" i="5"/>
  <c r="I29" i="5"/>
  <c r="J29" i="5" s="1"/>
  <c r="H16" i="5"/>
  <c r="I16" i="5"/>
  <c r="J16" i="5" s="1"/>
  <c r="I22" i="5"/>
  <c r="J22" i="5" s="1"/>
  <c r="H22" i="5"/>
  <c r="H13" i="5"/>
  <c r="I13" i="5"/>
  <c r="J13" i="5" s="1"/>
  <c r="H28" i="5"/>
  <c r="I28" i="5"/>
  <c r="J28" i="5" s="1"/>
  <c r="H30" i="5"/>
  <c r="I30" i="5"/>
  <c r="J30" i="5" s="1"/>
  <c r="H32" i="5"/>
  <c r="I32" i="5"/>
  <c r="J32" i="5" s="1"/>
  <c r="E11" i="5"/>
  <c r="F11" i="5"/>
  <c r="G11" i="5" s="1" a="1"/>
  <c r="H23" i="5"/>
  <c r="I23" i="5"/>
  <c r="J23" i="5" s="1"/>
  <c r="I21" i="5"/>
  <c r="J21" i="5" s="1"/>
  <c r="H21" i="5"/>
  <c r="H35" i="5"/>
  <c r="I35" i="5"/>
  <c r="J35" i="5" s="1"/>
  <c r="I20" i="5"/>
  <c r="J20" i="5" s="1"/>
  <c r="H20" i="5"/>
  <c r="H38" i="5"/>
  <c r="I38" i="5"/>
  <c r="J38" i="5" s="1"/>
  <c r="I26" i="5"/>
  <c r="J26" i="5" s="1"/>
  <c r="H26" i="5"/>
  <c r="H31" i="5"/>
  <c r="I31" i="5"/>
  <c r="J31" i="5" s="1"/>
  <c r="H33" i="5"/>
  <c r="I33" i="5"/>
  <c r="J33" i="5" s="1"/>
  <c r="K47" i="5"/>
  <c r="K40" i="5"/>
  <c r="K42" i="5"/>
  <c r="K41" i="5"/>
  <c r="K43" i="5"/>
  <c r="K44" i="5"/>
  <c r="K45" i="5"/>
  <c r="K14" i="5" l="1"/>
  <c r="K12" i="5"/>
  <c r="K29" i="5"/>
  <c r="K32" i="5"/>
  <c r="K17" i="5"/>
  <c r="K36" i="5"/>
  <c r="K39" i="5"/>
  <c r="K19" i="5"/>
  <c r="K27" i="5"/>
  <c r="K24" i="5"/>
  <c r="K34" i="5"/>
  <c r="K37" i="5"/>
  <c r="K15" i="5"/>
  <c r="K20" i="5"/>
  <c r="K18" i="5"/>
  <c r="K25" i="5"/>
  <c r="K21" i="5"/>
  <c r="K13" i="5"/>
  <c r="K30" i="5"/>
  <c r="K22" i="5"/>
  <c r="K16" i="5"/>
  <c r="K28" i="5"/>
  <c r="K35" i="5"/>
  <c r="K26" i="5"/>
  <c r="I11" i="5"/>
  <c r="J11" i="5" s="1"/>
  <c r="H11" i="5"/>
  <c r="K33" i="5"/>
  <c r="K23" i="5"/>
  <c r="K38" i="5"/>
  <c r="K31" i="5"/>
  <c r="K11" i="5"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<sst xmlns="http://schemas.openxmlformats.org/spreadsheetml/2006/main" count="8055" uniqueCount="1592">
  <si>
    <t>Proton Reactions</t>
  </si>
  <si>
    <t>Reaction</t>
  </si>
  <si>
    <t>Amount (pu)</t>
  </si>
  <si>
    <t>Min Focus</t>
  </si>
  <si>
    <t>Min Energy (keV)</t>
  </si>
  <si>
    <t>Max energy (keV)</t>
  </si>
  <si>
    <t>Cross Section</t>
  </si>
  <si>
    <t>Energy Released (keV)</t>
  </si>
  <si>
    <t>B-11(p,3α)</t>
  </si>
  <si>
    <t>Be-9(p,α)Li-6</t>
  </si>
  <si>
    <t>Al-27(p,γ)Si-28</t>
  </si>
  <si>
    <t>B-10(p,α)Be-7</t>
  </si>
  <si>
    <t>F-19(p,α)O-16</t>
  </si>
  <si>
    <t>Cu-63(p,γ)Zn-64</t>
  </si>
  <si>
    <t>Co-59(p,γ)Ni-60</t>
  </si>
  <si>
    <t>Os-192(p,n)Ir-192</t>
  </si>
  <si>
    <t>Mn-55(p,γ)Fe-56</t>
  </si>
  <si>
    <t>H-2(p,n+2p)</t>
  </si>
  <si>
    <t>U-238(p,2n)Np-237</t>
  </si>
  <si>
    <t>Au-197(p,2n)Hg-196</t>
  </si>
  <si>
    <t>Pu-242(p,2n)Am-241</t>
  </si>
  <si>
    <t>Bi-209(p,γ)Po-210</t>
  </si>
  <si>
    <t>B-11(p,γ)C-12</t>
  </si>
  <si>
    <t>Ca-40(p,2p)K-39</t>
  </si>
  <si>
    <t>N-14(p,2α)Be-7</t>
  </si>
  <si>
    <t>O-16(p,p+α)C-12</t>
  </si>
  <si>
    <t>Si-28(p,2p)Al-27</t>
  </si>
  <si>
    <t>U-238(p,3n)Np-236</t>
  </si>
  <si>
    <t>Na-23(p,p+n)Na-22</t>
  </si>
  <si>
    <t>Bi-209(p,α)Pb-206</t>
  </si>
  <si>
    <t>U-235(p,γ)Np-236</t>
  </si>
  <si>
    <t>Au-179(p,α)Pt-194</t>
  </si>
  <si>
    <t>C-12(p,α+n+p)Be-7</t>
  </si>
  <si>
    <t>B-11(p,2n+t)Be-7</t>
  </si>
  <si>
    <t>Ca-40(p,3p)Ar-38</t>
  </si>
  <si>
    <t>Si-28(p,3p)Mg-26</t>
  </si>
  <si>
    <t>N-14(p,p+d)C-12</t>
  </si>
  <si>
    <t>Mg-24(p,2p+n)Na-22</t>
  </si>
  <si>
    <t>O-16(p,p+d)N-14</t>
  </si>
  <si>
    <t>Al-27(p,α+n+p)Na-22</t>
  </si>
  <si>
    <t>Cu-63(p,α)Ni-60</t>
  </si>
  <si>
    <t>C-12(p,p+t)Be-9</t>
  </si>
  <si>
    <t>Al-27(p,2n+3p)Na-23</t>
  </si>
  <si>
    <t>Neutron Reactions</t>
  </si>
  <si>
    <t>He-3(n,p+t)</t>
  </si>
  <si>
    <t>Be-7(n,p)Li-7</t>
  </si>
  <si>
    <t>Na-22(n,p)Ne-22</t>
  </si>
  <si>
    <t>S-32(n,α)Si-29</t>
  </si>
  <si>
    <t>Li-6(n,n+d+α)</t>
  </si>
  <si>
    <t>Cl-35(n,α)P-32(e+ν̅e̅)S-32</t>
  </si>
  <si>
    <t>Ca-40(n,α)Ar-37(νe)Cl-37</t>
  </si>
  <si>
    <t>Be-9(n,2α+2n)</t>
  </si>
  <si>
    <t>Li-7(n,n+α+t)</t>
  </si>
  <si>
    <t>Zn-64(n,α)Ni-61</t>
  </si>
  <si>
    <t>N-14(n,t)C-12</t>
  </si>
  <si>
    <t>Pu-242(n,2n)Pu-241</t>
  </si>
  <si>
    <t>Ir-193(n,2n)Ir-192</t>
  </si>
  <si>
    <t>Pu-239(n,2n)Pu-238</t>
  </si>
  <si>
    <t>Am-243(n,2n)Am-242</t>
  </si>
  <si>
    <t>H-3(n,2n+d)</t>
  </si>
  <si>
    <t>Np-237(n,2n)Np-236</t>
  </si>
  <si>
    <t>H-2(n,2n+p)</t>
  </si>
  <si>
    <t>Fe-56(n,α)Cr-53</t>
  </si>
  <si>
    <t>Cu-63(n,p+n)Ni-62</t>
  </si>
  <si>
    <t>Cr-52(n,α)Ti-49</t>
  </si>
  <si>
    <t>B-11(n,t)Be-9</t>
  </si>
  <si>
    <t>Al-27(n,n+p)Mg-26</t>
  </si>
  <si>
    <t>Mg-24(n,n+α)Ne-20</t>
  </si>
  <si>
    <t>Ca-40(n,n+p)K-39</t>
  </si>
  <si>
    <t>Zn-64(n,p+n)Cu-63</t>
  </si>
  <si>
    <t>Be-9(n,t)Li-7</t>
  </si>
  <si>
    <t>K-39(n,n+α)Cl-35</t>
  </si>
  <si>
    <t>B-11(n,2n)B-10</t>
  </si>
  <si>
    <t>Na-23(n,2n)Na-22</t>
  </si>
  <si>
    <t>U-235(n,3n)U-233</t>
  </si>
  <si>
    <t>Si-28(n,n+p)Al-27</t>
  </si>
  <si>
    <t>Ni-58(n,α+n)Fe-54</t>
  </si>
  <si>
    <t>Pt-195(n,α)Os-192</t>
  </si>
  <si>
    <t>Zr-90(n,d)Y-89</t>
  </si>
  <si>
    <t>O-16(n,2α)Be-9</t>
  </si>
  <si>
    <t>Nb-93(n,n+α)Y-89</t>
  </si>
  <si>
    <t>U-238(n,4n)U-235</t>
  </si>
  <si>
    <t>Mn-55(n,t)Cr-53</t>
  </si>
  <si>
    <t>C-12(n,d)B-11</t>
  </si>
  <si>
    <t>Co-59(n,t)Fe-57</t>
  </si>
  <si>
    <t>Y-89(n,d)Sr-88</t>
  </si>
  <si>
    <t>Na-23(n,t)Ne-21</t>
  </si>
  <si>
    <t>Au-197(n,n+α)Ir-193</t>
  </si>
  <si>
    <t>Mg-24(n,n+d)Na-22</t>
  </si>
  <si>
    <t>Bi-209(n,t)Pb-207</t>
  </si>
  <si>
    <t>Photon Reactions</t>
  </si>
  <si>
    <t>H-2(γ,n+p)</t>
  </si>
  <si>
    <t>Li-6(γ,n+p+α)</t>
  </si>
  <si>
    <t>He-3(γ,n+2p)</t>
  </si>
  <si>
    <t>Np-237(γ,n)Np-236</t>
  </si>
  <si>
    <t>Pu-239(γ,n)Pu-238</t>
  </si>
  <si>
    <t>Am-243(γ,n)Am-242</t>
  </si>
  <si>
    <t>W-184(γ,α)Hf-180</t>
  </si>
  <si>
    <t>Zr-90(γ,p)Y-89</t>
  </si>
  <si>
    <t>Ir-193(γ,n)Ir-192</t>
  </si>
  <si>
    <t>Bi-209(γ,p+n)Pb-207</t>
  </si>
  <si>
    <t>Nb-93(γ,α)Y-89</t>
  </si>
  <si>
    <t>U-235(γ,2n)U-233</t>
  </si>
  <si>
    <t>Fe-56(γ,p)Mn-55</t>
  </si>
  <si>
    <t>Y-89(γ,p)Sr-88</t>
  </si>
  <si>
    <t>Al-27(γ,p)Mg-26</t>
  </si>
  <si>
    <t>Si-28(γ,p)Al-27</t>
  </si>
  <si>
    <t>Ca-40(γ,p)K-39</t>
  </si>
  <si>
    <t>Li-7(γ,n)Li-6</t>
  </si>
  <si>
    <t>Cu-63(γ,p+n)Ni-61</t>
  </si>
  <si>
    <t>N-14(γ,n+p)C-12</t>
  </si>
  <si>
    <t>B-11(γ,2α+d+n)</t>
  </si>
  <si>
    <t>Be-9(γ,2α+n)</t>
  </si>
  <si>
    <t>O-16(γ,n+p)N-14</t>
  </si>
  <si>
    <t>C-12(γ,α+n)Be-7</t>
  </si>
  <si>
    <t>C-12(γ,α+n+p)Li-6</t>
  </si>
  <si>
    <t>Fe-56(e,α+e)Cr-52</t>
  </si>
  <si>
    <t>Co-59(e,α+e)Mn-55</t>
  </si>
  <si>
    <t>Zn-64(e,α+e)Ni-60</t>
  </si>
  <si>
    <t>Zr-90(e,p+e)Y-89</t>
  </si>
  <si>
    <t>Deuteron Reactions</t>
  </si>
  <si>
    <t>H-3(d,n+α)</t>
  </si>
  <si>
    <t>H-2(d,n+t)</t>
  </si>
  <si>
    <t>Li-6(d,n)Be-7</t>
  </si>
  <si>
    <t>Be-9(d,α)Li-7</t>
  </si>
  <si>
    <t>B-11(d,n)C-12</t>
  </si>
  <si>
    <t>Li-7(d,n+2α)</t>
  </si>
  <si>
    <t>O-16(d,α)N-14</t>
  </si>
  <si>
    <t>C-12(d,α)B-10</t>
  </si>
  <si>
    <t>Co-59(d,p)Co-60</t>
  </si>
  <si>
    <t>Mg-24(d,α)Na-22</t>
  </si>
  <si>
    <t>Bi-209(d,n)Po-210</t>
  </si>
  <si>
    <t>Pu-241(d,2n)Am-241</t>
  </si>
  <si>
    <t>Pu-238(d,p)Pu-239</t>
  </si>
  <si>
    <t>U-235(d,n)Np-236</t>
  </si>
  <si>
    <t>Os-192(d,2n)Ir-192</t>
  </si>
  <si>
    <t>Pu-242(d,2n)Am-242</t>
  </si>
  <si>
    <t>Am-243(d,2n)Cm-243</t>
  </si>
  <si>
    <t>Au-197(d,3n)Hg-196</t>
  </si>
  <si>
    <t>U-238(d,4n)Np-236</t>
  </si>
  <si>
    <t>Na-23(d,n+d)Na-22</t>
  </si>
  <si>
    <t>Be-9(d,2n+d)Be-7</t>
  </si>
  <si>
    <t>Be-9(d,d+2α+n)</t>
  </si>
  <si>
    <t>Al-27(d,t+α)Na-22</t>
  </si>
  <si>
    <t>Y-89(d,α)Sr-87</t>
  </si>
  <si>
    <t>Helion Reactions</t>
  </si>
  <si>
    <t>Alpha Reactions</t>
  </si>
  <si>
    <t>Be-9(α,n)C-12</t>
  </si>
  <si>
    <t>F-19(α,n)Na-22</t>
  </si>
  <si>
    <t>F-19(α,p)Ne-22</t>
  </si>
  <si>
    <t>Li-7(α,n)B-10</t>
  </si>
  <si>
    <t>N-14(α,n+p)O-16</t>
  </si>
  <si>
    <t>Cu-63(α,p)Zn-66</t>
  </si>
  <si>
    <t>Os-192(α,n)Pt-195</t>
  </si>
  <si>
    <t>U-235(α,n)Pu-238</t>
  </si>
  <si>
    <t>Pb-208(α,2n)Po-210</t>
  </si>
  <si>
    <t>Li-6(α,γ)B-10</t>
  </si>
  <si>
    <t>U-233(α,p)Np-236</t>
  </si>
  <si>
    <t>U-238(α,3n)Pu-239</t>
  </si>
  <si>
    <t>Pu-239(α,p)Am-242</t>
  </si>
  <si>
    <t>N-14(α,n+p+α)C-12</t>
  </si>
  <si>
    <t>U-235(α,t)Np-236</t>
  </si>
  <si>
    <r>
      <t>C-12(</t>
    </r>
    <r>
      <rPr>
        <sz val="11"/>
        <color theme="1"/>
        <rFont val="Calibri"/>
        <family val="2"/>
      </rPr>
      <t>α</t>
    </r>
    <r>
      <rPr>
        <sz val="11"/>
        <color theme="1"/>
        <rFont val="Calibri"/>
        <family val="2"/>
        <scheme val="minor"/>
      </rPr>
      <t>,α+p)B-11</t>
    </r>
  </si>
  <si>
    <t>C-12(α,n+α+p)B-10</t>
  </si>
  <si>
    <t>Be-9(α,2n+α)Be-7</t>
  </si>
  <si>
    <t>Li-7(B-11,2n+α)C-12</t>
  </si>
  <si>
    <t>Bk-248(Ca-48,n+α+2νe)Cn-291</t>
  </si>
  <si>
    <t>Ir-192(ν̅e̅,e̅)Os-192</t>
  </si>
  <si>
    <t>Am-242(ν̅e̅,e̅)Pu-242</t>
  </si>
  <si>
    <t>Cm-243(ν̅e̅,e̅)Am-243</t>
  </si>
  <si>
    <t>Bk-247(ν̅e̅,e̅)Cm-247</t>
  </si>
  <si>
    <r>
      <t>Cm-247(</t>
    </r>
    <r>
      <rPr>
        <sz val="11"/>
        <color theme="1"/>
        <rFont val="Calibri"/>
        <family val="2"/>
      </rPr>
      <t>νe</t>
    </r>
    <r>
      <rPr>
        <sz val="11"/>
        <color theme="1"/>
        <rFont val="Calibri"/>
        <family val="2"/>
        <scheme val="minor"/>
      </rPr>
      <t>,e)Bk-247</t>
    </r>
  </si>
  <si>
    <r>
      <t>Am-243(</t>
    </r>
    <r>
      <rPr>
        <sz val="11"/>
        <color theme="1"/>
        <rFont val="Calibri"/>
        <family val="2"/>
      </rPr>
      <t>νe</t>
    </r>
    <r>
      <rPr>
        <sz val="11"/>
        <color theme="1"/>
        <rFont val="Calibri"/>
        <family val="2"/>
        <scheme val="minor"/>
      </rPr>
      <t>,e)Cm-243</t>
    </r>
  </si>
  <si>
    <t>Pu-242(νe,e)Am-242</t>
  </si>
  <si>
    <r>
      <t>Os-192(</t>
    </r>
    <r>
      <rPr>
        <sz val="11"/>
        <color theme="1"/>
        <rFont val="Calibri"/>
        <family val="2"/>
      </rPr>
      <t>νe</t>
    </r>
    <r>
      <rPr>
        <sz val="11"/>
        <color theme="1"/>
        <rFont val="Calibri"/>
        <family val="2"/>
        <scheme val="minor"/>
      </rPr>
      <t>,e)Ir-192</t>
    </r>
  </si>
  <si>
    <t>Electron Reactions</t>
  </si>
  <si>
    <t>Recipe Creator</t>
  </si>
  <si>
    <t>Real Cross section (barn)</t>
  </si>
  <si>
    <t>QMD Cross section</t>
  </si>
  <si>
    <t>cross section</t>
  </si>
  <si>
    <t>Base time (t)</t>
  </si>
  <si>
    <t>Base time (s)</t>
  </si>
  <si>
    <t>Base time (min)</t>
  </si>
  <si>
    <t>Default QMD Recipes</t>
  </si>
  <si>
    <t>1a. If you have a real reaction and know the real reaction cross section in barns use this.</t>
  </si>
  <si>
    <t>This Target Chamber recipe creator helps calculate the recipe parameters that obey conservation of particles. You can of course not use this and make up your own values if you like but this helps make them mesh with QMD default recipes better so you don't have infinite exploit loops.</t>
  </si>
  <si>
    <t>Input Particle Amount (pu)</t>
  </si>
  <si>
    <t>Default Beam Time (s)</t>
  </si>
  <si>
    <t>A1</t>
  </si>
  <si>
    <t>A2</t>
  </si>
  <si>
    <t>Z1</t>
  </si>
  <si>
    <t>Z2</t>
  </si>
  <si>
    <t>Ln(σ)</t>
  </si>
  <si>
    <t>pu</t>
  </si>
  <si>
    <t>D+D+μ -&gt; T+H</t>
  </si>
  <si>
    <r>
      <t>Ar-36+He+</t>
    </r>
    <r>
      <rPr>
        <sz val="11"/>
        <color theme="1"/>
        <rFont val="Calibri"/>
        <family val="2"/>
      </rPr>
      <t xml:space="preserve">μ </t>
    </r>
    <r>
      <rPr>
        <sz val="11"/>
        <color theme="1"/>
        <rFont val="Calibri"/>
        <family val="2"/>
        <scheme val="minor"/>
      </rPr>
      <t>-&gt;Ca-40</t>
    </r>
  </si>
  <si>
    <r>
      <t>Ca-40+2He+2</t>
    </r>
    <r>
      <rPr>
        <sz val="11"/>
        <color theme="1"/>
        <rFont val="Calibri"/>
        <family val="2"/>
      </rPr>
      <t xml:space="preserve">μ </t>
    </r>
    <r>
      <rPr>
        <sz val="11"/>
        <color theme="1"/>
        <rFont val="Calibri"/>
        <family val="2"/>
        <scheme val="minor"/>
      </rPr>
      <t>-&gt;Ti-48+2e̅+2νe</t>
    </r>
  </si>
  <si>
    <r>
      <t>Ti-48+He+</t>
    </r>
    <r>
      <rPr>
        <sz val="11"/>
        <color theme="1"/>
        <rFont val="Calibri"/>
        <family val="2"/>
      </rPr>
      <t xml:space="preserve">μ </t>
    </r>
    <r>
      <rPr>
        <sz val="11"/>
        <color theme="1"/>
        <rFont val="Calibri"/>
        <family val="2"/>
        <scheme val="minor"/>
      </rPr>
      <t>-&gt;Cr-52</t>
    </r>
  </si>
  <si>
    <r>
      <t>Cr-52+He+</t>
    </r>
    <r>
      <rPr>
        <sz val="11"/>
        <color theme="1"/>
        <rFont val="Calibri"/>
        <family val="2"/>
      </rPr>
      <t xml:space="preserve">μ </t>
    </r>
    <r>
      <rPr>
        <sz val="11"/>
        <color theme="1"/>
        <rFont val="Calibri"/>
        <family val="2"/>
        <scheme val="minor"/>
      </rPr>
      <t>-&gt;Fe-56</t>
    </r>
  </si>
  <si>
    <t>muon catalyst ratio</t>
  </si>
  <si>
    <t>Default Beam Time (t)</t>
  </si>
  <si>
    <t>Default Beam Heat (H/t)</t>
  </si>
  <si>
    <t>keV to Heat ratio</t>
  </si>
  <si>
    <t>Muon Catalysed Fusion</t>
  </si>
  <si>
    <t>n</t>
  </si>
  <si>
    <t>A</t>
  </si>
  <si>
    <t>Zn-64+11n -&gt; As-75+3e+3ν̅e</t>
  </si>
  <si>
    <t>As-75+13n -&gt; Sr-88+5e+5ν̅e</t>
  </si>
  <si>
    <t>Mo-98+8n -&gt; Ru-106+2e+2ν̅e</t>
  </si>
  <si>
    <t>Sn-120+7n -&gt; I-127+3e+3ν̅e</t>
  </si>
  <si>
    <t>Pb-208+n -&gt; Bi-209+e+ν̅e</t>
  </si>
  <si>
    <t>Bi-209+n -&gt; Po-210+e+ν̅e</t>
  </si>
  <si>
    <t>Po-210+16n-&gt;  Ra-226+4e+4ν̅e</t>
  </si>
  <si>
    <t>Th-232+6n -&gt; U-238 +2e+2ν̅e</t>
  </si>
  <si>
    <t>U-238+4n-&gt;Pu-242 +2e+2ν̅e</t>
  </si>
  <si>
    <t>Pu-242+5n -&gt; Cm-247 +2e+2ν̅e</t>
  </si>
  <si>
    <t>Cm-247+5n -&gt; Cf-252 +2e+2ν̅e</t>
  </si>
  <si>
    <t>Input Amount (pu)</t>
  </si>
  <si>
    <t>Weak Factor</t>
  </si>
  <si>
    <t>Some Factor</t>
  </si>
  <si>
    <t>Your Reaction</t>
  </si>
  <si>
    <t>R-Process</t>
  </si>
  <si>
    <t>Nucleosynthesis Recipe Scale Factor</t>
  </si>
  <si>
    <t>Target Chamber Recipe Scale Factor</t>
  </si>
  <si>
    <t>Beam Scaling Factor</t>
  </si>
  <si>
    <t>QMD Configs</t>
  </si>
  <si>
    <t>Base Ion source Output (pu/t)</t>
  </si>
  <si>
    <t>Default mole to particle unit ratio</t>
  </si>
  <si>
    <t>Name</t>
  </si>
  <si>
    <t>Charge</t>
  </si>
  <si>
    <t>up</t>
  </si>
  <si>
    <t>antiup</t>
  </si>
  <si>
    <t>down</t>
  </si>
  <si>
    <t>antidown</t>
  </si>
  <si>
    <t>charm</t>
  </si>
  <si>
    <t>anticharm</t>
  </si>
  <si>
    <t>strange</t>
  </si>
  <si>
    <t>antistrange</t>
  </si>
  <si>
    <t>top</t>
  </si>
  <si>
    <t>antitop</t>
  </si>
  <si>
    <t>bottom</t>
  </si>
  <si>
    <t>antibottom</t>
  </si>
  <si>
    <t>Mass (MeV)</t>
  </si>
  <si>
    <t>electron</t>
  </si>
  <si>
    <t>positron</t>
  </si>
  <si>
    <t>electron neutrino</t>
  </si>
  <si>
    <t>electron antineutrino</t>
  </si>
  <si>
    <t>muon</t>
  </si>
  <si>
    <t>antimuon</t>
  </si>
  <si>
    <t>muon neutrino</t>
  </si>
  <si>
    <t>muon antineutrino</t>
  </si>
  <si>
    <t>tau</t>
  </si>
  <si>
    <t>antitau</t>
  </si>
  <si>
    <t>tau neutrino</t>
  </si>
  <si>
    <t>photon</t>
  </si>
  <si>
    <t>gluon</t>
  </si>
  <si>
    <t>w plus boson</t>
  </si>
  <si>
    <t>w minus boson</t>
  </si>
  <si>
    <t>z boson</t>
  </si>
  <si>
    <t>deuteron</t>
  </si>
  <si>
    <t>antideuteron</t>
  </si>
  <si>
    <t>helion</t>
  </si>
  <si>
    <t>antihelion</t>
  </si>
  <si>
    <t>alpha</t>
  </si>
  <si>
    <t>antialpha</t>
  </si>
  <si>
    <t>boron ion</t>
  </si>
  <si>
    <t>proton</t>
  </si>
  <si>
    <t>antiproton</t>
  </si>
  <si>
    <t>neutron</t>
  </si>
  <si>
    <t>antineutron</t>
  </si>
  <si>
    <t>sigma plus</t>
  </si>
  <si>
    <t>antisigma plus</t>
  </si>
  <si>
    <t>sigma minus</t>
  </si>
  <si>
    <t>antisigma minus</t>
  </si>
  <si>
    <t>delta plus plus</t>
  </si>
  <si>
    <t>delta minus</t>
  </si>
  <si>
    <t>pion plus</t>
  </si>
  <si>
    <t>pion minus</t>
  </si>
  <si>
    <t>pion naught</t>
  </si>
  <si>
    <t>kaon plus</t>
  </si>
  <si>
    <t>kaon minus</t>
  </si>
  <si>
    <t>kaon naught</t>
  </si>
  <si>
    <t>antikaon naught</t>
  </si>
  <si>
    <t>eta</t>
  </si>
  <si>
    <t>eta prime</t>
  </si>
  <si>
    <t>charmed eta</t>
  </si>
  <si>
    <t>bottom eta</t>
  </si>
  <si>
    <t>glueball</t>
  </si>
  <si>
    <t>Input Particle</t>
  </si>
  <si>
    <t>Accelerator</t>
  </si>
  <si>
    <t>Length/Radius (blocks)</t>
  </si>
  <si>
    <t>RF Cavity Voltage (kV)</t>
  </si>
  <si>
    <t>Dipole Strength (T)</t>
  </si>
  <si>
    <t>Redstone Signal Strength</t>
  </si>
  <si>
    <t>Type</t>
  </si>
  <si>
    <t>Linear</t>
  </si>
  <si>
    <t>Synchrotron</t>
  </si>
  <si>
    <t>Decelerator</t>
  </si>
  <si>
    <t>Output Focus</t>
  </si>
  <si>
    <t>Output Energy (keV)</t>
  </si>
  <si>
    <t>Beam Attenuation Rate</t>
  </si>
  <si>
    <t>Input Focus</t>
  </si>
  <si>
    <t>Input amount (pu/t)</t>
  </si>
  <si>
    <t>Computer Energy Setting</t>
  </si>
  <si>
    <t>Computer Controlled</t>
  </si>
  <si>
    <t>Particle</t>
  </si>
  <si>
    <t>Input Energy (keV)</t>
  </si>
  <si>
    <t>Error</t>
  </si>
  <si>
    <t>Max Output Energy (keV)</t>
  </si>
  <si>
    <t>Quadrupole Strength (T)</t>
  </si>
  <si>
    <t>If you want to use the same scaling as QMD for Nucleosynthesis chamber recipes you can use these here. Sticking to the what QMD uses is not that important as is the case for target chamber recipes. The only thing that would break particle conservation is for R-process reactions if you make the input amount less than the  amount of neutrons needed to be added for the output e.g. for the reaction converting Fe-56 into Co-59 you need to add 3 neutrons for every atom so for one mole of Fe-56 you need at minimum 3 particle moles of neutrons otherwise you are creating particles from nothing. You can have the recipe use more than 3 particle moles because this just corresponds to a cross section less than 100% and thus a loss of neutrons to the environment.</t>
  </si>
  <si>
    <t>For muon catalysed fusion look over at the default recipe text to see the meaning of the inputs then input the energy released i.e. the mass defect, A1, A2, Z1,Z2 and the weak factor.</t>
  </si>
  <si>
    <t>Heat Released (H)</t>
  </si>
  <si>
    <t>For R-process look over at the default recipe text to see the meaning of the inputs then input the energy released i.e. the mass defect, n and A.</t>
  </si>
  <si>
    <t>Minimum Synchrotron Input Energy (keV)</t>
  </si>
  <si>
    <t>Antiproton Reactions</t>
  </si>
  <si>
    <t>Electron Antineutrino Reactions</t>
  </si>
  <si>
    <t>Calcium 48 Ion Reactions</t>
  </si>
  <si>
    <t>Boron Ion Reactions</t>
  </si>
  <si>
    <t>Pion Minus Reactions</t>
  </si>
  <si>
    <t>Pion Plus Reactions</t>
  </si>
  <si>
    <t>antidelta minus</t>
  </si>
  <si>
    <t>antidelta plus plus</t>
  </si>
  <si>
    <t>Possible Target Chamber Reactions For Input Particle</t>
  </si>
  <si>
    <t>Possible Target Chamber Reactions For Output Particle</t>
  </si>
  <si>
    <t>Possible Target Chamber Reactions For Synchrotron Port Output</t>
  </si>
  <si>
    <t>Synchrotron Port</t>
  </si>
  <si>
    <t>Synchrotron Port Output Energy (keV)</t>
  </si>
  <si>
    <t>NSC Input Particle</t>
  </si>
  <si>
    <t>Recipe Time (t)</t>
  </si>
  <si>
    <t>Recipe Time (s)</t>
  </si>
  <si>
    <t>NSC Input Fluids</t>
  </si>
  <si>
    <t>mercury</t>
  </si>
  <si>
    <t>hot mercury</t>
  </si>
  <si>
    <t>Input Coolant</t>
  </si>
  <si>
    <t>Heat Output (H/t)</t>
  </si>
  <si>
    <t>Output HPM (mB/t)</t>
  </si>
  <si>
    <t>Setup Input Power (RF/t)</t>
  </si>
  <si>
    <t>Net Power (RF/t)</t>
  </si>
  <si>
    <t>Antideuteron Reactions</t>
  </si>
  <si>
    <t>Cf-252(p,p+p̅)Cf-waste</t>
  </si>
  <si>
    <t>Cf-251(p,p+p̅)Cf-waste</t>
  </si>
  <si>
    <t>Cf-250(p,p+p̅)Cf-waste</t>
  </si>
  <si>
    <t>Cf-249(p,p,p+p̅)Cf-waste</t>
  </si>
  <si>
    <t>Bk-248(p,p+p̅)Bk-waste</t>
  </si>
  <si>
    <t>Bk-247(p,p+p̅)Bk-waste</t>
  </si>
  <si>
    <t>Cm-247(p,p+p̅)Cm-waste</t>
  </si>
  <si>
    <t>Cm-246(p,p+p̅)Cm-waste</t>
  </si>
  <si>
    <t>Cm-245(p,p+p̅)Cm-waste</t>
  </si>
  <si>
    <t>Cm-243(p,p+p̅)Cm-waste</t>
  </si>
  <si>
    <t>Am-243(p,p+p̅)Am-waste</t>
  </si>
  <si>
    <t>Am-242(p,p+p̅)Am-waste</t>
  </si>
  <si>
    <t>Am-241(p,p+p̅)Am-waste</t>
  </si>
  <si>
    <t>Pu-242(p,p+p̅)Pu-waste</t>
  </si>
  <si>
    <t>Pu-241(p,p+p̅)Pu-waste</t>
  </si>
  <si>
    <t>Pu-239(p,p+p̅)Pu-waste</t>
  </si>
  <si>
    <t>Pu-238(p,p+p̅)Pu-waste</t>
  </si>
  <si>
    <t>Np-237(p,p+p̅)Np-waste</t>
  </si>
  <si>
    <t>Np-236(p,p+p̅)Np-waste</t>
  </si>
  <si>
    <t>U-238(p,p+p̅)U-waste</t>
  </si>
  <si>
    <t>U-235(p,p+p̅)U-waste</t>
  </si>
  <si>
    <t>U-233(p,p+p̅)U-waste</t>
  </si>
  <si>
    <t>Pa-233(p,p+p̅)Pa-waste</t>
  </si>
  <si>
    <t>Th-232(p,p+p̅)Th-waste</t>
  </si>
  <si>
    <t>Ra-226(p,p+p̅)Ra-waste</t>
  </si>
  <si>
    <t>Po-210(p,p+p̅)Po-waste</t>
  </si>
  <si>
    <t>Bi-209(p,p+p̅)Bi-waste</t>
  </si>
  <si>
    <t>Pb-208(p,p+p̅)Pb-waste</t>
  </si>
  <si>
    <t>Au-197(p,p+p̅)Au-waste</t>
  </si>
  <si>
    <t>Pt-195(p,p+p̅)Pt-waste</t>
  </si>
  <si>
    <t>Ir-193(p,p+p̅)Ir-waste</t>
  </si>
  <si>
    <t>Ir-192(p,p+p̅)Ir-waste</t>
  </si>
  <si>
    <t>Os-192(p,p+p̅)Os-waste</t>
  </si>
  <si>
    <t>W-184(p,p+p̅)W-waste</t>
  </si>
  <si>
    <t>Hf-180(p,p+p̅)Hf-waste</t>
  </si>
  <si>
    <t>Hg-202(p,p+p̅)Hg-waste</t>
  </si>
  <si>
    <t>Cf-252(d,d+d̅)Cf-waste</t>
  </si>
  <si>
    <t>Cf-251(d,d+d̅)Cf-waste</t>
  </si>
  <si>
    <t>Cf-250(d,d+d̅)Cf-waste</t>
  </si>
  <si>
    <t>Bk-248(d,d+d̅)Bk-waste</t>
  </si>
  <si>
    <t>Bk-247(d,d+d̅)Bk-waste</t>
  </si>
  <si>
    <t>Cm-247(d,d+d̅)Cm-waste</t>
  </si>
  <si>
    <t>Cm-246(d,d+d̅)Cm-waste</t>
  </si>
  <si>
    <t>Cm-245(d,d+d̅)Cm-waste</t>
  </si>
  <si>
    <t>Cm-243(d,d+d̅)Cm-waste</t>
  </si>
  <si>
    <t>Am-243(d,d+d̅)Am-waste</t>
  </si>
  <si>
    <t>Am-242(d,d+d̅)Am-waste</t>
  </si>
  <si>
    <t>Am-241(d,d+d̅)Am-waste</t>
  </si>
  <si>
    <t>U-238(d,d+d̅)U-waste</t>
  </si>
  <si>
    <t>U-235(d,d+d̅)U-waste</t>
  </si>
  <si>
    <t>U-233(d,d+d̅)U-waste</t>
  </si>
  <si>
    <t>Th-232(d,d+d̅)Th-waste</t>
  </si>
  <si>
    <t>Ra-226(d,d+d̅)Ra-waste</t>
  </si>
  <si>
    <t>Bi-209(d,d+d̅)Bi-waste</t>
  </si>
  <si>
    <t>Au-197(d,d+d̅)Au-waste</t>
  </si>
  <si>
    <t>Ir-193(d,d+d̅)Ir-waste</t>
  </si>
  <si>
    <t>Ir-192(d,d+d̅)Ir-waste</t>
  </si>
  <si>
    <t>Os-192(d,d+d̅)Os-waste</t>
  </si>
  <si>
    <t>W-184(d,d+d̅)W-waste</t>
  </si>
  <si>
    <t>Hf-180(d,d+d̅)Hf-waste</t>
  </si>
  <si>
    <t>Hg-202(d,d+d̅)Hg-waste</t>
  </si>
  <si>
    <t>Pt-195(d,d+d̅)Pt-waste</t>
  </si>
  <si>
    <t>Pb-208(d,d+d̅)Pb-waste</t>
  </si>
  <si>
    <t>Po-210(d,d+d̅)Po-waste</t>
  </si>
  <si>
    <t>Pa-233(d,d+d̅)Pa-waste</t>
  </si>
  <si>
    <t>Np-236(d,d+d̅)Np-waste</t>
  </si>
  <si>
    <t>Np-237(d,d+d̅)Np-waste</t>
  </si>
  <si>
    <t>Pu-238(d,d+d̅)Pu-waste</t>
  </si>
  <si>
    <t>Pu-239(d,d+d̅)Pu-waste</t>
  </si>
  <si>
    <t>Pu-241(d,d+d̅)Pu-waste</t>
  </si>
  <si>
    <t>Pu-242(d,d+d̅)Pu-waste</t>
  </si>
  <si>
    <t>Mass defect (keV)</t>
  </si>
  <si>
    <t>Isotope</t>
  </si>
  <si>
    <t>Hydrogen</t>
  </si>
  <si>
    <t>Atomic Number</t>
  </si>
  <si>
    <t>Deuterium</t>
  </si>
  <si>
    <t>Tritium</t>
  </si>
  <si>
    <t>Helium 3</t>
  </si>
  <si>
    <t>Helium 4</t>
  </si>
  <si>
    <t>Lithium 6</t>
  </si>
  <si>
    <t>Lithium 7</t>
  </si>
  <si>
    <t>Beryllium 7</t>
  </si>
  <si>
    <t>Beryllium 9</t>
  </si>
  <si>
    <t>Boron 10</t>
  </si>
  <si>
    <t>Boron 11</t>
  </si>
  <si>
    <t>Carbon 12</t>
  </si>
  <si>
    <t>Carbon 13</t>
  </si>
  <si>
    <t>Carbon 14</t>
  </si>
  <si>
    <t>Beryllium 10</t>
  </si>
  <si>
    <t>Nitrogen 14</t>
  </si>
  <si>
    <t>Nitrogen 15</t>
  </si>
  <si>
    <t>Oxygen 16</t>
  </si>
  <si>
    <t>Oxygen 17</t>
  </si>
  <si>
    <t>Oxygen 18</t>
  </si>
  <si>
    <t>Fluorine 19</t>
  </si>
  <si>
    <t>Neon  20</t>
  </si>
  <si>
    <t>Neon 21</t>
  </si>
  <si>
    <t>Neon 22</t>
  </si>
  <si>
    <t>Sodium 22</t>
  </si>
  <si>
    <t>Sodium 23</t>
  </si>
  <si>
    <t>Magnesium 24</t>
  </si>
  <si>
    <t>Magnesium 25</t>
  </si>
  <si>
    <t>Magnesium 26</t>
  </si>
  <si>
    <t>Aluminium 26</t>
  </si>
  <si>
    <t>Aluminium 27</t>
  </si>
  <si>
    <t>Silicon 28</t>
  </si>
  <si>
    <t>Silicon 29</t>
  </si>
  <si>
    <t>Silicon 30</t>
  </si>
  <si>
    <t>Silicon 32</t>
  </si>
  <si>
    <t>Phosphorus 31</t>
  </si>
  <si>
    <t>Sulphur 32</t>
  </si>
  <si>
    <t>Sulphur 33</t>
  </si>
  <si>
    <t>Sulphur 34</t>
  </si>
  <si>
    <t>Sulphur 35</t>
  </si>
  <si>
    <t>Sulphur 36</t>
  </si>
  <si>
    <t>Chlorine 35</t>
  </si>
  <si>
    <t>Chlorine 36</t>
  </si>
  <si>
    <t>Chlorine 37</t>
  </si>
  <si>
    <t>Argon 36</t>
  </si>
  <si>
    <t>Argon 37</t>
  </si>
  <si>
    <t>Argon 38</t>
  </si>
  <si>
    <t>Argon 39</t>
  </si>
  <si>
    <t>Argon 40</t>
  </si>
  <si>
    <t>Argon 42</t>
  </si>
  <si>
    <t>Potassium 39</t>
  </si>
  <si>
    <t>Potassium 40</t>
  </si>
  <si>
    <t>Potassium 41</t>
  </si>
  <si>
    <t>Calcium 40</t>
  </si>
  <si>
    <t>Calcium 41</t>
  </si>
  <si>
    <t>Calcium 42</t>
  </si>
  <si>
    <t>Calcium 43</t>
  </si>
  <si>
    <t>Calcium 44</t>
  </si>
  <si>
    <t>Calcium 48</t>
  </si>
  <si>
    <t>Scandium 45</t>
  </si>
  <si>
    <t>Titanium 46</t>
  </si>
  <si>
    <t>Titanium 47</t>
  </si>
  <si>
    <t>Titanium 48</t>
  </si>
  <si>
    <t>Titanium 49</t>
  </si>
  <si>
    <t>Titanium 50</t>
  </si>
  <si>
    <t>Vanadium 50</t>
  </si>
  <si>
    <t>Vanadium 51</t>
  </si>
  <si>
    <t>Chromium 50</t>
  </si>
  <si>
    <t>Chromium 52</t>
  </si>
  <si>
    <t>Chromium 53</t>
  </si>
  <si>
    <t>Chromium 54</t>
  </si>
  <si>
    <t>Manganese 55</t>
  </si>
  <si>
    <t>Iron 54</t>
  </si>
  <si>
    <t>Iron 56</t>
  </si>
  <si>
    <t>Iron 57</t>
  </si>
  <si>
    <t>Iron 58</t>
  </si>
  <si>
    <t>Cobalt 59</t>
  </si>
  <si>
    <t>Cobalt 60</t>
  </si>
  <si>
    <t>Nickel 58</t>
  </si>
  <si>
    <t>Nickel 59</t>
  </si>
  <si>
    <t>Nickel 60</t>
  </si>
  <si>
    <t>Nickel 61</t>
  </si>
  <si>
    <t>Nickel 62</t>
  </si>
  <si>
    <t>Nickel 64</t>
  </si>
  <si>
    <t>Copper 63</t>
  </si>
  <si>
    <t>Copper 65</t>
  </si>
  <si>
    <t>Zinc 64</t>
  </si>
  <si>
    <t>Zinc 65</t>
  </si>
  <si>
    <t>Zinc 66</t>
  </si>
  <si>
    <t>Zinc 67</t>
  </si>
  <si>
    <t>Zinc 68</t>
  </si>
  <si>
    <t>Zinc 70</t>
  </si>
  <si>
    <t>Gallium 69</t>
  </si>
  <si>
    <t>Gallium 71</t>
  </si>
  <si>
    <t>Germanium 70</t>
  </si>
  <si>
    <t>Germanium 72</t>
  </si>
  <si>
    <t>Germanium 73</t>
  </si>
  <si>
    <t>Germanium 74</t>
  </si>
  <si>
    <t>Germanium 76</t>
  </si>
  <si>
    <t>Arsenic 75</t>
  </si>
  <si>
    <t>Selenium 80</t>
  </si>
  <si>
    <t>Bromine 79</t>
  </si>
  <si>
    <t>Bromine 81</t>
  </si>
  <si>
    <t>Krypton 84</t>
  </si>
  <si>
    <t>Rubidium 85</t>
  </si>
  <si>
    <t>Strontium 84</t>
  </si>
  <si>
    <t>Strontium 86</t>
  </si>
  <si>
    <t>Strontium 87</t>
  </si>
  <si>
    <t>Strontium 88</t>
  </si>
  <si>
    <t>Strontium 90</t>
  </si>
  <si>
    <t>Yttrium 89</t>
  </si>
  <si>
    <t>Zirconium 90</t>
  </si>
  <si>
    <t>Zirconium 91</t>
  </si>
  <si>
    <t>Zirconium 92</t>
  </si>
  <si>
    <t>Zirconium 93</t>
  </si>
  <si>
    <t>Zirconium 94</t>
  </si>
  <si>
    <t>Zirconium 96</t>
  </si>
  <si>
    <t>Niobium 93</t>
  </si>
  <si>
    <t>Molybdenum 92</t>
  </si>
  <si>
    <t>Molybdenum 94</t>
  </si>
  <si>
    <t>Molybdenum 95</t>
  </si>
  <si>
    <t>Molybdenum 96</t>
  </si>
  <si>
    <t>Molybdenum 97</t>
  </si>
  <si>
    <t>Molybdenum 98</t>
  </si>
  <si>
    <t>Molybdenum 100</t>
  </si>
  <si>
    <t>Technetium 98</t>
  </si>
  <si>
    <t>Technetium 99</t>
  </si>
  <si>
    <t>Ruthenium 96</t>
  </si>
  <si>
    <t>Ruthenium 98</t>
  </si>
  <si>
    <t>Ruthenium 99</t>
  </si>
  <si>
    <t>Ruthenium 100</t>
  </si>
  <si>
    <t>Ruthenium 101</t>
  </si>
  <si>
    <t>Ruthenium 102</t>
  </si>
  <si>
    <t>Ruthenium 104</t>
  </si>
  <si>
    <t>Ruthenium 106</t>
  </si>
  <si>
    <t>Rhodium  103</t>
  </si>
  <si>
    <t>Palladium 106</t>
  </si>
  <si>
    <t>Silver 107</t>
  </si>
  <si>
    <t>Silver 109</t>
  </si>
  <si>
    <t>Cadmium 114</t>
  </si>
  <si>
    <t>Indium 113</t>
  </si>
  <si>
    <t>Indium 115</t>
  </si>
  <si>
    <t>Tin 112</t>
  </si>
  <si>
    <t>Tin 114</t>
  </si>
  <si>
    <t>Tin 115</t>
  </si>
  <si>
    <t>Tin 116</t>
  </si>
  <si>
    <t>Tin 117</t>
  </si>
  <si>
    <t>Tin 118</t>
  </si>
  <si>
    <t>Tin 119</t>
  </si>
  <si>
    <t>Tin 120</t>
  </si>
  <si>
    <t>Tin 122</t>
  </si>
  <si>
    <t>Tin 124</t>
  </si>
  <si>
    <t>Antimony 121</t>
  </si>
  <si>
    <t>Antimony 123</t>
  </si>
  <si>
    <t>Tellurium 120</t>
  </si>
  <si>
    <t>Tellurium 122</t>
  </si>
  <si>
    <t>Tellurium 123</t>
  </si>
  <si>
    <t>Tellurium 124</t>
  </si>
  <si>
    <t>Tellurium 125</t>
  </si>
  <si>
    <t>Tellurium 126</t>
  </si>
  <si>
    <t>Tellurium 128</t>
  </si>
  <si>
    <t>Tellurium 130</t>
  </si>
  <si>
    <t>Iodine 127</t>
  </si>
  <si>
    <t>Iodine 129</t>
  </si>
  <si>
    <t>Xenon 124</t>
  </si>
  <si>
    <t>Xenon126</t>
  </si>
  <si>
    <t>Xenon 128</t>
  </si>
  <si>
    <t>Xenon 129</t>
  </si>
  <si>
    <t>Xenon 130</t>
  </si>
  <si>
    <t>Xenon 131</t>
  </si>
  <si>
    <t>Xenon 132</t>
  </si>
  <si>
    <t>Xenon 134</t>
  </si>
  <si>
    <t>Xenon 136</t>
  </si>
  <si>
    <t>Caesium 133</t>
  </si>
  <si>
    <t>Caesium 135</t>
  </si>
  <si>
    <t>Caesium 137</t>
  </si>
  <si>
    <t>Barium 130</t>
  </si>
  <si>
    <t>Barium 132</t>
  </si>
  <si>
    <t>Barium 134</t>
  </si>
  <si>
    <t>Barium 135</t>
  </si>
  <si>
    <t>Barium 136</t>
  </si>
  <si>
    <t>Barium 137</t>
  </si>
  <si>
    <t>Barium 138</t>
  </si>
  <si>
    <t>Lanthanum 138</t>
  </si>
  <si>
    <t>Lanthanum 139</t>
  </si>
  <si>
    <t>Cerium 140</t>
  </si>
  <si>
    <t>Praseodymium 141</t>
  </si>
  <si>
    <t>Neodymium 142</t>
  </si>
  <si>
    <t>Neodymium 143</t>
  </si>
  <si>
    <t>Neodymium 144</t>
  </si>
  <si>
    <t>Neodymium 145</t>
  </si>
  <si>
    <t>Neodymium 146</t>
  </si>
  <si>
    <t>Neodymium 148</t>
  </si>
  <si>
    <t>Neodymium 150</t>
  </si>
  <si>
    <t>Promethium 145</t>
  </si>
  <si>
    <t>Promethium 146</t>
  </si>
  <si>
    <t>Promethium 147</t>
  </si>
  <si>
    <t>Samarium 144</t>
  </si>
  <si>
    <t>Samarium 147</t>
  </si>
  <si>
    <t>Samarium 148</t>
  </si>
  <si>
    <t>Samarium 149</t>
  </si>
  <si>
    <t>Samarium 150</t>
  </si>
  <si>
    <t>Samarium 152</t>
  </si>
  <si>
    <t>Samarium 154</t>
  </si>
  <si>
    <t>Europium 151</t>
  </si>
  <si>
    <t>Europium 153</t>
  </si>
  <si>
    <t>Europium 155</t>
  </si>
  <si>
    <t>Gadolinium 152</t>
  </si>
  <si>
    <t>Gadolinium 154</t>
  </si>
  <si>
    <t>Gadolinium 155</t>
  </si>
  <si>
    <t>Gadolinium 156</t>
  </si>
  <si>
    <t>Gadolinium 157</t>
  </si>
  <si>
    <t>Gadolinium 158</t>
  </si>
  <si>
    <t>Gadolinium 160</t>
  </si>
  <si>
    <t>Terbium 159</t>
  </si>
  <si>
    <t>Dysprosium 156</t>
  </si>
  <si>
    <t>Dysprosium 158</t>
  </si>
  <si>
    <t>Dysprosium 160</t>
  </si>
  <si>
    <t>Dysprosium 161</t>
  </si>
  <si>
    <t>Dysprosium 162</t>
  </si>
  <si>
    <t>Dysprosium 163</t>
  </si>
  <si>
    <t>Dysprosium 164</t>
  </si>
  <si>
    <t>Holmium 165</t>
  </si>
  <si>
    <t>Erbium 166</t>
  </si>
  <si>
    <t>Erbium 167</t>
  </si>
  <si>
    <t>Erbium 168</t>
  </si>
  <si>
    <t>Erbium 170</t>
  </si>
  <si>
    <t>Thulium 169</t>
  </si>
  <si>
    <t>Ytterbium 168</t>
  </si>
  <si>
    <t>Ytterbium 170</t>
  </si>
  <si>
    <t>Ytterbium 171</t>
  </si>
  <si>
    <t>Ytterbium 172</t>
  </si>
  <si>
    <t>Ytterbium 173</t>
  </si>
  <si>
    <t>Ytterbium 174</t>
  </si>
  <si>
    <t>Ytterbium 176</t>
  </si>
  <si>
    <t>Lutetium 175</t>
  </si>
  <si>
    <t>Lutetium 176</t>
  </si>
  <si>
    <t>Hafnium 174</t>
  </si>
  <si>
    <t>Hafnium 176</t>
  </si>
  <si>
    <t>Hafnium 177</t>
  </si>
  <si>
    <t>Hafnium 179</t>
  </si>
  <si>
    <t>Hafnium 180</t>
  </si>
  <si>
    <t>Hafnium 182</t>
  </si>
  <si>
    <t>Tantalum 181</t>
  </si>
  <si>
    <t>Tungsten 180</t>
  </si>
  <si>
    <t>Tungsten 181</t>
  </si>
  <si>
    <t>Tungsten 182</t>
  </si>
  <si>
    <t>Tungsten 183</t>
  </si>
  <si>
    <t>Tungsten 184</t>
  </si>
  <si>
    <t>Tungsten 185</t>
  </si>
  <si>
    <t>Tungsten 186</t>
  </si>
  <si>
    <t>Rhenium 185</t>
  </si>
  <si>
    <t>Rhenium 187</t>
  </si>
  <si>
    <t>Osmium 184</t>
  </si>
  <si>
    <t>Osmium 186</t>
  </si>
  <si>
    <t>Osmium 187</t>
  </si>
  <si>
    <t>Osmium 188</t>
  </si>
  <si>
    <t>Osmium 189</t>
  </si>
  <si>
    <t>Osmium 190</t>
  </si>
  <si>
    <t>Osmium 192</t>
  </si>
  <si>
    <t>Iridium 191</t>
  </si>
  <si>
    <t>Iridium 192</t>
  </si>
  <si>
    <t>Iridium 193</t>
  </si>
  <si>
    <t>Platinum 192</t>
  </si>
  <si>
    <t>Platinum 195</t>
  </si>
  <si>
    <t>Platinum 196</t>
  </si>
  <si>
    <t>Platinum 198</t>
  </si>
  <si>
    <t>Mercury 196</t>
  </si>
  <si>
    <t>Mercury 198</t>
  </si>
  <si>
    <t>Mercury 199</t>
  </si>
  <si>
    <t>Mercury 202</t>
  </si>
  <si>
    <t>Thallium 203</t>
  </si>
  <si>
    <t>Thallium 205</t>
  </si>
  <si>
    <t>Lead 204</t>
  </si>
  <si>
    <t>Lead 206</t>
  </si>
  <si>
    <t>Lead 207</t>
  </si>
  <si>
    <t>Lead 208</t>
  </si>
  <si>
    <t>Lead 210</t>
  </si>
  <si>
    <t>Bismuth 209</t>
  </si>
  <si>
    <t>Polonium 209</t>
  </si>
  <si>
    <t>Polonium 210</t>
  </si>
  <si>
    <t>Radon 222</t>
  </si>
  <si>
    <t>Francium 223</t>
  </si>
  <si>
    <t>Radium 226</t>
  </si>
  <si>
    <t>Actinium 227</t>
  </si>
  <si>
    <t>Thorium 230</t>
  </si>
  <si>
    <t>Thorium 232</t>
  </si>
  <si>
    <t>Protactinium 231</t>
  </si>
  <si>
    <t>Protactinium 233</t>
  </si>
  <si>
    <t>Uranium 233</t>
  </si>
  <si>
    <t>Uranium 234</t>
  </si>
  <si>
    <t>Uranium 235</t>
  </si>
  <si>
    <t>Uranium 238</t>
  </si>
  <si>
    <t>Neptunium 236</t>
  </si>
  <si>
    <t>Neptunium 237</t>
  </si>
  <si>
    <t>Plutonium 238</t>
  </si>
  <si>
    <t>Plutonium 239</t>
  </si>
  <si>
    <t>Plutonium 241</t>
  </si>
  <si>
    <t>Plutonium 242</t>
  </si>
  <si>
    <t>Americium 241</t>
  </si>
  <si>
    <t>Americium 243</t>
  </si>
  <si>
    <t>Curium 243</t>
  </si>
  <si>
    <t>Curium 245</t>
  </si>
  <si>
    <t>Curium 246</t>
  </si>
  <si>
    <t>Curium 247</t>
  </si>
  <si>
    <t>Berkelium 247</t>
  </si>
  <si>
    <t>Berkelium 248</t>
  </si>
  <si>
    <t>Atom Mass (amu)</t>
  </si>
  <si>
    <t>Outputs</t>
  </si>
  <si>
    <t>Inputs</t>
  </si>
  <si>
    <t>None</t>
  </si>
  <si>
    <t>Atomic Mass Unit (MeV)</t>
  </si>
  <si>
    <t>Output Amounts</t>
  </si>
  <si>
    <t>Inputs Mass (Mev)</t>
  </si>
  <si>
    <t>Outputs Mass(Mev)</t>
  </si>
  <si>
    <t>Abundance</t>
  </si>
  <si>
    <t>Stable</t>
  </si>
  <si>
    <t>Half Life (Years)</t>
  </si>
  <si>
    <t>Calcium 45</t>
  </si>
  <si>
    <t>Calcium 46</t>
  </si>
  <si>
    <t>Scandium 46</t>
  </si>
  <si>
    <t>Titanium 44</t>
  </si>
  <si>
    <t>Vanadium 49</t>
  </si>
  <si>
    <t>Manganese 53</t>
  </si>
  <si>
    <t>Manganese 54</t>
  </si>
  <si>
    <t>Iron 55</t>
  </si>
  <si>
    <t>Iron 59</t>
  </si>
  <si>
    <t>Iron 60</t>
  </si>
  <si>
    <t>Cobalt 56</t>
  </si>
  <si>
    <t>Cobalt 57</t>
  </si>
  <si>
    <t>Cobalt 58</t>
  </si>
  <si>
    <t>Nickel 63</t>
  </si>
  <si>
    <t>Germanium 69</t>
  </si>
  <si>
    <t>Arsenic 73</t>
  </si>
  <si>
    <t>Selenium 74</t>
  </si>
  <si>
    <t>Selenium 75</t>
  </si>
  <si>
    <t>Selenium 76</t>
  </si>
  <si>
    <t>Selenium 77</t>
  </si>
  <si>
    <t>Selenium 78</t>
  </si>
  <si>
    <t>Selenium 79</t>
  </si>
  <si>
    <t>Selenium 82</t>
  </si>
  <si>
    <t>Krypton 80</t>
  </si>
  <si>
    <t>Krypton 81</t>
  </si>
  <si>
    <t>Krypton 82</t>
  </si>
  <si>
    <t>Krypton 83</t>
  </si>
  <si>
    <t>Krypton 85</t>
  </si>
  <si>
    <t>Krypton 86</t>
  </si>
  <si>
    <t>Krypton 78</t>
  </si>
  <si>
    <t>Rubidium 83</t>
  </si>
  <si>
    <t>Rubidium 87</t>
  </si>
  <si>
    <t>Strontium 85</t>
  </si>
  <si>
    <t>Strontium 89</t>
  </si>
  <si>
    <t>Yttrium 91</t>
  </si>
  <si>
    <t>Yttrium 88</t>
  </si>
  <si>
    <t>Zirconium 88</t>
  </si>
  <si>
    <t>Zirconium 95</t>
  </si>
  <si>
    <t>Niobium 91</t>
  </si>
  <si>
    <t>Niobium 92</t>
  </si>
  <si>
    <t>Niobium 94</t>
  </si>
  <si>
    <t>Molybdenum 93</t>
  </si>
  <si>
    <t>Technetium 97</t>
  </si>
  <si>
    <t>Rhodium  101</t>
  </si>
  <si>
    <t>Rhodium  102</t>
  </si>
  <si>
    <t>Palladium 102</t>
  </si>
  <si>
    <t>Palladium 104</t>
  </si>
  <si>
    <t>Palladium 105</t>
  </si>
  <si>
    <t>Palladium 107</t>
  </si>
  <si>
    <t>Palladium 108</t>
  </si>
  <si>
    <t>Palladium 110</t>
  </si>
  <si>
    <t>Cadmium 106</t>
  </si>
  <si>
    <t>Cadmium 108</t>
  </si>
  <si>
    <t>Cadmium 109</t>
  </si>
  <si>
    <t>Cadmium 110</t>
  </si>
  <si>
    <t>Cadmium 111</t>
  </si>
  <si>
    <t>Cadmium 112</t>
  </si>
  <si>
    <t>Cadmium 113</t>
  </si>
  <si>
    <t>Cadmium 116</t>
  </si>
  <si>
    <t xml:space="preserve">4.28%	</t>
  </si>
  <si>
    <t>Tin 113</t>
  </si>
  <si>
    <t>Tin 123</t>
  </si>
  <si>
    <t>Tin 126</t>
  </si>
  <si>
    <t>Antimony 125</t>
  </si>
  <si>
    <t>Iodine 125</t>
  </si>
  <si>
    <t>Caesium 134</t>
  </si>
  <si>
    <t>Barium 133</t>
  </si>
  <si>
    <t>Lanthanum 137</t>
  </si>
  <si>
    <t>Cerium 138</t>
  </si>
  <si>
    <t>Cerium 139</t>
  </si>
  <si>
    <t>Cerium 136</t>
  </si>
  <si>
    <t>Cerium 142</t>
  </si>
  <si>
    <t>Cerium 144</t>
  </si>
  <si>
    <t>Promethium 143</t>
  </si>
  <si>
    <t>Promethium 144</t>
  </si>
  <si>
    <t>Samarium 145</t>
  </si>
  <si>
    <t>Samarium 146</t>
  </si>
  <si>
    <t>Samarium 151</t>
  </si>
  <si>
    <t>Europium 150</t>
  </si>
  <si>
    <t>Europium 148</t>
  </si>
  <si>
    <t>Europium 149</t>
  </si>
  <si>
    <t>Europium 152</t>
  </si>
  <si>
    <t>Europium 154</t>
  </si>
  <si>
    <t>Gadolinium 150</t>
  </si>
  <si>
    <t>Gadolinium 151</t>
  </si>
  <si>
    <t>Gadolinium 148</t>
  </si>
  <si>
    <t>Gadolinium 153</t>
  </si>
  <si>
    <t>Terbium 157</t>
  </si>
  <si>
    <t>Terbium 158</t>
  </si>
  <si>
    <t>Terbium 160</t>
  </si>
  <si>
    <t>Dysprosium 154</t>
  </si>
  <si>
    <t>Dysprosium 159</t>
  </si>
  <si>
    <t>Holmium 163</t>
  </si>
  <si>
    <t>Erbium 164</t>
  </si>
  <si>
    <t>Erbium 162</t>
  </si>
  <si>
    <t>Thulium 168</t>
  </si>
  <si>
    <t>Thulium 170</t>
  </si>
  <si>
    <t>Thulium 171</t>
  </si>
  <si>
    <t>Lutetium 173</t>
  </si>
  <si>
    <t>Lutetium 174</t>
  </si>
  <si>
    <t>Hafnium 172</t>
  </si>
  <si>
    <t>Hafnium 175</t>
  </si>
  <si>
    <t>Tantalum 180m</t>
  </si>
  <si>
    <t>Tantalum 179</t>
  </si>
  <si>
    <t>Tantalum 182</t>
  </si>
  <si>
    <t>Tungsten 188</t>
  </si>
  <si>
    <t xml:space="preserve">30.6%	</t>
  </si>
  <si>
    <t xml:space="preserve">28.4%	</t>
  </si>
  <si>
    <t>Rhenium 183</t>
  </si>
  <si>
    <t>Osmium 185</t>
  </si>
  <si>
    <t>Osmium 194</t>
  </si>
  <si>
    <t>Platinum 190</t>
  </si>
  <si>
    <t>Gold 195</t>
  </si>
  <si>
    <t>Mercury 194</t>
  </si>
  <si>
    <t>Thallium 204</t>
  </si>
  <si>
    <t>Lead 202</t>
  </si>
  <si>
    <t>Lead 205</t>
  </si>
  <si>
    <t>Bismuth 207</t>
  </si>
  <si>
    <t>Bismuth 208</t>
  </si>
  <si>
    <t>Polonium 208</t>
  </si>
  <si>
    <t>Astatine 211</t>
  </si>
  <si>
    <t>Radium 228</t>
  </si>
  <si>
    <t>Thorium 228</t>
  </si>
  <si>
    <t>Thorium 229</t>
  </si>
  <si>
    <t>Uranium 232</t>
  </si>
  <si>
    <t>Uranium 236</t>
  </si>
  <si>
    <t>Neptunium 235</t>
  </si>
  <si>
    <t>Plutonium 236</t>
  </si>
  <si>
    <t>Plutonium 240</t>
  </si>
  <si>
    <t>Plutonium 244</t>
  </si>
  <si>
    <t>Americium 242m</t>
  </si>
  <si>
    <t>Curium 242</t>
  </si>
  <si>
    <t>Curium 244</t>
  </si>
  <si>
    <t>Curium 248</t>
  </si>
  <si>
    <t>Curium 250</t>
  </si>
  <si>
    <t>Berkelium 249</t>
  </si>
  <si>
    <t>Einsteinium 252</t>
  </si>
  <si>
    <t>Einsteinium 254</t>
  </si>
  <si>
    <t>Fermium 257</t>
  </si>
  <si>
    <t>Mendelevium 258</t>
  </si>
  <si>
    <t>List Number</t>
  </si>
  <si>
    <t>Nuclei Mass (MeV)</t>
  </si>
  <si>
    <t>Mass Rounded (MeV)</t>
  </si>
  <si>
    <t>Gold 197</t>
  </si>
  <si>
    <t>Additional Input</t>
  </si>
  <si>
    <t>Additional Output</t>
  </si>
  <si>
    <t>Nuclei</t>
  </si>
  <si>
    <t>Mass defect Calculator and Isotope List</t>
  </si>
  <si>
    <t>Nucleosynthesis Chamber Calculator</t>
  </si>
  <si>
    <t>This calculator helps you calculate the heat and power output for the Nucleosynthesis chamber. Select your input particle (either muons or neutrons) and the input amount, then select your input coolant (either hot mercury or mercury) and the conversion efficiency of your set up (this depends on your turbine setup and efficiencies), finally input the total setup input power to see if you can break even and achieve net power!</t>
  </si>
  <si>
    <t>Accelerator Calculator</t>
  </si>
  <si>
    <t>Platinum 193</t>
  </si>
  <si>
    <t>Platinum 194</t>
  </si>
  <si>
    <t>Mercury 200</t>
  </si>
  <si>
    <t>Mercury 201</t>
  </si>
  <si>
    <t>Mercury 204</t>
  </si>
  <si>
    <t>Californium 248</t>
  </si>
  <si>
    <t>Californium 249</t>
  </si>
  <si>
    <t>Californium 250</t>
  </si>
  <si>
    <t>Californium 251</t>
  </si>
  <si>
    <t>Californium 252</t>
  </si>
  <si>
    <t>Californium 254</t>
  </si>
  <si>
    <t>This calculator helps you calculate the mass defect i.e. difference in mass between the inputs of a reaction and the outputs. This is the energy released in a reaction, if it is negative that means energy was absorbed by the reaction and thus the reaction requires that additional energy in some form most often the input particles' kinetic energy. On the left is a list of all the isotopes with half-lives greater than 50 days the isotopes in Bold are the most common isotope and the ones underlined are ones in nuclearcaft and QMD. QMD recipes generally obey the rule that if the isotope is not specified then for inputs use the most common one and for outputs if the output is any stable or practically stable (&gt; 1 billion years) then just output the most common item/fluid form. For example an iron ingot as an input is assumed to be Fe-56, an iron ingot as an output could represent any stable/practically stable iron isotope (Fe-54,56,57,58).</t>
  </si>
  <si>
    <t>2. Choose or calculate the energy released. You can choose it to be an arbitrary value but how most QMD recipes are done is by calculating the mass defect of a reaction i.e. the difference in mass between the inputs and outputs and then rounding to 3 significant figures. You can use the Mass Defect Calculator to calculate this.</t>
  </si>
  <si>
    <t>3. Choose a minimum focus value. For most recipes this is 0 but some special recipe require some like making p-doped silicon. Once you have done that you have got all the values you need to add a Target chamber recipe!</t>
  </si>
  <si>
    <t>Electron Neutrino Reactions</t>
  </si>
  <si>
    <t>If you are not using the default values of the configs you can change them here to be the ones you are using.</t>
  </si>
  <si>
    <t>triton</t>
  </si>
  <si>
    <t>calcium 48 ion</t>
  </si>
  <si>
    <t>Higgs boson</t>
  </si>
  <si>
    <t>antitriton</t>
  </si>
  <si>
    <t>Example input box</t>
  </si>
  <si>
    <t>Before you fiddle around with things you should know that the orange cells (example below) are the only one intended to be changed and are for inputs for various things. A lot of input boxes come with a handy drop down menu. You can also sort the tables how you like would like them to without worry of breaking things</t>
  </si>
  <si>
    <t>d+n-&gt;t+γ</t>
  </si>
  <si>
    <t>d̅+n̅-&gt;t̅+γ</t>
  </si>
  <si>
    <t>p+p-&gt;d+e̅+νe</t>
  </si>
  <si>
    <t>p̅+p̅-&gt;d̅+e+ν̅e̅</t>
  </si>
  <si>
    <t>p+d-&gt;h+γ</t>
  </si>
  <si>
    <t>H-3(p,n+h)</t>
  </si>
  <si>
    <t>H-2(p,γ+h)</t>
  </si>
  <si>
    <t>Ca-40(p,p+h)Ar-37(νe)Cl-37</t>
  </si>
  <si>
    <t>O-16(p,h+α)B-10</t>
  </si>
  <si>
    <t>He-4(n,2n+h)</t>
  </si>
  <si>
    <t>Al-27(n,3n+h)Na-22</t>
  </si>
  <si>
    <t>C-12(n,3n+h)Be-7</t>
  </si>
  <si>
    <t>Li-6(γ,t+h)</t>
  </si>
  <si>
    <t>Li-6(h,d)Be-7</t>
  </si>
  <si>
    <t>Co-59(h,2p)Co-60</t>
  </si>
  <si>
    <r>
      <t>C-12(h,2</t>
    </r>
    <r>
      <rPr>
        <sz val="11"/>
        <color theme="1"/>
        <rFont val="Calibri"/>
        <family val="2"/>
      </rPr>
      <t>α</t>
    </r>
    <r>
      <rPr>
        <sz val="11"/>
        <color theme="1"/>
        <rFont val="Calibri"/>
        <family val="2"/>
        <scheme val="minor"/>
      </rPr>
      <t>)Be-7</t>
    </r>
  </si>
  <si>
    <r>
      <t>Be-9(h,n+</t>
    </r>
    <r>
      <rPr>
        <sz val="11"/>
        <color theme="1"/>
        <rFont val="Calibri"/>
        <family val="2"/>
      </rPr>
      <t>α</t>
    </r>
    <r>
      <rPr>
        <sz val="11"/>
        <color theme="1"/>
        <rFont val="Calibri"/>
        <family val="2"/>
        <scheme val="minor"/>
      </rPr>
      <t>)Be-7</t>
    </r>
  </si>
  <si>
    <t>Pb-208(h,n)Po-210</t>
  </si>
  <si>
    <t>Np-237(h,n+p)Pu-238</t>
  </si>
  <si>
    <r>
      <t>Li-6(h,p+2</t>
    </r>
    <r>
      <rPr>
        <sz val="11"/>
        <color theme="1"/>
        <rFont val="Calibri"/>
        <family val="2"/>
      </rPr>
      <t>α</t>
    </r>
    <r>
      <rPr>
        <sz val="11"/>
        <color theme="1"/>
        <rFont val="Calibri"/>
        <family val="2"/>
        <scheme val="minor"/>
      </rPr>
      <t>)</t>
    </r>
  </si>
  <si>
    <r>
      <t>B-10(h,n+p+</t>
    </r>
    <r>
      <rPr>
        <sz val="11"/>
        <color theme="1"/>
        <rFont val="Calibri"/>
        <family val="2"/>
      </rPr>
      <t>α</t>
    </r>
    <r>
      <rPr>
        <sz val="11"/>
        <color theme="1"/>
        <rFont val="Calibri"/>
        <family val="2"/>
        <scheme val="minor"/>
      </rPr>
      <t>)Be-7</t>
    </r>
  </si>
  <si>
    <t>Bi-209(h,n+p)Po-210</t>
  </si>
  <si>
    <t>p̅+d̅-&gt;h̅+γ</t>
  </si>
  <si>
    <t>h+h-&gt;α+p</t>
  </si>
  <si>
    <t>h̅+h̅-&gt;α̅+p̅</t>
  </si>
  <si>
    <t>d+t+-&gt;α+n</t>
  </si>
  <si>
    <t>d̅+t̅+-&gt;α̅+n̅</t>
  </si>
  <si>
    <t>t+t-&gt;α+2n</t>
  </si>
  <si>
    <t>t̅+t̅-&gt;α̅+2n̅</t>
  </si>
  <si>
    <t>d+h-&gt;α+p</t>
  </si>
  <si>
    <t>d̅+h̅-&gt;α̅+p̅</t>
  </si>
  <si>
    <t>h+t-&gt;α+p+n</t>
  </si>
  <si>
    <t>h̅+t̅-&gt;α̅+p̅+n̅</t>
  </si>
  <si>
    <t>d+d-&gt;t+p</t>
  </si>
  <si>
    <t>d̅+d̅-&gt;t̅+p̅</t>
  </si>
  <si>
    <r>
      <t>p+p̅-&gt;4</t>
    </r>
    <r>
      <rPr>
        <sz val="11"/>
        <color theme="1"/>
        <rFont val="Calibri"/>
        <family val="2"/>
        <scheme val="minor"/>
      </rPr>
      <t xml:space="preserve">π⁺+4π⁰+4π⁻ </t>
    </r>
  </si>
  <si>
    <r>
      <t>p+n-&gt;d+</t>
    </r>
    <r>
      <rPr>
        <sz val="11"/>
        <color theme="1"/>
        <rFont val="Calibri"/>
        <family val="2"/>
        <scheme val="minor"/>
      </rPr>
      <t>γ</t>
    </r>
  </si>
  <si>
    <r>
      <t>p̅+n̅-&gt;d̅+</t>
    </r>
    <r>
      <rPr>
        <sz val="11"/>
        <color theme="1"/>
        <rFont val="Calibri"/>
        <family val="2"/>
        <scheme val="minor"/>
      </rPr>
      <t>γ</t>
    </r>
  </si>
  <si>
    <r>
      <t>h+n-&gt;</t>
    </r>
    <r>
      <rPr>
        <sz val="11"/>
        <color theme="1"/>
        <rFont val="Calibri"/>
        <family val="2"/>
        <scheme val="minor"/>
      </rPr>
      <t>α+γ</t>
    </r>
  </si>
  <si>
    <r>
      <t>h̅+n̅-&gt;</t>
    </r>
    <r>
      <rPr>
        <sz val="11"/>
        <color theme="1"/>
        <rFont val="Calibri"/>
        <family val="2"/>
        <scheme val="minor"/>
      </rPr>
      <t>α̅+γ</t>
    </r>
  </si>
  <si>
    <t xml:space="preserve">n+n̅-&gt;4π⁺+4π⁰+4π⁻ </t>
  </si>
  <si>
    <r>
      <t>e+e-&gt;2νe+2</t>
    </r>
    <r>
      <rPr>
        <sz val="11"/>
        <color theme="1"/>
        <rFont val="Calibri"/>
        <family val="2"/>
        <scheme val="minor"/>
      </rPr>
      <t>μ+2ν̅μ̅</t>
    </r>
  </si>
  <si>
    <r>
      <t>p+n̅-&gt;4</t>
    </r>
    <r>
      <rPr>
        <sz val="11"/>
        <color theme="1"/>
        <rFont val="Calibri"/>
        <family val="2"/>
        <scheme val="minor"/>
      </rPr>
      <t xml:space="preserve">π⁺+4π⁰+4π⁻ </t>
    </r>
  </si>
  <si>
    <r>
      <t>p̅+n-&gt;4</t>
    </r>
    <r>
      <rPr>
        <sz val="11"/>
        <color theme="1"/>
        <rFont val="Calibri"/>
        <family val="2"/>
        <scheme val="minor"/>
      </rPr>
      <t xml:space="preserve">π⁺+4π⁰+4π⁻ </t>
    </r>
  </si>
  <si>
    <t>e̅+e̅-&gt;2ν̅e̅+2μ̅+2νμ</t>
  </si>
  <si>
    <t>e+e̅-&gt;μ+μ̅</t>
  </si>
  <si>
    <t xml:space="preserve">p+p-&gt;2p+π⁺+π⁰+π⁻ </t>
  </si>
  <si>
    <t xml:space="preserve">p̅+p̅-&gt;2p̅+π⁺+π⁰+π⁻ </t>
  </si>
  <si>
    <r>
      <t>p+p-&gt;</t>
    </r>
    <r>
      <rPr>
        <sz val="11"/>
        <color theme="1"/>
        <rFont val="Aptos Narrow"/>
        <family val="2"/>
      </rPr>
      <t>Δ</t>
    </r>
    <r>
      <rPr>
        <sz val="11"/>
        <color theme="1"/>
        <rFont val="Calibri"/>
        <family val="2"/>
        <scheme val="minor"/>
      </rPr>
      <t>⁻ +</t>
    </r>
    <r>
      <rPr>
        <sz val="11"/>
        <color theme="1"/>
        <rFont val="Aptos Narrow"/>
        <family val="2"/>
      </rPr>
      <t>Σ</t>
    </r>
    <r>
      <rPr>
        <sz val="11"/>
        <color theme="1"/>
        <rFont val="Calibri"/>
        <family val="2"/>
        <scheme val="minor"/>
      </rPr>
      <t>⁺+K⁺+K⁻</t>
    </r>
  </si>
  <si>
    <r>
      <t>p̅+p̅-&gt;</t>
    </r>
    <r>
      <rPr>
        <sz val="11"/>
        <color theme="1"/>
        <rFont val="Aptos Narrow"/>
        <family val="2"/>
      </rPr>
      <t>Δ̅</t>
    </r>
    <r>
      <rPr>
        <sz val="11"/>
        <color theme="1"/>
        <rFont val="Calibri"/>
        <family val="2"/>
        <scheme val="minor"/>
      </rPr>
      <t>⁻ +</t>
    </r>
    <r>
      <rPr>
        <sz val="11"/>
        <color theme="1"/>
        <rFont val="Aptos Narrow"/>
        <family val="2"/>
      </rPr>
      <t>Σ̅</t>
    </r>
    <r>
      <rPr>
        <sz val="11"/>
        <color theme="1"/>
        <rFont val="Calibri"/>
        <family val="2"/>
        <scheme val="minor"/>
      </rPr>
      <t>⁺+K⁺+K⁻</t>
    </r>
  </si>
  <si>
    <r>
      <t>e+e̅-&gt;</t>
    </r>
    <r>
      <rPr>
        <sz val="11"/>
        <color theme="1"/>
        <rFont val="Aptos Narrow"/>
        <family val="2"/>
      </rPr>
      <t>τ</t>
    </r>
    <r>
      <rPr>
        <sz val="11"/>
        <color theme="1"/>
        <rFont val="Calibri"/>
        <family val="2"/>
        <scheme val="minor"/>
      </rPr>
      <t>+τ̅</t>
    </r>
  </si>
  <si>
    <t>p+p-&gt;n+Δ⁺⁺+Z</t>
  </si>
  <si>
    <t>p̅+p̅-&gt;n̅+Δ̅⁺⁺+Z</t>
  </si>
  <si>
    <r>
      <t>p+p̅-&gt;gb+W⁺+W⁻+</t>
    </r>
    <r>
      <rPr>
        <sz val="11"/>
        <color theme="1"/>
        <rFont val="Aptos Narrow"/>
        <family val="2"/>
      </rPr>
      <t>η</t>
    </r>
    <r>
      <rPr>
        <sz val="11"/>
        <color theme="1"/>
        <rFont val="Calibri"/>
        <family val="2"/>
        <scheme val="minor"/>
      </rPr>
      <t>c</t>
    </r>
  </si>
  <si>
    <t>p+p-&gt;H+Δ⁺⁺+K⁺+Σ⁻</t>
  </si>
  <si>
    <t>p̅+p̅-&gt;H+Δ̅⁺⁺+K⁻+Σ̅⁻</t>
  </si>
  <si>
    <t>Ar-40(π⁺,n+2p)Cl-37</t>
  </si>
  <si>
    <t>Cf-252(p,π⁺+π⁻)Cf-waste</t>
  </si>
  <si>
    <t>Cf-251(p,π⁺+π⁻)Cf-waste</t>
  </si>
  <si>
    <t>Cf-250(p,π⁺+π⁻)Cf-waste</t>
  </si>
  <si>
    <t>Cf-249(p,π⁺+π⁻)Cf-waste</t>
  </si>
  <si>
    <t>Bk-248(p,π⁺+π⁻)Bk-waste</t>
  </si>
  <si>
    <t>Bk-247(p,π⁺+π⁻)Bk-waste</t>
  </si>
  <si>
    <t>Cm-247(p,π⁺+π⁻)Cm-waste</t>
  </si>
  <si>
    <t>Cm-246(p,π⁺+π⁻)Cm-waste</t>
  </si>
  <si>
    <t>Cm-245(p,π⁺+π⁻)Cm-waste</t>
  </si>
  <si>
    <t>Cm-243(p,π⁺+π⁻)Cm-waste</t>
  </si>
  <si>
    <t>Am-243(p,π⁺+π⁻)Am-waste</t>
  </si>
  <si>
    <t>Am-242(p,π⁺+π⁻)Am-waste</t>
  </si>
  <si>
    <t>Am-241(p,π⁺+π⁻)Am-waste</t>
  </si>
  <si>
    <t>Pu-242(p,π⁺+π⁻)Pu-waste</t>
  </si>
  <si>
    <t>Pu-241(p,π⁺+π⁻)Pu-waste</t>
  </si>
  <si>
    <t>Pu-239(p,π⁺+π⁻)Pu-waste</t>
  </si>
  <si>
    <t>Pu-238(p,π⁺+π⁻)Pu-waste</t>
  </si>
  <si>
    <t>Np-237(p,π⁺+π⁻)Np-waste</t>
  </si>
  <si>
    <t>Np-236(p,π⁺+π⁻)Np-waste</t>
  </si>
  <si>
    <t>U-238(p,π⁺+π⁻)U-waste</t>
  </si>
  <si>
    <t>U-235(p,π⁺+π⁻)U-waste</t>
  </si>
  <si>
    <t>U-233(p,π⁺+π⁻)U-waste</t>
  </si>
  <si>
    <t>Pa-233(p,π⁺+π⁻)Pa-waste</t>
  </si>
  <si>
    <t>Th-232(p,π⁺+π⁻)Th-waste</t>
  </si>
  <si>
    <t>Ra-226(p,π⁺+π⁻)Ra-waste</t>
  </si>
  <si>
    <t>Po-210(p,π⁺+π⁻)Po-waste</t>
  </si>
  <si>
    <t>Bi-209(p,π⁺+π⁻)Bi-waste</t>
  </si>
  <si>
    <t>Pb-208(p,π⁺+π⁻)Pb-waste</t>
  </si>
  <si>
    <t>Au-197(p,π⁺+π⁻)Au-waste</t>
  </si>
  <si>
    <t>Pt-195(p,π⁺+π⁻)Pt-waste</t>
  </si>
  <si>
    <t>Ir-193(p,π⁺+π⁻)Ir-waste</t>
  </si>
  <si>
    <t>Ir-192(p,π⁺+π⁻)Ir-waste</t>
  </si>
  <si>
    <t>Os-192(p,π⁺+π⁻)Os-waste</t>
  </si>
  <si>
    <t>W-184(p,π⁺+π⁻)W-waste</t>
  </si>
  <si>
    <t>Hf-180(p,π⁺+π⁻)Hf-waste</t>
  </si>
  <si>
    <t>Hg-202(p,π⁺+π⁻)Hg-waste</t>
  </si>
  <si>
    <t>Al-27(π⁻,p+4n)Na-22</t>
  </si>
  <si>
    <t>Cf-252(p̅,π⁺+π⁻+π⁰)Cf-waste</t>
  </si>
  <si>
    <t>Cf-251(p̅,π⁺+π⁻+π⁰)Cf-waste</t>
  </si>
  <si>
    <t>Cf-250(p̅,π⁺+π⁻+π⁰)Cf-waste</t>
  </si>
  <si>
    <t>Cf-249(p̅,π⁺+π⁺+π⁰)Cf-waste</t>
  </si>
  <si>
    <t>Bk-248(p̅,π⁺+π⁻+π⁰)Bk-waste</t>
  </si>
  <si>
    <t>Bk-247(p̅,π⁺+π⁻+π⁰)Bk-waste</t>
  </si>
  <si>
    <t>Cm-247(p̅,π⁺+π⁻+π⁰)Cm-waste</t>
  </si>
  <si>
    <t>Cm-246(p̅,π⁺+π⁻+π⁰)Cm-waste</t>
  </si>
  <si>
    <t>Cm-245(p̅,π⁺+π⁻+π⁰)Cm-waste</t>
  </si>
  <si>
    <t>Cm-243(p̅,π⁺+π⁻+π⁰)Cm-waste</t>
  </si>
  <si>
    <t>Am-243(p̅,π⁺+π⁻+π⁰)Am-waste</t>
  </si>
  <si>
    <t>Am-242(p̅,π⁺+π⁻+π⁰)Am-waste</t>
  </si>
  <si>
    <t>Am-241(p̅,π⁺+π⁻+π⁰)Am-waste</t>
  </si>
  <si>
    <t>Pu-242(p̅,π⁺+π⁻+π⁰)Pu-waste</t>
  </si>
  <si>
    <t>Pu-241(p̅,π⁺+π⁻+π⁰)Pu-waste</t>
  </si>
  <si>
    <t>Pu-239(p̅,π⁺+π⁻+π⁰)Pu-waste</t>
  </si>
  <si>
    <t>Pu-238(p̅,π⁺+π⁻+π⁰)Pu-waste</t>
  </si>
  <si>
    <t>Np-237(p̅,π⁺+π⁻+π⁰)Np-waste</t>
  </si>
  <si>
    <t>Np-236(p̅,π⁺+π⁻+π⁰)Np-waste</t>
  </si>
  <si>
    <t>U-238(p̅,π⁺+π⁻+π⁰)U-waste</t>
  </si>
  <si>
    <t>U-235(p̅,π⁺+π⁻+π⁰)U-waste</t>
  </si>
  <si>
    <t>U-233(p̅,π⁺+π⁻+π⁰)U-waste</t>
  </si>
  <si>
    <t>Pa-233(p̅,π⁺+π⁻+π⁰)Pa-waste</t>
  </si>
  <si>
    <t>Th-232(p̅,π⁺+π⁻+π⁰)Th-waste</t>
  </si>
  <si>
    <t>Ra-226(p̅,π⁺+π⁻+π⁰)Ra-waste</t>
  </si>
  <si>
    <t>Po-210(p̅,π⁺+π⁻+π⁰)Po-waste</t>
  </si>
  <si>
    <t>Bi-209(p̅,π⁺+π⁻+π⁰)Bi-waste</t>
  </si>
  <si>
    <t>Pb-208(p̅,π⁺+π⁻+π⁰)Pb-waste</t>
  </si>
  <si>
    <t>Au-197(p̅,π⁺+π⁻+π⁰)Au-waste</t>
  </si>
  <si>
    <t>Pt-195(p̅,π⁺+π⁻+π⁰)Pt-waste</t>
  </si>
  <si>
    <t>Ir-193(p̅,π⁺+π⁻+π⁰)Ir-waste</t>
  </si>
  <si>
    <t>Ir-192(p̅,π⁺+π⁻+π⁰)Ir-waste</t>
  </si>
  <si>
    <t>Os-192(p̅,π⁺+π⁻+π⁰)Os-waste</t>
  </si>
  <si>
    <t>W-184(p̅,π⁺+π⁻+π⁰)W-waste</t>
  </si>
  <si>
    <t>Hf-180(p̅,π⁺+π⁻+π⁰)Hf-waste</t>
  </si>
  <si>
    <t>Hg-202(p̅,π⁺+π⁻+π⁰)Hg-waste</t>
  </si>
  <si>
    <t>Cf-252(d̅,4π⁺+4π⁻+4π⁰)Cf-waste</t>
  </si>
  <si>
    <t>Cf-251(d̅,4π⁺+4π⁻+4π⁰)Cf-waste</t>
  </si>
  <si>
    <t>Cf-250(d̅,4π⁺+4π⁻+4π⁰)Cf-waste</t>
  </si>
  <si>
    <t>Cf-249(d̅,4π⁺+4π⁻+4π⁰)Cf-waste</t>
  </si>
  <si>
    <t>Bk-248(d̅,4π⁺+4π⁻+4π⁰)Bk-waste</t>
  </si>
  <si>
    <t>Bk-247(d̅,4π⁺+4π⁻+4π⁰)Bk-waste</t>
  </si>
  <si>
    <t>Cm-247(d̅,4π⁺+4π⁻+4π⁰)Cm-waste</t>
  </si>
  <si>
    <t>Cm-246(d̅,4π⁺+4π⁻+4π⁰)Cm-waste</t>
  </si>
  <si>
    <t>Cm-245(d̅,4π⁺+4π⁻+4π⁰)Cm-waste</t>
  </si>
  <si>
    <t>Cm-243(d̅,4π⁺+4π⁻+4π⁰)Cm-waste</t>
  </si>
  <si>
    <t>Am-243(d̅,4π⁺+4π⁻+4π⁰)Am-waste</t>
  </si>
  <si>
    <t>Am-242(d̅,4π⁺+4π⁻+4π⁰)Am-waste</t>
  </si>
  <si>
    <t>Am-241(d̅,4π⁺+4π⁻+4π⁰)Am-waste</t>
  </si>
  <si>
    <t>Pu-242(d̅,4π⁺+4π⁻+4π⁰)Pu-waste</t>
  </si>
  <si>
    <t>Pu-241(d̅,4π⁺+4π⁻+4π⁰)Pu-waste</t>
  </si>
  <si>
    <t>Pu-239(d̅,4π⁺+4π⁻+4π⁰)Pu-waste</t>
  </si>
  <si>
    <t>Pu-238(d̅,4π⁺+4π⁻+4π⁰)Pu-waste</t>
  </si>
  <si>
    <t>Np-237(d̅,4π⁺+4π⁻+4π⁰)Np-waste</t>
  </si>
  <si>
    <t>Np-236(d̅,4π⁺+4π⁻+4π⁰)Np-waste</t>
  </si>
  <si>
    <t>U-238(d̅,4π⁺+4π⁻+4π⁰)U-waste</t>
  </si>
  <si>
    <t>U-235(d̅,4π⁺+4π⁻+4π⁰)U-waste</t>
  </si>
  <si>
    <t>U-233(d̅,4π⁺+4π⁻+4π⁰)U-waste</t>
  </si>
  <si>
    <t>Pa-233(d̅,4π⁺+4π⁻+4π⁰)Pa-waste</t>
  </si>
  <si>
    <t>Th-232(d̅,4π⁺+4π⁻+4π⁰)Th-waste</t>
  </si>
  <si>
    <t>Ra-226(d̅,4π⁺+4π⁻+4π⁰)Ra-waste</t>
  </si>
  <si>
    <t>Po-210(d̅,4π⁺+4π⁻+4π⁰)Po-waste</t>
  </si>
  <si>
    <t>Bi-209(d̅,4π⁺+4π⁻+4π⁰)Bi-waste</t>
  </si>
  <si>
    <t>Pb-208(d̅,4π⁺+4π⁻+4π⁰)Pb-waste</t>
  </si>
  <si>
    <t>Au-197(d̅,4π⁺+4π⁻+4π⁰)Au-waste</t>
  </si>
  <si>
    <t>Pt-195(d̅,4π⁺+4π⁻+4π⁰)Pt-waste</t>
  </si>
  <si>
    <t>Ir-193(d̅,4π⁺+4π⁻+4π⁰)Ir-waste</t>
  </si>
  <si>
    <t>Ir-192(d̅,4π⁺+4π⁻+4π⁰)Ir-waste</t>
  </si>
  <si>
    <t>Os-192(d̅,4π⁺+4π⁻+4π⁰)Os-waste</t>
  </si>
  <si>
    <t>W-184(d̅,4π⁺+4π⁻+4π⁰)W-waste</t>
  </si>
  <si>
    <t>Hf-180(d̅,4π⁺+4π⁻+4π⁰)Hf-waste</t>
  </si>
  <si>
    <t>Hg-202(d̅,4π⁺+4π⁻+4π⁰)Hg-waste</t>
  </si>
  <si>
    <t>Collision chamber stats are fairly arbitrary. The energy released is calculated as the reaction mass defect, you can use the mass defect calculator. The minimum and maximum energy are sort of chosen depending on the nature of the reaction e.g. neutron fusing with nuclei have 0 minimum energy because they aren't repelled while protons do have a higher minimum energy. For the high energy collisions that have negative released energy the minimum energy is set to 1.1x the magnitude of the energy released, the maximum energy is then just 1.5x the minimum energy and of course all rounded to 3 significant figures. Really the only thing to be carful of is if you have a negative energy released that the minimum energy is at least the magnitude of the energy released (preferably a little higher) so that you don't get negative particle energy outputs.</t>
  </si>
  <si>
    <t>n-&gt;p+e+ν̅e̅</t>
  </si>
  <si>
    <t>n̅-&gt;p̅+e̅+νe</t>
  </si>
  <si>
    <t>π⁺-&gt;μ̅+νμ</t>
  </si>
  <si>
    <t>π⁰-&gt;2γ</t>
  </si>
  <si>
    <t>π⁻-&gt;μ+ν̅μ̅</t>
  </si>
  <si>
    <t>μ-&gt;e+ν̅e̅+νμ</t>
  </si>
  <si>
    <t>μ̅-&gt;e̅+νe+ν̅μ̅</t>
  </si>
  <si>
    <t>τ-&gt;ντ+π⁰+π⁻</t>
  </si>
  <si>
    <t>τ̅-&gt;ν̅τ̅+π⁰+π⁺</t>
  </si>
  <si>
    <t>K⁺-&gt;μ̅+νμ</t>
  </si>
  <si>
    <t>K⁻-&gt;μ+ν̅μ̅</t>
  </si>
  <si>
    <t>W⁻-&gt;π⁻</t>
  </si>
  <si>
    <t>K̅⁰-&gt;π⁺+π⁻</t>
  </si>
  <si>
    <t>K⁰-&gt;π⁺+π⁻</t>
  </si>
  <si>
    <t>W⁺-&gt;π⁺</t>
  </si>
  <si>
    <t>Z-&gt;νe+ν̅e̅</t>
  </si>
  <si>
    <t>H-&gt;ηb</t>
  </si>
  <si>
    <t>η-&gt;π⁺+π⁰+π⁻</t>
  </si>
  <si>
    <t>η'-&gt;π⁺+η+π⁻</t>
  </si>
  <si>
    <t>ηc-&gt;K⁰+K̅⁰</t>
  </si>
  <si>
    <t>ηb-&gt;τ+τ̅</t>
  </si>
  <si>
    <t>t-&gt;h+e+ν̅e̅</t>
  </si>
  <si>
    <t>t̅-&gt;h̅+e̅+νe</t>
  </si>
  <si>
    <t>gb-&gt;K⁺+K⁻</t>
  </si>
  <si>
    <t>Σ⁺</t>
  </si>
  <si>
    <t>Σ⁺-&gt;p+π⁰</t>
  </si>
  <si>
    <t>Σ̅⁺-&gt;p̅+π⁰</t>
  </si>
  <si>
    <t>Σ⁻</t>
  </si>
  <si>
    <t>Σ⁻-&gt;n+π⁻</t>
  </si>
  <si>
    <t>Σ̅⁻-&gt;n̅+π⁺</t>
  </si>
  <si>
    <t>Δ⁺⁺</t>
  </si>
  <si>
    <t>Δ⁺⁺-&gt;p+π⁺</t>
  </si>
  <si>
    <t>Δ̅⁺⁺-&gt;p̅+π⁻</t>
  </si>
  <si>
    <t>Δ⁻</t>
  </si>
  <si>
    <t>Δ⁻-&gt;n+π⁻</t>
  </si>
  <si>
    <t>Δ̅⁻-&gt;n̅+π⁺</t>
  </si>
  <si>
    <t>γ-&gt;e+e̅</t>
  </si>
  <si>
    <t>γ-&gt;μ+μ̅</t>
  </si>
  <si>
    <t>Most decay chamber stats are actually based of real decay energies and branching ratios. The energy released is just the mass defect of the decay rounded to 3 significat figures, you can use the mass defect calculator for this. The cross section for the most part are the actualy branching ratio of the decay. For most recipes the minm energy is 0 becuse they are spontanus and the maxium is infity (really max long). The only exeption is the photon recipes which are really a process called pair production. Pair production requires the photon to have an energy greater than than the rest mass of the particles it produces (which is just the mass defect) so the for these recipes the minium energy is 1.1x the mass defect. The max energy is just to stop the two recipes having conflicting energy ranges and the cross section is the actal branching ratio of the pair production. Of course you can jsust set the stats of your recipes to whatever just make sure that if the energy released is negitive that the minium energy is atleast the manitue of the minium energy.</t>
  </si>
  <si>
    <t>What is this Document?</t>
  </si>
  <si>
    <t>Particle List</t>
  </si>
  <si>
    <t>Symbol</t>
  </si>
  <si>
    <t>p</t>
  </si>
  <si>
    <t>d</t>
  </si>
  <si>
    <t>t</t>
  </si>
  <si>
    <t>h</t>
  </si>
  <si>
    <t>b</t>
  </si>
  <si>
    <t>c</t>
  </si>
  <si>
    <t>e</t>
  </si>
  <si>
    <t>g</t>
  </si>
  <si>
    <t>H</t>
  </si>
  <si>
    <t>α</t>
  </si>
  <si>
    <t>B-11</t>
  </si>
  <si>
    <t>Ca-48</t>
  </si>
  <si>
    <t>νe</t>
  </si>
  <si>
    <t>μ</t>
  </si>
  <si>
    <t>νμ</t>
  </si>
  <si>
    <t>τ</t>
  </si>
  <si>
    <t>ντ</t>
  </si>
  <si>
    <t>e̅</t>
  </si>
  <si>
    <t>ν̅e̅</t>
  </si>
  <si>
    <t>μ̅</t>
  </si>
  <si>
    <t>ν̅μ̅</t>
  </si>
  <si>
    <t>τ̅</t>
  </si>
  <si>
    <t>ν̅τ̅</t>
  </si>
  <si>
    <t>p̅</t>
  </si>
  <si>
    <t>n̅</t>
  </si>
  <si>
    <t>d̅</t>
  </si>
  <si>
    <t>t̅</t>
  </si>
  <si>
    <t>h̅</t>
  </si>
  <si>
    <t>α̅</t>
  </si>
  <si>
    <t>γ</t>
  </si>
  <si>
    <t>Z</t>
  </si>
  <si>
    <t>gb</t>
  </si>
  <si>
    <t>W⁺</t>
  </si>
  <si>
    <t>W⁻</t>
  </si>
  <si>
    <t>π⁺</t>
  </si>
  <si>
    <t>π⁻</t>
  </si>
  <si>
    <t>π⁰</t>
  </si>
  <si>
    <t>K⁺</t>
  </si>
  <si>
    <t>K⁻</t>
  </si>
  <si>
    <t>K⁰</t>
  </si>
  <si>
    <t>K̅⁰</t>
  </si>
  <si>
    <t>η</t>
  </si>
  <si>
    <t>η'</t>
  </si>
  <si>
    <t>ηc</t>
  </si>
  <si>
    <t>ηb</t>
  </si>
  <si>
    <t>Δ̅⁺⁺</t>
  </si>
  <si>
    <t>Δ̅⁻</t>
  </si>
  <si>
    <t>Σ̅⁺</t>
  </si>
  <si>
    <t>Σ̅⁻</t>
  </si>
  <si>
    <t>u</t>
  </si>
  <si>
    <t>s</t>
  </si>
  <si>
    <t>b̅</t>
  </si>
  <si>
    <t>c̅</t>
  </si>
  <si>
    <t>s̅</t>
  </si>
  <si>
    <t>u̅</t>
  </si>
  <si>
    <t>Also throughout this document there is a lot of notation used. To give a brief rundown, first there are the symbols for the particles they can be seen in the particle table to the right, there is also the element symbols (look them up on a periodic table) with isotope numbers e.g. W-182 is tungsten 182. Note the symbols for deuteron and triton are the same as the symbols of the down and top quarks just note that when used the d and t refer to the deuteron and triton because quarks are basically unused in the QMD. Next there is the reaction notation an example is p+n̅-&gt;4π⁺+4π⁰+4π⁻,  this means that the inputs are a proton and an antineutron and the outputs are 4 pion pluses, 4 pion naughts and 4 pion minuses. Another reaction notation is for target chambers an example is  Al-27(p,α+n+p)Na-22 this means that the item (or fluid) input is aluminium 27 and the item (or fluid) output is sodium 22, the particle input is a proton and the particle outputs are an alpha particle, neutron and proton.</t>
  </si>
  <si>
    <t>Silicon Wafer(B-11,)P-doped silicon</t>
  </si>
  <si>
    <t>On the right is the mass defect calculator you can use it by selecting the inputs from the nuclei and particle inputs and outputs from the drop down menus, additionally you can add additional input and output masses for particle/isotopes/other not in the drop down menus. The output amounts is just a multiplier to the outputs mass used if the reaction outputs multiple of the same type. The difference mass defect is then calculated in the last column. The top is the unrounded value and the bottom is rounded to 3 significant figures which is what all default qmd recipes use.</t>
  </si>
  <si>
    <t>Electron Mass (MeV)</t>
  </si>
  <si>
    <t>C-12(p,2p)B-11</t>
  </si>
  <si>
    <t>C-12(p,p+d)B-10</t>
  </si>
  <si>
    <t>Zr-90(n,α)Sr-87</t>
  </si>
  <si>
    <t>Ba-137(n,p)Cs-137</t>
  </si>
  <si>
    <t>Cf-249(d,d+d̅)Cf-waste</t>
  </si>
  <si>
    <r>
      <t>Al-27(h,2</t>
    </r>
    <r>
      <rPr>
        <sz val="11"/>
        <color theme="1"/>
        <rFont val="Calibri"/>
        <family val="2"/>
      </rPr>
      <t>α</t>
    </r>
    <r>
      <rPr>
        <sz val="11"/>
        <color theme="1"/>
        <rFont val="Calibri"/>
        <family val="2"/>
        <scheme val="minor"/>
      </rPr>
      <t>)Na-22</t>
    </r>
  </si>
  <si>
    <t>Na-23(α,p)Mg-26</t>
  </si>
  <si>
    <r>
      <t>U-238(</t>
    </r>
    <r>
      <rPr>
        <sz val="11"/>
        <color theme="1"/>
        <rFont val="Calibri"/>
        <family val="2"/>
      </rPr>
      <t>α,4n)Pu-238</t>
    </r>
  </si>
  <si>
    <r>
      <t>Co-59(</t>
    </r>
    <r>
      <rPr>
        <sz val="11"/>
        <color theme="1"/>
        <rFont val="Calibri"/>
        <family val="2"/>
        <scheme val="minor"/>
      </rPr>
      <t>α,n+2p)Co-60</t>
    </r>
  </si>
  <si>
    <t>Triton Reactions</t>
  </si>
  <si>
    <t>Be-9(t,n)B-11</t>
  </si>
  <si>
    <t>H-3(t,2n+α)</t>
  </si>
  <si>
    <r>
      <t>C-12(t,</t>
    </r>
    <r>
      <rPr>
        <sz val="11"/>
        <color theme="1"/>
        <rFont val="Calibri"/>
        <family val="2"/>
      </rPr>
      <t>α)B-11</t>
    </r>
  </si>
  <si>
    <r>
      <t>Li-6(t,2n</t>
    </r>
    <r>
      <rPr>
        <sz val="11"/>
        <color theme="1"/>
        <rFont val="Calibri"/>
        <family val="2"/>
      </rPr>
      <t>)Be-7</t>
    </r>
  </si>
  <si>
    <t>Target Chamber</t>
  </si>
  <si>
    <t>Default Beam Recipe Time (s)</t>
  </si>
  <si>
    <t>This calculator helps you figure out what target chamber recipes your accelerator can do. On the left is the input particle settings and a list of possible target chamber reactions that input particle can do without going into an accelerator. You can also set the target chambers efficiency here too. On the right is the accelerator settings and a list of the possible reactions the output particle can do in a target chamber. To use, first select the particle type e.g. proton, alpha, etc. Then enter the input amount, input energy and input focus. These depend on where your getting your particles from it could be an existing particle beam from another accelerator or a new particle beam created by the ion source in a linear accelerator. Then after setting the input particle beam settings go over to the accelerator settings. First select the type of accelerator either linear, synchrotron or decelerator. Then enter in the accelerator stats such as length for linear or radius for synchrotron or decelerator. The computer controlled setting switches from using the redstone signal strength to control the output energy or the computer energy setting. Displayed is the Maximum output energy of the accelerator i.e. independent of redstone or computer control and the actual output energy which is dependent on those settings. Also displayed is the output focus and a error message if your input particle energy is to high or low . To the far right is the output energy of the photons from a synchrotron port if applicable and a list of the reactions that beam of photons can do.</t>
  </si>
  <si>
    <t>Efficiency</t>
  </si>
  <si>
    <t>He -&gt; LHe</t>
  </si>
  <si>
    <t>Input amount (mB)</t>
  </si>
  <si>
    <t>Recipe</t>
  </si>
  <si>
    <t>Output amount (mB)</t>
  </si>
  <si>
    <t>Base RF (RF)</t>
  </si>
  <si>
    <t>Base Heat (H)</t>
  </si>
  <si>
    <t>Hot Gas Temperature (K)</t>
  </si>
  <si>
    <t>Ne -&gt; LNe</t>
  </si>
  <si>
    <t>CAir -&gt; LAir</t>
  </si>
  <si>
    <t>Ar -&gt; LAr</t>
  </si>
  <si>
    <t>H2 -&gt; LH2</t>
  </si>
  <si>
    <t>N2 -&gt; LN2</t>
  </si>
  <si>
    <t>O2 -&gt; LO2</t>
  </si>
  <si>
    <t>Input Temperature (K)</t>
  </si>
  <si>
    <t>Output Temperature (K)</t>
  </si>
  <si>
    <t>LHe-&gt;He</t>
  </si>
  <si>
    <t>LN2-&gt;N2</t>
  </si>
  <si>
    <t>LAr-&gt;Ar</t>
  </si>
  <si>
    <t>W-&gt;CW</t>
  </si>
  <si>
    <t>Heat (H)</t>
  </si>
  <si>
    <t>Liquefier Recipes</t>
  </si>
  <si>
    <t>Liquefier Coolant Recipes</t>
  </si>
  <si>
    <t>Inversion Temperature (K)</t>
  </si>
  <si>
    <t>Pressure Coefficient</t>
  </si>
  <si>
    <t>Coolant Recipe</t>
  </si>
  <si>
    <t>Compressor to nozzle Ratio</t>
  </si>
  <si>
    <t>Pressure (Bar)</t>
  </si>
  <si>
    <t>Compressor Heat Efficiency</t>
  </si>
  <si>
    <t>Pressure Efficiency</t>
  </si>
  <si>
    <t>Heat Efficiency</t>
  </si>
  <si>
    <t>Average Energy Efficiency</t>
  </si>
  <si>
    <t>Compressor Energy Efficiency</t>
  </si>
  <si>
    <t>Energy Efficiency</t>
  </si>
  <si>
    <t>Average Heat Efficiency</t>
  </si>
  <si>
    <t>Nozzle Amount</t>
  </si>
  <si>
    <t>Compressor Amount</t>
  </si>
  <si>
    <t>Liquefier Nozzle Speed (recipes/t/bar)</t>
  </si>
  <si>
    <t>Heat Generated (H/t)</t>
  </si>
  <si>
    <t>Power Use (RF/t)</t>
  </si>
  <si>
    <t>Energy Efficiency Inverse</t>
  </si>
  <si>
    <t>Heat Efficiency Inverse</t>
  </si>
  <si>
    <t>Coolant Input (mb/t)</t>
  </si>
  <si>
    <t>Liquid Output (mB/t)</t>
  </si>
  <si>
    <t>Gas Input (mB/t)</t>
  </si>
  <si>
    <t>Coolant Output (mb/t)</t>
  </si>
  <si>
    <t>Average Heat Conductivity (H/t/K)</t>
  </si>
  <si>
    <t>Mean Temperature Difference (K)</t>
  </si>
  <si>
    <t>Coolant Temperature</t>
  </si>
  <si>
    <t>Tubes per Nozzle</t>
  </si>
  <si>
    <t>Compressors</t>
  </si>
  <si>
    <t>Nozzles</t>
  </si>
  <si>
    <t>Max Gas Input (mB/t)</t>
  </si>
  <si>
    <t>Max Liquid Output (mB/t)</t>
  </si>
  <si>
    <t>Max Heat Generated (H/t)</t>
  </si>
  <si>
    <t>Max Power Use (RF/t)</t>
  </si>
  <si>
    <t>Max Coolant Input (mb/t)</t>
  </si>
  <si>
    <t>Max Coolant Output (mb/t)</t>
  </si>
  <si>
    <t>Liquefier Calculator</t>
  </si>
  <si>
    <t>Compressor to Nozzle Ratio</t>
  </si>
  <si>
    <t>Total Tubes</t>
  </si>
  <si>
    <t xml:space="preserve">Minium Tubes per nozzle </t>
  </si>
  <si>
    <t>Minium Tubes Total Tubes for Max Output</t>
  </si>
  <si>
    <t>This excel file has a bunch of tools and calculators that can make using QMD easier. For most users the relevant sheets are the settings if you using non default QMD configs, the accelerator Calculator to help figure out how big an accelerator do you need for a specific recipe, the NSC Calculator to figure out how much heat and power your Nucleosynthesis chamber will make and the Liquefier Calculator to help figure out the size and stats of liquefiers. For users who want to look at the recipes in QMD or to create recipes that are inline with how QMD determines recipe stats then the sheets Mass defect Calculator and all the recipe sheets will be useful.</t>
  </si>
  <si>
    <t>QMD Constants (Don't Touch)</t>
  </si>
  <si>
    <t>This calculator helps you calculate the output, energy and coolant needs of a Liquefier. To use first select the recipe and coolant recipe you want to use. If the coolant you have chosen has a higher input temperature than the inversion temperature of the recipe a warning is given to tell you your coolant is not cold enough for the recipe to work. Next input the average heat end energy efficiency of the compressors used. If you are only using one type of compressor then this is just the stats listed on it but if using multiple types then this would be the weighted average of all the compressors stats. With this information you will get a graph and table on the right showing you how energy and heat efficient a liquefier with different compressor to nozzle ratios is. Next input the amount of nozzle, compressors and heat exchanger tubes per nozzle. Also input the average thermal conductivity of the tubes like the average for the compressors if you only using one tube this is just the tubes stats other wise it the weight average of stats. Now you can read off the liquefier's stats below the first row is general stats the next row is the stats using the amount of tubes you put in and the third row is the stats if the minimum (or more) tubes are used to get the max liquid output.</t>
  </si>
  <si>
    <t>Heat Exchanger Tubes</t>
  </si>
  <si>
    <t>There not a lot to making liquefier recipes and they are pretty self explanatory. The Base RF is the RF used per recipe at 100% efficiency so for lower efficiency more RF is used, same goes for the base heat. The inversion temperature is the maximum temperature the coolant can be to allow the recipe to function e.g. you can't cool He-&gt;LHe with water because 300 K is hotter than 40 K. The joule Thompson inversion temperature is an property of a gas which was looked up for these recipes. The hot Gas temperature determines the temperature difference that the heat exchanger tubes will use i.e. higher gas temperatures allow more heat to be transferred for the same tube length. The pressure coefficient determines how many compressors you need to get high efficiency, the lower the coefficient the more compressors you need. Coolant recipes are also pretty self explanatory and are just like normal heat exchanger recipes.</t>
  </si>
  <si>
    <t>Total Energy Efficiency</t>
  </si>
  <si>
    <t>Total Heat Efficiency</t>
  </si>
  <si>
    <t>Mean Compressor Energy Efficiency</t>
  </si>
  <si>
    <t>Mean Compressor Heat Efficiency</t>
  </si>
  <si>
    <t>LNe-&gt;Ne</t>
  </si>
  <si>
    <t>Ho-165(n,2n)Ho-164(νe)Dy-164</t>
  </si>
  <si>
    <t>r_0 (m)</t>
  </si>
  <si>
    <t>P-Process</t>
  </si>
  <si>
    <t>Minium Energy (keV)</t>
  </si>
  <si>
    <t>proton radius (m)</t>
  </si>
  <si>
    <t>Planck's Constant (eV*s)</t>
  </si>
  <si>
    <t>Proton Mass (Mev)</t>
  </si>
  <si>
    <t>Neutron Mass (MeV)</t>
  </si>
  <si>
    <t>Speed of light (m/s)</t>
  </si>
  <si>
    <t>Cross Section (Barn)</t>
  </si>
  <si>
    <t>For P-process look over at the default recipe text to see the meaning of the inputs then input the energy released i.e. the mass defect, p, Z, A.</t>
  </si>
  <si>
    <t>Fe-56+2p-&gt;Ni-58</t>
  </si>
  <si>
    <t>Zr-90+4p-&gt;Mo-94+2e̅+2νe</t>
  </si>
  <si>
    <t>Ag-107+9p-&gt;Sn-116+6e̅+6νe</t>
  </si>
  <si>
    <t>Ba-138+4p-&gt;Nd-142</t>
  </si>
  <si>
    <t>Nd-142+2p-&gt;Sm-144</t>
  </si>
  <si>
    <t>The scaling in this is a bit arbitrary and hand tweaked though it is based of estimating  of real cross sections though don't ask what the source is because I have long forgotten it. A1 and A2 are the atomic mass numbers of the input nuclei, Z1 and Z2 are the amount of protons in the input nuclei. The weak factor is a factor to tweak the cross section, specifically it is used to reduce the cross section of p-p fusion because it has a really low cross section because it uses a weak force interaction. It is also used to debuff the triple alpha process because that requires 3 nuclei to fuse. Ln(σ) is the estimated natural log of the real cross section this is then converted into a intermediate cross section then into the input particle amount. The muon catalyst ratio controls how many reaction each muon can do before decaying and the keV to heat ratio controls the conversion of the energy released by the reaction to usable heat. The energy released is just the mass defect of the reaction and thus was calculated with the mass defect calculator.</t>
  </si>
  <si>
    <t>Bi-209+p-&gt;Po-210</t>
  </si>
  <si>
    <t>MinEnergy (keV)</t>
  </si>
  <si>
    <t>Maximum Energy (keV)</t>
  </si>
  <si>
    <t>Coulomb factor</t>
  </si>
  <si>
    <t>NSC Mercury Heat (H/mB)</t>
  </si>
  <si>
    <t>NSC Hot Mercury Heat (H/mB)</t>
  </si>
  <si>
    <t>Turbine High Pressure Mercury Energy Density (RF/mb)</t>
  </si>
  <si>
    <t>Mercury to HPM ratio</t>
  </si>
  <si>
    <t>HPM Turbine efficency</t>
  </si>
  <si>
    <t>HPM Turbine Power (RF/t)</t>
  </si>
  <si>
    <t>HX Heat (H/t)</t>
  </si>
  <si>
    <t>HPM to EM ratio</t>
  </si>
  <si>
    <t>HX EM Heat (H/mb)</t>
  </si>
  <si>
    <t>Other Turbines Power Efficecy (RF/H)</t>
  </si>
  <si>
    <t>Other Turbine Power (RF/t)</t>
  </si>
  <si>
    <t>This is based off very simple approximations. First the radius of the target nuclei is approximated as r_0*A^(1/3) where A is the atomic mass number. Next the Ramsauer model is used to get a very rough approximation of the capture cross section in barns for a 10 MeV neutron. This model assumes the cross section is the area that a neutron the size of the thermal de Broglie thermal wavelength (at 10 MeV) hits the nucleus with the radius calculated. It not really for capture cross sections but total cross sections but it simple to calculate so I decided to use it. This is divided by 10 to give a QMD cross section.  n is the amount of neutron captures.</t>
  </si>
  <si>
    <t>P-process Heat Debuff</t>
  </si>
  <si>
    <t>R-process Heat Debuff</t>
  </si>
  <si>
    <t>Sr-88+4n -&gt; Zr-92+2e+2ν̅e</t>
  </si>
  <si>
    <t>Ru-106+3n -&gt; Ag-109+3e+3ν̅e</t>
  </si>
  <si>
    <t>Sm-152+6n -&gt; Gd-158+2e+2ν̅e</t>
  </si>
  <si>
    <t>This is based off simple approximations. First the radius of the target nuclei is approximated as r_0*A^(1/3) where A is the atomic mass number. Then the energy required to bring a proton of radius r_p to touch the nucleus is calculated from Coulomb repulsion using the charge of the nucleus Z. This is set as the minimum energy and the maximum energy is set to 10 MeV above this. Next the Ramsauer model is used to get a very rough approximation of the capture cross section in barns. This is divided by 10 to give a QMD cross section. If multiple proton captures are required then the biggest nuclei  in the chain is used for the numbers i.e. A+p-1 is used for the atomic mass number and Z+p-1 is used for the atomic number. p is the amount of proton captures. The P-process Heat Debuff is so you can't use the R-process to make power as eaisly as fusion.</t>
  </si>
  <si>
    <t>Au-197</t>
  </si>
  <si>
    <t>Hg-202</t>
  </si>
  <si>
    <t>Pt-195</t>
  </si>
  <si>
    <t>W-184</t>
  </si>
  <si>
    <t>Hf-180</t>
  </si>
  <si>
    <t>Ir-193</t>
  </si>
  <si>
    <t>Bk-247</t>
  </si>
  <si>
    <t>U-238</t>
  </si>
  <si>
    <t>Pa-231</t>
  </si>
  <si>
    <t>Th-232</t>
  </si>
  <si>
    <t>Po-210</t>
  </si>
  <si>
    <t>Bi-209</t>
  </si>
  <si>
    <t>Pb-208</t>
  </si>
  <si>
    <t>Os-192</t>
  </si>
  <si>
    <t>Ra-226</t>
  </si>
  <si>
    <t>Output Mass number</t>
  </si>
  <si>
    <t>Radium</t>
  </si>
  <si>
    <t>Polonium</t>
  </si>
  <si>
    <t>Bismuth</t>
  </si>
  <si>
    <t>Lead</t>
  </si>
  <si>
    <t>Mercury</t>
  </si>
  <si>
    <t>Gold</t>
  </si>
  <si>
    <t>Platinum</t>
  </si>
  <si>
    <t>Iridium</t>
  </si>
  <si>
    <t>Osmium</t>
  </si>
  <si>
    <t>Tungsten</t>
  </si>
  <si>
    <t>Hafnium</t>
  </si>
  <si>
    <t>Ytterbium</t>
  </si>
  <si>
    <t>Erbium</t>
  </si>
  <si>
    <t>Holmium</t>
  </si>
  <si>
    <t>Dysprosium</t>
  </si>
  <si>
    <t>Gadolinium</t>
  </si>
  <si>
    <t>Samarium</t>
  </si>
  <si>
    <t>Neodymium</t>
  </si>
  <si>
    <t>Barium</t>
  </si>
  <si>
    <t>Cross Section (mB)</t>
  </si>
  <si>
    <t>Input Cross Section (mB)</t>
  </si>
  <si>
    <t>Yield</t>
  </si>
  <si>
    <t>Thulium</t>
  </si>
  <si>
    <t>Terbium</t>
  </si>
  <si>
    <t>Europium</t>
  </si>
  <si>
    <t>Praseodymium</t>
  </si>
  <si>
    <t>Cerium</t>
  </si>
  <si>
    <t>Lanthanum</t>
  </si>
  <si>
    <t>Caesium</t>
  </si>
  <si>
    <t>Xenon</t>
  </si>
  <si>
    <t>Iodine</t>
  </si>
  <si>
    <t>Tellurium</t>
  </si>
  <si>
    <t>Antimony</t>
  </si>
  <si>
    <t>Tin</t>
  </si>
  <si>
    <t>Indium</t>
  </si>
  <si>
    <t>Cadmium</t>
  </si>
  <si>
    <t>Silver</t>
  </si>
  <si>
    <t>Palladium</t>
  </si>
  <si>
    <t>Rhodium</t>
  </si>
  <si>
    <t>Ruthenium</t>
  </si>
  <si>
    <t>Technetium</t>
  </si>
  <si>
    <t>Niobium</t>
  </si>
  <si>
    <t>Zirconium</t>
  </si>
  <si>
    <t>Yttrium</t>
  </si>
  <si>
    <t>Strontium</t>
  </si>
  <si>
    <t>Rubidium</t>
  </si>
  <si>
    <t>Krypton</t>
  </si>
  <si>
    <t>Bromine</t>
  </si>
  <si>
    <t>Selenium</t>
  </si>
  <si>
    <t>Arsenic</t>
  </si>
  <si>
    <t>I</t>
  </si>
  <si>
    <t>Iron</t>
  </si>
  <si>
    <t>Cobalt</t>
  </si>
  <si>
    <t>Nickel</t>
  </si>
  <si>
    <t>Copper</t>
  </si>
  <si>
    <t>Zinc</t>
  </si>
  <si>
    <t>Gallium</t>
  </si>
  <si>
    <t>Germanium</t>
  </si>
  <si>
    <t>Molybdenum</t>
  </si>
  <si>
    <t>Lutetium</t>
  </si>
  <si>
    <t>Tantalum</t>
  </si>
  <si>
    <t>Element Output</t>
  </si>
  <si>
    <t>Output</t>
  </si>
  <si>
    <t>Cumulative Yield</t>
  </si>
  <si>
    <t>50 MeV p+U-235-&gt; Fission +7n+195.8 MeV</t>
  </si>
  <si>
    <t>100 MeV p+Bi-209-&gt; Fission  + 8n + 141.7 MeV</t>
  </si>
  <si>
    <t>100 MeV p+Pb-208-&gt; Fission + 8n+ 134.5 MeV</t>
  </si>
  <si>
    <t>50 MeV p+Th-232-&gt; Fission + 7n+ 185.3 MeV</t>
  </si>
  <si>
    <t>50 MeV p+Cf-252-&gt; Fission + 9n+ 226.5 MeV</t>
  </si>
  <si>
    <t>100 MeV p+Hg-202-&gt; Fission +8n + 127.2 MeV</t>
  </si>
  <si>
    <t>50 MeV p+U-238-&gt; Fission +7n+ 194.8 MeV</t>
  </si>
  <si>
    <t>50 MeV p+Pu-239-&gt; Fission + 7n+ 206.3 MeV</t>
  </si>
  <si>
    <t>Sum of 8 biggest Yields</t>
  </si>
  <si>
    <t>Fission Yields</t>
  </si>
  <si>
    <t>Spallation Yields</t>
  </si>
  <si>
    <t>Output Item</t>
  </si>
  <si>
    <t>50 MeV n+U-238-&gt; Fission + 8n+ 188.1 MeV</t>
  </si>
  <si>
    <t>100 MeV n+Pb-208-&gt; Fission + 8n+ 125.1 MeV</t>
  </si>
  <si>
    <t>50 MeV n+Pu-239-&gt; Fission + 7n+ 200 MeV</t>
  </si>
  <si>
    <t>Np-237</t>
  </si>
  <si>
    <t>Pu-242</t>
  </si>
  <si>
    <t>Am-243</t>
  </si>
  <si>
    <t>Cm-246</t>
  </si>
  <si>
    <t>Cf-252</t>
  </si>
  <si>
    <t>This is how the values for the outputs for fission wastes in a fuel reprocessor were decided. The cumulative yields of isotopes was calculated  with a program called GEF found here https://www.lp2ib.in2p3.fr/nucleaire/nex/gef/ . Then the cumulative yield for each valid output is added up and then the top 8 outputs are chosen normalised so the total yield is 200 %. A few results for some heavy isotopes i.e. Th-232 and up and light isotopes i.e. Bi-209 and down were looked at and are shown here. It was found that for high energy proton induced fission e.g. 50 MeV and up, the element distributions within each group are roughly the same, neutrons give various results so were not choosen. So the results for Hg-202 was chosen for light waste and the results for U-238 for heavy waste.</t>
  </si>
  <si>
    <t>Ag-107(γ,2n)Ag-105(e̅+νe)Pd-105</t>
  </si>
  <si>
    <t>Ag-107(n,2n)Ag-106(e̅+νe)Pd-106</t>
  </si>
  <si>
    <r>
      <t>Ni-58(ν̅e̅,e̅)Co-58(e</t>
    </r>
    <r>
      <rPr>
        <sz val="11"/>
        <color theme="1"/>
        <rFont val="Calibri"/>
        <family val="2"/>
      </rPr>
      <t>̅</t>
    </r>
    <r>
      <rPr>
        <sz val="11"/>
        <color theme="1"/>
        <rFont val="Calibri"/>
        <family val="2"/>
        <scheme val="minor"/>
      </rPr>
      <t>+νe)Fe-58</t>
    </r>
  </si>
  <si>
    <t>Pb-208(p,3n)Light waste</t>
  </si>
  <si>
    <t>Bi-209(p,3n)Light waste</t>
  </si>
  <si>
    <t>Hg-202(p,3n)Light waste</t>
  </si>
  <si>
    <t>Th-232(p,3n)Heavy waste</t>
  </si>
  <si>
    <t>U-235(p,3n)Heavy waste</t>
  </si>
  <si>
    <t>U-238(p,3n)Heavy waste</t>
  </si>
  <si>
    <t>Au-197(p,3n)Light waste</t>
  </si>
  <si>
    <t>U-233(p,3n)Heavy waste</t>
  </si>
  <si>
    <t>Np-237(p,3n)Heavy waste</t>
  </si>
  <si>
    <t>Pu-239(p,3n)Heavy waste</t>
  </si>
  <si>
    <t>Pu-241(p,3n)Heavy waste</t>
  </si>
  <si>
    <t>Pu-242(p,3n)Heavy waste</t>
  </si>
  <si>
    <t>Am-241(p,4n)Heavy waste</t>
  </si>
  <si>
    <t>Am-243(p,4n)Heavy waste</t>
  </si>
  <si>
    <t>Cn-291(p,8n)Heavy waste</t>
  </si>
  <si>
    <t>Cm-243(p,4n)Heavy waste</t>
  </si>
  <si>
    <t>Cm-245(p,4n)Heavy waste</t>
  </si>
  <si>
    <t>Cm-246(p,4n)Heavy waste</t>
  </si>
  <si>
    <t>Cm-247(p,4n)Heavy waste</t>
  </si>
  <si>
    <t>Bk-247(p,5n)Heavy waste</t>
  </si>
  <si>
    <t>Bk-248(p,5n)Heavy waste</t>
  </si>
  <si>
    <t>Cf-249(p,5n)Heavy waste</t>
  </si>
  <si>
    <t>Cf-250(p,5n)Heavy waste</t>
  </si>
  <si>
    <t>Cf-251(p,5n)Heavy waste</t>
  </si>
  <si>
    <t>Cf-252(p,5n)Heavy waste</t>
  </si>
  <si>
    <t>Am-242(p,4n)Heavy waste</t>
  </si>
  <si>
    <t>Os-192(γ,n)Os-191(e+ν̅e̅)Ir-191</t>
  </si>
  <si>
    <t>Os-192(n,2n)Os-191(e+ν̅e̅)Ir-191</t>
  </si>
  <si>
    <t>Os-192(d,p)Os-193(e+ν̅e̅)Ir-193</t>
  </si>
  <si>
    <t>Os-192(h,4n)Pt-191(νe)Ir-191</t>
  </si>
  <si>
    <t>Np-236(p,3n)Heavy waste</t>
  </si>
  <si>
    <t>Default QMD recipes obey the conservation of particles specifically baryon and lepton numbers. This means there is a link between the amount of particles a recipe requires and it's cross section. Each unit of matter is defined to have a "QMD particle mole" amount of particles e.g. 1 iron ingot, 144 mB of gold and 1000 mB of helium all contain 1 particle mole of their respective atoms. Things to be careful of are molecular substances like hydrogen since each hydrogen molecule is H2 there is actually 2 particle moles of protons in 1000 mB of hydrogen.</t>
  </si>
  <si>
    <t>1. Choose a cross section. Because particle units are whole numbers, only certain values of cross section result in perfect conservation of particles, the table below has these cross sections and their corresponding input particle amount and recipe time for a default beam. Default target chamber recipes normally range from 1% to 100% but you can go lower if you want really long recipes.</t>
  </si>
  <si>
    <t>Ni-58(d,n)Cu-59(2e̅+2νe)Co-59</t>
  </si>
  <si>
    <t>Al-27(α,n)P-30(e̅+νe)Si-30</t>
  </si>
  <si>
    <t>O-16(α,n)Ne-19(e̅+νe)F-19</t>
  </si>
  <si>
    <t>Muon Antineutrino Reactions</t>
  </si>
  <si>
    <r>
      <t>Ir-192(ν̅</t>
    </r>
    <r>
      <rPr>
        <sz val="11"/>
        <color theme="1"/>
        <rFont val="Aptos Narrow"/>
        <family val="2"/>
      </rPr>
      <t>μ</t>
    </r>
    <r>
      <rPr>
        <sz val="11"/>
        <color theme="1"/>
        <rFont val="Calibri"/>
        <family val="2"/>
        <scheme val="minor"/>
      </rPr>
      <t>̅,</t>
    </r>
    <r>
      <rPr>
        <sz val="11"/>
        <color theme="1"/>
        <rFont val="Aptos Narrow"/>
        <family val="2"/>
      </rPr>
      <t>μ</t>
    </r>
    <r>
      <rPr>
        <sz val="11"/>
        <color theme="1"/>
        <rFont val="Calibri"/>
        <family val="2"/>
        <scheme val="minor"/>
      </rPr>
      <t>̅)Os-192</t>
    </r>
  </si>
  <si>
    <r>
      <t>Ni-58(ν̅μ̅,μ̅)Co-58(e</t>
    </r>
    <r>
      <rPr>
        <sz val="11"/>
        <color theme="1"/>
        <rFont val="Calibri"/>
        <family val="2"/>
      </rPr>
      <t>̅</t>
    </r>
    <r>
      <rPr>
        <sz val="11"/>
        <color theme="1"/>
        <rFont val="Calibri"/>
        <family val="2"/>
        <scheme val="minor"/>
      </rPr>
      <t>+νe)Fe-58</t>
    </r>
  </si>
  <si>
    <t>Am-242(ν̅μ̅,μ̅)Pu-242</t>
  </si>
  <si>
    <t>Cm-243(ν̅μ̅,μ̅)Am-243</t>
  </si>
  <si>
    <t>Bk-247(ν̅μ̅,μ̅)Cm-247</t>
  </si>
  <si>
    <t>Tau Antineutrino Reactions</t>
  </si>
  <si>
    <t>Ir-192(ν̅τ̅,τ̅)Os-192</t>
  </si>
  <si>
    <r>
      <t>Ni-58(ν̅τ̅,τ̅)Co-58(e</t>
    </r>
    <r>
      <rPr>
        <sz val="11"/>
        <color theme="1"/>
        <rFont val="Calibri"/>
        <family val="2"/>
      </rPr>
      <t>̅</t>
    </r>
    <r>
      <rPr>
        <sz val="11"/>
        <color theme="1"/>
        <rFont val="Calibri"/>
        <family val="2"/>
        <scheme val="minor"/>
      </rPr>
      <t>+νe)Fe-58</t>
    </r>
  </si>
  <si>
    <t>Am-242(ν̅τ̅,τ)Pu-242</t>
  </si>
  <si>
    <t>Cm-243(ν̅τ̅,τ̅)Am-243</t>
  </si>
  <si>
    <t>Bk-247(ν̅τ̅,τ)Cm-247</t>
  </si>
  <si>
    <t>Muon Neutrino Reactions</t>
  </si>
  <si>
    <r>
      <t>Cm-247(</t>
    </r>
    <r>
      <rPr>
        <sz val="11"/>
        <color theme="1"/>
        <rFont val="Calibri"/>
        <family val="2"/>
      </rPr>
      <t>ν</t>
    </r>
    <r>
      <rPr>
        <sz val="11"/>
        <color theme="1"/>
        <rFont val="Aptos Narrow"/>
        <family val="2"/>
      </rPr>
      <t>μ</t>
    </r>
    <r>
      <rPr>
        <sz val="11"/>
        <color theme="1"/>
        <rFont val="Calibri"/>
        <family val="2"/>
        <scheme val="minor"/>
      </rPr>
      <t>,μ)Bk-247</t>
    </r>
  </si>
  <si>
    <r>
      <t>Am-243(</t>
    </r>
    <r>
      <rPr>
        <sz val="11"/>
        <color theme="1"/>
        <rFont val="Calibri"/>
        <family val="2"/>
      </rPr>
      <t>νμ</t>
    </r>
    <r>
      <rPr>
        <sz val="11"/>
        <color theme="1"/>
        <rFont val="Calibri"/>
        <family val="2"/>
        <scheme val="minor"/>
      </rPr>
      <t>,μ)Cm-243</t>
    </r>
  </si>
  <si>
    <t>Pu-242(νμ,μ)Am-242</t>
  </si>
  <si>
    <r>
      <t>Os-192(</t>
    </r>
    <r>
      <rPr>
        <sz val="11"/>
        <color theme="1"/>
        <rFont val="Calibri"/>
        <family val="2"/>
      </rPr>
      <t>νμ</t>
    </r>
    <r>
      <rPr>
        <sz val="11"/>
        <color theme="1"/>
        <rFont val="Calibri"/>
        <family val="2"/>
        <scheme val="minor"/>
      </rPr>
      <t>,μ)Ir-192</t>
    </r>
  </si>
  <si>
    <t>Tau Neutrino Reactions</t>
  </si>
  <si>
    <r>
      <t>Cm-247(</t>
    </r>
    <r>
      <rPr>
        <sz val="11"/>
        <color theme="1"/>
        <rFont val="Calibri"/>
        <family val="2"/>
      </rPr>
      <t>ν</t>
    </r>
    <r>
      <rPr>
        <sz val="11"/>
        <color theme="1"/>
        <rFont val="Aptos Narrow"/>
        <family val="2"/>
      </rPr>
      <t>τ</t>
    </r>
    <r>
      <rPr>
        <sz val="11"/>
        <color theme="1"/>
        <rFont val="Calibri"/>
        <family val="2"/>
        <scheme val="minor"/>
      </rPr>
      <t>,</t>
    </r>
    <r>
      <rPr>
        <sz val="11"/>
        <color theme="1"/>
        <rFont val="Aptos Narrow"/>
        <family val="2"/>
        <charset val="1"/>
      </rPr>
      <t>τ</t>
    </r>
    <r>
      <rPr>
        <sz val="11"/>
        <color theme="1"/>
        <rFont val="Calibri"/>
        <family val="2"/>
        <scheme val="minor"/>
      </rPr>
      <t>)Bk-247</t>
    </r>
  </si>
  <si>
    <r>
      <t>Am-243(</t>
    </r>
    <r>
      <rPr>
        <sz val="11"/>
        <color theme="1"/>
        <rFont val="Calibri"/>
        <family val="2"/>
      </rPr>
      <t>ντ</t>
    </r>
    <r>
      <rPr>
        <sz val="11"/>
        <color theme="1"/>
        <rFont val="Calibri"/>
        <family val="2"/>
        <scheme val="minor"/>
      </rPr>
      <t>,τ)Cm-243</t>
    </r>
  </si>
  <si>
    <t>Pu-242(ντ,τ)Am-242</t>
  </si>
  <si>
    <r>
      <t>Os-192(</t>
    </r>
    <r>
      <rPr>
        <sz val="11"/>
        <color theme="1"/>
        <rFont val="Calibri"/>
        <family val="2"/>
      </rPr>
      <t>ντ</t>
    </r>
    <r>
      <rPr>
        <sz val="11"/>
        <color theme="1"/>
        <rFont val="Calibri"/>
        <family val="2"/>
        <scheme val="minor"/>
      </rPr>
      <t>,τ)Ir-192</t>
    </r>
  </si>
  <si>
    <t>tau antineutrino</t>
  </si>
  <si>
    <t>Mass Defect Calculator</t>
  </si>
  <si>
    <t>Legend</t>
  </si>
  <si>
    <t>Isotope in NC/QMD</t>
  </si>
  <si>
    <t>Most common Isotope</t>
  </si>
  <si>
    <t>Ne-20+Ne-20+μ -&gt;Mg-24+O-16</t>
  </si>
  <si>
    <r>
      <t>C-12+C-12+</t>
    </r>
    <r>
      <rPr>
        <sz val="11"/>
        <color theme="1"/>
        <rFont val="Calibri"/>
        <family val="2"/>
      </rPr>
      <t xml:space="preserve">μ </t>
    </r>
    <r>
      <rPr>
        <sz val="11"/>
        <color theme="1"/>
        <rFont val="Calibri"/>
        <family val="2"/>
        <scheme val="minor"/>
      </rPr>
      <t>-&gt;Na-23+H</t>
    </r>
  </si>
  <si>
    <r>
      <t>H+H+</t>
    </r>
    <r>
      <rPr>
        <sz val="11"/>
        <color theme="1"/>
        <rFont val="Calibri"/>
        <family val="2"/>
      </rPr>
      <t xml:space="preserve">μ </t>
    </r>
    <r>
      <rPr>
        <sz val="11"/>
        <color theme="1"/>
        <rFont val="Calibri"/>
        <family val="2"/>
        <scheme val="minor"/>
      </rPr>
      <t>-&gt;D+e</t>
    </r>
    <r>
      <rPr>
        <sz val="11"/>
        <color theme="1"/>
        <rFont val="Calibri"/>
        <family val="2"/>
      </rPr>
      <t>̅+ν</t>
    </r>
    <r>
      <rPr>
        <sz val="11"/>
        <color theme="1"/>
        <rFont val="Calibri"/>
        <family val="2"/>
        <scheme val="minor"/>
      </rPr>
      <t>e</t>
    </r>
  </si>
  <si>
    <r>
      <t>D+H +</t>
    </r>
    <r>
      <rPr>
        <sz val="11"/>
        <color theme="1"/>
        <rFont val="Calibri"/>
        <family val="2"/>
      </rPr>
      <t xml:space="preserve">μ </t>
    </r>
    <r>
      <rPr>
        <sz val="11"/>
        <color theme="1"/>
        <rFont val="Calibri"/>
        <family val="2"/>
        <scheme val="minor"/>
      </rPr>
      <t>-&gt;He-3</t>
    </r>
  </si>
  <si>
    <r>
      <t>He-3+He-3+</t>
    </r>
    <r>
      <rPr>
        <sz val="11"/>
        <color theme="1"/>
        <rFont val="Calibri"/>
        <family val="2"/>
      </rPr>
      <t xml:space="preserve">μ </t>
    </r>
    <r>
      <rPr>
        <sz val="11"/>
        <color theme="1"/>
        <rFont val="Calibri"/>
        <family val="2"/>
        <scheme val="minor"/>
      </rPr>
      <t>-&gt;He+2H</t>
    </r>
  </si>
  <si>
    <r>
      <t>D+T +</t>
    </r>
    <r>
      <rPr>
        <sz val="11"/>
        <color theme="1"/>
        <rFont val="Calibri"/>
        <family val="2"/>
      </rPr>
      <t xml:space="preserve">μ </t>
    </r>
    <r>
      <rPr>
        <sz val="11"/>
        <color theme="1"/>
        <rFont val="Calibri"/>
        <family val="2"/>
        <scheme val="minor"/>
      </rPr>
      <t>-&gt;He+n</t>
    </r>
  </si>
  <si>
    <t>T+T + μ -&gt;He+2n</t>
  </si>
  <si>
    <t>D+He-3+μ -&gt;He+H</t>
  </si>
  <si>
    <t>H+Li-7+μ -&gt;2He</t>
  </si>
  <si>
    <t>D+Li-6+μ -&gt;2He</t>
  </si>
  <si>
    <t>He-3+T+μ -&gt;He+H+n</t>
  </si>
  <si>
    <t>He-3+Li-6+μ -&gt;2He+H</t>
  </si>
  <si>
    <t>H+B-11+μ -&gt;3He</t>
  </si>
  <si>
    <t>H+Li-6+μ -&gt;He+He-3</t>
  </si>
  <si>
    <r>
      <t>C-12+2H+2</t>
    </r>
    <r>
      <rPr>
        <sz val="11"/>
        <color theme="1"/>
        <rFont val="Calibri"/>
        <family val="2"/>
      </rPr>
      <t xml:space="preserve">μ </t>
    </r>
    <r>
      <rPr>
        <sz val="11"/>
        <color theme="1"/>
        <rFont val="Calibri"/>
        <family val="2"/>
        <scheme val="minor"/>
      </rPr>
      <t>-&gt;N-14+e̅+νe</t>
    </r>
  </si>
  <si>
    <r>
      <t>3He +2</t>
    </r>
    <r>
      <rPr>
        <sz val="11"/>
        <color theme="1"/>
        <rFont val="Calibri"/>
        <family val="2"/>
      </rPr>
      <t xml:space="preserve">μ </t>
    </r>
    <r>
      <rPr>
        <sz val="11"/>
        <color theme="1"/>
        <rFont val="Calibri"/>
        <family val="2"/>
        <scheme val="minor"/>
      </rPr>
      <t>-&gt;C-12</t>
    </r>
  </si>
  <si>
    <r>
      <t>O-16+He+</t>
    </r>
    <r>
      <rPr>
        <sz val="11"/>
        <color theme="1"/>
        <rFont val="Calibri"/>
        <family val="2"/>
      </rPr>
      <t xml:space="preserve">μ </t>
    </r>
    <r>
      <rPr>
        <sz val="11"/>
        <color theme="1"/>
        <rFont val="Calibri"/>
        <family val="2"/>
        <scheme val="minor"/>
      </rPr>
      <t>-&gt;Ne-20</t>
    </r>
  </si>
  <si>
    <r>
      <t>C-12+He+</t>
    </r>
    <r>
      <rPr>
        <sz val="11"/>
        <color theme="1"/>
        <rFont val="Calibri"/>
        <family val="2"/>
      </rPr>
      <t xml:space="preserve">μ </t>
    </r>
    <r>
      <rPr>
        <sz val="11"/>
        <color theme="1"/>
        <rFont val="Calibri"/>
        <family val="2"/>
        <scheme val="minor"/>
      </rPr>
      <t>-&gt;O-16</t>
    </r>
  </si>
  <si>
    <r>
      <t>Ne-20+He+</t>
    </r>
    <r>
      <rPr>
        <sz val="11"/>
        <color theme="1"/>
        <rFont val="Calibri"/>
        <family val="2"/>
      </rPr>
      <t xml:space="preserve">μ </t>
    </r>
    <r>
      <rPr>
        <sz val="11"/>
        <color theme="1"/>
        <rFont val="Calibri"/>
        <family val="2"/>
        <scheme val="minor"/>
      </rPr>
      <t>-&gt;Mg-24</t>
    </r>
  </si>
  <si>
    <r>
      <t>Mg-24+He+</t>
    </r>
    <r>
      <rPr>
        <sz val="11"/>
        <color theme="1"/>
        <rFont val="Calibri"/>
        <family val="2"/>
      </rPr>
      <t xml:space="preserve">μ </t>
    </r>
    <r>
      <rPr>
        <sz val="11"/>
        <color theme="1"/>
        <rFont val="Calibri"/>
        <family val="2"/>
        <scheme val="minor"/>
      </rPr>
      <t>-&gt;Si-28</t>
    </r>
  </si>
  <si>
    <r>
      <t>Si-28+He+</t>
    </r>
    <r>
      <rPr>
        <sz val="11"/>
        <color theme="1"/>
        <rFont val="Calibri"/>
        <family val="2"/>
      </rPr>
      <t xml:space="preserve">μ </t>
    </r>
    <r>
      <rPr>
        <sz val="11"/>
        <color theme="1"/>
        <rFont val="Calibri"/>
        <family val="2"/>
        <scheme val="minor"/>
      </rPr>
      <t>-&gt;S-32</t>
    </r>
  </si>
  <si>
    <r>
      <t>S-32+He+</t>
    </r>
    <r>
      <rPr>
        <sz val="11"/>
        <color theme="1"/>
        <rFont val="Calibri"/>
        <family val="2"/>
      </rPr>
      <t xml:space="preserve">μ </t>
    </r>
    <r>
      <rPr>
        <sz val="11"/>
        <color theme="1"/>
        <rFont val="Calibri"/>
        <family val="2"/>
        <scheme val="minor"/>
      </rPr>
      <t>-&gt;Ar-36</t>
    </r>
  </si>
  <si>
    <r>
      <t>O-16+O-16+</t>
    </r>
    <r>
      <rPr>
        <sz val="11"/>
        <color theme="1"/>
        <rFont val="Calibri"/>
        <family val="2"/>
      </rPr>
      <t xml:space="preserve">μ </t>
    </r>
    <r>
      <rPr>
        <sz val="11"/>
        <color theme="1"/>
        <rFont val="Calibri"/>
        <family val="2"/>
        <scheme val="minor"/>
      </rPr>
      <t>-&gt;Si-28+He</t>
    </r>
  </si>
  <si>
    <t>This is how the values for the outputs for spallation wastes in a fuel reprocessor were decided. First the cross sections per product mass number is calculated using the program found here https://www.khschmidts-nuclear-web.eu/SPACS.html. The input of the program was chosen to be for a representative isotope for the element e.g. Pb-208 for lead, and the projectile was chosen to be a  2 GeV proton. Next the output of the program for mass numbers less than  A=227 or the target element down to A=112 was copied into the input cross section column below. Then cross sections corresponding to an item are added up and the top 6 items are chosen. The Yield is then proportional to the summed cross section of the top 6 items.</t>
  </si>
  <si>
    <t>Sum of 6 biggest Cross sections</t>
  </si>
  <si>
    <t>Zr-90(α,p)Nb-93</t>
  </si>
  <si>
    <t>Sr-88(t,2n)Y-89</t>
  </si>
  <si>
    <t>Sr-88(d,n)Y-89</t>
  </si>
  <si>
    <t>Sr-90(p,2n)Y-89</t>
  </si>
  <si>
    <t>Sr-90(α,2n)Zr-92</t>
  </si>
  <si>
    <t>Ca-48(α,2n)Ti-50</t>
  </si>
  <si>
    <t>Ti-48(α,2n)Cr-50</t>
  </si>
  <si>
    <t>Cr-52(α,p)Mn-55</t>
  </si>
  <si>
    <t>Fe-56(α,p)Co-59</t>
  </si>
  <si>
    <t>Ne-20(p,2p)F-19</t>
  </si>
  <si>
    <t>Ne-20(α,p)Na-23</t>
  </si>
  <si>
    <t>Mg-24(α,p)Al-27</t>
  </si>
  <si>
    <t>Al-27(p,α)Mg-24</t>
  </si>
  <si>
    <t>S-32(α,p)Cl-35</t>
  </si>
  <si>
    <t>S-32(p,p+α)Si-28</t>
  </si>
  <si>
    <t>Cl-35(p,2p)S-34</t>
  </si>
  <si>
    <t>Ar-40(p,α)Cl-37</t>
  </si>
  <si>
    <t>Ar-40(α,2n)Ca-42</t>
  </si>
  <si>
    <t>Ar-40(d,n)K-41</t>
  </si>
  <si>
    <t>Cr-52(p,α+p)Ti-48</t>
  </si>
  <si>
    <t>Pd-106(d,n)Ag-107</t>
  </si>
  <si>
    <t>Nd-142(α,2n)Sm-144</t>
  </si>
  <si>
    <t>Sm-152(n,n+α)Nd-148</t>
  </si>
  <si>
    <t>Gd-158(α,2n)Dy-160</t>
  </si>
  <si>
    <t>Dy-164(t,2n)Ho-165</t>
  </si>
  <si>
    <t>Dy-164(α,2n)Er-166</t>
  </si>
  <si>
    <t>Ho-165(α,p+n)Er-167</t>
  </si>
  <si>
    <t>Yb-174(α,2n)Hf-176</t>
  </si>
  <si>
    <t>Hf-180(α,2n)W-182</t>
  </si>
  <si>
    <t>W-184(α,2n)Os-186</t>
  </si>
  <si>
    <t>Pt-195(α,p+n)Au-197</t>
  </si>
  <si>
    <t>Hg-202(α,2n)Pb-204</t>
  </si>
  <si>
    <t>Ar-40(p,p+α)S-36</t>
  </si>
  <si>
    <t>Ti-48(p,p+α)Ca-44</t>
  </si>
  <si>
    <t>Sr-90(p,p+2n)Sr-88</t>
  </si>
  <si>
    <t>Mo-98(p,2n+α)Nb-93</t>
  </si>
  <si>
    <t>Mn-55(d,n+α)Cr-52</t>
  </si>
  <si>
    <t>Mn-55(h,p+n)Fe-56</t>
  </si>
  <si>
    <t>Hafnium 178</t>
  </si>
  <si>
    <r>
      <t>Fe-56+9n -&gt; Cu-65+3e+3ν</t>
    </r>
    <r>
      <rPr>
        <sz val="11"/>
        <color theme="1"/>
        <rFont val="Calibri"/>
        <family val="2"/>
      </rPr>
      <t>̅</t>
    </r>
    <r>
      <rPr>
        <sz val="11"/>
        <color theme="1"/>
        <rFont val="Calibri"/>
        <family val="2"/>
        <scheme val="minor"/>
      </rPr>
      <t>e</t>
    </r>
  </si>
  <si>
    <t>Co-59+6n -&gt; Cu-65+2e+2ν̅e</t>
  </si>
  <si>
    <t>Ni-58 + 10n -&gt; Zn-68 +2e+2ν̅e</t>
  </si>
  <si>
    <t>Y-89+3n-&gt;Zr-92+e+ν̅e</t>
  </si>
  <si>
    <t>Sr-90+8n-&gt;Mo-98+4e+4ν̅e</t>
  </si>
  <si>
    <t>Nb-93+5n-&gt;Mo-98+e+ν̅e</t>
  </si>
  <si>
    <t>Zr-90+16n -&gt; Ru-106+4e+4ν̅e</t>
  </si>
  <si>
    <t>Pd-106+14n-&gt;Sn-120+4e+4ν̅e</t>
  </si>
  <si>
    <t>Ag-107+20n -&gt; I-127+6e+6ν̅e</t>
  </si>
  <si>
    <t>I-127+10n -&gt; Cs-137+2e+2ν̅e</t>
  </si>
  <si>
    <t>Cs-137+15n-&gt;Sm-152+7e+7ν̅e</t>
  </si>
  <si>
    <t>Ba-138+9n-&gt;Pm-147+5e+5ν̅e</t>
  </si>
  <si>
    <t>Nd-142+13n -&gt; Eu-155+3e+3ν̅e</t>
  </si>
  <si>
    <t>Pm-147+11n-&gt;Gd-158+3e+3ν̅e</t>
  </si>
  <si>
    <t>Gd-158+7n-&gt;Ho-165+3e+3ν̅e</t>
  </si>
  <si>
    <t>Eu-155+9n-&gt;Dy-164+3e+3ν̅e</t>
  </si>
  <si>
    <t>Dy-164+4n-&gt;Er-168+2e+2ν̅e</t>
  </si>
  <si>
    <t>Ho-165+13n-&gt;Hf-178+5e+5ν̅e</t>
  </si>
  <si>
    <t>Er-166+14n -&gt; Hf-180+4e+4ν̅e</t>
  </si>
  <si>
    <t>Yb-174+10n -&gt; W-184+4e+4ν̅e</t>
  </si>
  <si>
    <t>Hf-180+10n -&gt; Os-190+4e+4ν̅e</t>
  </si>
  <si>
    <t>Os-192+5n -&gt; Au-197+3e+3ν̅e</t>
  </si>
  <si>
    <t>Ir-193+4n -&gt; Au-197+2e+2ν̅e</t>
  </si>
  <si>
    <t>Pt-195+13n -&gt; Pb-208+4e+4ν̅e</t>
  </si>
  <si>
    <t>Au-197+11n -&gt; Pb-208+3e+3ν̅e</t>
  </si>
  <si>
    <t>Hg-202+7n -&gt; Bi-209+3e+3ν̅e</t>
  </si>
  <si>
    <t>Co-59+5p-&gt;Zn-64+2e̅+2νe</t>
  </si>
  <si>
    <t>Cu-63+12n -&gt; As-75+4e+4ν̅e</t>
  </si>
  <si>
    <t>As-75+9p-&gt;Sr-84+4e̅+4νe</t>
  </si>
  <si>
    <t>Sr-88+6p-&gt;Mo-94+2e̅+2νe</t>
  </si>
  <si>
    <t>Y-89+5p-&gt;Mo-94+2e̅+2νe</t>
  </si>
  <si>
    <t>Mo-98+9p-&gt;Ag-107+4e̅+4νe</t>
  </si>
  <si>
    <t>Ru-106+10p-&gt;Sn-116+4e̅+4νe</t>
  </si>
  <si>
    <t>Pd-106+10p-&gt;Sn-116 +6e̅+6νe</t>
  </si>
  <si>
    <t>Sn-120+12p-&gt;Ba-132+6e̅+6νe</t>
  </si>
  <si>
    <t>I-127+5p-&gt;Ba-132+2e̅+2νe</t>
  </si>
  <si>
    <t>Cs-137+5p-&gt;Nd-142</t>
  </si>
  <si>
    <t>Pm-147+9p-&gt;Dy-156+4e̅+4νe</t>
  </si>
  <si>
    <t>Sm-152+4p-&gt;Dy-156</t>
  </si>
  <si>
    <t>Gd-158+8p-&gt;Er-166+3e̅+4νe</t>
  </si>
  <si>
    <t>Eu-155+11p-&gt;Er-166+5e̅+6νe</t>
  </si>
  <si>
    <t>Dy-164+6p-&gt;Yb-170+e̅+2νe</t>
  </si>
  <si>
    <t>Ho-165+5p-&gt;Yb-170+e̅+2νe</t>
  </si>
  <si>
    <t>Er-166+4p-&gt;Yb-170+e̅+2νe</t>
  </si>
  <si>
    <t>Yb-174-10p-&gt;Os-184+4e̅+4νe</t>
  </si>
  <si>
    <t>Hf-180+10p-&gt;Pt-190+4e̅+4νe</t>
  </si>
  <si>
    <t>W-184+7p-&gt;Ir-191+3e̅+4νe</t>
  </si>
  <si>
    <t>Os-192+7p-&gt;Hg-199+3e̅+3νe</t>
  </si>
  <si>
    <t>Ir-193+6p-&gt;Hg-199+3e̅+3νe</t>
  </si>
  <si>
    <t>Pt-195+4p-&gt;Hg-199+2e̅+2νe</t>
  </si>
  <si>
    <t>Au-197+4p-&gt;Hg-201+2e̅+3νe</t>
  </si>
  <si>
    <t>Hg-202+4p-&gt;Pb-206+2e̅+2νe</t>
  </si>
  <si>
    <t>Pb-208+2p-&gt;Po-210</t>
  </si>
  <si>
    <r>
      <t>N-14+2H+2</t>
    </r>
    <r>
      <rPr>
        <sz val="11"/>
        <color theme="1"/>
        <rFont val="Calibri"/>
        <family val="2"/>
      </rPr>
      <t xml:space="preserve">μ </t>
    </r>
    <r>
      <rPr>
        <sz val="11"/>
        <color theme="1"/>
        <rFont val="Calibri"/>
        <family val="2"/>
        <scheme val="minor"/>
      </rPr>
      <t>-&gt;C-12+He+e̅+νe</t>
    </r>
  </si>
  <si>
    <t>W-184+11n -&gt; Pt-195+4e+4ν̅e</t>
  </si>
  <si>
    <t>Sr-90+3p-&gt;Nb-93</t>
  </si>
  <si>
    <t>Er-166(α,2n)Yb-168</t>
  </si>
  <si>
    <t>Er-166(n,p+n)Ho-165</t>
  </si>
  <si>
    <t>Ra-226+6n-&gt; Th-232+2e+2ν̅e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</si>
</sst>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_ ;[Red]\-0.00\ "/>
    <numFmt numFmtId="166" formatCode="#,##0.000"/>
    <numFmt numFmtId="167" formatCode="#,##0.00_ ;[Red]\-#,##0.00\ "/>
    <numFmt numFmtId="168" formatCode="0.000%"/>
    <numFmt numFmtId="169" formatCode="0.000"/>
    <numFmt numFmtId="170" formatCode="#,##0_ ;[Red]\-#,##0\ "/>
    <numFmt numFmtId="171" formatCode="0.0"/>
  </numFmts>
  <fonts count="21" x14ac:knownFonts="1">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sz val="11"/>
      <color theme="1"/>
      <name val="Calibri"/>
      <family val="2"/>
    </font>
    <font>
      <sz val="20"/>
      <color rgb="FF9C5700"/>
      <name val="Calibri"/>
      <family val="2"/>
      <scheme val="minor"/>
    </font>
    <font>
      <sz val="11"/>
      <color rgb="FF9C0006"/>
      <name val="Calibri"/>
      <family val="2"/>
      <scheme val="minor"/>
    </font>
    <font>
      <b/>
      <sz val="11"/>
      <color theme="1"/>
      <name val="Calibri"/>
      <family val="2"/>
      <scheme val="minor"/>
    </font>
    <font>
      <b/>
      <sz val="11"/>
      <color rgb="FF006100"/>
      <name val="Calibri"/>
      <family val="2"/>
      <scheme val="minor"/>
    </font>
    <font>
      <sz val="18"/>
      <color rgb="FF9C5700"/>
      <name val="Calibri"/>
      <family val="2"/>
      <scheme val="minor"/>
    </font>
    <font>
      <b/>
      <sz val="11"/>
      <color rgb="FFFA7D00"/>
      <name val="Calibri"/>
      <family val="2"/>
      <scheme val="minor"/>
    </font>
    <font>
      <sz val="8"/>
      <name val="Calibri"/>
      <family val="2"/>
      <scheme val="minor"/>
    </font>
    <font>
      <b/>
      <u/>
      <sz val="11"/>
      <color theme="1"/>
      <name val="Calibri"/>
      <family val="2"/>
      <scheme val="minor"/>
    </font>
    <font>
      <u/>
      <sz val="11"/>
      <color theme="1"/>
      <name val="Calibri"/>
      <family val="2"/>
      <scheme val="minor"/>
    </font>
    <font>
      <sz val="20"/>
      <color rgb="FF9C0006"/>
      <name val="Calibri"/>
      <family val="2"/>
      <scheme val="minor"/>
    </font>
    <font>
      <sz val="11"/>
      <color theme="1"/>
      <name val="Aptos Narrow"/>
      <family val="2"/>
    </font>
    <font>
      <sz val="22"/>
      <color rgb="FF9C5700"/>
      <name val="Calibri"/>
      <family val="2"/>
      <scheme val="minor"/>
    </font>
    <font>
      <sz val="11"/>
      <color rgb="FF000000"/>
      <name val="Calibri"/>
      <family val="2"/>
      <scheme val="minor"/>
    </font>
    <font>
      <sz val="11"/>
      <color theme="1"/>
      <name val="Aptos Narrow"/>
      <family val="2"/>
      <charset val="1"/>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rgb="FFFFC7CE"/>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tint="0.59999389629810485"/>
        <bgColor indexed="65"/>
      </patternFill>
    </fill>
    <fill>
      <patternFill patternType="solid">
        <fgColor theme="4" tint="0.59999389629810485"/>
        <bgColor indexed="65"/>
      </patternFill>
    </fill>
    <fill>
      <patternFill patternType="solid">
        <fgColor rgb="FFC6EFCE"/>
        <bgColor indexed="64"/>
      </patternFill>
    </fill>
  </fills>
  <borders count="2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style="thin">
        <color theme="0"/>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rgb="FF7F7F7F"/>
      </right>
      <top/>
      <bottom/>
      <diagonal/>
    </border>
    <border>
      <left style="thin">
        <color rgb="FF7F7F7F"/>
      </left>
      <right/>
      <top/>
      <bottom/>
      <diagonal/>
    </border>
  </borders>
  <cellStyleXfs count="10">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5" borderId="2" applyNumberFormat="0" applyAlignment="0" applyProtection="0"/>
    <xf numFmtId="0" fontId="1" fillId="6" borderId="3" applyNumberFormat="0" applyFont="0" applyAlignment="0" applyProtection="0"/>
    <xf numFmtId="0" fontId="8" fillId="7" borderId="0" applyNumberFormat="0" applyBorder="0" applyAlignment="0" applyProtection="0"/>
    <xf numFmtId="0" fontId="12" fillId="5" borderId="1" applyNumberFormat="0" applyAlignment="0" applyProtection="0"/>
    <xf numFmtId="0" fontId="1" fillId="10" borderId="18"/>
    <xf numFmtId="0" fontId="1" fillId="11" borderId="18"/>
  </cellStyleXfs>
  <cellXfs count="132">
    <xf numFmtId="0" fontId="0" fillId="0" borderId="0" xfId="0"/>
    <xf numFmtId="0" fontId="2" fillId="2" borderId="0" xfId="1"/>
    <xf numFmtId="0" fontId="4" fillId="4" borderId="1" xfId="3"/>
    <xf numFmtId="0" fontId="2" fillId="2" borderId="0" xfId="1" applyAlignment="1"/>
    <xf numFmtId="11" fontId="4" fillId="4" borderId="1" xfId="3" applyNumberFormat="1"/>
    <xf numFmtId="10" fontId="0" fillId="0" borderId="0" xfId="0" applyNumberFormat="1"/>
    <xf numFmtId="10" fontId="5" fillId="5" borderId="2" xfId="4" applyNumberFormat="1"/>
    <xf numFmtId="164" fontId="0" fillId="0" borderId="0" xfId="0" applyNumberFormat="1"/>
    <xf numFmtId="0" fontId="0" fillId="6" borderId="3" xfId="5" applyFont="1"/>
    <xf numFmtId="1" fontId="0" fillId="0" borderId="0" xfId="0" applyNumberFormat="1"/>
    <xf numFmtId="0" fontId="5" fillId="5" borderId="2" xfId="4"/>
    <xf numFmtId="1" fontId="5" fillId="5" borderId="2" xfId="4" applyNumberFormat="1"/>
    <xf numFmtId="0" fontId="3" fillId="3" borderId="0" xfId="2"/>
    <xf numFmtId="165" fontId="5" fillId="5" borderId="2" xfId="4" applyNumberFormat="1"/>
    <xf numFmtId="3" fontId="5" fillId="5" borderId="2" xfId="4" applyNumberFormat="1"/>
    <xf numFmtId="0" fontId="0" fillId="8" borderId="12" xfId="0" applyFill="1" applyBorder="1"/>
    <xf numFmtId="0" fontId="0" fillId="9" borderId="12" xfId="0" applyFill="1" applyBorder="1"/>
    <xf numFmtId="2" fontId="0" fillId="0" borderId="0" xfId="0" applyNumberFormat="1"/>
    <xf numFmtId="3" fontId="0" fillId="0" borderId="0" xfId="0" applyNumberFormat="1"/>
    <xf numFmtId="12" fontId="0" fillId="5" borderId="2" xfId="4" applyNumberFormat="1" applyFont="1"/>
    <xf numFmtId="0" fontId="0" fillId="5" borderId="2" xfId="4" applyFont="1"/>
    <xf numFmtId="0" fontId="10" fillId="2" borderId="13" xfId="1" applyFont="1" applyBorder="1"/>
    <xf numFmtId="0" fontId="0" fillId="8" borderId="14" xfId="0" applyFill="1" applyBorder="1"/>
    <xf numFmtId="3" fontId="0" fillId="8" borderId="15" xfId="0" applyNumberFormat="1" applyFill="1" applyBorder="1"/>
    <xf numFmtId="0" fontId="0" fillId="8" borderId="15" xfId="0" applyFill="1" applyBorder="1"/>
    <xf numFmtId="164" fontId="0" fillId="8" borderId="15" xfId="0" applyNumberFormat="1" applyFill="1" applyBorder="1"/>
    <xf numFmtId="0" fontId="0" fillId="9" borderId="16" xfId="0" applyFill="1" applyBorder="1"/>
    <xf numFmtId="3" fontId="0" fillId="9" borderId="12" xfId="0" applyNumberFormat="1" applyFill="1" applyBorder="1"/>
    <xf numFmtId="164" fontId="0" fillId="9" borderId="12" xfId="0" applyNumberFormat="1" applyFill="1" applyBorder="1"/>
    <xf numFmtId="0" fontId="0" fillId="8" borderId="16" xfId="0" applyFill="1" applyBorder="1"/>
    <xf numFmtId="3" fontId="0" fillId="8" borderId="12" xfId="0" applyNumberFormat="1" applyFill="1" applyBorder="1"/>
    <xf numFmtId="164" fontId="0" fillId="8" borderId="12" xfId="0" applyNumberFormat="1" applyFill="1" applyBorder="1"/>
    <xf numFmtId="0" fontId="10" fillId="2" borderId="0" xfId="1" applyFont="1" applyBorder="1"/>
    <xf numFmtId="0" fontId="9" fillId="0" borderId="0" xfId="0" applyFont="1"/>
    <xf numFmtId="3" fontId="9" fillId="0" borderId="0" xfId="0" applyNumberFormat="1" applyFont="1"/>
    <xf numFmtId="166" fontId="9" fillId="0" borderId="0" xfId="0" applyNumberFormat="1" applyFont="1"/>
    <xf numFmtId="0" fontId="10" fillId="2" borderId="17" xfId="1" applyFont="1" applyBorder="1"/>
    <xf numFmtId="167" fontId="9" fillId="8" borderId="15" xfId="0" applyNumberFormat="1" applyFont="1" applyFill="1" applyBorder="1"/>
    <xf numFmtId="167" fontId="9" fillId="9" borderId="12" xfId="0" applyNumberFormat="1" applyFont="1" applyFill="1" applyBorder="1"/>
    <xf numFmtId="167" fontId="9" fillId="8" borderId="12" xfId="0" applyNumberFormat="1" applyFont="1" applyFill="1" applyBorder="1"/>
    <xf numFmtId="11" fontId="0" fillId="0" borderId="0" xfId="0" applyNumberFormat="1"/>
    <xf numFmtId="0" fontId="12" fillId="5" borderId="1" xfId="7"/>
    <xf numFmtId="0" fontId="1" fillId="10" borderId="18" xfId="8"/>
    <xf numFmtId="0" fontId="1" fillId="11" borderId="18" xfId="9"/>
    <xf numFmtId="168" fontId="1" fillId="10" borderId="18" xfId="8" applyNumberFormat="1"/>
    <xf numFmtId="168" fontId="1" fillId="11" borderId="18" xfId="9" applyNumberFormat="1"/>
    <xf numFmtId="11" fontId="1" fillId="10" borderId="18" xfId="8" applyNumberFormat="1"/>
    <xf numFmtId="11" fontId="1" fillId="11" borderId="18" xfId="9" applyNumberFormat="1"/>
    <xf numFmtId="0" fontId="8" fillId="7" borderId="19" xfId="6" applyBorder="1"/>
    <xf numFmtId="0" fontId="9" fillId="10" borderId="18" xfId="8" applyFont="1"/>
    <xf numFmtId="0" fontId="14" fillId="10" borderId="18" xfId="8" applyFont="1"/>
    <xf numFmtId="0" fontId="15" fillId="10" borderId="18" xfId="8" applyFont="1"/>
    <xf numFmtId="0" fontId="15" fillId="11" borderId="18" xfId="9" applyFont="1"/>
    <xf numFmtId="0" fontId="9" fillId="11" borderId="18" xfId="9" applyFont="1"/>
    <xf numFmtId="0" fontId="14" fillId="11" borderId="18" xfId="9" applyFont="1"/>
    <xf numFmtId="0" fontId="8" fillId="7" borderId="0" xfId="6"/>
    <xf numFmtId="0" fontId="10" fillId="2" borderId="20" xfId="1" applyFont="1" applyBorder="1"/>
    <xf numFmtId="0" fontId="10" fillId="2" borderId="21" xfId="1" applyFont="1" applyBorder="1"/>
    <xf numFmtId="0" fontId="0" fillId="0" borderId="0" xfId="0" applyAlignment="1">
      <alignment wrapText="1"/>
    </xf>
    <xf numFmtId="0" fontId="10" fillId="12" borderId="0" xfId="1" applyFont="1" applyFill="1"/>
    <xf numFmtId="0" fontId="10" fillId="12" borderId="13" xfId="1" applyFont="1" applyFill="1" applyBorder="1"/>
    <xf numFmtId="0" fontId="10" fillId="12" borderId="0" xfId="1" applyFont="1" applyFill="1" applyBorder="1"/>
    <xf numFmtId="3" fontId="12" fillId="5" borderId="1" xfId="7" applyNumberFormat="1"/>
    <xf numFmtId="0" fontId="10" fillId="2" borderId="22" xfId="1" applyFont="1" applyBorder="1"/>
    <xf numFmtId="10" fontId="4" fillId="4" borderId="1" xfId="3" applyNumberFormat="1"/>
    <xf numFmtId="2" fontId="0" fillId="8" borderId="15" xfId="0" applyNumberFormat="1" applyFill="1" applyBorder="1"/>
    <xf numFmtId="2" fontId="0" fillId="9" borderId="12" xfId="0" applyNumberFormat="1" applyFill="1" applyBorder="1"/>
    <xf numFmtId="2" fontId="0" fillId="8" borderId="12" xfId="0" applyNumberFormat="1" applyFill="1" applyBorder="1"/>
    <xf numFmtId="0" fontId="2" fillId="2" borderId="21" xfId="1" applyBorder="1"/>
    <xf numFmtId="0" fontId="0" fillId="6" borderId="0" xfId="5" applyFont="1" applyBorder="1" applyAlignment="1">
      <alignment wrapText="1"/>
    </xf>
    <xf numFmtId="9" fontId="0" fillId="0" borderId="0" xfId="0" applyNumberFormat="1"/>
    <xf numFmtId="0" fontId="4" fillId="4" borderId="23" xfId="3" applyBorder="1"/>
    <xf numFmtId="0" fontId="5" fillId="5" borderId="2" xfId="4" applyNumberFormat="1"/>
    <xf numFmtId="11" fontId="19" fillId="0" borderId="0" xfId="0" applyNumberFormat="1" applyFont="1"/>
    <xf numFmtId="169" fontId="0" fillId="0" borderId="0" xfId="0" applyNumberFormat="1"/>
    <xf numFmtId="4" fontId="9" fillId="0" borderId="0" xfId="0" applyNumberFormat="1" applyFont="1"/>
    <xf numFmtId="3" fontId="0" fillId="8" borderId="14" xfId="0" applyNumberFormat="1" applyFill="1" applyBorder="1"/>
    <xf numFmtId="0" fontId="2" fillId="2" borderId="1" xfId="1" applyBorder="1"/>
    <xf numFmtId="0" fontId="4" fillId="4" borderId="19" xfId="3" applyBorder="1"/>
    <xf numFmtId="9" fontId="4" fillId="4" borderId="1" xfId="3" applyNumberFormat="1"/>
    <xf numFmtId="3" fontId="10" fillId="2" borderId="13" xfId="1" applyNumberFormat="1" applyFont="1" applyBorder="1"/>
    <xf numFmtId="170" fontId="9" fillId="8" borderId="15" xfId="0" applyNumberFormat="1" applyFont="1" applyFill="1" applyBorder="1"/>
    <xf numFmtId="170" fontId="9" fillId="9" borderId="12" xfId="0" applyNumberFormat="1" applyFont="1" applyFill="1" applyBorder="1"/>
    <xf numFmtId="167" fontId="0" fillId="9" borderId="12" xfId="0" applyNumberFormat="1" applyFill="1" applyBorder="1"/>
    <xf numFmtId="167" fontId="0" fillId="8" borderId="12" xfId="0" applyNumberFormat="1" applyFill="1" applyBorder="1"/>
    <xf numFmtId="170" fontId="9" fillId="8" borderId="12" xfId="0" applyNumberFormat="1" applyFont="1" applyFill="1" applyBorder="1"/>
    <xf numFmtId="171" fontId="9" fillId="8" borderId="15" xfId="0" applyNumberFormat="1" applyFont="1" applyFill="1" applyBorder="1"/>
    <xf numFmtId="171" fontId="9" fillId="9" borderId="12" xfId="0" applyNumberFormat="1" applyFont="1" applyFill="1" applyBorder="1"/>
    <xf numFmtId="171" fontId="9" fillId="8" borderId="12" xfId="0" applyNumberFormat="1" applyFont="1" applyFill="1" applyBorder="1"/>
    <xf numFmtId="0" fontId="4" fillId="4" borderId="1" xfId="3" applyNumberFormat="1"/>
    <xf numFmtId="164" fontId="5" fillId="5" borderId="2" xfId="4" applyNumberFormat="1"/>
    <xf numFmtId="0" fontId="3" fillId="3" borderId="0" xfId="2" applyBorder="1"/>
    <xf numFmtId="0" fontId="2" fillId="2" borderId="24" xfId="1" applyBorder="1" applyAlignment="1"/>
    <xf numFmtId="168" fontId="0" fillId="0" borderId="0" xfId="0" applyNumberFormat="1"/>
    <xf numFmtId="0" fontId="2" fillId="2" borderId="0" xfId="1" applyBorder="1" applyAlignment="1"/>
    <xf numFmtId="0" fontId="7" fillId="3" borderId="0" xfId="2" applyFont="1" applyAlignment="1">
      <alignment horizontal="center"/>
    </xf>
    <xf numFmtId="0" fontId="2" fillId="2" borderId="0" xfId="1" applyAlignment="1">
      <alignment horizontal="center"/>
    </xf>
    <xf numFmtId="0" fontId="0" fillId="6" borderId="3" xfId="5" applyFont="1" applyAlignment="1">
      <alignment horizontal="left" wrapText="1"/>
    </xf>
    <xf numFmtId="0" fontId="0" fillId="6" borderId="5" xfId="5" applyFont="1" applyBorder="1" applyAlignment="1">
      <alignment horizontal="left" wrapText="1"/>
    </xf>
    <xf numFmtId="0" fontId="0" fillId="6" borderId="6" xfId="5" applyFont="1" applyBorder="1" applyAlignment="1">
      <alignment horizontal="left" wrapText="1"/>
    </xf>
    <xf numFmtId="0" fontId="0" fillId="6" borderId="7" xfId="5" applyFont="1" applyBorder="1" applyAlignment="1">
      <alignment horizontal="left" wrapText="1"/>
    </xf>
    <xf numFmtId="0" fontId="0" fillId="6" borderId="4" xfId="5" applyFont="1" applyBorder="1" applyAlignment="1">
      <alignment horizontal="left" wrapText="1"/>
    </xf>
    <xf numFmtId="0" fontId="0" fillId="6" borderId="0" xfId="5" applyFont="1" applyBorder="1" applyAlignment="1">
      <alignment horizontal="left" wrapText="1"/>
    </xf>
    <xf numFmtId="0" fontId="0" fillId="6" borderId="8" xfId="5" applyFont="1" applyBorder="1" applyAlignment="1">
      <alignment horizontal="left" wrapText="1"/>
    </xf>
    <xf numFmtId="0" fontId="0" fillId="6" borderId="9" xfId="5" applyFont="1" applyBorder="1" applyAlignment="1">
      <alignment horizontal="left" wrapText="1"/>
    </xf>
    <xf numFmtId="0" fontId="0" fillId="6" borderId="10" xfId="5" applyFont="1" applyBorder="1" applyAlignment="1">
      <alignment horizontal="left" wrapText="1"/>
    </xf>
    <xf numFmtId="0" fontId="0" fillId="6" borderId="11" xfId="5" applyFont="1" applyBorder="1" applyAlignment="1">
      <alignment horizontal="left" wrapText="1"/>
    </xf>
    <xf numFmtId="0" fontId="2" fillId="2" borderId="10" xfId="1" applyBorder="1" applyAlignment="1">
      <alignment horizontal="center"/>
    </xf>
    <xf numFmtId="0" fontId="3" fillId="6" borderId="6" xfId="5" applyFont="1" applyBorder="1" applyAlignment="1">
      <alignment horizontal="left" wrapText="1"/>
    </xf>
    <xf numFmtId="0" fontId="3" fillId="6" borderId="0" xfId="5" applyFont="1" applyBorder="1" applyAlignment="1">
      <alignment horizontal="left" wrapText="1"/>
    </xf>
    <xf numFmtId="0" fontId="0" fillId="6" borderId="4" xfId="5" applyFont="1" applyBorder="1" applyAlignment="1">
      <alignment horizontal="center"/>
    </xf>
    <xf numFmtId="0" fontId="0" fillId="6" borderId="0" xfId="5" applyFont="1" applyBorder="1" applyAlignment="1">
      <alignment horizontal="center"/>
    </xf>
    <xf numFmtId="0" fontId="3" fillId="6" borderId="3" xfId="5" applyFont="1" applyAlignment="1">
      <alignment horizontal="left" wrapText="1"/>
    </xf>
    <xf numFmtId="0" fontId="18" fillId="3" borderId="0" xfId="2" applyFont="1" applyAlignment="1">
      <alignment horizontal="center"/>
    </xf>
    <xf numFmtId="0" fontId="7" fillId="3" borderId="10" xfId="2" applyFont="1" applyBorder="1" applyAlignment="1">
      <alignment horizontal="center"/>
    </xf>
    <xf numFmtId="0" fontId="11" fillId="3" borderId="0" xfId="2" applyFont="1" applyAlignment="1">
      <alignment horizontal="center"/>
    </xf>
    <xf numFmtId="0" fontId="8" fillId="7" borderId="0" xfId="6" applyAlignment="1">
      <alignment horizontal="center"/>
    </xf>
    <xf numFmtId="0" fontId="16" fillId="7" borderId="0" xfId="6" applyFont="1" applyAlignment="1">
      <alignment horizontal="center"/>
    </xf>
    <xf numFmtId="49" fontId="0" fillId="6" borderId="5" xfId="5" applyNumberFormat="1" applyFont="1" applyBorder="1" applyAlignment="1">
      <alignment horizontal="left" wrapText="1"/>
    </xf>
    <xf numFmtId="49" fontId="0" fillId="6" borderId="6" xfId="5" applyNumberFormat="1" applyFont="1" applyBorder="1" applyAlignment="1">
      <alignment horizontal="left" wrapText="1"/>
    </xf>
    <xf numFmtId="49" fontId="0" fillId="6" borderId="7" xfId="5" applyNumberFormat="1" applyFont="1" applyBorder="1" applyAlignment="1">
      <alignment horizontal="left" wrapText="1"/>
    </xf>
    <xf numFmtId="49" fontId="0" fillId="6" borderId="4" xfId="5" applyNumberFormat="1" applyFont="1" applyBorder="1" applyAlignment="1">
      <alignment horizontal="left" wrapText="1"/>
    </xf>
    <xf numFmtId="49" fontId="0" fillId="6" borderId="0" xfId="5" applyNumberFormat="1" applyFont="1" applyBorder="1" applyAlignment="1">
      <alignment horizontal="left" wrapText="1"/>
    </xf>
    <xf numFmtId="49" fontId="0" fillId="6" borderId="8" xfId="5" applyNumberFormat="1" applyFont="1" applyBorder="1" applyAlignment="1">
      <alignment horizontal="left" wrapText="1"/>
    </xf>
    <xf numFmtId="0" fontId="0" fillId="6" borderId="4" xfId="5" applyFont="1" applyBorder="1" applyAlignment="1">
      <alignment horizontal="left"/>
    </xf>
    <xf numFmtId="0" fontId="0" fillId="6" borderId="0" xfId="5" applyFont="1" applyBorder="1" applyAlignment="1">
      <alignment horizontal="left"/>
    </xf>
    <xf numFmtId="0" fontId="7" fillId="3" borderId="0" xfId="2" applyFont="1" applyAlignment="1">
      <alignment horizontal="center" vertical="top"/>
    </xf>
    <xf numFmtId="0" fontId="0" fillId="6" borderId="3" xfId="5" applyFont="1" applyAlignment="1">
      <alignment horizontal="left" vertical="top" wrapText="1"/>
    </xf>
    <xf numFmtId="11" fontId="8" fillId="7" borderId="0" xfId="6" applyNumberFormat="1" applyAlignment="1">
      <alignment horizontal="center"/>
    </xf>
    <xf numFmtId="0" fontId="7" fillId="3" borderId="0" xfId="2" applyFont="1" applyAlignment="1">
      <alignment horizontal="center" vertical="center"/>
    </xf>
    <xf numFmtId="0" fontId="0" fillId="6" borderId="0" xfId="5" applyFont="1" applyBorder="1" applyAlignment="1">
      <alignment horizontal="left" vertical="top" wrapText="1"/>
    </xf>
    <xf numFmtId="0" fontId="0" fillId="6" borderId="6" xfId="5" applyFont="1" applyBorder="1" applyAlignment="1">
      <alignment horizontal="left" vertical="top" wrapText="1"/>
    </xf>
  </cellXfs>
  <cellStyles count="10">
    <cellStyle name="Bad" xfId="6" builtinId="27"/>
    <cellStyle name="Blue 1" xfId="9" xr:uid="{ABCC3B38-2CAD-4B91-AFAC-C738FA8A1916}"/>
    <cellStyle name="Calculation" xfId="7" builtinId="22"/>
    <cellStyle name="Good" xfId="1" builtinId="26"/>
    <cellStyle name="Green 1" xfId="8" xr:uid="{A5345644-7376-4E59-A1D6-7187EDE1CEC8}"/>
    <cellStyle name="Input" xfId="3" builtinId="20"/>
    <cellStyle name="Neutral" xfId="2" builtinId="28"/>
    <cellStyle name="Normal" xfId="0" builtinId="0"/>
    <cellStyle name="Note" xfId="5" builtinId="10"/>
    <cellStyle name="Output" xfId="4" builtinId="21"/>
  </cellStyles>
  <dxfs count="140">
    <dxf>
      <border diagonalUp="0" diagonalDown="0" outline="0">
        <left style="thin">
          <color theme="0"/>
        </left>
        <right style="thin">
          <color theme="0"/>
        </right>
        <top/>
        <bottom/>
      </border>
    </dxf>
    <dxf>
      <numFmt numFmtId="3" formatCode="#,##0"/>
    </dxf>
    <dxf>
      <numFmt numFmtId="164" formatCode="0.0%"/>
    </dxf>
    <dxf>
      <border outline="0">
        <bottom style="thick">
          <color theme="0"/>
        </bottom>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numFmt numFmtId="3" formatCode="#,##0"/>
    </dxf>
    <dxf>
      <numFmt numFmtId="14" formatCode="0.00%"/>
    </dxf>
    <dxf>
      <numFmt numFmtId="3" formatCode="#,##0"/>
    </dxf>
    <dxf>
      <numFmt numFmtId="3" formatCode="#,##0"/>
    </dxf>
    <dxf>
      <font>
        <strike val="0"/>
        <outline val="0"/>
        <shadow val="0"/>
        <u val="none"/>
        <vertAlign val="baseline"/>
        <sz val="11"/>
        <color theme="1"/>
        <name val="Calibri"/>
        <family val="2"/>
        <scheme val="minor"/>
      </font>
    </dxf>
    <dxf>
      <border outline="0">
        <bottom style="thick">
          <color theme="0"/>
        </bottom>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border diagonalUp="0" diagonalDown="0" outline="0">
        <left style="thin">
          <color theme="0"/>
        </left>
        <right style="thin">
          <color theme="0"/>
        </right>
        <top/>
        <bottom/>
      </border>
    </dxf>
    <dxf>
      <numFmt numFmtId="3" formatCode="#,##0"/>
    </dxf>
    <dxf>
      <numFmt numFmtId="164" formatCode="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3" formatCode="#,##0"/>
    </dxf>
    <dxf>
      <numFmt numFmtId="164" formatCode="0.0%"/>
    </dxf>
    <dxf>
      <numFmt numFmtId="3" formatCode="#,##0"/>
    </dxf>
    <dxf>
      <numFmt numFmtId="3" formatCode="#,##0"/>
    </dxf>
    <dxf>
      <numFmt numFmtId="3" formatCode="#,##0"/>
    </dxf>
    <dxf>
      <numFmt numFmtId="0" formatCode="General"/>
    </dxf>
    <dxf>
      <border outline="0">
        <left style="thin">
          <color indexed="64"/>
        </left>
      </border>
    </dxf>
    <dxf>
      <numFmt numFmtId="168" formatCode="0.000%"/>
      <border outline="0">
        <left style="thin">
          <color indexed="64"/>
        </left>
      </border>
    </dxf>
    <dxf>
      <numFmt numFmtId="15" formatCode="0.00E+00"/>
      <border outline="0">
        <right style="thin">
          <color indexed="64"/>
        </right>
      </border>
    </dxf>
    <dxf>
      <border outline="0">
        <right style="thin">
          <color indexed="64"/>
        </right>
      </border>
    </dxf>
    <dxf>
      <font>
        <b/>
        <i val="0"/>
        <strike val="0"/>
        <condense val="0"/>
        <extend val="0"/>
        <outline val="0"/>
        <shadow val="0"/>
        <u val="none"/>
        <vertAlign val="baseline"/>
        <sz val="11"/>
        <color rgb="FF006100"/>
        <name val="Calibri"/>
        <family val="2"/>
        <scheme val="minor"/>
      </font>
      <fill>
        <patternFill patternType="solid">
          <fgColor indexed="64"/>
          <bgColor rgb="FFC6EFCE"/>
        </patternFill>
      </fill>
    </dxf>
    <dxf>
      <font>
        <b/>
      </font>
      <numFmt numFmtId="4" formatCode="#,##0.00"/>
    </dxf>
    <dxf>
      <font>
        <b/>
      </font>
    </dxf>
    <dxf>
      <font>
        <b/>
      </font>
      <numFmt numFmtId="3" formatCode="#,##0"/>
    </dxf>
    <dxf>
      <font>
        <b/>
      </font>
      <numFmt numFmtId="3" formatCode="#,##0"/>
    </dxf>
    <dxf>
      <font>
        <b/>
      </font>
      <numFmt numFmtId="3" formatCode="#,##0"/>
    </dxf>
    <dxf>
      <font>
        <b/>
      </font>
      <numFmt numFmtId="3" formatCode="#,##0"/>
    </dxf>
    <dxf>
      <numFmt numFmtId="14" formatCode="0.00%"/>
    </dxf>
    <dxf>
      <font>
        <b/>
      </font>
      <numFmt numFmtId="166" formatCode="#,##0.000"/>
    </dxf>
    <dxf>
      <font>
        <b/>
      </font>
    </dxf>
    <dxf>
      <font>
        <b/>
      </font>
      <numFmt numFmtId="3" formatCode="#,##0"/>
    </dxf>
    <dxf>
      <font>
        <b/>
      </font>
      <numFmt numFmtId="3" formatCode="#,##0"/>
    </dxf>
    <dxf>
      <numFmt numFmtId="14" formatCode="0.00%"/>
    </dxf>
    <dxf>
      <numFmt numFmtId="0" formatCode="General"/>
    </dxf>
    <dxf>
      <numFmt numFmtId="3" formatCode="#,##0"/>
    </dxf>
    <dxf>
      <font>
        <b/>
      </font>
      <numFmt numFmtId="4" formatCode="#,##0.00"/>
    </dxf>
    <dxf>
      <font>
        <b/>
      </font>
    </dxf>
    <dxf>
      <font>
        <b/>
      </font>
      <numFmt numFmtId="3" formatCode="#,##0"/>
    </dxf>
    <dxf>
      <font>
        <b/>
      </font>
      <numFmt numFmtId="3" formatCode="#,##0"/>
    </dxf>
    <dxf>
      <numFmt numFmtId="2" formatCode="0.00"/>
    </dxf>
    <dxf>
      <numFmt numFmtId="14" formatCode="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'Liquefier Calculator'!$L$28</c:f>
              <c:strCache>
                <c:ptCount val="1"/>
                <c:pt idx="0">
                  <c:v>Mean Compressor Energy Efficiency</c:v>
                </c:pt>
              </c:strCache>
            </c:strRef>
          </c:tx>
          <c:spPr>
            <a:ln w="19050" cap="rnd">
              <a:solidFill>
                <a:schemeClr val="accent1"/>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Calculator'!$L$29:$L$65</c:f>
              <c:numCache>
                <c:formatCode>0.00%</c:formatCode>
                <c:ptCount val="37"/>
                <c:pt idx="0">
                  <c:v>0.85</c:v>
                </c:pt>
                <c:pt idx="1">
                  <c:v>0.81615690099355964</c:v>
                </c:pt>
                <c:pt idx="2">
                  <c:v>0.78366127886989534</c:v>
                </c:pt>
                <c:pt idx="3">
                  <c:v>0.7524594832836512</c:v>
                </c:pt>
                <c:pt idx="4">
                  <c:v>0.72249999999999992</c:v>
                </c:pt>
                <c:pt idx="5">
                  <c:v>0.69373336584452561</c:v>
                </c:pt>
                <c:pt idx="6">
                  <c:v>0.66611208703941105</c:v>
                </c:pt>
                <c:pt idx="7">
                  <c:v>0.63959056079110355</c:v>
                </c:pt>
                <c:pt idx="8">
                  <c:v>0.61412499999999992</c:v>
                </c:pt>
                <c:pt idx="9">
                  <c:v>0.58967336096784684</c:v>
                </c:pt>
                <c:pt idx="10">
                  <c:v>0.56619527398349934</c:v>
                </c:pt>
                <c:pt idx="11">
                  <c:v>0.54365197667243803</c:v>
                </c:pt>
                <c:pt idx="12">
                  <c:v>0.52200624999999989</c:v>
                </c:pt>
                <c:pt idx="13">
                  <c:v>0.50122235682266969</c:v>
                </c:pt>
                <c:pt idx="14">
                  <c:v>0.4812659828859745</c:v>
                </c:pt>
                <c:pt idx="15">
                  <c:v>0.46210418017157223</c:v>
                </c:pt>
                <c:pt idx="16">
                  <c:v>0.44370531249999989</c:v>
                </c:pt>
                <c:pt idx="17">
                  <c:v>0.42603900329926925</c:v>
                </c:pt>
                <c:pt idx="18">
                  <c:v>0.40907608545307833</c:v>
                </c:pt>
                <c:pt idx="19">
                  <c:v>0.39278855314583644</c:v>
                </c:pt>
                <c:pt idx="20">
                  <c:v>0.37714951562499988</c:v>
                </c:pt>
                <c:pt idx="21">
                  <c:v>0.36213315280437886</c:v>
                </c:pt>
                <c:pt idx="22">
                  <c:v>0.34771467263511657</c:v>
                </c:pt>
                <c:pt idx="23">
                  <c:v>0.33387027017396098</c:v>
                </c:pt>
                <c:pt idx="24">
                  <c:v>0.32057708828124987</c:v>
                </c:pt>
                <c:pt idx="25">
                  <c:v>0.30781317988372203</c:v>
                </c:pt>
                <c:pt idx="26">
                  <c:v>0.29555747173984909</c:v>
                </c:pt>
                <c:pt idx="27">
                  <c:v>0.28378972964786681</c:v>
                </c:pt>
                <c:pt idx="28">
                  <c:v>0.2724905250390624</c:v>
                </c:pt>
                <c:pt idx="29">
                  <c:v>0.26164120290116372</c:v>
                </c:pt>
                <c:pt idx="30">
                  <c:v>0.25122385097887168</c:v>
                </c:pt>
                <c:pt idx="31">
                  <c:v>0.24122127020068679</c:v>
                </c:pt>
                <c:pt idx="32">
                  <c:v>0.23161694628320303</c:v>
                </c:pt>
                <c:pt idx="33">
                  <c:v>0.22239502246598916</c:v>
                </c:pt>
                <c:pt idx="34">
                  <c:v>0.21354027333204093</c:v>
                </c:pt>
                <c:pt idx="35">
                  <c:v>0.20503807967058377</c:v>
                </c:pt>
                <c:pt idx="36">
                  <c:v>0.19687440434072256</c:v>
                </c:pt>
              </c:numCache>
            </c:numRef>
          </c:yVal>
          <c:smooth val="1"/>
          <c:extLst>
            <c:ext xmlns:c16="http://schemas.microsoft.com/office/drawing/2014/chart" uri="{C3380CC4-5D6E-409C-BE32-E72D297353CC}">
              <c16:uniqueId val="{00000000-AFE0-4439-899F-A947B2D6A945}"/>
            </c:ext>
          </c:extLst>
        </c:ser>
        <c:ser>
          <c:idx val="1"/>
          <c:order val="1"/>
          <c:tx>
            <c:strRef>
              <c:f>'Liquefier Calculator'!$M$28</c:f>
              <c:strCache>
                <c:ptCount val="1"/>
                <c:pt idx="0">
                  <c:v>Mean Compressor Heat Efficiency</c:v>
                </c:pt>
              </c:strCache>
            </c:strRef>
          </c:tx>
          <c:spPr>
            <a:ln w="19050" cap="rnd">
              <a:solidFill>
                <a:schemeClr val="accent2"/>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Calculator'!$M$29:$M$65</c:f>
              <c:numCache>
                <c:formatCode>0.00%</c:formatCode>
                <c:ptCount val="37"/>
                <c:pt idx="0">
                  <c:v>0.95</c:v>
                </c:pt>
                <c:pt idx="1">
                  <c:v>0.93789561765636209</c:v>
                </c:pt>
                <c:pt idx="2">
                  <c:v>0.92594546275685152</c:v>
                </c:pt>
                <c:pt idx="3">
                  <c:v>0.91414757021941395</c:v>
                </c:pt>
                <c:pt idx="4">
                  <c:v>0.90249999999999997</c:v>
                </c:pt>
                <c:pt idx="5">
                  <c:v>0.89100083677354391</c:v>
                </c:pt>
                <c:pt idx="6">
                  <c:v>0.87964818961900892</c:v>
                </c:pt>
                <c:pt idx="7">
                  <c:v>0.86844019170844322</c:v>
                </c:pt>
                <c:pt idx="8">
                  <c:v>0.85737499999999989</c:v>
                </c:pt>
                <c:pt idx="9">
                  <c:v>0.84645079493486675</c:v>
                </c:pt>
                <c:pt idx="10">
                  <c:v>0.83566578013805837</c:v>
                </c:pt>
                <c:pt idx="11">
                  <c:v>0.82501818212302103</c:v>
                </c:pt>
                <c:pt idx="12">
                  <c:v>0.81450624999999999</c:v>
                </c:pt>
                <c:pt idx="13">
                  <c:v>0.80412825518812336</c:v>
                </c:pt>
                <c:pt idx="14">
                  <c:v>0.7938824911311555</c:v>
                </c:pt>
                <c:pt idx="15">
                  <c:v>0.78376727301686999</c:v>
                </c:pt>
                <c:pt idx="16">
                  <c:v>0.77378093749999999</c:v>
                </c:pt>
                <c:pt idx="17">
                  <c:v>0.76392184242871708</c:v>
                </c:pt>
                <c:pt idx="18">
                  <c:v>0.75418836657459765</c:v>
                </c:pt>
                <c:pt idx="19">
                  <c:v>0.74457890936602644</c:v>
                </c:pt>
                <c:pt idx="20">
                  <c:v>0.73509189062499991</c:v>
                </c:pt>
                <c:pt idx="21">
                  <c:v>0.72572575030728126</c:v>
                </c:pt>
                <c:pt idx="22">
                  <c:v>0.71647894824586777</c:v>
                </c:pt>
                <c:pt idx="23">
                  <c:v>0.70734996389772509</c:v>
                </c:pt>
                <c:pt idx="24">
                  <c:v>0.69833729609374995</c:v>
                </c:pt>
                <c:pt idx="25">
                  <c:v>0.68943946279191715</c:v>
                </c:pt>
                <c:pt idx="26">
                  <c:v>0.68065500083357433</c:v>
                </c:pt>
                <c:pt idx="27">
                  <c:v>0.67198246570283882</c:v>
                </c:pt>
                <c:pt idx="28">
                  <c:v>0.66342043128906247</c:v>
                </c:pt>
                <c:pt idx="29">
                  <c:v>0.65496748965232121</c:v>
                </c:pt>
                <c:pt idx="30">
                  <c:v>0.64662225079189561</c:v>
                </c:pt>
                <c:pt idx="31">
                  <c:v>0.63838334241769679</c:v>
                </c:pt>
                <c:pt idx="32">
                  <c:v>0.6302494097246093</c:v>
                </c:pt>
                <c:pt idx="33">
                  <c:v>0.62221911516970518</c:v>
                </c:pt>
                <c:pt idx="34">
                  <c:v>0.61429113825230075</c:v>
                </c:pt>
                <c:pt idx="35">
                  <c:v>0.60646417529681196</c:v>
                </c:pt>
                <c:pt idx="36">
                  <c:v>0.5987369392383789</c:v>
                </c:pt>
              </c:numCache>
            </c:numRef>
          </c:yVal>
          <c:smooth val="1"/>
          <c:extLst>
            <c:ext xmlns:c16="http://schemas.microsoft.com/office/drawing/2014/chart" uri="{C3380CC4-5D6E-409C-BE32-E72D297353CC}">
              <c16:uniqueId val="{00000001-AFE0-4439-899F-A947B2D6A945}"/>
            </c:ext>
          </c:extLst>
        </c:ser>
        <c:ser>
          <c:idx val="2"/>
          <c:order val="2"/>
          <c:tx>
            <c:strRef>
              <c:f>'Liquefier Calculator'!$N$28</c:f>
              <c:strCache>
                <c:ptCount val="1"/>
                <c:pt idx="0">
                  <c:v>Pressure Efficiency</c:v>
                </c:pt>
              </c:strCache>
            </c:strRef>
          </c:tx>
          <c:spPr>
            <a:ln w="19050" cap="rnd">
              <a:solidFill>
                <a:schemeClr val="accent3"/>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Calculator'!$N$29:$N$65</c:f>
              <c:numCache>
                <c:formatCode>0.00%</c:formatCode>
                <c:ptCount val="37"/>
                <c:pt idx="0">
                  <c:v>0.5</c:v>
                </c:pt>
                <c:pt idx="1">
                  <c:v>0.6097560975609756</c:v>
                </c:pt>
                <c:pt idx="2">
                  <c:v>0.69230769230769229</c:v>
                </c:pt>
                <c:pt idx="3">
                  <c:v>0.75384615384615383</c:v>
                </c:pt>
                <c:pt idx="4">
                  <c:v>0.8</c:v>
                </c:pt>
                <c:pt idx="5">
                  <c:v>0.83505154639175261</c:v>
                </c:pt>
                <c:pt idx="6">
                  <c:v>0.86206896551724133</c:v>
                </c:pt>
                <c:pt idx="7">
                  <c:v>0.88321167883211682</c:v>
                </c:pt>
                <c:pt idx="8">
                  <c:v>0.9</c:v>
                </c:pt>
                <c:pt idx="9">
                  <c:v>0.91351351351351351</c:v>
                </c:pt>
                <c:pt idx="10">
                  <c:v>0.92452830188679247</c:v>
                </c:pt>
                <c:pt idx="11">
                  <c:v>0.93360995850622408</c:v>
                </c:pt>
                <c:pt idx="12">
                  <c:v>0.94117647058823528</c:v>
                </c:pt>
                <c:pt idx="13">
                  <c:v>0.94754098360655736</c:v>
                </c:pt>
                <c:pt idx="14">
                  <c:v>0.95294117647058818</c:v>
                </c:pt>
                <c:pt idx="15">
                  <c:v>0.95755968169761274</c:v>
                </c:pt>
                <c:pt idx="16">
                  <c:v>0.96153846153846156</c:v>
                </c:pt>
                <c:pt idx="17">
                  <c:v>0.96498905908096277</c:v>
                </c:pt>
                <c:pt idx="18">
                  <c:v>0.96799999999999997</c:v>
                </c:pt>
                <c:pt idx="19">
                  <c:v>0.97064220183486238</c:v>
                </c:pt>
                <c:pt idx="20">
                  <c:v>0.97297297297297303</c:v>
                </c:pt>
                <c:pt idx="21">
                  <c:v>0.9750390015600624</c:v>
                </c:pt>
                <c:pt idx="22">
                  <c:v>0.97687861271676302</c:v>
                </c:pt>
                <c:pt idx="23">
                  <c:v>0.97852348993288596</c:v>
                </c:pt>
                <c:pt idx="24">
                  <c:v>0.98</c:v>
                </c:pt>
                <c:pt idx="25">
                  <c:v>0.98133022170361728</c:v>
                </c:pt>
                <c:pt idx="26">
                  <c:v>0.98253275109170302</c:v>
                </c:pt>
                <c:pt idx="27">
                  <c:v>0.98362333674513813</c:v>
                </c:pt>
                <c:pt idx="28">
                  <c:v>0.98461538461538467</c:v>
                </c:pt>
                <c:pt idx="29">
                  <c:v>0.98552036199095028</c:v>
                </c:pt>
                <c:pt idx="30">
                  <c:v>0.98634812286689422</c:v>
                </c:pt>
                <c:pt idx="31">
                  <c:v>0.98710717163577755</c:v>
                </c:pt>
                <c:pt idx="32">
                  <c:v>0.98780487804878048</c:v>
                </c:pt>
                <c:pt idx="33">
                  <c:v>0.98844765342960283</c:v>
                </c:pt>
                <c:pt idx="34">
                  <c:v>0.989041095890411</c:v>
                </c:pt>
                <c:pt idx="35">
                  <c:v>0.98959011060507485</c:v>
                </c:pt>
                <c:pt idx="36">
                  <c:v>0.99009900990099009</c:v>
                </c:pt>
              </c:numCache>
            </c:numRef>
          </c:yVal>
          <c:smooth val="1"/>
          <c:extLst>
            <c:ext xmlns:c16="http://schemas.microsoft.com/office/drawing/2014/chart" uri="{C3380CC4-5D6E-409C-BE32-E72D297353CC}">
              <c16:uniqueId val="{00000002-AFE0-4439-899F-A947B2D6A945}"/>
            </c:ext>
          </c:extLst>
        </c:ser>
        <c:ser>
          <c:idx val="3"/>
          <c:order val="3"/>
          <c:tx>
            <c:strRef>
              <c:f>'Liquefier Calculator'!$O$28</c:f>
              <c:strCache>
                <c:ptCount val="1"/>
                <c:pt idx="0">
                  <c:v>Total Energy Efficiency</c:v>
                </c:pt>
              </c:strCache>
            </c:strRef>
          </c:tx>
          <c:spPr>
            <a:ln w="19050" cap="rnd">
              <a:solidFill>
                <a:schemeClr val="accent4"/>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Calculator'!$O$29:$O$65</c:f>
              <c:numCache>
                <c:formatCode>0.00%</c:formatCode>
                <c:ptCount val="37"/>
                <c:pt idx="0">
                  <c:v>0.42499999999999999</c:v>
                </c:pt>
                <c:pt idx="1">
                  <c:v>0.49765664694729245</c:v>
                </c:pt>
                <c:pt idx="2">
                  <c:v>0.54253473152531217</c:v>
                </c:pt>
                <c:pt idx="3">
                  <c:v>0.56723868739844474</c:v>
                </c:pt>
                <c:pt idx="4">
                  <c:v>0.57799999999999996</c:v>
                </c:pt>
                <c:pt idx="5">
                  <c:v>0.57930311993202654</c:v>
                </c:pt>
                <c:pt idx="6">
                  <c:v>0.57423455779259569</c:v>
                </c:pt>
                <c:pt idx="7">
                  <c:v>0.56489385296148564</c:v>
                </c:pt>
                <c:pt idx="8">
                  <c:v>0.55271249999999994</c:v>
                </c:pt>
                <c:pt idx="9">
                  <c:v>0.5386745838030601</c:v>
                </c:pt>
                <c:pt idx="10">
                  <c:v>0.52346355519229182</c:v>
                </c:pt>
                <c:pt idx="11">
                  <c:v>0.5075588993829816</c:v>
                </c:pt>
                <c:pt idx="12">
                  <c:v>0.4912999999999999</c:v>
                </c:pt>
                <c:pt idx="13">
                  <c:v>0.47492872498934929</c:v>
                </c:pt>
                <c:pt idx="14">
                  <c:v>0.45861817192663451</c:v>
                </c:pt>
                <c:pt idx="15">
                  <c:v>0.44249233167622698</c:v>
                </c:pt>
                <c:pt idx="16">
                  <c:v>0.4266397235576922</c:v>
                </c:pt>
                <c:pt idx="17">
                  <c:v>0.41112297692555305</c:v>
                </c:pt>
                <c:pt idx="18">
                  <c:v>0.39598565071857983</c:v>
                </c:pt>
                <c:pt idx="19">
                  <c:v>0.38125714608100453</c:v>
                </c:pt>
                <c:pt idx="20">
                  <c:v>0.36695628547297288</c:v>
                </c:pt>
                <c:pt idx="21">
                  <c:v>0.35309394774217906</c:v>
                </c:pt>
                <c:pt idx="22">
                  <c:v>0.33967502702505609</c:v>
                </c:pt>
                <c:pt idx="23">
                  <c:v>0.32669990195545984</c:v>
                </c:pt>
                <c:pt idx="24">
                  <c:v>0.31416554651562484</c:v>
                </c:pt>
                <c:pt idx="25">
                  <c:v>0.30206637605858838</c:v>
                </c:pt>
                <c:pt idx="26">
                  <c:v>0.2903948958142622</c:v>
                </c:pt>
                <c:pt idx="27">
                  <c:v>0.27914220081023539</c:v>
                </c:pt>
                <c:pt idx="28">
                  <c:v>0.26829836311538452</c:v>
                </c:pt>
                <c:pt idx="29">
                  <c:v>0.25785273299490252</c:v>
                </c:pt>
                <c:pt idx="30">
                  <c:v>0.24779417383240243</c:v>
                </c:pt>
                <c:pt idx="31">
                  <c:v>0.23811124576618961</c:v>
                </c:pt>
                <c:pt idx="32">
                  <c:v>0.2287923493773103</c:v>
                </c:pt>
                <c:pt idx="33">
                  <c:v>0.21982583809093079</c:v>
                </c:pt>
                <c:pt idx="34">
                  <c:v>0.21120010595305966</c:v>
                </c:pt>
                <c:pt idx="35">
                  <c:v>0.20290365593946513</c:v>
                </c:pt>
                <c:pt idx="36">
                  <c:v>0.19492515281259659</c:v>
                </c:pt>
              </c:numCache>
            </c:numRef>
          </c:yVal>
          <c:smooth val="1"/>
          <c:extLst>
            <c:ext xmlns:c16="http://schemas.microsoft.com/office/drawing/2014/chart" uri="{C3380CC4-5D6E-409C-BE32-E72D297353CC}">
              <c16:uniqueId val="{00000003-AFE0-4439-899F-A947B2D6A945}"/>
            </c:ext>
          </c:extLst>
        </c:ser>
        <c:ser>
          <c:idx val="4"/>
          <c:order val="4"/>
          <c:tx>
            <c:strRef>
              <c:f>'Liquefier Calculator'!$P$28</c:f>
              <c:strCache>
                <c:ptCount val="1"/>
                <c:pt idx="0">
                  <c:v>Total Heat Efficiency</c:v>
                </c:pt>
              </c:strCache>
            </c:strRef>
          </c:tx>
          <c:spPr>
            <a:ln w="19050" cap="rnd">
              <a:solidFill>
                <a:schemeClr val="accent5"/>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Calculator'!$P$29:$P$65</c:f>
              <c:numCache>
                <c:formatCode>0.00%</c:formatCode>
                <c:ptCount val="37"/>
                <c:pt idx="0">
                  <c:v>0.47499999999999998</c:v>
                </c:pt>
                <c:pt idx="1">
                  <c:v>0.57188757174168414</c:v>
                </c:pt>
                <c:pt idx="2">
                  <c:v>0.64103916652397408</c:v>
                </c:pt>
                <c:pt idx="3">
                  <c:v>0.689126629857712</c:v>
                </c:pt>
                <c:pt idx="4">
                  <c:v>0.72199999999999998</c:v>
                </c:pt>
                <c:pt idx="5">
                  <c:v>0.74403162658409339</c:v>
                </c:pt>
                <c:pt idx="6">
                  <c:v>0.75831740484397314</c:v>
                </c:pt>
                <c:pt idx="7">
                  <c:v>0.76701651968409956</c:v>
                </c:pt>
                <c:pt idx="8">
                  <c:v>0.77163749999999987</c:v>
                </c:pt>
                <c:pt idx="9">
                  <c:v>0.77324423969725664</c:v>
                </c:pt>
                <c:pt idx="10">
                  <c:v>0.77259666465594079</c:v>
                </c:pt>
                <c:pt idx="11">
                  <c:v>0.77024519077875409</c:v>
                </c:pt>
                <c:pt idx="12">
                  <c:v>0.76659411764705876</c:v>
                </c:pt>
                <c:pt idx="13">
                  <c:v>0.76194447786677921</c:v>
                </c:pt>
                <c:pt idx="14">
                  <c:v>0.75652331507792459</c:v>
                </c:pt>
                <c:pt idx="15">
                  <c:v>0.75050394047503999</c:v>
                </c:pt>
                <c:pt idx="16">
                  <c:v>0.74402013221153851</c:v>
                </c:pt>
                <c:pt idx="17">
                  <c:v>0.73717621993668325</c:v>
                </c:pt>
                <c:pt idx="18">
                  <c:v>0.73005433884421045</c:v>
                </c:pt>
                <c:pt idx="19">
                  <c:v>0.72271971202684038</c:v>
                </c:pt>
                <c:pt idx="20">
                  <c:v>0.71522454222972964</c:v>
                </c:pt>
                <c:pt idx="21">
                  <c:v>0.70761091098603868</c:v>
                </c:pt>
                <c:pt idx="22">
                  <c:v>0.69991296100318878</c:v>
                </c:pt>
                <c:pt idx="23">
                  <c:v>0.69215855527710279</c:v>
                </c:pt>
                <c:pt idx="24">
                  <c:v>0.68437055017187498</c:v>
                </c:pt>
                <c:pt idx="25">
                  <c:v>0.67656778087281488</c:v>
                </c:pt>
                <c:pt idx="26">
                  <c:v>0.66876583051333716</c:v>
                </c:pt>
                <c:pt idx="27">
                  <c:v>0.66097763514885166</c:v>
                </c:pt>
                <c:pt idx="28">
                  <c:v>0.6532139631153846</c:v>
                </c:pt>
                <c:pt idx="29">
                  <c:v>0.64548379749445961</c:v>
                </c:pt>
                <c:pt idx="30">
                  <c:v>0.63779464327255231</c:v>
                </c:pt>
                <c:pt idx="31">
                  <c:v>0.63015277555332672</c:v>
                </c:pt>
                <c:pt idx="32">
                  <c:v>0.62256344131333352</c:v>
                </c:pt>
                <c:pt idx="33">
                  <c:v>0.61503102430853884</c:v>
                </c:pt>
                <c:pt idx="34">
                  <c:v>0.60755918057282354</c:v>
                </c:pt>
                <c:pt idx="35">
                  <c:v>0.60015095030998766</c:v>
                </c:pt>
                <c:pt idx="36">
                  <c:v>0.59280885073106826</c:v>
                </c:pt>
              </c:numCache>
            </c:numRef>
          </c:yVal>
          <c:smooth val="1"/>
          <c:extLst>
            <c:ext xmlns:c16="http://schemas.microsoft.com/office/drawing/2014/chart" uri="{C3380CC4-5D6E-409C-BE32-E72D297353CC}">
              <c16:uniqueId val="{00000004-AFE0-4439-899F-A947B2D6A945}"/>
            </c:ext>
          </c:extLst>
        </c:ser>
        <c:dLbls>
          <c:showLegendKey val="0"/>
          <c:showVal val="0"/>
          <c:showCatName val="0"/>
          <c:showSerName val="0"/>
          <c:showPercent val="0"/>
          <c:showBubbleSize val="0"/>
        </c:dLbls>
        <c:axId val="733138184"/>
        <c:axId val="733137104"/>
      </c:scatterChart>
      <c:valAx>
        <c:axId val="733138184"/>
        <c:scaling>
          <c:orientation val="minMax"/>
          <c:max val="10"/>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a:t>Compressor</a:t>
                </a:r>
                <a:r>
                  <a:rPr lang="en-AU" sz="1200" baseline="0"/>
                  <a:t> to Nozzle Ratio</a:t>
                </a:r>
                <a:endParaRPr lang="en-AU"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7104"/>
        <c:crosses val="autoZero"/>
        <c:crossBetween val="midCat"/>
      </c:valAx>
      <c:valAx>
        <c:axId val="73313710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8184"/>
        <c:crosses val="autoZero"/>
        <c:crossBetween val="midCat"/>
        <c:majorUnit val="0.1"/>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'Liquefier Calculator'!$L$28</c:f>
              <c:strCache>
                <c:ptCount val="1"/>
                <c:pt idx="0">
                  <c:v>Mean Compressor Energy Efficiency</c:v>
                </c:pt>
              </c:strCache>
            </c:strRef>
          </c:tx>
          <c:spPr>
            <a:ln w="19050" cap="rnd">
              <a:solidFill>
                <a:schemeClr val="accent1"/>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Calculator'!$L$29:$L$65</c:f>
              <c:numCache>
                <c:formatCode>0.00%</c:formatCode>
                <c:ptCount val="37"/>
                <c:pt idx="0">
                  <c:v>0.85</c:v>
                </c:pt>
                <c:pt idx="1">
                  <c:v>0.81615690099355964</c:v>
                </c:pt>
                <c:pt idx="2">
                  <c:v>0.78366127886989534</c:v>
                </c:pt>
                <c:pt idx="3">
                  <c:v>0.7524594832836512</c:v>
                </c:pt>
                <c:pt idx="4">
                  <c:v>0.72249999999999992</c:v>
                </c:pt>
                <c:pt idx="5">
                  <c:v>0.69373336584452561</c:v>
                </c:pt>
                <c:pt idx="6">
                  <c:v>0.66611208703941105</c:v>
                </c:pt>
                <c:pt idx="7">
                  <c:v>0.63959056079110355</c:v>
                </c:pt>
                <c:pt idx="8">
                  <c:v>0.61412499999999992</c:v>
                </c:pt>
                <c:pt idx="9">
                  <c:v>0.58967336096784684</c:v>
                </c:pt>
                <c:pt idx="10">
                  <c:v>0.56619527398349934</c:v>
                </c:pt>
                <c:pt idx="11">
                  <c:v>0.54365197667243803</c:v>
                </c:pt>
                <c:pt idx="12">
                  <c:v>0.52200624999999989</c:v>
                </c:pt>
                <c:pt idx="13">
                  <c:v>0.50122235682266969</c:v>
                </c:pt>
                <c:pt idx="14">
                  <c:v>0.4812659828859745</c:v>
                </c:pt>
                <c:pt idx="15">
                  <c:v>0.46210418017157223</c:v>
                </c:pt>
                <c:pt idx="16">
                  <c:v>0.44370531249999989</c:v>
                </c:pt>
                <c:pt idx="17">
                  <c:v>0.42603900329926925</c:v>
                </c:pt>
                <c:pt idx="18">
                  <c:v>0.40907608545307833</c:v>
                </c:pt>
                <c:pt idx="19">
                  <c:v>0.39278855314583644</c:v>
                </c:pt>
                <c:pt idx="20">
                  <c:v>0.37714951562499988</c:v>
                </c:pt>
                <c:pt idx="21">
                  <c:v>0.36213315280437886</c:v>
                </c:pt>
                <c:pt idx="22">
                  <c:v>0.34771467263511657</c:v>
                </c:pt>
                <c:pt idx="23">
                  <c:v>0.33387027017396098</c:v>
                </c:pt>
                <c:pt idx="24">
                  <c:v>0.32057708828124987</c:v>
                </c:pt>
                <c:pt idx="25">
                  <c:v>0.30781317988372203</c:v>
                </c:pt>
                <c:pt idx="26">
                  <c:v>0.29555747173984909</c:v>
                </c:pt>
                <c:pt idx="27">
                  <c:v>0.28378972964786681</c:v>
                </c:pt>
                <c:pt idx="28">
                  <c:v>0.2724905250390624</c:v>
                </c:pt>
                <c:pt idx="29">
                  <c:v>0.26164120290116372</c:v>
                </c:pt>
                <c:pt idx="30">
                  <c:v>0.25122385097887168</c:v>
                </c:pt>
                <c:pt idx="31">
                  <c:v>0.24122127020068679</c:v>
                </c:pt>
                <c:pt idx="32">
                  <c:v>0.23161694628320303</c:v>
                </c:pt>
                <c:pt idx="33">
                  <c:v>0.22239502246598916</c:v>
                </c:pt>
                <c:pt idx="34">
                  <c:v>0.21354027333204093</c:v>
                </c:pt>
                <c:pt idx="35">
                  <c:v>0.20503807967058377</c:v>
                </c:pt>
                <c:pt idx="36">
                  <c:v>0.19687440434072256</c:v>
                </c:pt>
              </c:numCache>
            </c:numRef>
          </c:yVal>
          <c:smooth val="1"/>
          <c:extLst>
            <c:ext xmlns:c16="http://schemas.microsoft.com/office/drawing/2014/chart" uri="{C3380CC4-5D6E-409C-BE32-E72D297353CC}">
              <c16:uniqueId val="{00000000-A95A-40AF-86D6-CBEB6C36A498}"/>
            </c:ext>
          </c:extLst>
        </c:ser>
        <c:ser>
          <c:idx val="2"/>
          <c:order val="1"/>
          <c:tx>
            <c:strRef>
              <c:f>'Liquefier Calculator'!$N$28</c:f>
              <c:strCache>
                <c:ptCount val="1"/>
                <c:pt idx="0">
                  <c:v>Pressure Efficiency</c:v>
                </c:pt>
              </c:strCache>
            </c:strRef>
          </c:tx>
          <c:spPr>
            <a:ln w="19050" cap="rnd">
              <a:solidFill>
                <a:schemeClr val="accent3"/>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Calculator'!$N$29:$N$65</c:f>
              <c:numCache>
                <c:formatCode>0.00%</c:formatCode>
                <c:ptCount val="37"/>
                <c:pt idx="0">
                  <c:v>0.5</c:v>
                </c:pt>
                <c:pt idx="1">
                  <c:v>0.6097560975609756</c:v>
                </c:pt>
                <c:pt idx="2">
                  <c:v>0.69230769230769229</c:v>
                </c:pt>
                <c:pt idx="3">
                  <c:v>0.75384615384615383</c:v>
                </c:pt>
                <c:pt idx="4">
                  <c:v>0.8</c:v>
                </c:pt>
                <c:pt idx="5">
                  <c:v>0.83505154639175261</c:v>
                </c:pt>
                <c:pt idx="6">
                  <c:v>0.86206896551724133</c:v>
                </c:pt>
                <c:pt idx="7">
                  <c:v>0.88321167883211682</c:v>
                </c:pt>
                <c:pt idx="8">
                  <c:v>0.9</c:v>
                </c:pt>
                <c:pt idx="9">
                  <c:v>0.91351351351351351</c:v>
                </c:pt>
                <c:pt idx="10">
                  <c:v>0.92452830188679247</c:v>
                </c:pt>
                <c:pt idx="11">
                  <c:v>0.93360995850622408</c:v>
                </c:pt>
                <c:pt idx="12">
                  <c:v>0.94117647058823528</c:v>
                </c:pt>
                <c:pt idx="13">
                  <c:v>0.94754098360655736</c:v>
                </c:pt>
                <c:pt idx="14">
                  <c:v>0.95294117647058818</c:v>
                </c:pt>
                <c:pt idx="15">
                  <c:v>0.95755968169761274</c:v>
                </c:pt>
                <c:pt idx="16">
                  <c:v>0.96153846153846156</c:v>
                </c:pt>
                <c:pt idx="17">
                  <c:v>0.96498905908096277</c:v>
                </c:pt>
                <c:pt idx="18">
                  <c:v>0.96799999999999997</c:v>
                </c:pt>
                <c:pt idx="19">
                  <c:v>0.97064220183486238</c:v>
                </c:pt>
                <c:pt idx="20">
                  <c:v>0.97297297297297303</c:v>
                </c:pt>
                <c:pt idx="21">
                  <c:v>0.9750390015600624</c:v>
                </c:pt>
                <c:pt idx="22">
                  <c:v>0.97687861271676302</c:v>
                </c:pt>
                <c:pt idx="23">
                  <c:v>0.97852348993288596</c:v>
                </c:pt>
                <c:pt idx="24">
                  <c:v>0.98</c:v>
                </c:pt>
                <c:pt idx="25">
                  <c:v>0.98133022170361728</c:v>
                </c:pt>
                <c:pt idx="26">
                  <c:v>0.98253275109170302</c:v>
                </c:pt>
                <c:pt idx="27">
                  <c:v>0.98362333674513813</c:v>
                </c:pt>
                <c:pt idx="28">
                  <c:v>0.98461538461538467</c:v>
                </c:pt>
                <c:pt idx="29">
                  <c:v>0.98552036199095028</c:v>
                </c:pt>
                <c:pt idx="30">
                  <c:v>0.98634812286689422</c:v>
                </c:pt>
                <c:pt idx="31">
                  <c:v>0.98710717163577755</c:v>
                </c:pt>
                <c:pt idx="32">
                  <c:v>0.98780487804878048</c:v>
                </c:pt>
                <c:pt idx="33">
                  <c:v>0.98844765342960283</c:v>
                </c:pt>
                <c:pt idx="34">
                  <c:v>0.989041095890411</c:v>
                </c:pt>
                <c:pt idx="35">
                  <c:v>0.98959011060507485</c:v>
                </c:pt>
                <c:pt idx="36">
                  <c:v>0.99009900990099009</c:v>
                </c:pt>
              </c:numCache>
            </c:numRef>
          </c:yVal>
          <c:smooth val="1"/>
          <c:extLst>
            <c:ext xmlns:c16="http://schemas.microsoft.com/office/drawing/2014/chart" uri="{C3380CC4-5D6E-409C-BE32-E72D297353CC}">
              <c16:uniqueId val="{00000002-A95A-40AF-86D6-CBEB6C36A498}"/>
            </c:ext>
          </c:extLst>
        </c:ser>
        <c:ser>
          <c:idx val="3"/>
          <c:order val="2"/>
          <c:tx>
            <c:strRef>
              <c:f>'Liquefier Calculator'!$O$28</c:f>
              <c:strCache>
                <c:ptCount val="1"/>
                <c:pt idx="0">
                  <c:v>Total Energy Efficiency</c:v>
                </c:pt>
              </c:strCache>
            </c:strRef>
          </c:tx>
          <c:spPr>
            <a:ln w="19050" cap="rnd">
              <a:solidFill>
                <a:schemeClr val="accent4"/>
              </a:solidFill>
              <a:round/>
            </a:ln>
            <a:effectLst/>
          </c:spPr>
          <c:marker>
            <c:symbol val="none"/>
          </c:marker>
          <c:xVal>
            <c:numRef>
              <c:f>'Liquefier Calculator'!$J$29:$J$65</c:f>
              <c:numCache>
                <c:formatCode>General</c:formatCode>
                <c:ptCount val="37"/>
                <c:pt idx="0">
                  <c:v>1</c:v>
                </c:pt>
                <c:pt idx="1">
                  <c:v>1.25</c:v>
                </c:pt>
                <c:pt idx="2">
                  <c:v>1.5</c:v>
                </c:pt>
                <c:pt idx="3">
                  <c:v>1.75</c:v>
                </c:pt>
                <c:pt idx="4">
                  <c:v>2</c:v>
                </c:pt>
                <c:pt idx="5">
                  <c:v>2.25</c:v>
                </c:pt>
                <c:pt idx="6">
                  <c:v>2.5</c:v>
                </c:pt>
                <c:pt idx="7">
                  <c:v>2.75</c:v>
                </c:pt>
                <c:pt idx="8">
                  <c:v>3</c:v>
                </c:pt>
                <c:pt idx="9">
                  <c:v>3.25</c:v>
                </c:pt>
                <c:pt idx="10">
                  <c:v>3.5</c:v>
                </c:pt>
                <c:pt idx="11">
                  <c:v>3.75</c:v>
                </c:pt>
                <c:pt idx="12">
                  <c:v>4</c:v>
                </c:pt>
                <c:pt idx="13">
                  <c:v>4.25</c:v>
                </c:pt>
                <c:pt idx="14">
                  <c:v>4.5</c:v>
                </c:pt>
                <c:pt idx="15">
                  <c:v>4.75</c:v>
                </c:pt>
                <c:pt idx="16">
                  <c:v>5</c:v>
                </c:pt>
                <c:pt idx="17">
                  <c:v>5.25</c:v>
                </c:pt>
                <c:pt idx="18">
                  <c:v>5.5</c:v>
                </c:pt>
                <c:pt idx="19">
                  <c:v>5.75</c:v>
                </c:pt>
                <c:pt idx="20">
                  <c:v>6</c:v>
                </c:pt>
                <c:pt idx="21">
                  <c:v>6.25</c:v>
                </c:pt>
                <c:pt idx="22">
                  <c:v>6.5</c:v>
                </c:pt>
                <c:pt idx="23">
                  <c:v>6.75</c:v>
                </c:pt>
                <c:pt idx="24">
                  <c:v>7</c:v>
                </c:pt>
                <c:pt idx="25">
                  <c:v>7.25</c:v>
                </c:pt>
                <c:pt idx="26">
                  <c:v>7.5</c:v>
                </c:pt>
                <c:pt idx="27">
                  <c:v>7.75</c:v>
                </c:pt>
                <c:pt idx="28">
                  <c:v>8</c:v>
                </c:pt>
                <c:pt idx="29">
                  <c:v>8.25</c:v>
                </c:pt>
                <c:pt idx="30">
                  <c:v>8.5</c:v>
                </c:pt>
                <c:pt idx="31">
                  <c:v>8.75</c:v>
                </c:pt>
                <c:pt idx="32">
                  <c:v>9</c:v>
                </c:pt>
                <c:pt idx="33">
                  <c:v>9.25</c:v>
                </c:pt>
                <c:pt idx="34">
                  <c:v>9.5</c:v>
                </c:pt>
                <c:pt idx="35">
                  <c:v>9.75</c:v>
                </c:pt>
                <c:pt idx="36">
                  <c:v>10</c:v>
                </c:pt>
              </c:numCache>
            </c:numRef>
          </c:xVal>
          <c:yVal>
            <c:numRef>
              <c:f>'Liquefier Calculator'!$O$29:$O$65</c:f>
              <c:numCache>
                <c:formatCode>0.00%</c:formatCode>
                <c:ptCount val="37"/>
                <c:pt idx="0">
                  <c:v>0.42499999999999999</c:v>
                </c:pt>
                <c:pt idx="1">
                  <c:v>0.49765664694729245</c:v>
                </c:pt>
                <c:pt idx="2">
                  <c:v>0.54253473152531217</c:v>
                </c:pt>
                <c:pt idx="3">
                  <c:v>0.56723868739844474</c:v>
                </c:pt>
                <c:pt idx="4">
                  <c:v>0.57799999999999996</c:v>
                </c:pt>
                <c:pt idx="5">
                  <c:v>0.57930311993202654</c:v>
                </c:pt>
                <c:pt idx="6">
                  <c:v>0.57423455779259569</c:v>
                </c:pt>
                <c:pt idx="7">
                  <c:v>0.56489385296148564</c:v>
                </c:pt>
                <c:pt idx="8">
                  <c:v>0.55271249999999994</c:v>
                </c:pt>
                <c:pt idx="9">
                  <c:v>0.5386745838030601</c:v>
                </c:pt>
                <c:pt idx="10">
                  <c:v>0.52346355519229182</c:v>
                </c:pt>
                <c:pt idx="11">
                  <c:v>0.5075588993829816</c:v>
                </c:pt>
                <c:pt idx="12">
                  <c:v>0.4912999999999999</c:v>
                </c:pt>
                <c:pt idx="13">
                  <c:v>0.47492872498934929</c:v>
                </c:pt>
                <c:pt idx="14">
                  <c:v>0.45861817192663451</c:v>
                </c:pt>
                <c:pt idx="15">
                  <c:v>0.44249233167622698</c:v>
                </c:pt>
                <c:pt idx="16">
                  <c:v>0.4266397235576922</c:v>
                </c:pt>
                <c:pt idx="17">
                  <c:v>0.41112297692555305</c:v>
                </c:pt>
                <c:pt idx="18">
                  <c:v>0.39598565071857983</c:v>
                </c:pt>
                <c:pt idx="19">
                  <c:v>0.38125714608100453</c:v>
                </c:pt>
                <c:pt idx="20">
                  <c:v>0.36695628547297288</c:v>
                </c:pt>
                <c:pt idx="21">
                  <c:v>0.35309394774217906</c:v>
                </c:pt>
                <c:pt idx="22">
                  <c:v>0.33967502702505609</c:v>
                </c:pt>
                <c:pt idx="23">
                  <c:v>0.32669990195545984</c:v>
                </c:pt>
                <c:pt idx="24">
                  <c:v>0.31416554651562484</c:v>
                </c:pt>
                <c:pt idx="25">
                  <c:v>0.30206637605858838</c:v>
                </c:pt>
                <c:pt idx="26">
                  <c:v>0.2903948958142622</c:v>
                </c:pt>
                <c:pt idx="27">
                  <c:v>0.27914220081023539</c:v>
                </c:pt>
                <c:pt idx="28">
                  <c:v>0.26829836311538452</c:v>
                </c:pt>
                <c:pt idx="29">
                  <c:v>0.25785273299490252</c:v>
                </c:pt>
                <c:pt idx="30">
                  <c:v>0.24779417383240243</c:v>
                </c:pt>
                <c:pt idx="31">
                  <c:v>0.23811124576618961</c:v>
                </c:pt>
                <c:pt idx="32">
                  <c:v>0.2287923493773103</c:v>
                </c:pt>
                <c:pt idx="33">
                  <c:v>0.21982583809093079</c:v>
                </c:pt>
                <c:pt idx="34">
                  <c:v>0.21120010595305966</c:v>
                </c:pt>
                <c:pt idx="35">
                  <c:v>0.20290365593946513</c:v>
                </c:pt>
                <c:pt idx="36">
                  <c:v>0.19492515281259659</c:v>
                </c:pt>
              </c:numCache>
            </c:numRef>
          </c:yVal>
          <c:smooth val="1"/>
          <c:extLst>
            <c:ext xmlns:c16="http://schemas.microsoft.com/office/drawing/2014/chart" uri="{C3380CC4-5D6E-409C-BE32-E72D297353CC}">
              <c16:uniqueId val="{00000003-A95A-40AF-86D6-CBEB6C36A498}"/>
            </c:ext>
          </c:extLst>
        </c:ser>
        <c:dLbls>
          <c:showLegendKey val="0"/>
          <c:showVal val="0"/>
          <c:showCatName val="0"/>
          <c:showSerName val="0"/>
          <c:showPercent val="0"/>
          <c:showBubbleSize val="0"/>
        </c:dLbls>
        <c:axId val="733138184"/>
        <c:axId val="733137104"/>
      </c:scatterChart>
      <c:valAx>
        <c:axId val="733138184"/>
        <c:scaling>
          <c:orientation val="minMax"/>
          <c:max val="5"/>
          <c:min val="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AU" sz="1200"/>
                  <a:t>Compressor</a:t>
                </a:r>
                <a:r>
                  <a:rPr lang="en-AU" sz="1200" baseline="0"/>
                  <a:t> to Nozzle Ratio (C/N)</a:t>
                </a:r>
                <a:endParaRPr lang="en-AU"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7104"/>
        <c:crosses val="autoZero"/>
        <c:crossBetween val="midCat"/>
      </c:valAx>
      <c:valAx>
        <c:axId val="733137104"/>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33138184"/>
        <c:crosses val="autoZero"/>
        <c:crossBetween val="midCat"/>
        <c:majorUnit val="0.1"/>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16328</xdr:colOff>
      <xdr:row>0</xdr:row>
      <xdr:rowOff>59871</xdr:rowOff>
    </xdr:from>
    <xdr:to>
      <xdr:col>16</xdr:col>
      <xdr:colOff>32658</xdr:colOff>
      <xdr:row>25</xdr:row>
      <xdr:rowOff>119741</xdr:rowOff>
    </xdr:to>
    <xdr:graphicFrame macro="">
      <xdr:nvGraphicFramePr>
        <xdr:cNvPr id="2" name="Chart 1">
          <a:extLst>
            <a:ext uri="{FF2B5EF4-FFF2-40B4-BE49-F238E27FC236}">
              <a16:creationId xmlns:a16="http://schemas.microsoft.com/office/drawing/2014/main" id="{7B7520A5-6D9B-A438-8D19-46D580CC1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60</xdr:row>
      <xdr:rowOff>185056</xdr:rowOff>
    </xdr:from>
    <xdr:to>
      <xdr:col>7</xdr:col>
      <xdr:colOff>130628</xdr:colOff>
      <xdr:row>87</xdr:row>
      <xdr:rowOff>32656</xdr:rowOff>
    </xdr:to>
    <xdr:graphicFrame macro="">
      <xdr:nvGraphicFramePr>
        <xdr:cNvPr id="6" name="Chart 5">
          <a:extLst>
            <a:ext uri="{FF2B5EF4-FFF2-40B4-BE49-F238E27FC236}">
              <a16:creationId xmlns:a16="http://schemas.microsoft.com/office/drawing/2014/main" id="{042FAF7E-B4A8-4377-BD38-BB2F89208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0.70833</cdr:x>
      <cdr:y>0.20787</cdr:y>
    </cdr:from>
    <cdr:to>
      <cdr:x>0.96212</cdr:x>
      <cdr:y>0.49663</cdr:y>
    </cdr:to>
    <mc:AlternateContent xmlns:mc="http://schemas.openxmlformats.org/markup-compatibility/2006" xmlns:a14="http://schemas.microsoft.com/office/drawing/2010/main">
      <mc:Choice Requires="a14">
        <cdr:sp macro="" textlink="">
          <cdr:nvSpPr>
            <cdr:cNvPr id="2" name="TextBox 1">
              <a:extLst xmlns:a="http://schemas.openxmlformats.org/drawingml/2006/main">
                <a:ext uri="{FF2B5EF4-FFF2-40B4-BE49-F238E27FC236}">
                  <a16:creationId xmlns:a16="http://schemas.microsoft.com/office/drawing/2014/main" id="{3970E26F-D584-824B-B09F-2F8A21B1F3C7}"/>
                </a:ext>
              </a:extLst>
            </cdr:cNvPr>
            <cdr:cNvSpPr txBox="1"/>
          </cdr:nvSpPr>
          <cdr:spPr>
            <a:xfrm xmlns:a="http://schemas.openxmlformats.org/drawingml/2006/main">
              <a:off x="6106885" y="1006930"/>
              <a:ext cx="2188029" cy="13988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14:m>
                <m:oMathPara xmlns:m="http://schemas.openxmlformats.org/officeDocument/2006/math">
                  <m:oMath>
                    <m:r>
                      <a:rPr lang="en-AU" sz="1100" i="1" kern="1200">
                        <a:latin typeface="Cambria Math" panose="02040503050406030204" pitchFamily="18" charset="0"/>
                        <a:ea typeface="Cambria Math" panose="02040503050406030204" pitchFamily="18" charset="0"/>
                      </a:rPr>
                      <m:t>𝜂</m:t>
                    </m:r>
                    <m:r>
                      <a:rPr lang="en-AU" sz="1100" b="0" i="1" kern="1200">
                        <a:latin typeface="Cambria Math" panose="02040503050406030204" pitchFamily="18" charset="0"/>
                        <a:ea typeface="Cambria Math" panose="02040503050406030204" pitchFamily="18" charset="0"/>
                      </a:rPr>
                      <m:t>=1−</m:t>
                    </m:r>
                    <m:f>
                      <m:fPr>
                        <m:ctrlPr>
                          <a:rPr lang="en-AU" sz="1100" b="0" i="1" kern="1200">
                            <a:latin typeface="Cambria Math" panose="02040503050406030204" pitchFamily="18" charset="0"/>
                            <a:ea typeface="Cambria Math" panose="02040503050406030204" pitchFamily="18" charset="0"/>
                          </a:rPr>
                        </m:ctrlPr>
                      </m:fPr>
                      <m:num>
                        <m:r>
                          <a:rPr lang="en-AU" sz="1100" b="0" i="1" kern="1200">
                            <a:latin typeface="Cambria Math" panose="02040503050406030204" pitchFamily="18" charset="0"/>
                            <a:ea typeface="Cambria Math" panose="02040503050406030204" pitchFamily="18" charset="0"/>
                          </a:rPr>
                          <m:t>1</m:t>
                        </m:r>
                      </m:num>
                      <m:den>
                        <m:r>
                          <a:rPr lang="en-AU" sz="1100" b="0" i="1" kern="1200">
                            <a:latin typeface="Cambria Math" panose="02040503050406030204" pitchFamily="18" charset="0"/>
                            <a:ea typeface="Cambria Math" panose="02040503050406030204" pitchFamily="18" charset="0"/>
                          </a:rPr>
                          <m:t>10</m:t>
                        </m:r>
                        <m:r>
                          <a:rPr lang="en-AU" sz="1100" b="0" i="1" kern="1200">
                            <a:latin typeface="Cambria Math" panose="02040503050406030204" pitchFamily="18" charset="0"/>
                            <a:ea typeface="Cambria Math" panose="02040503050406030204" pitchFamily="18" charset="0"/>
                          </a:rPr>
                          <m:t>𝜇</m:t>
                        </m:r>
                        <m:sSup>
                          <m:sSupPr>
                            <m:ctrlPr>
                              <a:rPr lang="en-AU" sz="1100" b="0" i="1">
                                <a:effectLst/>
                                <a:latin typeface="Cambria Math" panose="02040503050406030204" pitchFamily="18" charset="0"/>
                                <a:ea typeface="+mn-ea"/>
                                <a:cs typeface="+mn-cs"/>
                              </a:rPr>
                            </m:ctrlPr>
                          </m:sSupPr>
                          <m:e>
                            <m:d>
                              <m:dPr>
                                <m:ctrlPr>
                                  <a:rPr lang="en-AU" sz="1100" b="0" i="1">
                                    <a:effectLst/>
                                    <a:latin typeface="Cambria Math" panose="02040503050406030204" pitchFamily="18" charset="0"/>
                                    <a:ea typeface="+mn-ea"/>
                                    <a:cs typeface="+mn-cs"/>
                                  </a:rPr>
                                </m:ctrlPr>
                              </m:dPr>
                              <m:e>
                                <m:f>
                                  <m:fPr>
                                    <m:ctrlPr>
                                      <a:rPr lang="en-AU" sz="1100" b="0" i="1">
                                        <a:effectLst/>
                                        <a:latin typeface="Cambria Math" panose="02040503050406030204" pitchFamily="18" charset="0"/>
                                        <a:ea typeface="+mn-ea"/>
                                        <a:cs typeface="+mn-cs"/>
                                      </a:rPr>
                                    </m:ctrlPr>
                                  </m:fPr>
                                  <m:num>
                                    <m:r>
                                      <a:rPr lang="en-AU" sz="1100" b="0" i="1">
                                        <a:effectLst/>
                                        <a:latin typeface="Cambria Math" panose="02040503050406030204" pitchFamily="18" charset="0"/>
                                        <a:ea typeface="+mn-ea"/>
                                        <a:cs typeface="+mn-cs"/>
                                      </a:rPr>
                                      <m:t>𝐶</m:t>
                                    </m:r>
                                  </m:num>
                                  <m:den>
                                    <m:r>
                                      <a:rPr lang="en-AU" sz="1100" b="0" i="1">
                                        <a:effectLst/>
                                        <a:latin typeface="Cambria Math" panose="02040503050406030204" pitchFamily="18" charset="0"/>
                                        <a:ea typeface="+mn-ea"/>
                                        <a:cs typeface="+mn-cs"/>
                                      </a:rPr>
                                      <m:t>𝑁</m:t>
                                    </m:r>
                                  </m:den>
                                </m:f>
                              </m:e>
                            </m:d>
                          </m:e>
                          <m:sup>
                            <m:r>
                              <a:rPr lang="en-AU" sz="1100" b="0" i="1" kern="1200">
                                <a:latin typeface="Cambria Math" panose="02040503050406030204" pitchFamily="18" charset="0"/>
                                <a:ea typeface="Cambria Math" panose="02040503050406030204" pitchFamily="18" charset="0"/>
                              </a:rPr>
                              <m:t>2</m:t>
                            </m:r>
                          </m:sup>
                        </m:sSup>
                        <m:r>
                          <a:rPr lang="en-AU" sz="1100" b="0" i="1" kern="1200">
                            <a:latin typeface="Cambria Math" panose="02040503050406030204" pitchFamily="18" charset="0"/>
                            <a:ea typeface="Cambria Math" panose="02040503050406030204" pitchFamily="18" charset="0"/>
                          </a:rPr>
                          <m:t>+1</m:t>
                        </m:r>
                      </m:den>
                    </m:f>
                  </m:oMath>
                </m:oMathPara>
              </a14:m>
              <a:endParaRPr lang="en-AU" sz="1100" kern="1200"/>
            </a:p>
            <a:p xmlns:a="http://schemas.openxmlformats.org/drawingml/2006/main">
              <a:pPr/>
              <a14:m>
                <m:oMathPara xmlns:m="http://schemas.openxmlformats.org/officeDocument/2006/math">
                  <m:oMath>
                    <m:r>
                      <a:rPr lang="en-AU" sz="1100" i="1" kern="1200">
                        <a:latin typeface="Cambria Math" panose="02040503050406030204" pitchFamily="18" charset="0"/>
                        <a:ea typeface="Cambria Math" panose="02040503050406030204" pitchFamily="18" charset="0"/>
                      </a:rPr>
                      <m:t>𝜀</m:t>
                    </m:r>
                    <m:r>
                      <a:rPr lang="en-AU" sz="1100" b="0" i="1" kern="1200">
                        <a:latin typeface="Cambria Math" panose="02040503050406030204" pitchFamily="18" charset="0"/>
                        <a:ea typeface="Cambria Math" panose="02040503050406030204" pitchFamily="18" charset="0"/>
                      </a:rPr>
                      <m:t>=</m:t>
                    </m:r>
                  </m:oMath>
                </m:oMathPara>
              </a14:m>
              <a:endParaRPr lang="en-AU" sz="1100" kern="1200"/>
            </a:p>
          </cdr:txBody>
        </cdr:sp>
      </mc:Choice>
      <mc:Fallback xmlns="">
        <cdr:sp macro="" textlink="">
          <cdr:nvSpPr>
            <cdr:cNvPr id="2" name="TextBox 1">
              <a:extLst xmlns:a="http://schemas.openxmlformats.org/drawingml/2006/main">
                <a:ext uri="{FF2B5EF4-FFF2-40B4-BE49-F238E27FC236}">
                  <a16:creationId xmlns:a16="http://schemas.microsoft.com/office/drawing/2014/main" id="{3970E26F-D584-824B-B09F-2F8A21B1F3C7}"/>
                </a:ext>
              </a:extLst>
            </cdr:cNvPr>
            <cdr:cNvSpPr txBox="1"/>
          </cdr:nvSpPr>
          <cdr:spPr>
            <a:xfrm xmlns:a="http://schemas.openxmlformats.org/drawingml/2006/main">
              <a:off x="6106885" y="1006930"/>
              <a:ext cx="2188029" cy="13988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i="0" kern="1200">
                  <a:latin typeface="Cambria Math" panose="02040503050406030204" pitchFamily="18" charset="0"/>
                  <a:ea typeface="Cambria Math" panose="02040503050406030204" pitchFamily="18" charset="0"/>
                </a:rPr>
                <a:t>𝜂</a:t>
              </a:r>
              <a:r>
                <a:rPr lang="en-AU" sz="1100" b="0" i="0" kern="1200">
                  <a:latin typeface="Cambria Math" panose="02040503050406030204" pitchFamily="18" charset="0"/>
                  <a:ea typeface="Cambria Math" panose="02040503050406030204" pitchFamily="18" charset="0"/>
                </a:rPr>
                <a:t>=1−1/(10𝜇</a:t>
              </a:r>
              <a:r>
                <a:rPr lang="en-AU" sz="1100" b="0" i="0" kern="1200">
                  <a:effectLst/>
                  <a:latin typeface="+mn-lt"/>
                  <a:ea typeface="+mn-ea"/>
                  <a:cs typeface="+mn-cs"/>
                </a:rPr>
                <a:t>(</a:t>
              </a:r>
              <a:r>
                <a:rPr lang="en-AU" sz="1100" b="0" i="0">
                  <a:effectLst/>
                  <a:latin typeface="+mn-lt"/>
                  <a:ea typeface="+mn-ea"/>
                  <a:cs typeface="+mn-cs"/>
                </a:rPr>
                <a:t>𝐶/𝑁)</a:t>
              </a:r>
              <a:r>
                <a:rPr lang="en-AU" sz="1100" b="0" i="0" kern="1200">
                  <a:effectLst/>
                  <a:latin typeface="Cambria Math" panose="02040503050406030204" pitchFamily="18" charset="0"/>
                  <a:ea typeface="Cambria Math" panose="02040503050406030204" pitchFamily="18" charset="0"/>
                  <a:cs typeface="+mn-cs"/>
                </a:rPr>
                <a:t>^</a:t>
              </a:r>
              <a:r>
                <a:rPr lang="en-AU" sz="1100" b="0" i="0" kern="1200">
                  <a:latin typeface="Cambria Math" panose="02040503050406030204" pitchFamily="18" charset="0"/>
                  <a:ea typeface="Cambria Math" panose="02040503050406030204" pitchFamily="18" charset="0"/>
                </a:rPr>
                <a:t>2+1)</a:t>
              </a:r>
              <a:endParaRPr lang="en-AU" sz="1100" kern="1200"/>
            </a:p>
            <a:p xmlns:a="http://schemas.openxmlformats.org/drawingml/2006/main">
              <a:r>
                <a:rPr lang="en-AU" sz="1100" i="0" kern="1200">
                  <a:latin typeface="Cambria Math" panose="02040503050406030204" pitchFamily="18" charset="0"/>
                  <a:ea typeface="Cambria Math" panose="02040503050406030204" pitchFamily="18" charset="0"/>
                </a:rPr>
                <a:t>𝜀</a:t>
              </a:r>
              <a:r>
                <a:rPr lang="en-AU" sz="1100" b="0" i="0" kern="1200">
                  <a:latin typeface="Cambria Math" panose="02040503050406030204" pitchFamily="18" charset="0"/>
                  <a:ea typeface="Cambria Math" panose="02040503050406030204" pitchFamily="18" charset="0"/>
                </a:rPr>
                <a:t>=</a:t>
              </a:r>
              <a:endParaRPr lang="en-AU" sz="1100" kern="1200"/>
            </a:p>
          </cdr:txBody>
        </cdr:sp>
      </mc:Fallback>
    </mc:AlternateContent>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41133F1-6CFE-435E-A8AA-328E7D833DCB}" name="ParticleTable" displayName="ParticleTable" ref="M3:R68" totalsRowShown="0" headerRowDxfId="118" headerRowCellStyle="Good">
  <autoFilter ref="M3:R68" xr:uid="{141133F1-6CFE-435E-A8AA-328E7D833DCB}"/>
  <tableColumns count="6">
    <tableColumn id="1" xr3:uid="{E297BD20-7B4A-4B04-8C00-38BA276F011D}" name="List Number"/>
    <tableColumn id="2" xr3:uid="{2BB41E0D-6C30-4D54-BF54-A6A07961B50F}" name="Name"/>
    <tableColumn id="3" xr3:uid="{19771AF4-FC12-4D4C-8079-284F4CA28516}" name="Symbol"/>
    <tableColumn id="4" xr3:uid="{32B45F6F-5288-4E2C-A173-2E86993BD6AA}" name="Mass (MeV)"/>
    <tableColumn id="5" xr3:uid="{92F64597-C17D-4542-A022-5E9DC8A193FA}" name="Charge"/>
    <tableColumn id="6" xr3:uid="{073F00EE-E2BE-4831-9B36-AE05669DD8C8}" name="Mass Rounded (MeV)"/>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A06419-A234-474F-9C83-1E49C617007D}" name="IsotopeTable" displayName="IsotopeTable" ref="A20:G478" totalsRowShown="0" headerRowCellStyle="Good">
  <autoFilter ref="A20:G478" xr:uid="{2EA06419-A234-474F-9C83-1E49C617007D}"/>
  <sortState xmlns:xlrd2="http://schemas.microsoft.com/office/spreadsheetml/2017/richdata2" ref="A21:G478">
    <sortCondition ref="A20:A478"/>
  </sortState>
  <tableColumns count="7">
    <tableColumn id="7" xr3:uid="{5AC09A35-92FF-4392-86F1-BA736E5403E8}" name="List Number"/>
    <tableColumn id="1" xr3:uid="{0BFD4D24-702E-456E-9D30-0964D24CFC7F}" name="Isotope"/>
    <tableColumn id="2" xr3:uid="{C20DEFC8-CDE3-44C2-8990-6C58B1494BD0}" name="Atomic Number" dataDxfId="117"/>
    <tableColumn id="3" xr3:uid="{A7B791E5-FD75-4C8D-A4FC-B454EA2F1226}" name="Half Life (Years)" dataDxfId="116"/>
    <tableColumn id="4" xr3:uid="{A984E2D6-4EEF-4B3C-8A97-8D11155B93A2}" name="Abundance" dataDxfId="115"/>
    <tableColumn id="5" xr3:uid="{55F33E4E-D03F-4AE7-9165-60D7C7CCB38F}" name="Atom Mass (amu)" dataDxfId="114"/>
    <tableColumn id="6" xr3:uid="{37BC98BE-60A2-405F-A7FD-9372852C40FC}" name="Nuclei Mass (MeV)" dataDxfId="113">
      <calculatedColumnFormula>F21*amu-C21*m_e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A288CE-31B2-4DDD-BD3C-C1E2C8EA8FF6}" name="ProtonReactions" displayName="ProtonReactions" ref="A5:H156" totalsRowShown="0" headerRowCellStyle="Good">
  <autoFilter ref="A5:H156" xr:uid="{40A288CE-31B2-4DDD-BD3C-C1E2C8EA8FF6}"/>
  <sortState xmlns:xlrd2="http://schemas.microsoft.com/office/spreadsheetml/2017/richdata2" ref="A6:H156">
    <sortCondition ref="D5:D156"/>
  </sortState>
  <tableColumns count="8">
    <tableColumn id="1" xr3:uid="{F2C68E51-2003-47C4-AB08-DBFFC0FA326A}" name="Reaction"/>
    <tableColumn id="2" xr3:uid="{0EA74A3A-CC0E-4FA0-BF20-910C6943E2F1}" name="Amount (pu)" dataDxfId="112">
      <calculatedColumnFormula>mole/F6*(sf_TC/100)</calculatedColumnFormula>
    </tableColumn>
    <tableColumn id="3" xr3:uid="{AEEED031-C93E-4721-8691-58D2FBC75043}" name="Min Focus"/>
    <tableColumn id="4" xr3:uid="{8C447A15-E3D5-4E9F-ABE8-4BAB194FE91E}" name="Min Energy (keV)" dataDxfId="111"/>
    <tableColumn id="5" xr3:uid="{7DE7F4E1-C883-42DB-812F-662779440D32}" name="Max energy (keV)" dataDxfId="110"/>
    <tableColumn id="6" xr3:uid="{1B3F9411-9E1D-4671-8A08-EAA1CB90F62F}" name="Cross Section" dataDxfId="109"/>
    <tableColumn id="7" xr3:uid="{B3471971-E3AF-4AC7-AE4A-AE8598EFF0F5}" name="Energy Released (keV)" dataDxfId="108"/>
    <tableColumn id="8" xr3:uid="{201305EF-A5DB-4BBF-B73F-D6BF05A8C7B6}" name="Default Beam Time (s)">
      <calculatedColumnFormula>B6/(I_b*20)</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5406B1-F089-4332-93E7-AA28A1C92B3C}" name="NeutronReactions" displayName="NeutronReactions" ref="A160:H216" totalsRowShown="0" headerRowCellStyle="Good">
  <autoFilter ref="A160:H216" xr:uid="{315406B1-F089-4332-93E7-AA28A1C92B3C}"/>
  <sortState xmlns:xlrd2="http://schemas.microsoft.com/office/spreadsheetml/2017/richdata2" ref="A161:H216">
    <sortCondition ref="D160:D216"/>
  </sortState>
  <tableColumns count="8">
    <tableColumn id="1" xr3:uid="{53198D46-8F40-4478-8FFB-EB020C2B5033}" name="Reaction"/>
    <tableColumn id="2" xr3:uid="{372F582C-107D-4213-B006-C80C0E9C016C}" name="Amount (pu)" dataDxfId="107">
      <calculatedColumnFormula>mole/F161*(sf_TC/100)</calculatedColumnFormula>
    </tableColumn>
    <tableColumn id="3" xr3:uid="{65CEB329-9788-447F-8D31-9F5435BB219C}" name="Min Focus"/>
    <tableColumn id="4" xr3:uid="{C2F7582F-A6ED-4535-A02D-13C324A33A2C}" name="Min Energy (keV)" dataDxfId="106"/>
    <tableColumn id="5" xr3:uid="{30CA696A-8611-41B6-8748-903EB2E68857}" name="Max energy (keV)" dataDxfId="105"/>
    <tableColumn id="6" xr3:uid="{C6AC5234-6636-4CFC-9B71-92A27BC25CA1}" name="Cross Section" dataDxfId="104"/>
    <tableColumn id="7" xr3:uid="{0476B8AE-B901-4F67-8AFF-32694B63CBE2}" name="Energy Released (keV)" dataDxfId="103"/>
    <tableColumn id="8" xr3:uid="{6262F0CD-83AB-4BAF-B5B7-2B90995581FD}" name="Default Beam Time (s)">
      <calculatedColumnFormula>B161/(I_b*20)</calculatedColumnFormula>
    </tableColumn>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BC31B9-DA54-48DE-B86B-701F5AB096B6}" name="PhotonReactions" displayName="PhotonReactions" ref="A220:H248" totalsRowShown="0" headerRowCellStyle="Good">
  <autoFilter ref="A220:H248" xr:uid="{75BC31B9-DA54-48DE-B86B-701F5AB096B6}"/>
  <sortState xmlns:xlrd2="http://schemas.microsoft.com/office/spreadsheetml/2017/richdata2" ref="A221:H248">
    <sortCondition ref="D220:D248"/>
  </sortState>
  <tableColumns count="8">
    <tableColumn id="1" xr3:uid="{0DE02DE3-BACC-474A-9912-100ACFC8B690}" name="Reaction"/>
    <tableColumn id="2" xr3:uid="{ACC0E3A8-D4B3-43A7-A916-0B7AF35B1A9C}" name="Amount (pu)" dataDxfId="102">
      <calculatedColumnFormula>mole/F221*(sf_TC/100)</calculatedColumnFormula>
    </tableColumn>
    <tableColumn id="3" xr3:uid="{49374C43-AD46-4997-9BAD-1CD0EAF95526}" name="Min Focus"/>
    <tableColumn id="4" xr3:uid="{62700F59-E8AD-4E2E-8AA7-228E8260BDD9}" name="Min Energy (keV)" dataDxfId="101"/>
    <tableColumn id="5" xr3:uid="{A81B9B1A-4259-47C8-899D-04B8FE8508AC}" name="Max energy (keV)" dataDxfId="100"/>
    <tableColumn id="6" xr3:uid="{A62660BD-FE99-4811-9B56-E09F144B794C}" name="Cross Section" dataDxfId="99"/>
    <tableColumn id="7" xr3:uid="{161BD74D-9A95-4216-8F83-7A558179B2F3}" name="Energy Released (keV)" dataDxfId="98"/>
    <tableColumn id="8" xr3:uid="{F735A879-6F8C-4054-A33E-AF176B220209}" name="Default Beam Time (s)">
      <calculatedColumnFormula>B221/(I_b*20)</calculatedColumnFormula>
    </tableColumn>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6775E9-C26B-486A-AAAB-EE881C68F143}" name="ElectronReactions" displayName="ElectronReactions" ref="A253:H257" totalsRowShown="0" headerRowCellStyle="Good">
  <autoFilter ref="A253:H257" xr:uid="{116775E9-C26B-486A-AAAB-EE881C68F143}"/>
  <tableColumns count="8">
    <tableColumn id="1" xr3:uid="{312E5A03-1449-448C-8D31-5E537D9EB8B9}" name="Reaction"/>
    <tableColumn id="2" xr3:uid="{99FBD1C6-3DB9-47B8-A10C-0DDB7C1AA4C3}" name="Amount (pu)" dataDxfId="97">
      <calculatedColumnFormula>mole/F254*(sf_TC/100)</calculatedColumnFormula>
    </tableColumn>
    <tableColumn id="3" xr3:uid="{2BC0A62F-4646-4E0C-94A3-E3335B17BB62}" name="Min Focus"/>
    <tableColumn id="4" xr3:uid="{1089ECC9-5002-449E-BE50-86582562F028}" name="Min Energy (keV)" dataDxfId="96"/>
    <tableColumn id="5" xr3:uid="{A6A4E943-E002-466D-AC2F-0A57D44C4A5A}" name="Max energy (keV)" dataDxfId="95"/>
    <tableColumn id="6" xr3:uid="{49D52EBC-263E-4D96-AB56-A22189F2E990}" name="Cross Section" dataDxfId="94"/>
    <tableColumn id="7" xr3:uid="{0CEB8898-C5CB-4505-9FA8-0380CF879765}" name="Energy Released (keV)" dataDxfId="93"/>
    <tableColumn id="8" xr3:uid="{4CAC2E5B-EE02-40FD-AA74-75997A96237A}" name="Default Beam Time (s)">
      <calculatedColumnFormula>B254/(I_b*20)</calculatedColumnFormula>
    </tableColumn>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98CD1C-511A-47E2-B6E2-A049ED7C4F75}" name="HelionReactions" displayName="HelionReactions" ref="A342:H354" totalsRowShown="0" headerRowCellStyle="Good">
  <autoFilter ref="A342:H354" xr:uid="{2998CD1C-511A-47E2-B6E2-A049ED7C4F75}"/>
  <tableColumns count="8">
    <tableColumn id="1" xr3:uid="{84689E1D-1D02-464A-880B-99C41B23DB80}" name="Reaction"/>
    <tableColumn id="2" xr3:uid="{05726872-45A2-4184-B0B8-380FB1ABE83D}" name="Amount (pu)" dataDxfId="92">
      <calculatedColumnFormula>mole/F343*(sf_TC/100)</calculatedColumnFormula>
    </tableColumn>
    <tableColumn id="3" xr3:uid="{F1B6931C-1894-4530-B2AA-2052D7D7DE42}" name="Min Focus"/>
    <tableColumn id="4" xr3:uid="{FF9EF5DE-3919-4734-BC65-4B257638628A}" name="Min Energy (keV)" dataDxfId="91"/>
    <tableColumn id="5" xr3:uid="{A0359D7F-1E1B-4A85-8A83-3CBBEAC4332D}" name="Max energy (keV)" dataDxfId="90"/>
    <tableColumn id="6" xr3:uid="{F137013F-8EDF-40E7-822A-D6E5F9EC439F}" name="Cross Section" dataDxfId="89"/>
    <tableColumn id="7" xr3:uid="{FB4C3E19-A2CC-4DAD-AA12-1DC5DF989ED6}" name="Energy Released (keV)" dataDxfId="88"/>
    <tableColumn id="8" xr3:uid="{5E332C56-6DF6-4C34-BD69-B9DBE5A1EF56}" name="Default Beam Time (s)">
      <calculatedColumnFormula>B343/(I_b*20)</calculatedColumnFormula>
    </tableColumn>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45DAD4-FB55-4244-AB39-4C717B001416}" name="AlphaReactions" displayName="AlphaReactions" ref="A358:H401" totalsRowShown="0" headerRowCellStyle="Good">
  <autoFilter ref="A358:H401" xr:uid="{5445DAD4-FB55-4244-AB39-4C717B001416}"/>
  <tableColumns count="8">
    <tableColumn id="1" xr3:uid="{73A3ADC5-AB0B-438D-AEB1-731A49403AFB}" name="Reaction"/>
    <tableColumn id="2" xr3:uid="{C1B6206B-09C0-4473-B733-FD77176E4D8F}" name="Amount (pu)" dataDxfId="87">
      <calculatedColumnFormula>mole/F359*(sf_TC/100)</calculatedColumnFormula>
    </tableColumn>
    <tableColumn id="3" xr3:uid="{8403B9BA-5A47-42CD-9CEF-247B023977AB}" name="Min Focus"/>
    <tableColumn id="4" xr3:uid="{B09A77D1-0E02-44DC-973A-0958CE8E9D21}" name="Min Energy (keV)" dataDxfId="86"/>
    <tableColumn id="5" xr3:uid="{BF9F96C3-443C-4322-B578-72997DA45272}" name="Max energy (keV)" dataDxfId="85"/>
    <tableColumn id="6" xr3:uid="{0A96112E-DBF3-4967-BE9B-BCCC088F56E1}" name="Cross Section" dataDxfId="84"/>
    <tableColumn id="7" xr3:uid="{2C121948-F277-4B53-9585-F497B3E2B523}" name="Energy Released (keV)" dataDxfId="83"/>
    <tableColumn id="8" xr3:uid="{8D7F5D98-1B75-4359-AADE-521D5BB3A7D9}" name="Default Beam Time (s)">
      <calculatedColumnFormula>B359/(I_b*20)</calculatedColumnFormula>
    </tableColumn>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F8F5EAD-6DF9-48E8-8030-C418E2BF91CE}" name="BoronReactions" displayName="BoronReactions" ref="A405:H407" totalsRowShown="0" headerRowCellStyle="Good">
  <autoFilter ref="A405:H407" xr:uid="{FF8F5EAD-6DF9-48E8-8030-C418E2BF91CE}"/>
  <tableColumns count="8">
    <tableColumn id="1" xr3:uid="{A49B05C5-BDB1-4F49-B4F3-F3E749E1A1BD}" name="Reaction"/>
    <tableColumn id="2" xr3:uid="{32B39D45-E613-4B97-931E-A552BF34CC6F}" name="Amount (pu)" dataDxfId="82">
      <calculatedColumnFormula>mole/F406*(sf_TC/100)</calculatedColumnFormula>
    </tableColumn>
    <tableColumn id="3" xr3:uid="{9366F031-47B6-4C17-AB78-13A5164671ED}" name="Min Focus"/>
    <tableColumn id="4" xr3:uid="{6F52C089-0B77-4D59-A5C0-61888CB6D012}" name="Min Energy (keV)" dataDxfId="81"/>
    <tableColumn id="5" xr3:uid="{9988FF3D-7258-44D7-B5A5-BA39542DB899}" name="Max energy (keV)" dataDxfId="80"/>
    <tableColumn id="6" xr3:uid="{9DECA056-AF9B-4E78-AB3F-7C3E1DC7AEDA}" name="Cross Section" dataDxfId="79"/>
    <tableColumn id="7" xr3:uid="{AFA041F7-CD85-492D-B539-56C7DBEB5406}" name="Energy Released (keV)" dataDxfId="78"/>
    <tableColumn id="8" xr3:uid="{5140993F-DDAB-4682-A549-9633ADAE97E3}" name="Default Beam Time (s)">
      <calculatedColumnFormula>B406/(I_b*20)</calculatedColumnFormula>
    </tableColumn>
  </tableColumns>
  <tableStyleInfo name="TableStyleMedium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96418A-208F-43E5-843B-65148812BC2C}" name="Calcium48Reactions" displayName="Calcium48Reactions" ref="A411:H413" totalsRowShown="0" headerRowCellStyle="Good">
  <autoFilter ref="A411:H413" xr:uid="{2296418A-208F-43E5-843B-65148812BC2C}"/>
  <tableColumns count="8">
    <tableColumn id="1" xr3:uid="{24441DD6-74E8-4AAA-9720-9F0B4E9B9027}" name="Reaction"/>
    <tableColumn id="2" xr3:uid="{25CDB86C-3A15-4A11-BFE0-D823E2A36063}" name="Amount (pu)" dataDxfId="77">
      <calculatedColumnFormula>mole/F412*(sf_TC/100)</calculatedColumnFormula>
    </tableColumn>
    <tableColumn id="3" xr3:uid="{CF837310-3190-47E9-9536-9845E57D9B90}" name="Min Focus"/>
    <tableColumn id="4" xr3:uid="{1944CE97-5327-42EC-8691-82E4669B64FF}" name="Min Energy (keV)" dataDxfId="76"/>
    <tableColumn id="5" xr3:uid="{17C5B950-E218-486E-89AF-D5512455B355}" name="Max energy (keV)" dataDxfId="75"/>
    <tableColumn id="6" xr3:uid="{E1ABCC4C-A33C-4FE7-A641-91CC480D1558}" name="Cross Section" dataDxfId="74"/>
    <tableColumn id="7" xr3:uid="{856B96D8-1179-4B0E-B787-8A2B315DA8BF}" name="Energy Released (keV)" dataDxfId="73"/>
    <tableColumn id="8" xr3:uid="{A2B2C15D-A2A3-49D6-B93B-F3A37B9F5744}" name="Default Beam Time (s)">
      <calculatedColumnFormula>B412/(I_b*20)</calculatedColumnFormula>
    </tableColumn>
  </tableColumns>
  <tableStyleInfo name="TableStyleMedium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E87E38-9695-42DA-A9EA-DC46DAE3BBA8}" name="ElectronAntineutrinoReactions" displayName="ElectronAntineutrinoReactions" ref="A417:H422" totalsRowShown="0" headerRowCellStyle="Good">
  <autoFilter ref="A417:H422" xr:uid="{1CE87E38-9695-42DA-A9EA-DC46DAE3BBA8}"/>
  <sortState xmlns:xlrd2="http://schemas.microsoft.com/office/spreadsheetml/2017/richdata2" ref="A418:H422">
    <sortCondition ref="D417:D422"/>
  </sortState>
  <tableColumns count="8">
    <tableColumn id="1" xr3:uid="{056BC917-3723-4D06-89B8-C8F01E6F391A}" name="Reaction"/>
    <tableColumn id="2" xr3:uid="{DE25F692-EAC2-41AF-B559-BCA2F46C0FB4}" name="Amount (pu)" dataDxfId="72">
      <calculatedColumnFormula>mole/F418*(sf_TC/100)</calculatedColumnFormula>
    </tableColumn>
    <tableColumn id="3" xr3:uid="{0BC297F9-BDF2-452F-BB0D-838D9CA54430}" name="Min Focus"/>
    <tableColumn id="4" xr3:uid="{C0DCA9E4-5D50-4459-B17C-DF4F7943E781}" name="Min Energy (keV)" dataDxfId="71"/>
    <tableColumn id="5" xr3:uid="{5D0116B8-94E1-4A11-8611-EA8357D87825}" name="Max energy (keV)" dataDxfId="70"/>
    <tableColumn id="6" xr3:uid="{DCCFBBBF-2084-4990-96F2-ACE86E3F3B0E}" name="Cross Section" dataDxfId="69"/>
    <tableColumn id="7" xr3:uid="{4BF74AD6-B725-4B0B-A126-6C59295192B8}" name="Energy Released (keV)" dataDxfId="68"/>
    <tableColumn id="8" xr3:uid="{9D09E3F0-E0ED-4758-9487-56FA6D1D0F5F}" name="Default Beam Time (s)">
      <calculatedColumnFormula>B418/(I_b*20)</calculatedColumnFormula>
    </tableColumn>
  </tableColumns>
  <tableStyleInfo name="TableStyleMedium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506243B-FB9D-46A7-9D31-BFCF7EF5D638}" name="ElectronNeutrinoReactions" displayName="ElectronNeutrinoReactions" ref="A444:H448" totalsRowShown="0" headerRowCellStyle="Good">
  <autoFilter ref="A444:H448" xr:uid="{E506243B-FB9D-46A7-9D31-BFCF7EF5D638}"/>
  <tableColumns count="8">
    <tableColumn id="1" xr3:uid="{58AB66F9-CC5F-46F1-952A-3D51B27A29BE}" name="Reaction"/>
    <tableColumn id="2" xr3:uid="{7ACF837F-446A-43A8-8CE6-4FB03398640F}" name="Amount (pu)" dataDxfId="67">
      <calculatedColumnFormula>mole/F445*(sf_TC/100)</calculatedColumnFormula>
    </tableColumn>
    <tableColumn id="3" xr3:uid="{DDFE8FA5-D382-460B-BE9E-49DD6C2D45BA}" name="Min Focus"/>
    <tableColumn id="4" xr3:uid="{3A604D44-72DF-43C5-B938-11406435D410}" name="Min Energy (keV)" dataDxfId="66"/>
    <tableColumn id="5" xr3:uid="{57080618-3B95-4A92-A81D-EBA6C47D0D2F}" name="Max energy (keV)" dataDxfId="65"/>
    <tableColumn id="6" xr3:uid="{31C47DBC-F245-4677-9E75-93F146C983CF}" name="Cross Section" dataDxfId="64"/>
    <tableColumn id="7" xr3:uid="{69E8627C-AA80-4F9E-A520-E5C4D7D15529}" name="Energy Released (keV)" dataDxfId="63"/>
    <tableColumn id="8" xr3:uid="{DD0932B2-C7FC-4884-BCAB-2361E7EAC69D}" name="Default Beam Time (s)">
      <calculatedColumnFormula>B445/(I_b*20)</calculatedColumnFormula>
    </tableColumn>
  </tableColumns>
  <tableStyleInfo name="TableStyleMedium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D0D32B-3AC6-4D52-8AE6-8863A6C6992A}" name="PionMinusReactions" displayName="PionMinusReactions" ref="A473:H474" totalsRowShown="0" headerRowCellStyle="Good">
  <autoFilter ref="A473:H474" xr:uid="{B3D0D32B-3AC6-4D52-8AE6-8863A6C6992A}"/>
  <tableColumns count="8">
    <tableColumn id="1" xr3:uid="{2A9B4CDC-A3DC-4629-9AF0-236B52585C68}" name="Reaction"/>
    <tableColumn id="2" xr3:uid="{BE4FD7FE-AE6F-4CCA-9552-08A6ABA679CD}" name="Amount (pu)" dataDxfId="62">
      <calculatedColumnFormula>mole/F474*(sf_TC/100)</calculatedColumnFormula>
    </tableColumn>
    <tableColumn id="3" xr3:uid="{46ECF4DF-44CD-47A6-B4D0-87DFFF485240}" name="Min Focus"/>
    <tableColumn id="4" xr3:uid="{D93308D4-6175-4DF1-A436-5F280D8D12F1}" name="Min Energy (keV)" dataDxfId="61"/>
    <tableColumn id="5" xr3:uid="{B60A7213-7A60-4878-BFD8-822CD56EC5A7}" name="Max energy (keV)" dataDxfId="60"/>
    <tableColumn id="6" xr3:uid="{7FB8CD99-72B5-4273-BA43-7D765C3125CE}" name="Cross Section" dataDxfId="59"/>
    <tableColumn id="7" xr3:uid="{5B4A7F6E-01FA-4040-AE13-87D9E9EB6FC5}" name="Energy Released (keV)" dataDxfId="58"/>
    <tableColumn id="8" xr3:uid="{99F718C2-8CAA-4335-8F38-94D032230AB1}" name="Default Beam Time (s)">
      <calculatedColumnFormula>B474/(I_b*20)</calculatedColumnFormula>
    </tableColumn>
  </tableColumns>
  <tableStyleInfo name="TableStyleMedium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A56FECC-50C4-4A5F-85B2-4C214E42FFB0}" name="AntiprotonReactions" displayName="AntiprotonReactions" ref="A478:H514" totalsRowShown="0" headerRowCellStyle="Good">
  <autoFilter ref="A478:H514" xr:uid="{4A56FECC-50C4-4A5F-85B2-4C214E42FFB0}"/>
  <tableColumns count="8">
    <tableColumn id="1" xr3:uid="{51F2016A-8F44-47B0-A703-0798F7957D97}" name="Reaction"/>
    <tableColumn id="2" xr3:uid="{51746F09-E701-45E3-B252-250BEBCB06E2}" name="Amount (pu)" dataDxfId="57">
      <calculatedColumnFormula>mole/F479*(sf_TC/100)</calculatedColumnFormula>
    </tableColumn>
    <tableColumn id="3" xr3:uid="{9F2CCB28-037F-44B5-BA3D-F483FE3A75F6}" name="Min Focus"/>
    <tableColumn id="4" xr3:uid="{3F53A4EB-5B8F-4989-AC17-3D2C1288ABC7}" name="Min Energy (keV)" dataDxfId="56"/>
    <tableColumn id="5" xr3:uid="{57C09D6F-9911-41B9-9AF4-93DD9D7C0056}" name="Max energy (keV)" dataDxfId="55"/>
    <tableColumn id="6" xr3:uid="{AF415C89-7C07-4B1A-8813-449442BF1C46}" name="Cross Section" dataDxfId="54"/>
    <tableColumn id="7" xr3:uid="{41F82EBB-60BE-4755-9649-88C7DB5855E7}" name="Energy Released (keV)" dataDxfId="53"/>
    <tableColumn id="8" xr3:uid="{5FC25D21-4D80-45D0-8C32-7D8536DFE646}" name="Default Beam Time (s)">
      <calculatedColumnFormula>B479/(I_b*20)</calculatedColumnFormula>
    </tableColumn>
  </tableColumns>
  <tableStyleInfo name="TableStyleMedium1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B9EA26-DAD4-4688-8B8A-9AFAF0F76773}" name="PionPlusReactions" displayName="PionPlusReactions" ref="A468:H469" totalsRowShown="0" headerRowCellStyle="Good" dataCellStyle="Normal">
  <autoFilter ref="A468:H469" xr:uid="{6BB9EA26-DAD4-4688-8B8A-9AFAF0F76773}"/>
  <tableColumns count="8">
    <tableColumn id="1" xr3:uid="{56FE44E4-EDC9-4099-A30D-E1F3DFA896F9}" name="Reaction" dataCellStyle="Normal"/>
    <tableColumn id="2" xr3:uid="{53D799A7-C5E5-41DE-9568-8F13426E09F0}" name="Amount (pu)" dataDxfId="52" dataCellStyle="Normal">
      <calculatedColumnFormula>mole/F469*(sf_TC/100)</calculatedColumnFormula>
    </tableColumn>
    <tableColumn id="3" xr3:uid="{EE5F7656-F61E-4E2A-939A-7F6FAD098FFD}" name="Min Focus" dataCellStyle="Normal"/>
    <tableColumn id="4" xr3:uid="{AF9065F9-CC54-4B22-A5DA-8F505A3C7633}" name="Min Energy (keV)" dataDxfId="51" dataCellStyle="Normal"/>
    <tableColumn id="5" xr3:uid="{3D683B7F-72A9-433E-A412-6BA9C9148828}" name="Max energy (keV)" dataDxfId="50" dataCellStyle="Normal"/>
    <tableColumn id="6" xr3:uid="{E5FB316D-E999-4C42-9541-98F745FC18D5}" name="Cross Section" dataDxfId="49" dataCellStyle="Normal"/>
    <tableColumn id="7" xr3:uid="{6630AB4C-CD50-4CAD-9FAF-FFBCA8D10317}" name="Energy Released (keV)" dataDxfId="48" dataCellStyle="Normal"/>
    <tableColumn id="8" xr3:uid="{5F630B27-249F-4B44-99D1-CAA095D946AA}" name="Default Beam Time (s)" dataCellStyle="Normal">
      <calculatedColumnFormula>B469/(I_b*20)</calculatedColumnFormula>
    </tableColumn>
  </tableColumns>
  <tableStyleInfo name="TableStyleMedium1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935050-C488-42FF-8D4E-F321FB8FD962}" name="AntideuteronReactions" displayName="AntideuteronReactions" ref="A518:H554" totalsRowShown="0" headerRowCellStyle="Good">
  <autoFilter ref="A518:H554" xr:uid="{F9935050-C488-42FF-8D4E-F321FB8FD962}"/>
  <tableColumns count="8">
    <tableColumn id="1" xr3:uid="{D8E761B0-A597-468F-A3B6-F0E967311421}" name="Reaction"/>
    <tableColumn id="2" xr3:uid="{F5589335-D2A2-4E1A-8763-3E4B8E53D7FC}" name="Amount (pu)" dataDxfId="47">
      <calculatedColumnFormula>mole/F519*(sf_TC/100)</calculatedColumnFormula>
    </tableColumn>
    <tableColumn id="3" xr3:uid="{A3E18F29-925F-4A82-84A1-3C01356250A5}" name="Min Focus"/>
    <tableColumn id="4" xr3:uid="{DDCA3172-8F1C-41DB-A117-12F96C41879E}" name="Min Energy (keV)" dataDxfId="46"/>
    <tableColumn id="5" xr3:uid="{B7CB3436-1FF9-4C0F-8694-C5832EC76D58}" name="Max energy (keV)" dataDxfId="45"/>
    <tableColumn id="6" xr3:uid="{E2038B3F-9F1C-480E-9DFF-96738FB52839}" name="Cross Section" dataDxfId="44"/>
    <tableColumn id="7" xr3:uid="{6C130A5A-7D92-4B1E-A4E0-2FC303DC1593}" name="Energy Released (keV)" dataDxfId="43"/>
    <tableColumn id="8" xr3:uid="{C205FE10-E4E7-4D97-BFCD-C237715E570E}" name="Default Beam Time (s)">
      <calculatedColumnFormula>B519/(I_b*20)</calculatedColumnFormula>
    </tableColumn>
  </tableColumns>
  <tableStyleInfo name="TableStyleMedium1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E14B330-AC90-409C-8CDE-07344EE3845E}" name="DeuteronReactions" displayName="DeuteronReactions" ref="A261:H327" totalsRowShown="0" headerRowDxfId="42" headerRowCellStyle="Good">
  <autoFilter ref="A261:H327" xr:uid="{FE14B330-AC90-409C-8CDE-07344EE3845E}"/>
  <sortState xmlns:xlrd2="http://schemas.microsoft.com/office/spreadsheetml/2017/richdata2" ref="A262:H327">
    <sortCondition ref="D261:D327"/>
  </sortState>
  <tableColumns count="8">
    <tableColumn id="1" xr3:uid="{E9575CF0-16D0-4CC0-B3E4-F6DB74790AA1}" name="Reaction"/>
    <tableColumn id="2" xr3:uid="{BCF91881-56C3-484A-B237-7D1F096DF8CB}" name="Amount (pu)" dataDxfId="41">
      <calculatedColumnFormula>mole/F262*(sf_TC/100)</calculatedColumnFormula>
    </tableColumn>
    <tableColumn id="3" xr3:uid="{7A724ADC-A55E-4758-8FF2-7E2DA4036C80}" name="Min Focus"/>
    <tableColumn id="4" xr3:uid="{81CF0ACC-F8FF-4C89-897E-AD21C4B7F233}" name="Min Energy (keV)" dataDxfId="40"/>
    <tableColumn id="5" xr3:uid="{89C1F2BD-7846-461D-88ED-4958CE39813A}" name="Max energy (keV)" dataDxfId="39"/>
    <tableColumn id="6" xr3:uid="{2EEE6675-A9C0-4D41-A2B1-4BC87424797B}" name="Cross Section" dataDxfId="38"/>
    <tableColumn id="7" xr3:uid="{7E170A40-F73E-43D0-A7DF-3569C01A6B90}" name="Energy Released (keV)" dataDxfId="37"/>
    <tableColumn id="8" xr3:uid="{EA82F167-FB37-45A4-BC44-A278E1E788F9}" name="Default Beam Time (s)">
      <calculatedColumnFormula>B262/(I_b*20)</calculatedColumnFormula>
    </tableColumn>
  </tableColumns>
  <tableStyleInfo name="TableStyleMedium1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9D4E97-C210-4790-82F4-D90C83BC6248}" name="TritonReactions" displayName="TritonReactions" ref="A332:H338" totalsRowShown="0" headerRowCellStyle="Good">
  <autoFilter ref="A332:H338" xr:uid="{B09D4E97-C210-4790-82F4-D90C83BC6248}"/>
  <tableColumns count="8">
    <tableColumn id="1" xr3:uid="{D6E99861-BBB1-4FEB-8521-216C390497D4}" name="Reaction"/>
    <tableColumn id="2" xr3:uid="{07335A67-CB74-448E-9342-5CF95C93F83C}" name="Amount (pu)" dataDxfId="36">
      <calculatedColumnFormula>mole/F333*(sf_TC/100)</calculatedColumnFormula>
    </tableColumn>
    <tableColumn id="3" xr3:uid="{86F5D763-B643-4AC4-80FB-23B9D6B26E3F}" name="Min Focus"/>
    <tableColumn id="4" xr3:uid="{56B7CEE6-D1CC-488C-97E5-CA8FCC236B42}" name="Min Energy (keV)" dataDxfId="35"/>
    <tableColumn id="5" xr3:uid="{F9F2AC46-2C44-43C9-84BD-8CD6815E7D1D}" name="Max energy (keV)" dataDxfId="34"/>
    <tableColumn id="6" xr3:uid="{7F55880F-0D02-4957-B626-4E29980046CC}" name="Cross Section" dataDxfId="33"/>
    <tableColumn id="7" xr3:uid="{F5D681D3-190C-470E-AB40-78C4ACBEF9F2}" name="Energy Released (keV)" dataDxfId="32"/>
    <tableColumn id="8" xr3:uid="{B3E001A5-FA8F-4951-AFB9-8CC9C028FEFA}" name="Default Beam Time (s)">
      <calculatedColumnFormula>B333/(I_b*20)</calculatedColumnFormula>
    </tableColumn>
  </tableColumns>
  <tableStyleInfo name="TableStyleMedium1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2E70798-5AD5-45C2-9FDF-B12E2AC54A82}" name="MuonAntineutrinoReactions" displayName="MuonAntineutrinoReactions" ref="A426:H431" totalsRowShown="0" headerRowCellStyle="Good">
  <autoFilter ref="A426:H431" xr:uid="{42E70798-5AD5-45C2-9FDF-B12E2AC54A82}"/>
  <sortState xmlns:xlrd2="http://schemas.microsoft.com/office/spreadsheetml/2017/richdata2" ref="A427:H431">
    <sortCondition ref="D417:D422"/>
  </sortState>
  <tableColumns count="8">
    <tableColumn id="1" xr3:uid="{BE76CC50-17DA-4C10-9E44-7F27595C21DD}" name="Reaction"/>
    <tableColumn id="2" xr3:uid="{762374C6-3B2C-442D-9BAF-5405E668BB17}" name="Amount (pu)" dataDxfId="31">
      <calculatedColumnFormula>mole/F427*(sf_TC/100)</calculatedColumnFormula>
    </tableColumn>
    <tableColumn id="3" xr3:uid="{B166AAAD-E7A6-4A9A-A469-A2264D3BB183}" name="Min Focus"/>
    <tableColumn id="4" xr3:uid="{0D9774A7-F6BB-4098-9110-4FF5700DE466}" name="Min Energy (keV)" dataDxfId="30"/>
    <tableColumn id="5" xr3:uid="{F64BB890-B67C-4875-B910-D2C5A5694B6B}" name="Max energy (keV)" dataDxfId="29"/>
    <tableColumn id="6" xr3:uid="{5ABF7D8D-4337-460E-A5E5-73B578AF02BD}" name="Cross Section" dataDxfId="28"/>
    <tableColumn id="7" xr3:uid="{C420E77E-30F4-4D5F-B134-DA2A09261C71}" name="Energy Released (keV)" dataDxfId="27"/>
    <tableColumn id="8" xr3:uid="{BF75B818-1EC9-4A36-8D1E-06254ED7ED94}" name="Default Beam Time (s)">
      <calculatedColumnFormula>B427/(I_b*20)</calculatedColumnFormula>
    </tableColumn>
  </tableColumns>
  <tableStyleInfo name="TableStyleMedium1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A38B5A7-F9BF-40A0-90BA-24F51D79ED75}" name="TauAntineutrinoReactions" displayName="TauAntineutrinoReactions" ref="A435:H440" totalsRowShown="0" headerRowCellStyle="Good">
  <autoFilter ref="A435:H440" xr:uid="{DA38B5A7-F9BF-40A0-90BA-24F51D79ED75}"/>
  <sortState xmlns:xlrd2="http://schemas.microsoft.com/office/spreadsheetml/2017/richdata2" ref="A436:H440">
    <sortCondition ref="D417:D422"/>
  </sortState>
  <tableColumns count="8">
    <tableColumn id="1" xr3:uid="{2040F137-DB10-43E3-8A36-58BA9A931A18}" name="Reaction"/>
    <tableColumn id="2" xr3:uid="{B0668C5F-8209-4ED9-A1AE-72A7237B90AD}" name="Amount (pu)" dataDxfId="26">
      <calculatedColumnFormula>mole/F436*(sf_TC/100)</calculatedColumnFormula>
    </tableColumn>
    <tableColumn id="3" xr3:uid="{469F0EB9-2C5C-4F96-91B8-9A9695A442D1}" name="Min Focus"/>
    <tableColumn id="4" xr3:uid="{FC3A6BF8-13EC-4946-BD91-D43661BABFE4}" name="Min Energy (keV)" dataDxfId="25"/>
    <tableColumn id="5" xr3:uid="{A25B77DA-FFB1-41D9-B1A3-30DD829613F5}" name="Max energy (keV)" dataDxfId="24"/>
    <tableColumn id="6" xr3:uid="{FA9C08D0-D272-4BB9-8181-F7526FADB900}" name="Cross Section" dataDxfId="23"/>
    <tableColumn id="7" xr3:uid="{3A2E4A04-85E7-442E-8186-36ACBD011B3E}" name="Energy Released (keV)" dataDxfId="22"/>
    <tableColumn id="8" xr3:uid="{D6D64DCD-33F5-4ED3-8FC5-D2BCDFB2FD88}" name="Default Beam Time (s)">
      <calculatedColumnFormula>B436/(I_b*20)</calculatedColumnFormula>
    </tableColumn>
  </tableColumns>
  <tableStyleInfo name="TableStyleMedium14"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F19070-3A5C-491C-B2A9-A3E981200635}" name="MuonNeutrinoReactions" displayName="MuonNeutrinoReactions" ref="A452:H456" totalsRowShown="0" headerRowCellStyle="Good">
  <autoFilter ref="A452:H456" xr:uid="{55F19070-3A5C-491C-B2A9-A3E981200635}"/>
  <tableColumns count="8">
    <tableColumn id="1" xr3:uid="{8044DB22-C421-464E-956C-338289855CBF}" name="Reaction"/>
    <tableColumn id="2" xr3:uid="{352AB843-2836-4A96-8195-02F08FB18DA7}" name="Amount (pu)" dataDxfId="21">
      <calculatedColumnFormula>mole/F453*(sf_TC/100)</calculatedColumnFormula>
    </tableColumn>
    <tableColumn id="3" xr3:uid="{507E7BD2-7ABE-4BA9-A133-96C9F5C01B64}" name="Min Focus"/>
    <tableColumn id="4" xr3:uid="{3F053BA4-03EF-4B5C-8399-16117AD0F1BE}" name="Min Energy (keV)" dataDxfId="20"/>
    <tableColumn id="5" xr3:uid="{94A4C572-DAF3-4537-B28F-90C828ED0767}" name="Max energy (keV)" dataDxfId="19"/>
    <tableColumn id="6" xr3:uid="{3757FF8F-33CF-48D5-B7CB-8934ACAF7C14}" name="Cross Section" dataDxfId="18"/>
    <tableColumn id="7" xr3:uid="{6E1698D4-F038-490B-BFBE-E92F746CA6B6}" name="Energy Released (keV)" dataDxfId="17"/>
    <tableColumn id="8" xr3:uid="{FD0E6AE6-CFD1-477B-AB7F-2D68A84E17D8}" name="Default Beam Time (s)">
      <calculatedColumnFormula>B453/(I_b*20)</calculatedColumnFormula>
    </tableColumn>
  </tableColumns>
  <tableStyleInfo name="TableStyleMedium14"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675B2EC-665B-402B-B049-9CD2D77EB05F}" name="TauNeutrinoReactions" displayName="TauNeutrinoReactions" ref="A460:H464" totalsRowShown="0" headerRowCellStyle="Good">
  <autoFilter ref="A460:H464" xr:uid="{9675B2EC-665B-402B-B049-9CD2D77EB05F}"/>
  <tableColumns count="8">
    <tableColumn id="1" xr3:uid="{185EADD9-5F51-4D54-B23E-9109E6A3C698}" name="Reaction"/>
    <tableColumn id="2" xr3:uid="{F78561FB-5598-4EAE-BF9E-2DC0ECB2B8A0}" name="Amount (pu)" dataDxfId="16">
      <calculatedColumnFormula>mole/F461*(sf_TC/100)</calculatedColumnFormula>
    </tableColumn>
    <tableColumn id="3" xr3:uid="{223DC5E4-59EA-4A35-8518-19CFC0607997}" name="Min Focus"/>
    <tableColumn id="4" xr3:uid="{8BFBE74A-942A-4C9E-856F-B237F6642FE7}" name="Min Energy (keV)" dataDxfId="15"/>
    <tableColumn id="5" xr3:uid="{481705F8-AE10-4C61-B7E8-692024484F85}" name="Max energy (keV)" dataDxfId="14"/>
    <tableColumn id="6" xr3:uid="{D2B34EBF-3619-4FCE-82DD-C5DAE8DB9085}" name="Cross Section" dataDxfId="13"/>
    <tableColumn id="7" xr3:uid="{AB5A39B7-508B-42C8-AB3E-9BBFE8781527}" name="Energy Released (keV)" dataDxfId="12"/>
    <tableColumn id="8" xr3:uid="{6566044D-69E8-4E2C-B94E-FF2AA02F1C40}" name="Default Beam Time (s)">
      <calculatedColumnFormula>B461/(I_b*20)</calculatedColumnFormula>
    </tableColumn>
  </tableColumns>
  <tableStyleInfo name="TableStyleMedium1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E36B208-4E61-4068-97EF-0B6725CE758C}" name="FusionReactions" displayName="FusionReactions" ref="A12:N41" totalsRowShown="0" headerRowCellStyle="Good" dataCellStyle="Output">
  <autoFilter ref="A12:N41" xr:uid="{5E36B208-4E61-4068-97EF-0B6725CE758C}"/>
  <tableColumns count="14">
    <tableColumn id="1" xr3:uid="{3E4F2804-391E-47D3-A055-D6C304BF699F}" name="Reaction"/>
    <tableColumn id="2" xr3:uid="{38305EF9-6888-437C-9C8F-964821581839}" name="Energy Released (keV)" dataDxfId="139"/>
    <tableColumn id="3" xr3:uid="{63847800-CAC2-40D4-A8DC-3305DD60979F}" name="A1"/>
    <tableColumn id="4" xr3:uid="{77277087-AB45-42E1-BCA7-B715754C9CA2}" name="A2"/>
    <tableColumn id="5" xr3:uid="{233D32E8-7622-4B2A-868D-7B6FFB7581F5}" name="Z1"/>
    <tableColumn id="6" xr3:uid="{C556FAEF-EF73-47E4-89A2-B813AA869C44}" name="Z2"/>
    <tableColumn id="7" xr3:uid="{861784FE-1F08-484F-9A68-61D6228B14E3}" name="Weak Factor"/>
    <tableColumn id="8" xr3:uid="{094E4603-4509-46FF-AD7E-233B1F1EA8C9}" name="Ln(σ)">
      <calculatedColumnFormula>-E13*F13*SQRT(C13*D13/(C13+D13))-G13</calculatedColumnFormula>
    </tableColumn>
    <tableColumn id="9" xr3:uid="{254092D4-02B7-42DA-BC54-B058CF25C832}" name="Cross Section" dataDxfId="138">
      <calculatedColumnFormula>1/((ABS(H13)+1)^(0.6))</calculatedColumnFormula>
    </tableColumn>
    <tableColumn id="10" xr3:uid="{BEC21A5B-4C36-4E28-A90A-7104EAE4D8CE}" name="pu" dataDxfId="137">
      <calculatedColumnFormula>(mole/muon_ratio)/I13</calculatedColumnFormula>
    </tableColumn>
    <tableColumn id="11" xr3:uid="{8799DC79-19AD-4E0B-A45C-F84C75EC84E4}" name="Heat Released (H)" dataDxfId="136" dataCellStyle="Normal">
      <calculatedColumnFormula>B13*keV_to_H</calculatedColumnFormula>
    </tableColumn>
    <tableColumn id="12" xr3:uid="{388EEDF4-ED7C-4988-BC58-90D490EE6514}" name="Amount (pu)" dataDxfId="135" dataCellStyle="Normal">
      <calculatedColumnFormula>ROUND(J13,4-(1+INT(LOG10(ABS(J13)))))*(sf_NSC/100)</calculatedColumnFormula>
    </tableColumn>
    <tableColumn id="13" xr3:uid="{9E381C5C-A633-46F7-97AD-3E525E5801D7}" name="Default Beam Time (t)" dataDxfId="134" dataCellStyle="Normal">
      <calculatedColumnFormula>L13/I_b</calculatedColumnFormula>
    </tableColumn>
    <tableColumn id="14" xr3:uid="{0414CE90-9695-407A-B88D-0C08DCBDE777}" name="Default Beam Heat (H/t)" dataDxfId="133" dataCellStyle="Normal">
      <calculatedColumnFormula>K13/M13</calculatedColumnFormula>
    </tableColumn>
  </tableColumns>
  <tableStyleInfo name="TableStyleMedium14"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A1B4561-4CB3-41C1-8AA0-825D28B324F8}" name="RProcessReactions" displayName="RProcessReactions" ref="A50:K93" totalsRowShown="0" headerRowCellStyle="Good">
  <autoFilter ref="A50:K93" xr:uid="{4A1B4561-4CB3-41C1-8AA0-825D28B324F8}"/>
  <tableColumns count="11">
    <tableColumn id="1" xr3:uid="{FE520E24-BC5B-4F84-A2CA-D733ED8FA93A}" name="Reaction"/>
    <tableColumn id="2" xr3:uid="{C96DA014-2848-4522-82F7-9E00B9F2E0A9}" name="Energy Released (keV)" dataDxfId="132"/>
    <tableColumn id="3" xr3:uid="{E13CECD4-0F52-4DF9-BB50-510DFB21E39C}" name="n"/>
    <tableColumn id="4" xr3:uid="{42AFA52B-CD55-471D-91AB-45A7E07473A2}" name="A"/>
    <tableColumn id="5" xr3:uid="{38438A90-3A4A-4DEC-B8B3-F9612B05B5E1}" name="Cross Section (Barn)" dataDxfId="131">
      <calculatedColumnFormula>PI()*(r_0*D51^(1/3)+h/SQRT(2*m_n*1000000*10000000)*c_s)^2/1E-28</calculatedColumnFormula>
    </tableColumn>
    <tableColumn id="6" xr3:uid="{5EBB91E9-6F68-4A67-8393-161EF46E80A1}" name="Cross Section" dataDxfId="130">
      <calculatedColumnFormula>MIN(1,E51/10)</calculatedColumnFormula>
    </tableColumn>
    <tableColumn id="7" xr3:uid="{5F8C271E-C70C-4E84-8481-31595AEAE7C0}" name="pu">
      <calculatedColumnFormula>C51*mole/F51</calculatedColumnFormula>
    </tableColumn>
    <tableColumn id="8" xr3:uid="{7A590AAC-F93B-4CF1-BFBA-433E6CB5445F}" name="Heat Released (H)" dataDxfId="129">
      <calculatedColumnFormula>B51*keV_to_H/r_debuff</calculatedColumnFormula>
    </tableColumn>
    <tableColumn id="9" xr3:uid="{73C8FA4D-9E40-4DD0-9B9D-049BCD7F492F}" name="Amount (pu)" dataDxfId="128">
      <calculatedColumnFormula>ROUND(G51,4-(1+INT(LOG10(ABS(G51)))))</calculatedColumnFormula>
    </tableColumn>
    <tableColumn id="10" xr3:uid="{DE8792AC-003E-4F2A-B8A9-44E4F4E93EC0}" name="Default Beam Time (t)" dataDxfId="127">
      <calculatedColumnFormula>I51/I_b</calculatedColumnFormula>
    </tableColumn>
    <tableColumn id="11" xr3:uid="{817C5721-7FC3-4901-BD0A-AD06C0C5F540}" name="Default Beam Heat (H/t)" dataDxfId="126">
      <calculatedColumnFormula>H51/J51</calculatedColumnFormula>
    </tableColumn>
  </tableColumns>
  <tableStyleInfo name="TableStyleMedium14"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196426E-033E-484D-8657-9F77ED26A4D9}" name="PProcessReactions" displayName="PProcessReactions" ref="A102:O135" totalsRowShown="0" headerRowCellStyle="Good">
  <autoFilter ref="A102:O135" xr:uid="{1196426E-033E-484D-8657-9F77ED26A4D9}"/>
  <tableColumns count="15">
    <tableColumn id="1" xr3:uid="{0F311206-371F-4468-A81A-136C1754ABFD}" name="Reaction"/>
    <tableColumn id="2" xr3:uid="{EE3A9F0A-BEC6-4E18-95BC-E29A3521B36C}" name="Energy Released (keV)"/>
    <tableColumn id="3" xr3:uid="{98008379-0F81-4A02-A0C4-15FC77E9E9C4}" name="p"/>
    <tableColumn id="4" xr3:uid="{71BAC2C0-49CC-45C0-BE6C-0691CA31FAFE}" name="A"/>
    <tableColumn id="5" xr3:uid="{C00B5A6C-8D10-4B3D-9696-0C1314EC0772}" name="Z"/>
    <tableColumn id="6" xr3:uid="{A6309FB0-235D-4EBA-88E5-E28E7E24B840}" name="MinEnergy (keV)">
      <calculatedColumnFormula>k*(E103+C103-1)/(r_p+r_0*(D103+C103-1)^(1/3))/1000</calculatedColumnFormula>
    </tableColumn>
    <tableColumn id="7" xr3:uid="{623A1AF7-CF17-4DD9-B8F0-B387E5EE2F5E}" name="Cross Section (Barn)">
      <calculatedColumnFormula>PI()*(r_0*D103^(1/3)+h/SQRT(2*m_p*1000000*F103*1000)*c_s)^2/1E-28</calculatedColumnFormula>
    </tableColumn>
    <tableColumn id="8" xr3:uid="{6EBC41A7-1214-4D6B-8B1A-557EF0ECAEB3}" name="Cross Section" dataDxfId="125">
      <calculatedColumnFormula>MIN(G103/10,1)</calculatedColumnFormula>
    </tableColumn>
    <tableColumn id="9" xr3:uid="{F5897EED-86EE-4240-8784-F2EE9F25E2DA}" name="pu">
      <calculatedColumnFormula>C103*mole/H103</calculatedColumnFormula>
    </tableColumn>
    <tableColumn id="10" xr3:uid="{CF2D8E2E-F434-4FB2-9C96-9EA1ADCB0273}" name="Minium Energy (keV)" dataDxfId="124">
      <calculatedColumnFormula>ROUND(F103,3-(1+INT(LOG10(ABS(F103)))))</calculatedColumnFormula>
    </tableColumn>
    <tableColumn id="11" xr3:uid="{99FD4A47-AC04-491D-AE19-3420BC139255}" name="Maximum Energy (keV)" dataDxfId="123">
      <calculatedColumnFormula>ROUND(F103+10000,3-(1+INT(LOG10(ABS(F103+10000)))))</calculatedColumnFormula>
    </tableColumn>
    <tableColumn id="12" xr3:uid="{3CF9CB20-9844-42ED-A3C5-7F214E87BF09}" name="Heat Released (H)" dataDxfId="122">
      <calculatedColumnFormula>B103*keV_to_H/p_debuff</calculatedColumnFormula>
    </tableColumn>
    <tableColumn id="13" xr3:uid="{712742D3-ED8F-4C2F-A09B-9ED30438DBF9}" name="Amount (pu)" dataDxfId="121">
      <calculatedColumnFormula>ROUND(I103,4-(1+INT(LOG10(ABS(I103)))))*(sf_NSC/100)</calculatedColumnFormula>
    </tableColumn>
    <tableColumn id="14" xr3:uid="{4ABC04EE-C110-4369-A745-FF45C62DCADB}" name="Default Beam Time (t)" dataDxfId="120">
      <calculatedColumnFormula>M103/I_b</calculatedColumnFormula>
    </tableColumn>
    <tableColumn id="15" xr3:uid="{EA8DD21E-AF54-4909-B69B-E2EB5FABC60C}" name="Default Beam Heat (H/t)" dataDxfId="119">
      <calculatedColumnFormula>L103/N103</calculatedColumnFormula>
    </tableColumn>
  </tableColumns>
  <tableStyleInfo name="TableStyleMedium1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92A6BC3-C1AE-4A31-BEE7-E61BCC6A2777}" name="CollisionRecipes" displayName="CollisionRecipes" ref="A12:F51" totalsRowShown="0" headerRowDxfId="11" headerRowBorderDxfId="10" headerRowCellStyle="Good">
  <autoFilter ref="A12:F51" xr:uid="{692A6BC3-C1AE-4A31-BEE7-E61BCC6A2777}"/>
  <tableColumns count="6">
    <tableColumn id="1" xr3:uid="{1DED891C-3682-4772-A136-EB5E29C0C7CB}" name="Reaction" dataDxfId="9"/>
    <tableColumn id="2" xr3:uid="{4ECFE731-AF9A-4A54-BE40-EAEC74829B26}" name="Min Focus"/>
    <tableColumn id="3" xr3:uid="{0EF5F372-C81B-4E1C-8A57-15E45DB05EC4}" name="Min Energy (keV)" dataDxfId="8"/>
    <tableColumn id="4" xr3:uid="{8DA6A647-4FFE-432C-9036-42C098FCC3D2}" name="Max energy (keV)" dataDxfId="7"/>
    <tableColumn id="5" xr3:uid="{C6F99542-A7AA-43E2-B63A-345BECAB6C1D}" name="Cross Section" dataDxfId="6"/>
    <tableColumn id="6" xr3:uid="{1502E968-B14C-4EBD-B45E-5012CCA96AA6}" name="Energy Released (keV)" dataDxfId="5"/>
  </tableColumns>
  <tableStyleInfo name="TableStyleMedium14"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52BA8EB-742F-4F73-AE98-D58B1127C531}" name="DecayRecipes" displayName="DecayRecipes" ref="A15:F49" totalsRowShown="0" headerRowDxfId="4" headerRowBorderDxfId="3" headerRowCellStyle="Good">
  <autoFilter ref="A15:F49" xr:uid="{B52BA8EB-742F-4F73-AE98-D58B1127C531}"/>
  <tableColumns count="6">
    <tableColumn id="1" xr3:uid="{CD3066D4-A592-40C9-A9AC-C5EEC6F35FA1}" name="Reaction"/>
    <tableColumn id="2" xr3:uid="{32FCED77-1DF9-4182-94DA-B059148B955E}" name="Min Focus"/>
    <tableColumn id="3" xr3:uid="{AA194BFF-AC14-4404-997D-89896C5AB95C}" name="Min Energy (keV)"/>
    <tableColumn id="4" xr3:uid="{B6122DB3-A8C2-4DDE-80CB-B003B11A43E1}" name="Max energy (keV)"/>
    <tableColumn id="5" xr3:uid="{62341072-6323-400B-800F-E16A1967E6F8}" name="Cross Section" dataDxfId="2"/>
    <tableColumn id="6" xr3:uid="{4EE3517B-B3A0-4D71-9D6D-26931195FE47}" name="Energy Released (keV)" dataDxfId="1"/>
  </tableColumns>
  <tableStyleInfo name="TableStyleMedium14"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AAC8BB-EB28-4086-A33E-676890735B02}" name="LiquefierRecipes" displayName="LiquefierRecipes" ref="A11:H18" totalsRowShown="0" headerRowCellStyle="Good">
  <autoFilter ref="A11:H18" xr:uid="{BCAAC8BB-EB28-4086-A33E-676890735B02}"/>
  <tableColumns count="8">
    <tableColumn id="1" xr3:uid="{C3454419-8964-40C0-889F-06FD6A85905C}" name="Recipe"/>
    <tableColumn id="2" xr3:uid="{BF0560EA-D8BB-4C44-86D2-F433E06FF01E}" name="Input amount (mB)"/>
    <tableColumn id="3" xr3:uid="{18D8E340-071A-419D-81BE-99408A904F46}" name="Output amount (mB)"/>
    <tableColumn id="4" xr3:uid="{7066B744-8EA1-4E5C-93DA-ED49727EABB8}" name="Base RF (RF)"/>
    <tableColumn id="5" xr3:uid="{8BE749F1-F0B2-4041-A166-941EEF1B0EEB}" name="Base Heat (H)"/>
    <tableColumn id="6" xr3:uid="{556286BA-0850-4CBD-8DCF-1BC3F33F407B}" name="Inversion Temperature (K)"/>
    <tableColumn id="7" xr3:uid="{5B4A19C4-B9FB-4195-A574-B7E7DF388528}" name="Hot Gas Temperature (K)"/>
    <tableColumn id="8" xr3:uid="{C7E75303-4BC5-451D-A2C6-E4768549054F}" name="Pressure Coefficient"/>
  </tableColumns>
  <tableStyleInfo name="TableStyleMedium14"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8FCEDE-C23A-4019-AE31-1EF266DEB33D}" name="LiquefierCoolantRecipes" displayName="LiquefierCoolantRecipes" ref="A22:F27" totalsRowShown="0" headerRowDxfId="0" headerRowCellStyle="Good">
  <autoFilter ref="A22:F27" xr:uid="{648FCEDE-C23A-4019-AE31-1EF266DEB33D}"/>
  <tableColumns count="6">
    <tableColumn id="1" xr3:uid="{E3586C1E-F32D-49CD-8E2A-7450B1CFC0BC}" name="Recipe"/>
    <tableColumn id="2" xr3:uid="{4E92DE6F-50D7-45F6-95FA-9D126BE76BFA}" name="Input amount (mB)"/>
    <tableColumn id="3" xr3:uid="{37B76284-0162-4FC1-9BF7-6A73091B0CF8}" name="Output amount (mB)"/>
    <tableColumn id="4" xr3:uid="{D5F68CC6-5516-4A36-B082-C6CF89279E8D}" name="Heat (H)"/>
    <tableColumn id="5" xr3:uid="{ADA520B3-4235-4FB1-A6FB-3B5CD9EC50C5}" name="Input Temperature (K)"/>
    <tableColumn id="6" xr3:uid="{BA3EDF62-8F2B-4CDB-B671-D35147018993}" name="Output Temperature (K)"/>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2.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3.bin"/><Relationship Id="rId4" Type="http://schemas.openxmlformats.org/officeDocument/2006/relationships/table" Target="../tables/table2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A849-D9D2-44B0-BEDD-C52A8AF8C6AD}">
  <dimension ref="A1:R68"/>
  <sheetViews>
    <sheetView tabSelected="1" workbookViewId="0">
      <selection activeCell="L25" sqref="L25"/>
    </sheetView>
  </sheetViews>
  <sheetFormatPr defaultRowHeight="14.6" x14ac:dyDescent="0.4"/>
  <cols>
    <col min="1" max="1" width="16.69140625" bestFit="1" customWidth="1"/>
    <col min="13" max="13" width="13.07421875" bestFit="1" customWidth="1"/>
    <col min="14" max="14" width="18.61328125" bestFit="1" customWidth="1"/>
    <col min="15" max="15" width="13" bestFit="1" customWidth="1"/>
    <col min="16" max="16" width="12.4609375" bestFit="1" customWidth="1"/>
    <col min="17" max="18" width="21.15234375" bestFit="1" customWidth="1"/>
    <col min="20" max="20" width="21.15234375" bestFit="1" customWidth="1"/>
  </cols>
  <sheetData>
    <row r="1" spans="1:18" ht="14.6" customHeight="1" x14ac:dyDescent="0.4">
      <c r="A1" s="95" t="s">
        <v>1111</v>
      </c>
      <c r="B1" s="95"/>
      <c r="C1" s="95"/>
      <c r="D1" s="95"/>
      <c r="E1" s="95"/>
      <c r="F1" s="95"/>
      <c r="G1" s="95"/>
      <c r="H1" s="95"/>
      <c r="I1" s="95"/>
      <c r="J1" s="95"/>
      <c r="M1" s="113" t="s">
        <v>1112</v>
      </c>
      <c r="N1" s="113"/>
      <c r="O1" s="113"/>
      <c r="P1" s="113"/>
      <c r="Q1" s="113"/>
      <c r="R1" s="113"/>
    </row>
    <row r="2" spans="1:18" ht="14.6" customHeight="1" x14ac:dyDescent="0.4">
      <c r="A2" s="95"/>
      <c r="B2" s="95"/>
      <c r="C2" s="95"/>
      <c r="D2" s="95"/>
      <c r="E2" s="95"/>
      <c r="F2" s="95"/>
      <c r="G2" s="95"/>
      <c r="H2" s="95"/>
      <c r="I2" s="95"/>
      <c r="J2" s="95"/>
      <c r="M2" s="113"/>
      <c r="N2" s="113"/>
      <c r="O2" s="113"/>
      <c r="P2" s="113"/>
      <c r="Q2" s="113"/>
      <c r="R2" s="113"/>
    </row>
    <row r="3" spans="1:18" ht="14.6" customHeight="1" x14ac:dyDescent="0.4">
      <c r="A3" s="99" t="s">
        <v>1253</v>
      </c>
      <c r="B3" s="99"/>
      <c r="C3" s="99"/>
      <c r="D3" s="99"/>
      <c r="E3" s="99"/>
      <c r="F3" s="99"/>
      <c r="G3" s="99"/>
      <c r="H3" s="99"/>
      <c r="I3" s="99"/>
      <c r="J3" s="99"/>
      <c r="M3" s="32" t="s">
        <v>872</v>
      </c>
      <c r="N3" s="32" t="s">
        <v>228</v>
      </c>
      <c r="O3" s="59" t="s">
        <v>1113</v>
      </c>
      <c r="P3" s="60" t="s">
        <v>242</v>
      </c>
      <c r="Q3" s="60" t="s">
        <v>229</v>
      </c>
      <c r="R3" s="61" t="s">
        <v>874</v>
      </c>
    </row>
    <row r="4" spans="1:18" x14ac:dyDescent="0.4">
      <c r="A4" s="102"/>
      <c r="B4" s="102"/>
      <c r="C4" s="102"/>
      <c r="D4" s="102"/>
      <c r="E4" s="102"/>
      <c r="F4" s="102"/>
      <c r="G4" s="102"/>
      <c r="H4" s="102"/>
      <c r="I4" s="102"/>
      <c r="J4" s="102"/>
      <c r="M4">
        <v>0</v>
      </c>
      <c r="N4" t="s">
        <v>724</v>
      </c>
      <c r="P4">
        <v>0</v>
      </c>
      <c r="Q4">
        <v>0</v>
      </c>
      <c r="R4">
        <v>0</v>
      </c>
    </row>
    <row r="5" spans="1:18" x14ac:dyDescent="0.4">
      <c r="A5" s="102"/>
      <c r="B5" s="102"/>
      <c r="C5" s="102"/>
      <c r="D5" s="102"/>
      <c r="E5" s="102"/>
      <c r="F5" s="102"/>
      <c r="G5" s="102"/>
      <c r="H5" s="102"/>
      <c r="I5" s="102"/>
      <c r="J5" s="102"/>
      <c r="M5">
        <v>1</v>
      </c>
      <c r="N5" t="s">
        <v>266</v>
      </c>
      <c r="O5" t="s">
        <v>1114</v>
      </c>
      <c r="P5">
        <v>938.27208943000005</v>
      </c>
      <c r="Q5">
        <v>1</v>
      </c>
      <c r="R5">
        <f t="shared" ref="R5:R30" si="0">ROUND(P5,3-(1+INT(LOG10(ABS(P5)))))</f>
        <v>938</v>
      </c>
    </row>
    <row r="6" spans="1:18" x14ac:dyDescent="0.4">
      <c r="A6" s="102"/>
      <c r="B6" s="102"/>
      <c r="C6" s="102"/>
      <c r="D6" s="102"/>
      <c r="E6" s="102"/>
      <c r="F6" s="102"/>
      <c r="G6" s="102"/>
      <c r="H6" s="102"/>
      <c r="I6" s="102"/>
      <c r="J6" s="102"/>
      <c r="M6">
        <v>2</v>
      </c>
      <c r="N6" t="s">
        <v>268</v>
      </c>
      <c r="O6" t="s">
        <v>204</v>
      </c>
      <c r="P6">
        <v>939.56541330000005</v>
      </c>
      <c r="Q6">
        <v>0</v>
      </c>
      <c r="R6">
        <f t="shared" si="0"/>
        <v>940</v>
      </c>
    </row>
    <row r="7" spans="1:18" x14ac:dyDescent="0.4">
      <c r="A7" s="102"/>
      <c r="B7" s="102"/>
      <c r="C7" s="102"/>
      <c r="D7" s="102"/>
      <c r="E7" s="102"/>
      <c r="F7" s="102"/>
      <c r="G7" s="102"/>
      <c r="H7" s="102"/>
      <c r="I7" s="102"/>
      <c r="J7" s="102"/>
      <c r="M7">
        <v>3</v>
      </c>
      <c r="N7" t="s">
        <v>259</v>
      </c>
      <c r="O7" t="s">
        <v>1115</v>
      </c>
      <c r="P7">
        <v>1875.6129450000001</v>
      </c>
      <c r="Q7">
        <v>1</v>
      </c>
      <c r="R7">
        <f t="shared" si="0"/>
        <v>1880</v>
      </c>
    </row>
    <row r="8" spans="1:18" x14ac:dyDescent="0.4">
      <c r="A8" s="102"/>
      <c r="B8" s="102"/>
      <c r="C8" s="102"/>
      <c r="D8" s="102"/>
      <c r="E8" s="102"/>
      <c r="F8" s="102"/>
      <c r="G8" s="102"/>
      <c r="H8" s="102"/>
      <c r="I8" s="102"/>
      <c r="J8" s="102"/>
      <c r="M8">
        <v>4</v>
      </c>
      <c r="N8" t="s">
        <v>899</v>
      </c>
      <c r="O8" t="s">
        <v>1116</v>
      </c>
      <c r="P8">
        <v>2808.9207345548002</v>
      </c>
      <c r="Q8">
        <v>1</v>
      </c>
      <c r="R8">
        <f t="shared" si="0"/>
        <v>2810</v>
      </c>
    </row>
    <row r="9" spans="1:18" x14ac:dyDescent="0.4">
      <c r="M9">
        <v>5</v>
      </c>
      <c r="N9" t="s">
        <v>261</v>
      </c>
      <c r="O9" t="s">
        <v>1117</v>
      </c>
      <c r="P9">
        <v>2808.3912199725401</v>
      </c>
      <c r="Q9">
        <v>2</v>
      </c>
      <c r="R9">
        <f t="shared" si="0"/>
        <v>2810</v>
      </c>
    </row>
    <row r="10" spans="1:18" ht="14.6" customHeight="1" x14ac:dyDescent="0.4">
      <c r="A10" s="98" t="s">
        <v>904</v>
      </c>
      <c r="B10" s="99"/>
      <c r="C10" s="99"/>
      <c r="D10" s="99"/>
      <c r="E10" s="99"/>
      <c r="F10" s="99"/>
      <c r="G10" s="99"/>
      <c r="H10" s="99"/>
      <c r="I10" s="99"/>
      <c r="J10" s="100"/>
      <c r="M10">
        <v>6</v>
      </c>
      <c r="N10" t="s">
        <v>263</v>
      </c>
      <c r="O10" t="s">
        <v>1123</v>
      </c>
      <c r="P10">
        <v>3727.3794118000001</v>
      </c>
      <c r="Q10">
        <v>2</v>
      </c>
      <c r="R10">
        <f t="shared" si="0"/>
        <v>3730</v>
      </c>
    </row>
    <row r="11" spans="1:18" x14ac:dyDescent="0.4">
      <c r="A11" s="101"/>
      <c r="B11" s="102"/>
      <c r="C11" s="102"/>
      <c r="D11" s="102"/>
      <c r="E11" s="102"/>
      <c r="F11" s="102"/>
      <c r="G11" s="102"/>
      <c r="H11" s="102"/>
      <c r="I11" s="102"/>
      <c r="J11" s="103"/>
      <c r="M11">
        <v>7</v>
      </c>
      <c r="N11" t="s">
        <v>265</v>
      </c>
      <c r="O11" t="s">
        <v>1124</v>
      </c>
      <c r="P11">
        <v>10252.5467124795</v>
      </c>
      <c r="Q11">
        <v>1</v>
      </c>
      <c r="R11">
        <f t="shared" si="0"/>
        <v>10300</v>
      </c>
    </row>
    <row r="12" spans="1:18" x14ac:dyDescent="0.4">
      <c r="A12" s="104"/>
      <c r="B12" s="105"/>
      <c r="C12" s="105"/>
      <c r="D12" s="105"/>
      <c r="E12" s="105"/>
      <c r="F12" s="105"/>
      <c r="G12" s="105"/>
      <c r="H12" s="105"/>
      <c r="I12" s="105"/>
      <c r="J12" s="106"/>
      <c r="M12">
        <v>8</v>
      </c>
      <c r="N12" t="s">
        <v>900</v>
      </c>
      <c r="O12" t="s">
        <v>1125</v>
      </c>
      <c r="P12">
        <v>44657.267387212596</v>
      </c>
      <c r="Q12">
        <v>1</v>
      </c>
      <c r="R12">
        <f t="shared" si="0"/>
        <v>44700</v>
      </c>
    </row>
    <row r="13" spans="1:18" x14ac:dyDescent="0.4">
      <c r="M13">
        <v>9</v>
      </c>
      <c r="N13" t="s">
        <v>243</v>
      </c>
      <c r="O13" t="s">
        <v>1120</v>
      </c>
      <c r="P13">
        <v>0.51099895069000001</v>
      </c>
      <c r="Q13">
        <v>-1</v>
      </c>
      <c r="R13">
        <f t="shared" si="0"/>
        <v>0.51100000000000001</v>
      </c>
    </row>
    <row r="14" spans="1:18" x14ac:dyDescent="0.4">
      <c r="A14" s="2" t="s">
        <v>903</v>
      </c>
      <c r="M14">
        <v>10</v>
      </c>
      <c r="N14" t="s">
        <v>245</v>
      </c>
      <c r="O14" t="s">
        <v>1126</v>
      </c>
      <c r="P14">
        <v>1.1999999999999999E-7</v>
      </c>
      <c r="Q14">
        <v>0</v>
      </c>
      <c r="R14">
        <f t="shared" si="0"/>
        <v>1.1999999999999999E-7</v>
      </c>
    </row>
    <row r="15" spans="1:18" ht="14.6" customHeight="1" x14ac:dyDescent="0.4">
      <c r="M15">
        <v>11</v>
      </c>
      <c r="N15" t="s">
        <v>247</v>
      </c>
      <c r="O15" t="s">
        <v>1127</v>
      </c>
      <c r="P15">
        <v>105.65837550000001</v>
      </c>
      <c r="Q15">
        <v>-1</v>
      </c>
      <c r="R15">
        <f t="shared" si="0"/>
        <v>106</v>
      </c>
    </row>
    <row r="16" spans="1:18" x14ac:dyDescent="0.4">
      <c r="A16" s="97" t="s">
        <v>1169</v>
      </c>
      <c r="B16" s="97"/>
      <c r="C16" s="97"/>
      <c r="D16" s="97"/>
      <c r="E16" s="97"/>
      <c r="F16" s="97"/>
      <c r="G16" s="97"/>
      <c r="H16" s="97"/>
      <c r="I16" s="97"/>
      <c r="J16" s="97"/>
      <c r="M16">
        <v>12</v>
      </c>
      <c r="N16" t="s">
        <v>249</v>
      </c>
      <c r="O16" t="s">
        <v>1128</v>
      </c>
      <c r="P16">
        <v>1.1999999999999999E-7</v>
      </c>
      <c r="Q16">
        <v>0</v>
      </c>
      <c r="R16">
        <f t="shared" si="0"/>
        <v>1.1999999999999999E-7</v>
      </c>
    </row>
    <row r="17" spans="1:18" x14ac:dyDescent="0.4">
      <c r="A17" s="97"/>
      <c r="B17" s="97"/>
      <c r="C17" s="97"/>
      <c r="D17" s="97"/>
      <c r="E17" s="97"/>
      <c r="F17" s="97"/>
      <c r="G17" s="97"/>
      <c r="H17" s="97"/>
      <c r="I17" s="97"/>
      <c r="J17" s="97"/>
      <c r="M17">
        <v>13</v>
      </c>
      <c r="N17" t="s">
        <v>251</v>
      </c>
      <c r="O17" t="s">
        <v>1129</v>
      </c>
      <c r="P17">
        <v>1776.86</v>
      </c>
      <c r="Q17">
        <v>-1</v>
      </c>
      <c r="R17">
        <f t="shared" si="0"/>
        <v>1780</v>
      </c>
    </row>
    <row r="18" spans="1:18" x14ac:dyDescent="0.4">
      <c r="A18" s="97"/>
      <c r="B18" s="97"/>
      <c r="C18" s="97"/>
      <c r="D18" s="97"/>
      <c r="E18" s="97"/>
      <c r="F18" s="97"/>
      <c r="G18" s="97"/>
      <c r="H18" s="97"/>
      <c r="I18" s="97"/>
      <c r="J18" s="97"/>
      <c r="M18">
        <v>14</v>
      </c>
      <c r="N18" t="s">
        <v>253</v>
      </c>
      <c r="O18" t="s">
        <v>1130</v>
      </c>
      <c r="P18">
        <v>1.1999999999999999E-7</v>
      </c>
      <c r="Q18">
        <v>0</v>
      </c>
      <c r="R18">
        <f t="shared" si="0"/>
        <v>1.1999999999999999E-7</v>
      </c>
    </row>
    <row r="19" spans="1:18" x14ac:dyDescent="0.4">
      <c r="A19" s="97"/>
      <c r="B19" s="97"/>
      <c r="C19" s="97"/>
      <c r="D19" s="97"/>
      <c r="E19" s="97"/>
      <c r="F19" s="97"/>
      <c r="G19" s="97"/>
      <c r="H19" s="97"/>
      <c r="I19" s="97"/>
      <c r="J19" s="97"/>
      <c r="M19">
        <v>15</v>
      </c>
      <c r="N19" t="s">
        <v>244</v>
      </c>
      <c r="O19" t="s">
        <v>1131</v>
      </c>
      <c r="P19">
        <v>0.51099895069000001</v>
      </c>
      <c r="Q19">
        <v>1</v>
      </c>
      <c r="R19">
        <f t="shared" si="0"/>
        <v>0.51100000000000001</v>
      </c>
    </row>
    <row r="20" spans="1:18" x14ac:dyDescent="0.4">
      <c r="A20" s="97"/>
      <c r="B20" s="97"/>
      <c r="C20" s="97"/>
      <c r="D20" s="97"/>
      <c r="E20" s="97"/>
      <c r="F20" s="97"/>
      <c r="G20" s="97"/>
      <c r="H20" s="97"/>
      <c r="I20" s="97"/>
      <c r="J20" s="97"/>
      <c r="M20">
        <v>16</v>
      </c>
      <c r="N20" t="s">
        <v>246</v>
      </c>
      <c r="O20" t="s">
        <v>1132</v>
      </c>
      <c r="P20">
        <v>1.1999999999999999E-7</v>
      </c>
      <c r="Q20">
        <v>0</v>
      </c>
      <c r="R20">
        <f t="shared" si="0"/>
        <v>1.1999999999999999E-7</v>
      </c>
    </row>
    <row r="21" spans="1:18" x14ac:dyDescent="0.4">
      <c r="A21" s="97"/>
      <c r="B21" s="97"/>
      <c r="C21" s="97"/>
      <c r="D21" s="97"/>
      <c r="E21" s="97"/>
      <c r="F21" s="97"/>
      <c r="G21" s="97"/>
      <c r="H21" s="97"/>
      <c r="I21" s="97"/>
      <c r="J21" s="97"/>
      <c r="M21">
        <v>17</v>
      </c>
      <c r="N21" t="s">
        <v>248</v>
      </c>
      <c r="O21" t="s">
        <v>1133</v>
      </c>
      <c r="P21">
        <v>105.65837550000001</v>
      </c>
      <c r="Q21">
        <v>1</v>
      </c>
      <c r="R21">
        <f t="shared" si="0"/>
        <v>106</v>
      </c>
    </row>
    <row r="22" spans="1:18" x14ac:dyDescent="0.4">
      <c r="A22" s="97"/>
      <c r="B22" s="97"/>
      <c r="C22" s="97"/>
      <c r="D22" s="97"/>
      <c r="E22" s="97"/>
      <c r="F22" s="97"/>
      <c r="G22" s="97"/>
      <c r="H22" s="97"/>
      <c r="I22" s="97"/>
      <c r="J22" s="97"/>
      <c r="M22">
        <v>18</v>
      </c>
      <c r="N22" t="s">
        <v>250</v>
      </c>
      <c r="O22" t="s">
        <v>1134</v>
      </c>
      <c r="P22">
        <v>1.1999999999999999E-7</v>
      </c>
      <c r="Q22">
        <v>0</v>
      </c>
      <c r="R22">
        <f t="shared" si="0"/>
        <v>1.1999999999999999E-7</v>
      </c>
    </row>
    <row r="23" spans="1:18" x14ac:dyDescent="0.4">
      <c r="A23" s="97"/>
      <c r="B23" s="97"/>
      <c r="C23" s="97"/>
      <c r="D23" s="97"/>
      <c r="E23" s="97"/>
      <c r="F23" s="97"/>
      <c r="G23" s="97"/>
      <c r="H23" s="97"/>
      <c r="I23" s="97"/>
      <c r="J23" s="97"/>
      <c r="M23">
        <v>19</v>
      </c>
      <c r="N23" t="s">
        <v>252</v>
      </c>
      <c r="O23" t="s">
        <v>1135</v>
      </c>
      <c r="P23">
        <v>1776.86</v>
      </c>
      <c r="Q23">
        <v>1</v>
      </c>
      <c r="R23">
        <f t="shared" si="0"/>
        <v>1780</v>
      </c>
    </row>
    <row r="24" spans="1:18" x14ac:dyDescent="0.4">
      <c r="A24" s="97"/>
      <c r="B24" s="97"/>
      <c r="C24" s="97"/>
      <c r="D24" s="97"/>
      <c r="E24" s="97"/>
      <c r="F24" s="97"/>
      <c r="G24" s="97"/>
      <c r="H24" s="97"/>
      <c r="I24" s="97"/>
      <c r="J24" s="97"/>
      <c r="M24">
        <v>20</v>
      </c>
      <c r="N24" t="s">
        <v>1464</v>
      </c>
      <c r="O24" t="s">
        <v>1136</v>
      </c>
      <c r="P24">
        <v>1.1999999999999999E-7</v>
      </c>
      <c r="Q24">
        <v>0</v>
      </c>
      <c r="R24">
        <f t="shared" si="0"/>
        <v>1.1999999999999999E-7</v>
      </c>
    </row>
    <row r="25" spans="1:18" x14ac:dyDescent="0.4">
      <c r="A25" s="58"/>
      <c r="B25" s="58"/>
      <c r="C25" s="58"/>
      <c r="D25" s="58"/>
      <c r="E25" s="58"/>
      <c r="F25" s="58"/>
      <c r="G25" s="58"/>
      <c r="H25" s="58"/>
      <c r="I25" s="58"/>
      <c r="J25" s="58"/>
      <c r="M25">
        <v>21</v>
      </c>
      <c r="N25" t="s">
        <v>267</v>
      </c>
      <c r="O25" t="s">
        <v>1137</v>
      </c>
      <c r="P25">
        <v>938.27208943000005</v>
      </c>
      <c r="Q25">
        <v>-1</v>
      </c>
      <c r="R25">
        <f t="shared" si="0"/>
        <v>938</v>
      </c>
    </row>
    <row r="26" spans="1:18" x14ac:dyDescent="0.4">
      <c r="M26">
        <v>22</v>
      </c>
      <c r="N26" t="s">
        <v>269</v>
      </c>
      <c r="O26" t="s">
        <v>1138</v>
      </c>
      <c r="P26">
        <v>939.56541330000005</v>
      </c>
      <c r="Q26">
        <v>0</v>
      </c>
      <c r="R26">
        <f t="shared" si="0"/>
        <v>940</v>
      </c>
    </row>
    <row r="27" spans="1:18" x14ac:dyDescent="0.4">
      <c r="M27">
        <v>23</v>
      </c>
      <c r="N27" t="s">
        <v>260</v>
      </c>
      <c r="O27" t="s">
        <v>1139</v>
      </c>
      <c r="P27">
        <v>1875.6129450000001</v>
      </c>
      <c r="Q27">
        <v>-1</v>
      </c>
      <c r="R27">
        <f t="shared" si="0"/>
        <v>1880</v>
      </c>
    </row>
    <row r="28" spans="1:18" x14ac:dyDescent="0.4">
      <c r="M28">
        <v>24</v>
      </c>
      <c r="N28" t="s">
        <v>902</v>
      </c>
      <c r="O28" t="s">
        <v>1140</v>
      </c>
      <c r="P28">
        <v>2808.9207345548002</v>
      </c>
      <c r="Q28">
        <v>-1</v>
      </c>
      <c r="R28">
        <f t="shared" si="0"/>
        <v>2810</v>
      </c>
    </row>
    <row r="29" spans="1:18" x14ac:dyDescent="0.4">
      <c r="M29">
        <v>25</v>
      </c>
      <c r="N29" t="s">
        <v>262</v>
      </c>
      <c r="O29" t="s">
        <v>1141</v>
      </c>
      <c r="P29">
        <v>2808.3912199725401</v>
      </c>
      <c r="Q29">
        <v>-2</v>
      </c>
      <c r="R29">
        <f t="shared" si="0"/>
        <v>2810</v>
      </c>
    </row>
    <row r="30" spans="1:18" x14ac:dyDescent="0.4">
      <c r="M30">
        <v>26</v>
      </c>
      <c r="N30" t="s">
        <v>264</v>
      </c>
      <c r="O30" t="s">
        <v>1142</v>
      </c>
      <c r="P30">
        <v>3727.3794118000001</v>
      </c>
      <c r="Q30">
        <v>-2</v>
      </c>
      <c r="R30">
        <f t="shared" si="0"/>
        <v>3730</v>
      </c>
    </row>
    <row r="31" spans="1:18" x14ac:dyDescent="0.4">
      <c r="M31">
        <v>27</v>
      </c>
      <c r="N31" t="s">
        <v>254</v>
      </c>
      <c r="O31" t="s">
        <v>1143</v>
      </c>
      <c r="P31">
        <v>0</v>
      </c>
      <c r="Q31">
        <v>0</v>
      </c>
      <c r="R31">
        <v>0</v>
      </c>
    </row>
    <row r="32" spans="1:18" x14ac:dyDescent="0.4">
      <c r="M32">
        <v>28</v>
      </c>
      <c r="N32" t="s">
        <v>256</v>
      </c>
      <c r="O32" t="s">
        <v>1146</v>
      </c>
      <c r="P32">
        <v>80385</v>
      </c>
      <c r="Q32">
        <v>1</v>
      </c>
      <c r="R32">
        <f>ROUND(P32,3-(1+INT(LOG10(ABS(P32)))))</f>
        <v>80400</v>
      </c>
    </row>
    <row r="33" spans="13:18" x14ac:dyDescent="0.4">
      <c r="M33">
        <v>29</v>
      </c>
      <c r="N33" t="s">
        <v>257</v>
      </c>
      <c r="O33" t="s">
        <v>1147</v>
      </c>
      <c r="P33">
        <v>80385</v>
      </c>
      <c r="Q33">
        <v>-1</v>
      </c>
      <c r="R33">
        <f>ROUND(P33,3-(1+INT(LOG10(ABS(P33)))))</f>
        <v>80400</v>
      </c>
    </row>
    <row r="34" spans="13:18" x14ac:dyDescent="0.4">
      <c r="M34">
        <v>30</v>
      </c>
      <c r="N34" t="s">
        <v>258</v>
      </c>
      <c r="O34" t="s">
        <v>1144</v>
      </c>
      <c r="P34">
        <v>91187.5</v>
      </c>
      <c r="Q34">
        <v>0</v>
      </c>
      <c r="R34">
        <f>ROUND(P34,3-(1+INT(LOG10(ABS(P34)))))</f>
        <v>91200</v>
      </c>
    </row>
    <row r="35" spans="13:18" x14ac:dyDescent="0.4">
      <c r="M35">
        <v>31</v>
      </c>
      <c r="N35" t="s">
        <v>255</v>
      </c>
      <c r="O35" t="s">
        <v>1121</v>
      </c>
      <c r="P35">
        <v>0</v>
      </c>
      <c r="Q35">
        <v>0</v>
      </c>
      <c r="R35">
        <v>0</v>
      </c>
    </row>
    <row r="36" spans="13:18" x14ac:dyDescent="0.4">
      <c r="M36">
        <v>32</v>
      </c>
      <c r="N36" t="s">
        <v>287</v>
      </c>
      <c r="O36" t="s">
        <v>1145</v>
      </c>
      <c r="P36">
        <v>1730</v>
      </c>
      <c r="Q36">
        <v>0</v>
      </c>
      <c r="R36">
        <f t="shared" ref="R36:R68" si="1">ROUND(P36,3-(1+INT(LOG10(ABS(P36)))))</f>
        <v>1730</v>
      </c>
    </row>
    <row r="37" spans="13:18" x14ac:dyDescent="0.4">
      <c r="M37">
        <v>33</v>
      </c>
      <c r="N37" t="s">
        <v>901</v>
      </c>
      <c r="O37" t="s">
        <v>1122</v>
      </c>
      <c r="P37">
        <v>125090</v>
      </c>
      <c r="Q37">
        <v>0</v>
      </c>
      <c r="R37">
        <f t="shared" si="1"/>
        <v>125000</v>
      </c>
    </row>
    <row r="38" spans="13:18" x14ac:dyDescent="0.4">
      <c r="M38">
        <v>34</v>
      </c>
      <c r="N38" t="s">
        <v>276</v>
      </c>
      <c r="O38" t="s">
        <v>1148</v>
      </c>
      <c r="P38">
        <v>139.57017999999999</v>
      </c>
      <c r="Q38">
        <v>1</v>
      </c>
      <c r="R38">
        <f t="shared" si="1"/>
        <v>140</v>
      </c>
    </row>
    <row r="39" spans="13:18" x14ac:dyDescent="0.4">
      <c r="M39">
        <v>35</v>
      </c>
      <c r="N39" t="s">
        <v>277</v>
      </c>
      <c r="O39" t="s">
        <v>1149</v>
      </c>
      <c r="P39">
        <v>139.57017999999999</v>
      </c>
      <c r="Q39">
        <v>-1</v>
      </c>
      <c r="R39">
        <f t="shared" si="1"/>
        <v>140</v>
      </c>
    </row>
    <row r="40" spans="13:18" x14ac:dyDescent="0.4">
      <c r="M40">
        <v>36</v>
      </c>
      <c r="N40" t="s">
        <v>278</v>
      </c>
      <c r="O40" t="s">
        <v>1150</v>
      </c>
      <c r="P40">
        <v>134.97659999999999</v>
      </c>
      <c r="Q40">
        <v>0</v>
      </c>
      <c r="R40">
        <f t="shared" si="1"/>
        <v>135</v>
      </c>
    </row>
    <row r="41" spans="13:18" x14ac:dyDescent="0.4">
      <c r="M41">
        <v>37</v>
      </c>
      <c r="N41" t="s">
        <v>279</v>
      </c>
      <c r="O41" t="s">
        <v>1151</v>
      </c>
      <c r="P41">
        <v>493.67700000000002</v>
      </c>
      <c r="Q41">
        <v>1</v>
      </c>
      <c r="R41">
        <f t="shared" si="1"/>
        <v>494</v>
      </c>
    </row>
    <row r="42" spans="13:18" x14ac:dyDescent="0.4">
      <c r="M42">
        <v>38</v>
      </c>
      <c r="N42" t="s">
        <v>280</v>
      </c>
      <c r="O42" t="s">
        <v>1152</v>
      </c>
      <c r="P42">
        <v>493.67700000000002</v>
      </c>
      <c r="Q42">
        <v>-1</v>
      </c>
      <c r="R42">
        <f t="shared" si="1"/>
        <v>494</v>
      </c>
    </row>
    <row r="43" spans="13:18" x14ac:dyDescent="0.4">
      <c r="M43">
        <v>39</v>
      </c>
      <c r="N43" t="s">
        <v>281</v>
      </c>
      <c r="O43" t="s">
        <v>1153</v>
      </c>
      <c r="P43">
        <v>497.61399999999998</v>
      </c>
      <c r="Q43">
        <v>0</v>
      </c>
      <c r="R43">
        <f t="shared" si="1"/>
        <v>498</v>
      </c>
    </row>
    <row r="44" spans="13:18" x14ac:dyDescent="0.4">
      <c r="M44">
        <v>40</v>
      </c>
      <c r="N44" t="s">
        <v>282</v>
      </c>
      <c r="O44" t="s">
        <v>1154</v>
      </c>
      <c r="P44">
        <v>497.61399999999998</v>
      </c>
      <c r="Q44">
        <v>0</v>
      </c>
      <c r="R44">
        <f t="shared" si="1"/>
        <v>498</v>
      </c>
    </row>
    <row r="45" spans="13:18" x14ac:dyDescent="0.4">
      <c r="M45">
        <v>41</v>
      </c>
      <c r="N45" t="s">
        <v>283</v>
      </c>
      <c r="O45" t="s">
        <v>1155</v>
      </c>
      <c r="P45">
        <v>547.86199999999997</v>
      </c>
      <c r="Q45">
        <v>0</v>
      </c>
      <c r="R45">
        <f t="shared" si="1"/>
        <v>548</v>
      </c>
    </row>
    <row r="46" spans="13:18" x14ac:dyDescent="0.4">
      <c r="M46">
        <v>42</v>
      </c>
      <c r="N46" t="s">
        <v>284</v>
      </c>
      <c r="O46" t="s">
        <v>1156</v>
      </c>
      <c r="P46">
        <v>957.78</v>
      </c>
      <c r="Q46">
        <v>0</v>
      </c>
      <c r="R46">
        <f t="shared" si="1"/>
        <v>958</v>
      </c>
    </row>
    <row r="47" spans="13:18" x14ac:dyDescent="0.4">
      <c r="M47">
        <v>43</v>
      </c>
      <c r="N47" t="s">
        <v>285</v>
      </c>
      <c r="O47" t="s">
        <v>1157</v>
      </c>
      <c r="P47">
        <v>2983.6</v>
      </c>
      <c r="Q47">
        <v>0</v>
      </c>
      <c r="R47">
        <f t="shared" si="1"/>
        <v>2980</v>
      </c>
    </row>
    <row r="48" spans="13:18" x14ac:dyDescent="0.4">
      <c r="M48">
        <v>44</v>
      </c>
      <c r="N48" t="s">
        <v>286</v>
      </c>
      <c r="O48" t="s">
        <v>1158</v>
      </c>
      <c r="P48">
        <v>9398</v>
      </c>
      <c r="Q48">
        <v>0</v>
      </c>
      <c r="R48">
        <f t="shared" si="1"/>
        <v>9400</v>
      </c>
    </row>
    <row r="49" spans="13:18" x14ac:dyDescent="0.4">
      <c r="M49">
        <v>45</v>
      </c>
      <c r="N49" t="s">
        <v>274</v>
      </c>
      <c r="O49" t="s">
        <v>1102</v>
      </c>
      <c r="P49">
        <v>1232</v>
      </c>
      <c r="Q49">
        <v>2</v>
      </c>
      <c r="R49">
        <f t="shared" si="1"/>
        <v>1230</v>
      </c>
    </row>
    <row r="50" spans="13:18" x14ac:dyDescent="0.4">
      <c r="M50">
        <v>46</v>
      </c>
      <c r="N50" t="s">
        <v>275</v>
      </c>
      <c r="O50" t="s">
        <v>1105</v>
      </c>
      <c r="P50">
        <v>1232</v>
      </c>
      <c r="Q50">
        <v>-1</v>
      </c>
      <c r="R50">
        <f t="shared" si="1"/>
        <v>1230</v>
      </c>
    </row>
    <row r="51" spans="13:18" x14ac:dyDescent="0.4">
      <c r="M51">
        <v>47</v>
      </c>
      <c r="N51" t="s">
        <v>270</v>
      </c>
      <c r="O51" t="s">
        <v>1096</v>
      </c>
      <c r="P51">
        <v>1189.3699999999999</v>
      </c>
      <c r="Q51">
        <v>1</v>
      </c>
      <c r="R51">
        <f t="shared" si="1"/>
        <v>1190</v>
      </c>
    </row>
    <row r="52" spans="13:18" x14ac:dyDescent="0.4">
      <c r="M52">
        <v>48</v>
      </c>
      <c r="N52" t="s">
        <v>272</v>
      </c>
      <c r="O52" t="s">
        <v>1099</v>
      </c>
      <c r="P52">
        <v>1197.4490000000001</v>
      </c>
      <c r="Q52">
        <v>-1</v>
      </c>
      <c r="R52">
        <f t="shared" si="1"/>
        <v>1200</v>
      </c>
    </row>
    <row r="53" spans="13:18" x14ac:dyDescent="0.4">
      <c r="M53">
        <v>49</v>
      </c>
      <c r="N53" t="s">
        <v>322</v>
      </c>
      <c r="O53" t="s">
        <v>1159</v>
      </c>
      <c r="P53">
        <v>1232</v>
      </c>
      <c r="Q53">
        <v>-2</v>
      </c>
      <c r="R53">
        <f t="shared" si="1"/>
        <v>1230</v>
      </c>
    </row>
    <row r="54" spans="13:18" x14ac:dyDescent="0.4">
      <c r="M54">
        <v>50</v>
      </c>
      <c r="N54" t="s">
        <v>321</v>
      </c>
      <c r="O54" t="s">
        <v>1160</v>
      </c>
      <c r="P54">
        <v>1232</v>
      </c>
      <c r="Q54">
        <v>1</v>
      </c>
      <c r="R54">
        <f t="shared" si="1"/>
        <v>1230</v>
      </c>
    </row>
    <row r="55" spans="13:18" x14ac:dyDescent="0.4">
      <c r="M55">
        <v>51</v>
      </c>
      <c r="N55" t="s">
        <v>271</v>
      </c>
      <c r="O55" t="s">
        <v>1161</v>
      </c>
      <c r="P55">
        <v>1189.3699999999999</v>
      </c>
      <c r="Q55">
        <v>-1</v>
      </c>
      <c r="R55">
        <f t="shared" si="1"/>
        <v>1190</v>
      </c>
    </row>
    <row r="56" spans="13:18" x14ac:dyDescent="0.4">
      <c r="M56">
        <v>52</v>
      </c>
      <c r="N56" t="s">
        <v>273</v>
      </c>
      <c r="O56" t="s">
        <v>1162</v>
      </c>
      <c r="P56">
        <v>1197.4490000000001</v>
      </c>
      <c r="Q56">
        <v>1</v>
      </c>
      <c r="R56">
        <f t="shared" si="1"/>
        <v>1200</v>
      </c>
    </row>
    <row r="57" spans="13:18" x14ac:dyDescent="0.4">
      <c r="M57">
        <v>53</v>
      </c>
      <c r="N57" t="s">
        <v>230</v>
      </c>
      <c r="O57" t="s">
        <v>1163</v>
      </c>
      <c r="P57">
        <v>2.16</v>
      </c>
      <c r="Q57">
        <v>0.66666666666666663</v>
      </c>
      <c r="R57">
        <f t="shared" si="1"/>
        <v>2.16</v>
      </c>
    </row>
    <row r="58" spans="13:18" x14ac:dyDescent="0.4">
      <c r="M58">
        <v>54</v>
      </c>
      <c r="N58" t="s">
        <v>232</v>
      </c>
      <c r="O58" t="s">
        <v>1115</v>
      </c>
      <c r="P58">
        <v>4.7</v>
      </c>
      <c r="Q58">
        <f>-1/3</f>
        <v>-0.33333333333333331</v>
      </c>
      <c r="R58">
        <f t="shared" si="1"/>
        <v>4.7</v>
      </c>
    </row>
    <row r="59" spans="13:18" x14ac:dyDescent="0.4">
      <c r="M59">
        <v>55</v>
      </c>
      <c r="N59" t="s">
        <v>234</v>
      </c>
      <c r="O59" t="s">
        <v>1119</v>
      </c>
      <c r="P59">
        <v>1273</v>
      </c>
      <c r="Q59">
        <v>0.66666666666666663</v>
      </c>
      <c r="R59">
        <f t="shared" si="1"/>
        <v>1270</v>
      </c>
    </row>
    <row r="60" spans="13:18" x14ac:dyDescent="0.4">
      <c r="M60">
        <v>56</v>
      </c>
      <c r="N60" t="s">
        <v>236</v>
      </c>
      <c r="O60" t="s">
        <v>1164</v>
      </c>
      <c r="P60">
        <v>93.5</v>
      </c>
      <c r="Q60">
        <f>-1/3</f>
        <v>-0.33333333333333331</v>
      </c>
      <c r="R60">
        <f t="shared" si="1"/>
        <v>93.5</v>
      </c>
    </row>
    <row r="61" spans="13:18" x14ac:dyDescent="0.4">
      <c r="M61">
        <v>57</v>
      </c>
      <c r="N61" t="s">
        <v>238</v>
      </c>
      <c r="O61" t="s">
        <v>1116</v>
      </c>
      <c r="P61">
        <v>172570</v>
      </c>
      <c r="Q61">
        <v>0.66666666666666663</v>
      </c>
      <c r="R61">
        <f t="shared" si="1"/>
        <v>173000</v>
      </c>
    </row>
    <row r="62" spans="13:18" x14ac:dyDescent="0.4">
      <c r="M62">
        <v>58</v>
      </c>
      <c r="N62" t="s">
        <v>240</v>
      </c>
      <c r="O62" t="s">
        <v>1118</v>
      </c>
      <c r="P62">
        <v>4183</v>
      </c>
      <c r="Q62">
        <f>-1/3</f>
        <v>-0.33333333333333331</v>
      </c>
      <c r="R62">
        <f t="shared" si="1"/>
        <v>4180</v>
      </c>
    </row>
    <row r="63" spans="13:18" x14ac:dyDescent="0.4">
      <c r="M63">
        <v>59</v>
      </c>
      <c r="N63" t="s">
        <v>231</v>
      </c>
      <c r="O63" t="s">
        <v>1168</v>
      </c>
      <c r="P63">
        <v>2.16</v>
      </c>
      <c r="Q63">
        <f>-2/3</f>
        <v>-0.66666666666666663</v>
      </c>
      <c r="R63">
        <f t="shared" si="1"/>
        <v>2.16</v>
      </c>
    </row>
    <row r="64" spans="13:18" x14ac:dyDescent="0.4">
      <c r="M64">
        <v>60</v>
      </c>
      <c r="N64" t="s">
        <v>233</v>
      </c>
      <c r="O64" t="s">
        <v>1139</v>
      </c>
      <c r="P64">
        <v>4.7</v>
      </c>
      <c r="Q64">
        <f>1/3</f>
        <v>0.33333333333333331</v>
      </c>
      <c r="R64">
        <f t="shared" si="1"/>
        <v>4.7</v>
      </c>
    </row>
    <row r="65" spans="13:18" x14ac:dyDescent="0.4">
      <c r="M65">
        <v>61</v>
      </c>
      <c r="N65" t="s">
        <v>235</v>
      </c>
      <c r="O65" t="s">
        <v>1166</v>
      </c>
      <c r="P65">
        <v>1273</v>
      </c>
      <c r="Q65">
        <f>-2/3</f>
        <v>-0.66666666666666663</v>
      </c>
      <c r="R65">
        <f t="shared" si="1"/>
        <v>1270</v>
      </c>
    </row>
    <row r="66" spans="13:18" x14ac:dyDescent="0.4">
      <c r="M66">
        <v>62</v>
      </c>
      <c r="N66" t="s">
        <v>237</v>
      </c>
      <c r="O66" t="s">
        <v>1167</v>
      </c>
      <c r="P66">
        <v>93.5</v>
      </c>
      <c r="Q66">
        <f>1/3</f>
        <v>0.33333333333333331</v>
      </c>
      <c r="R66">
        <f t="shared" si="1"/>
        <v>93.5</v>
      </c>
    </row>
    <row r="67" spans="13:18" x14ac:dyDescent="0.4">
      <c r="M67">
        <v>63</v>
      </c>
      <c r="N67" t="s">
        <v>239</v>
      </c>
      <c r="O67" t="s">
        <v>1140</v>
      </c>
      <c r="P67">
        <v>172570</v>
      </c>
      <c r="Q67">
        <f>-2/3</f>
        <v>-0.66666666666666663</v>
      </c>
      <c r="R67">
        <f t="shared" si="1"/>
        <v>173000</v>
      </c>
    </row>
    <row r="68" spans="13:18" x14ac:dyDescent="0.4">
      <c r="M68">
        <v>64</v>
      </c>
      <c r="N68" t="s">
        <v>241</v>
      </c>
      <c r="O68" t="s">
        <v>1165</v>
      </c>
      <c r="P68">
        <v>4183</v>
      </c>
      <c r="Q68">
        <f>-1/3</f>
        <v>-0.33333333333333331</v>
      </c>
      <c r="R68">
        <f t="shared" si="1"/>
        <v>4180</v>
      </c>
    </row>
  </sheetData>
  <mergeCells count="5">
    <mergeCell ref="A16:J24"/>
    <mergeCell ref="A10:J12"/>
    <mergeCell ref="A1:J2"/>
    <mergeCell ref="M1:R2"/>
    <mergeCell ref="A3:J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opLeftCell="A16" workbookViewId="0">
      <selection activeCell="C28" sqref="C28"/>
    </sheetView>
  </sheetViews>
  <sheetFormatPr defaultRowHeight="14.6" x14ac:dyDescent="0.4"/>
  <cols>
    <col min="1" max="1" width="35.69140625" bestFit="1" customWidth="1"/>
    <col min="2" max="2" width="46.765625" bestFit="1" customWidth="1"/>
    <col min="3" max="3" width="17.15234375" bestFit="1" customWidth="1"/>
    <col min="4" max="4" width="14.3828125" bestFit="1" customWidth="1"/>
    <col min="5" max="5" width="12.69140625" customWidth="1"/>
    <col min="6" max="6" width="18.61328125" bestFit="1" customWidth="1"/>
    <col min="7" max="7" width="12.61328125" customWidth="1"/>
    <col min="8" max="8" width="12.4609375" bestFit="1" customWidth="1"/>
    <col min="9" max="9" width="20.61328125" customWidth="1"/>
  </cols>
  <sheetData>
    <row r="1" spans="1:3" ht="14.6" customHeight="1" x14ac:dyDescent="0.4">
      <c r="A1" s="95" t="s">
        <v>225</v>
      </c>
      <c r="B1" s="95"/>
      <c r="C1" s="95"/>
    </row>
    <row r="2" spans="1:3" ht="14.6" customHeight="1" x14ac:dyDescent="0.4">
      <c r="A2" s="114"/>
      <c r="B2" s="114"/>
      <c r="C2" s="114"/>
    </row>
    <row r="3" spans="1:3" ht="14.6" customHeight="1" x14ac:dyDescent="0.4">
      <c r="A3" s="98" t="s">
        <v>898</v>
      </c>
      <c r="B3" s="99"/>
      <c r="C3" s="100"/>
    </row>
    <row r="4" spans="1:3" x14ac:dyDescent="0.4">
      <c r="A4" s="104"/>
      <c r="B4" s="105"/>
      <c r="C4" s="106"/>
    </row>
    <row r="6" spans="1:3" x14ac:dyDescent="0.4">
      <c r="A6" s="1" t="s">
        <v>226</v>
      </c>
    </row>
    <row r="7" spans="1:3" x14ac:dyDescent="0.4">
      <c r="A7" s="2">
        <v>10000</v>
      </c>
    </row>
    <row r="9" spans="1:3" x14ac:dyDescent="0.4">
      <c r="A9" s="1" t="s">
        <v>224</v>
      </c>
    </row>
    <row r="10" spans="1:3" x14ac:dyDescent="0.4">
      <c r="A10" s="2">
        <v>10000</v>
      </c>
    </row>
    <row r="12" spans="1:3" x14ac:dyDescent="0.4">
      <c r="A12" s="1" t="s">
        <v>223</v>
      </c>
    </row>
    <row r="13" spans="1:3" x14ac:dyDescent="0.4">
      <c r="A13" s="2">
        <v>100</v>
      </c>
    </row>
    <row r="15" spans="1:3" x14ac:dyDescent="0.4">
      <c r="A15" s="1" t="s">
        <v>222</v>
      </c>
    </row>
    <row r="16" spans="1:3" x14ac:dyDescent="0.4">
      <c r="A16" s="2">
        <v>100</v>
      </c>
    </row>
    <row r="18" spans="1:3" x14ac:dyDescent="0.4">
      <c r="A18" s="1" t="s">
        <v>300</v>
      </c>
    </row>
    <row r="19" spans="1:3" x14ac:dyDescent="0.4">
      <c r="A19" s="2">
        <v>0.02</v>
      </c>
    </row>
    <row r="21" spans="1:3" x14ac:dyDescent="0.4">
      <c r="A21" s="1" t="s">
        <v>314</v>
      </c>
    </row>
    <row r="22" spans="1:3" x14ac:dyDescent="0.4">
      <c r="A22" s="2">
        <v>5000</v>
      </c>
    </row>
    <row r="23" spans="1:3" ht="14.6" customHeight="1" x14ac:dyDescent="0.4"/>
    <row r="24" spans="1:3" ht="14.6" customHeight="1" x14ac:dyDescent="0.4">
      <c r="A24" s="1" t="s">
        <v>1227</v>
      </c>
    </row>
    <row r="25" spans="1:3" x14ac:dyDescent="0.4">
      <c r="A25" s="2">
        <v>0.4</v>
      </c>
    </row>
    <row r="27" spans="1:3" x14ac:dyDescent="0.4">
      <c r="A27" s="1" t="s">
        <v>1284</v>
      </c>
      <c r="B27" s="77" t="s">
        <v>1287</v>
      </c>
      <c r="C27" s="1" t="s">
        <v>1291</v>
      </c>
    </row>
    <row r="28" spans="1:3" x14ac:dyDescent="0.4">
      <c r="A28" s="2">
        <v>256</v>
      </c>
      <c r="B28" s="2">
        <v>2</v>
      </c>
      <c r="C28" s="2">
        <v>3</v>
      </c>
    </row>
    <row r="29" spans="1:3" x14ac:dyDescent="0.4">
      <c r="A29" s="1" t="s">
        <v>1285</v>
      </c>
      <c r="B29" s="1" t="s">
        <v>1286</v>
      </c>
      <c r="C29" s="1" t="s">
        <v>1292</v>
      </c>
    </row>
    <row r="30" spans="1:3" x14ac:dyDescent="0.4">
      <c r="A30" s="2">
        <v>128</v>
      </c>
      <c r="B30" s="2">
        <v>196</v>
      </c>
      <c r="C30" s="2">
        <f>128/6</f>
        <v>21.333333333333332</v>
      </c>
    </row>
    <row r="32" spans="1:3" ht="14.6" customHeight="1" x14ac:dyDescent="0.4">
      <c r="A32" s="95" t="s">
        <v>1254</v>
      </c>
      <c r="B32" s="95"/>
      <c r="C32" s="95"/>
    </row>
    <row r="33" spans="1:3" ht="14.6" customHeight="1" x14ac:dyDescent="0.4">
      <c r="A33" s="114"/>
      <c r="B33" s="114"/>
      <c r="C33" s="114"/>
    </row>
    <row r="36" spans="1:3" x14ac:dyDescent="0.4">
      <c r="A36" s="1" t="s">
        <v>227</v>
      </c>
    </row>
    <row r="37" spans="1:3" x14ac:dyDescent="0.4">
      <c r="A37" s="12">
        <v>1000000</v>
      </c>
    </row>
    <row r="39" spans="1:3" x14ac:dyDescent="0.4">
      <c r="A39" s="1" t="s">
        <v>294</v>
      </c>
      <c r="B39" s="1" t="s">
        <v>304</v>
      </c>
    </row>
    <row r="40" spans="1:3" x14ac:dyDescent="0.4">
      <c r="A40" s="12" t="s">
        <v>295</v>
      </c>
      <c r="B40" s="12" t="b">
        <v>1</v>
      </c>
    </row>
    <row r="41" spans="1:3" x14ac:dyDescent="0.4">
      <c r="A41" s="12" t="s">
        <v>296</v>
      </c>
      <c r="B41" s="12" t="b">
        <v>0</v>
      </c>
    </row>
    <row r="42" spans="1:3" x14ac:dyDescent="0.4">
      <c r="A42" s="12" t="s">
        <v>297</v>
      </c>
    </row>
    <row r="45" spans="1:3" x14ac:dyDescent="0.4">
      <c r="A45" s="1" t="s">
        <v>328</v>
      </c>
      <c r="B45" s="1" t="s">
        <v>331</v>
      </c>
    </row>
    <row r="46" spans="1:3" x14ac:dyDescent="0.4">
      <c r="A46" s="12" t="s">
        <v>247</v>
      </c>
      <c r="B46" s="12" t="s">
        <v>332</v>
      </c>
    </row>
    <row r="47" spans="1:3" x14ac:dyDescent="0.4">
      <c r="A47" s="12" t="s">
        <v>268</v>
      </c>
      <c r="B47" s="12" t="s">
        <v>333</v>
      </c>
    </row>
    <row r="48" spans="1:3" x14ac:dyDescent="0.4">
      <c r="A48" s="12" t="s">
        <v>266</v>
      </c>
    </row>
    <row r="54" ht="26.15" customHeight="1" x14ac:dyDescent="0.4"/>
    <row r="55" ht="14.6" customHeight="1" x14ac:dyDescent="0.4"/>
    <row r="56" ht="14.6" customHeight="1" x14ac:dyDescent="0.4"/>
  </sheetData>
  <mergeCells count="3">
    <mergeCell ref="A32:C33"/>
    <mergeCell ref="A1:C2"/>
    <mergeCell ref="A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37B8-17D4-4C02-BEF2-EA7C4FC2F1F0}">
  <dimension ref="A1:AF56"/>
  <sheetViews>
    <sheetView workbookViewId="0">
      <selection activeCell="A14" sqref="A14"/>
    </sheetView>
  </sheetViews>
  <sheetFormatPr defaultRowHeight="14.6" x14ac:dyDescent="0.4"/>
  <cols>
    <col min="1" max="1" width="27.921875" bestFit="1" customWidth="1"/>
    <col min="2" max="2" width="13.3046875" customWidth="1"/>
    <col min="3" max="3" width="11.15234375" customWidth="1"/>
    <col min="4" max="4" width="17.69140625" bestFit="1" customWidth="1"/>
    <col min="5" max="5" width="17.23046875" customWidth="1"/>
    <col min="6" max="6" width="13.61328125" customWidth="1"/>
    <col min="7" max="7" width="21" customWidth="1"/>
    <col min="8" max="8" width="25.4609375" bestFit="1" customWidth="1"/>
    <col min="9" max="9" width="14.3828125" customWidth="1"/>
    <col min="10" max="10" width="14.4609375" customWidth="1"/>
    <col min="12" max="12" width="27.921875" bestFit="1" customWidth="1"/>
    <col min="13" max="13" width="19.61328125" bestFit="1" customWidth="1"/>
    <col min="14" max="14" width="18.921875" bestFit="1" customWidth="1"/>
    <col min="15" max="15" width="31.84375" bestFit="1" customWidth="1"/>
    <col min="16" max="16" width="17.23046875" customWidth="1"/>
    <col min="17" max="17" width="21.61328125" bestFit="1" customWidth="1"/>
    <col min="18" max="18" width="21" customWidth="1"/>
    <col min="19" max="19" width="25.4609375" bestFit="1" customWidth="1"/>
    <col min="20" max="20" width="14.3828125" customWidth="1"/>
    <col min="21" max="21" width="14.4609375" customWidth="1"/>
    <col min="23" max="23" width="31.84375" bestFit="1" customWidth="1"/>
    <col min="24" max="24" width="11.4609375" bestFit="1" customWidth="1"/>
    <col min="25" max="25" width="9.3046875" bestFit="1" customWidth="1"/>
    <col min="26" max="26" width="15.07421875" bestFit="1" customWidth="1"/>
    <col min="27" max="27" width="15.4609375" bestFit="1" customWidth="1"/>
    <col min="28" max="28" width="11.765625" bestFit="1" customWidth="1"/>
    <col min="29" max="29" width="19.3046875" bestFit="1" customWidth="1"/>
    <col min="30" max="30" width="25.4609375" bestFit="1" customWidth="1"/>
    <col min="31" max="31" width="13.3828125" bestFit="1" customWidth="1"/>
    <col min="32" max="32" width="13.4609375" bestFit="1" customWidth="1"/>
  </cols>
  <sheetData>
    <row r="1" spans="1:32" ht="14.6" customHeight="1" x14ac:dyDescent="0.4">
      <c r="A1" s="115" t="s">
        <v>882</v>
      </c>
      <c r="B1" s="115"/>
      <c r="C1" s="115"/>
      <c r="D1" s="115"/>
      <c r="E1" s="115"/>
      <c r="F1" s="115"/>
      <c r="G1" s="115"/>
      <c r="H1" s="115"/>
      <c r="I1" s="115"/>
      <c r="J1" s="115"/>
      <c r="K1" s="115"/>
      <c r="L1" s="115"/>
      <c r="M1" s="115"/>
      <c r="N1" s="115"/>
      <c r="O1" s="115"/>
      <c r="P1" s="115"/>
      <c r="Q1" s="115"/>
      <c r="R1" s="115"/>
      <c r="S1" s="115"/>
      <c r="T1" s="115"/>
      <c r="U1" s="115"/>
    </row>
    <row r="2" spans="1:32" ht="14.6" customHeight="1" x14ac:dyDescent="0.4">
      <c r="A2" s="115"/>
      <c r="B2" s="115"/>
      <c r="C2" s="115"/>
      <c r="D2" s="115"/>
      <c r="E2" s="115"/>
      <c r="F2" s="115"/>
      <c r="G2" s="115"/>
      <c r="H2" s="115"/>
      <c r="I2" s="115"/>
      <c r="J2" s="115"/>
      <c r="K2" s="115"/>
      <c r="L2" s="115"/>
      <c r="M2" s="115"/>
      <c r="N2" s="115"/>
      <c r="O2" s="115"/>
      <c r="P2" s="115"/>
      <c r="Q2" s="115"/>
      <c r="R2" s="115"/>
      <c r="S2" s="115"/>
      <c r="T2" s="115"/>
      <c r="U2" s="115"/>
    </row>
    <row r="3" spans="1:32" ht="14.6" customHeight="1" x14ac:dyDescent="0.4">
      <c r="A3" s="99" t="s">
        <v>1189</v>
      </c>
      <c r="B3" s="99"/>
      <c r="C3" s="99"/>
      <c r="D3" s="99"/>
      <c r="E3" s="99"/>
      <c r="F3" s="99"/>
      <c r="G3" s="99"/>
      <c r="H3" s="99"/>
      <c r="I3" s="99"/>
      <c r="J3" s="99"/>
    </row>
    <row r="4" spans="1:32" ht="14.6" customHeight="1" x14ac:dyDescent="0.4">
      <c r="A4" s="102"/>
      <c r="B4" s="102"/>
      <c r="C4" s="102"/>
      <c r="D4" s="102"/>
      <c r="E4" s="102"/>
      <c r="F4" s="102"/>
      <c r="G4" s="102"/>
      <c r="H4" s="102"/>
      <c r="I4" s="102"/>
      <c r="J4" s="102"/>
    </row>
    <row r="5" spans="1:32" x14ac:dyDescent="0.4">
      <c r="A5" s="102"/>
      <c r="B5" s="102"/>
      <c r="C5" s="102"/>
      <c r="D5" s="102"/>
      <c r="E5" s="102"/>
      <c r="F5" s="102"/>
      <c r="G5" s="102"/>
      <c r="H5" s="102"/>
      <c r="I5" s="102"/>
      <c r="J5" s="102"/>
    </row>
    <row r="6" spans="1:32" x14ac:dyDescent="0.4">
      <c r="A6" s="102"/>
      <c r="B6" s="102"/>
      <c r="C6" s="102"/>
      <c r="D6" s="102"/>
      <c r="E6" s="102"/>
      <c r="F6" s="102"/>
      <c r="G6" s="102"/>
      <c r="H6" s="102"/>
      <c r="I6" s="102"/>
      <c r="J6" s="102"/>
    </row>
    <row r="7" spans="1:32" x14ac:dyDescent="0.4">
      <c r="A7" s="102"/>
      <c r="B7" s="102"/>
      <c r="C7" s="102"/>
      <c r="D7" s="102"/>
      <c r="E7" s="102"/>
      <c r="F7" s="102"/>
      <c r="G7" s="102"/>
      <c r="H7" s="102"/>
      <c r="I7" s="102"/>
      <c r="J7" s="102"/>
    </row>
    <row r="8" spans="1:32" x14ac:dyDescent="0.4">
      <c r="A8" s="102"/>
      <c r="B8" s="102"/>
      <c r="C8" s="102"/>
      <c r="D8" s="102"/>
      <c r="E8" s="102"/>
      <c r="F8" s="102"/>
      <c r="G8" s="102"/>
      <c r="H8" s="102"/>
      <c r="I8" s="102"/>
      <c r="J8" s="102"/>
      <c r="L8" s="116" t="s">
        <v>289</v>
      </c>
      <c r="M8" s="116"/>
      <c r="N8" s="116"/>
      <c r="O8" s="116"/>
      <c r="P8" s="116"/>
      <c r="Q8" s="116"/>
      <c r="R8" s="116"/>
      <c r="S8" s="116"/>
      <c r="T8" s="116"/>
      <c r="U8" s="116"/>
      <c r="W8" s="116" t="s">
        <v>326</v>
      </c>
      <c r="X8" s="116"/>
      <c r="Y8" s="116"/>
      <c r="Z8" s="116"/>
      <c r="AA8" s="116"/>
      <c r="AB8" s="116"/>
      <c r="AC8" s="116"/>
      <c r="AD8" s="116"/>
      <c r="AE8" s="116"/>
      <c r="AF8" s="116"/>
    </row>
    <row r="9" spans="1:32" x14ac:dyDescent="0.4">
      <c r="A9" s="102"/>
      <c r="B9" s="102"/>
      <c r="C9" s="102"/>
      <c r="D9" s="102"/>
      <c r="E9" s="102"/>
      <c r="F9" s="102"/>
      <c r="G9" s="102"/>
      <c r="H9" s="102"/>
      <c r="I9" s="102"/>
      <c r="J9" s="102"/>
      <c r="L9" s="1" t="s">
        <v>294</v>
      </c>
      <c r="M9" s="1" t="s">
        <v>290</v>
      </c>
      <c r="N9" s="1" t="s">
        <v>291</v>
      </c>
      <c r="O9" s="1" t="s">
        <v>309</v>
      </c>
      <c r="P9" s="1" t="s">
        <v>292</v>
      </c>
      <c r="Q9" s="1" t="s">
        <v>293</v>
      </c>
      <c r="R9" s="1" t="s">
        <v>304</v>
      </c>
      <c r="S9" s="1" t="s">
        <v>303</v>
      </c>
    </row>
    <row r="10" spans="1:32" x14ac:dyDescent="0.4">
      <c r="A10" s="102"/>
      <c r="B10" s="102"/>
      <c r="C10" s="102"/>
      <c r="D10" s="102"/>
      <c r="E10" s="102"/>
      <c r="F10" s="102"/>
      <c r="G10" s="102"/>
      <c r="H10" s="102"/>
      <c r="I10" s="102"/>
      <c r="J10" s="102"/>
      <c r="L10" s="2" t="s">
        <v>295</v>
      </c>
      <c r="M10" s="2">
        <v>10</v>
      </c>
      <c r="N10" s="2">
        <v>1000</v>
      </c>
      <c r="O10" s="2">
        <v>2</v>
      </c>
      <c r="P10" s="2">
        <v>15</v>
      </c>
      <c r="Q10" s="2">
        <v>15</v>
      </c>
      <c r="R10" s="2" t="b">
        <v>0</v>
      </c>
      <c r="S10" s="2">
        <v>55</v>
      </c>
    </row>
    <row r="12" spans="1:32" x14ac:dyDescent="0.4">
      <c r="A12" s="116" t="s">
        <v>305</v>
      </c>
      <c r="B12" s="116"/>
      <c r="C12" s="116"/>
      <c r="D12" s="116"/>
      <c r="E12" s="116"/>
      <c r="F12" s="116"/>
      <c r="H12" s="55" t="s">
        <v>1187</v>
      </c>
      <c r="L12" s="1" t="s">
        <v>308</v>
      </c>
    </row>
    <row r="13" spans="1:32" x14ac:dyDescent="0.4">
      <c r="A13" s="1" t="s">
        <v>288</v>
      </c>
      <c r="B13" s="1" t="s">
        <v>242</v>
      </c>
      <c r="C13" s="1" t="s">
        <v>229</v>
      </c>
      <c r="D13" s="1" t="s">
        <v>302</v>
      </c>
      <c r="E13" s="1" t="s">
        <v>306</v>
      </c>
      <c r="F13" s="1" t="s">
        <v>301</v>
      </c>
      <c r="H13" s="1" t="s">
        <v>1190</v>
      </c>
      <c r="L13" s="14">
        <f>ROUND(IF(L10="Linear",E14+N10*ABS(C14),IF(L10="Synchrotron",MIN(1000000*(C14*P10*M10)^2/(2*B14),1000000*B14*POWER(3*N10*M10/ABS(C14),0.25)),1000000*(C14*P10*M10)^2/(2*B14))),0)</f>
        <v>2000000</v>
      </c>
    </row>
    <row r="14" spans="1:32" x14ac:dyDescent="0.4">
      <c r="A14" s="2" t="s">
        <v>1464</v>
      </c>
      <c r="B14" s="20">
        <f>INDEX(ParticleTable[Mass Rounded (MeV)],MATCH('Accelerator Calculator'!A14,ParticleTable[Name],0))</f>
        <v>1.1999999999999999E-7</v>
      </c>
      <c r="C14" s="19">
        <f>INDEX(ParticleTable[Charge],MATCH(A14,ParticleTable[Name],0))</f>
        <v>0</v>
      </c>
      <c r="D14" s="2">
        <v>15000</v>
      </c>
      <c r="E14" s="2">
        <v>2000000</v>
      </c>
      <c r="F14" s="2">
        <v>0.4</v>
      </c>
      <c r="H14" s="64">
        <v>1</v>
      </c>
      <c r="L14" s="1" t="s">
        <v>299</v>
      </c>
      <c r="M14" s="1" t="s">
        <v>298</v>
      </c>
      <c r="N14" s="1" t="s">
        <v>307</v>
      </c>
      <c r="W14" s="1" t="s">
        <v>327</v>
      </c>
    </row>
    <row r="15" spans="1:32" x14ac:dyDescent="0.4">
      <c r="L15" s="14">
        <f>L13*IF(L10="Decelerator",IF(R10,1-S10/100,1-Q10/15),IF(R10,S10/100,Q10/15))</f>
        <v>2000000</v>
      </c>
      <c r="M15" s="13">
        <f>F14-beam_atten*(1+ABS(C14)*SQRT(D14/sf_beam))*IF(L10="Linear",M10,M10*8)+ABS(C14)*O10</f>
        <v>0.2</v>
      </c>
      <c r="N15" s="10" t="str">
        <f>IF(AND(E14&lt;E_smin,L10="Synchrotron"),"Input Energy to Low!",IF(AND(E14&gt;L13,OR(L10="Synchrotron",L10="Decelerator")),"Input Energy to High","No Error"))</f>
        <v>No Error</v>
      </c>
      <c r="W15" s="14" t="str">
        <f>IF(L10="Synchrotron",(L15/(1000*B14))^3/(2*PI()*M10*1000000),"N/A")</f>
        <v>N/A</v>
      </c>
    </row>
    <row r="16" spans="1:32" x14ac:dyDescent="0.4">
      <c r="A16" s="116" t="s">
        <v>323</v>
      </c>
      <c r="B16" s="116"/>
      <c r="C16" s="116"/>
      <c r="D16" s="116"/>
      <c r="E16" s="116"/>
      <c r="F16" s="116"/>
      <c r="G16" s="116"/>
      <c r="H16" s="116"/>
      <c r="I16" s="116"/>
      <c r="J16" s="116"/>
      <c r="L16" s="116" t="s">
        <v>324</v>
      </c>
      <c r="M16" s="116"/>
      <c r="N16" s="116"/>
      <c r="O16" s="116"/>
      <c r="P16" s="116"/>
      <c r="Q16" s="116"/>
      <c r="R16" s="116"/>
      <c r="S16" s="116"/>
      <c r="T16" s="116"/>
      <c r="U16" s="116"/>
      <c r="W16" s="116" t="s">
        <v>325</v>
      </c>
      <c r="X16" s="116"/>
      <c r="Y16" s="116"/>
      <c r="Z16" s="116"/>
      <c r="AA16" s="116"/>
      <c r="AB16" s="116"/>
      <c r="AC16" s="116"/>
      <c r="AD16" s="116"/>
      <c r="AE16" s="116"/>
      <c r="AF16" s="116"/>
    </row>
    <row r="17" spans="1:32" ht="15" thickBot="1" x14ac:dyDescent="0.45">
      <c r="A17" s="32" t="s">
        <v>1</v>
      </c>
      <c r="B17" s="21" t="s">
        <v>2</v>
      </c>
      <c r="C17" s="21" t="s">
        <v>3</v>
      </c>
      <c r="D17" s="21" t="s">
        <v>4</v>
      </c>
      <c r="E17" s="21" t="s">
        <v>5</v>
      </c>
      <c r="F17" s="21" t="s">
        <v>6</v>
      </c>
      <c r="G17" s="21" t="s">
        <v>7</v>
      </c>
      <c r="H17" s="21" t="s">
        <v>1188</v>
      </c>
      <c r="I17" s="21" t="s">
        <v>329</v>
      </c>
      <c r="J17" s="21" t="s">
        <v>330</v>
      </c>
      <c r="L17" s="32" t="s">
        <v>1</v>
      </c>
      <c r="M17" s="21" t="s">
        <v>2</v>
      </c>
      <c r="N17" s="21" t="s">
        <v>3</v>
      </c>
      <c r="O17" s="21" t="s">
        <v>4</v>
      </c>
      <c r="P17" s="21" t="s">
        <v>5</v>
      </c>
      <c r="Q17" s="21" t="s">
        <v>6</v>
      </c>
      <c r="R17" s="21" t="s">
        <v>7</v>
      </c>
      <c r="S17" s="21" t="s">
        <v>1188</v>
      </c>
      <c r="T17" s="21" t="s">
        <v>329</v>
      </c>
      <c r="U17" s="21" t="s">
        <v>330</v>
      </c>
      <c r="W17" s="32" t="s">
        <v>1</v>
      </c>
      <c r="X17" s="21" t="s">
        <v>2</v>
      </c>
      <c r="Y17" s="21" t="s">
        <v>3</v>
      </c>
      <c r="Z17" s="21" t="s">
        <v>4</v>
      </c>
      <c r="AA17" s="21" t="s">
        <v>5</v>
      </c>
      <c r="AB17" s="21" t="s">
        <v>6</v>
      </c>
      <c r="AC17" s="21" t="s">
        <v>7</v>
      </c>
      <c r="AD17" s="21" t="s">
        <v>1188</v>
      </c>
      <c r="AE17" s="21" t="s">
        <v>329</v>
      </c>
      <c r="AF17" s="21" t="s">
        <v>330</v>
      </c>
    </row>
    <row r="18" spans="1:32" ht="15" thickTop="1" x14ac:dyDescent="0.4">
      <c r="A18" s="22" t="str" cm="1">
        <f t="array" ref="A18:H22">_xlfn.SWITCH(A14,"proton",_xlfn._xlws.FILTER(ProtonReactions[],(ProtonReactions[Min Energy (keV)]&lt;=E14)*(ProtonReactions[Max energy (keV)]&gt;=E14),""),"neutron",_xlfn._xlws.FILTER(NeutronReactions[],(NeutronReactions[Min Energy (keV)]&lt;=E14)*(NeutronReactions[Max energy (keV)]&gt;=E14),""),"photon",_xlfn._xlws.FILTER(PhotonReactions[],(PhotonReactions[Min Energy (keV)]&lt;=E14)*(PhotonReactions[Max energy (keV)]&gt;=E14),""),"electron",_xlfn._xlws.FILTER(ElectronReactions[],(ElectronReactions[Min Energy (keV)]&lt;=E14)*(ElectronReactions[Max energy (keV)]&gt;=E14),""),"deuteron",_xlfn._xlws.FILTER('Target Chamber Recipes'!$A$262:$H$340,('Target Chamber Recipes'!$D$262:$D$340&lt;=E14)*('Target Chamber Recipes'!$E$262:$E$340&gt;=E14),""),"triton",_xlfn._xlws.FILTER(TritonReactions[],(TritonReactions[Min Energy (keV)]&lt;=E14)*(TritonReactions[Max energy (keV)]&gt;=E14),""),"helion",_xlfn._xlws.FILTER(HelionReactions[],(HelionReactions[Min Energy (keV)]&lt;=E14)*(HelionReactions[Max energy (keV)]&gt;=E14),""),"alpha",_xlfn._xlws.FILTER(AlphaReactions[],(AlphaReactions[Min Energy (keV)]&lt;=E14)*(AlphaReactions[Max energy (keV)]&gt;=E14),""),"boron ion",_xlfn._xlws.FILTER(BoronReactions[],(BoronReactions[Min Energy (keV)]&lt;=E14)*(BoronReactions[Max energy (keV)]&gt;=E14),""),"calcium 48 ion",_xlfn._xlws.FILTER(Calcium48Reactions[],(Calcium48Reactions[Min Energy (keV)]&lt;=E14)*(Calcium48Reactions[Max energy (keV)]&gt;=E14),""),"electron neutrino",_xlfn._xlws.FILTER(ElectronNeutrinoReactions[],(ElectronNeutrinoReactions[Min Energy (keV)]&lt;=E14)*(ElectronNeutrinoReactions[Max energy (keV)]&gt;=E14),""),"electron antineutrino",_xlfn._xlws.FILTER(ElectronAntineutrinoReactions[],(ElectronAntineutrinoReactions[Min Energy (keV)]&lt;=E14)*(ElectronAntineutrinoReactions[Max energy (keV)]&gt;=E14),""),"pion plus",_xlfn._xlws.FILTER(PionPlusReactions[],(PionPlusReactions[Min Energy (keV)]&lt;=E14)*(PionPlusReactions[Max energy (keV)]&gt;=E14),""),"pion minus",_xlfn._xlws.FILTER(PionMinusReactions[],(PionMinusReactions[Min Energy (keV)]&lt;=E14)*(PionMinusReactions[Max energy (keV)]&gt;=E14),""),"antiproton",_xlfn._xlws.FILTER(AntiprotonReactions[],(AntiprotonReactions[Min Energy (keV)]&lt;=E14)*(AntiprotonReactions[Max energy (keV)]&gt;=E14),""),"antideuteron",_xlfn._xlws.FILTER(AntideuteronReactions[],(AntideuteronReactions[Min Energy (keV)]&lt;=E14)*(AntideuteronReactions[Max energy (keV)]&gt;=E14),""),"muon neutrino",_xlfn._xlws.FILTER(MuonNeutrinoReactions[],(MuonNeutrinoReactions[Min Energy (keV)]&lt;=E14)*(MuonNeutrinoReactions[Max energy (keV)]&gt;=E14),""),"muon antineutrino",_xlfn._xlws.FILTER(MuonAntineutrinoReactions[],(MuonAntineutrinoReactions[Min Energy (keV)]&lt;=E14)*(MuonAntineutrinoReactions[Max energy (keV)]&gt;=E14),""),"tau neutrino",_xlfn._xlws.FILTER(TauNeutrinoReactions[],(TauNeutrinoReactions[Min Energy (keV)]&lt;=E14)*(TauNeutrinoReactions[Max energy (keV)]&gt;=E14),""),"tau antineutrino",_xlfn._xlws.FILTER(TauAntineutrinoReactions[],(TauAntineutrinoReactions[Min Energy (keV)]&lt;=E14)*(TauAntineutrinoReactions[Max energy (keV)]&gt;=E14),""))</f>
        <v>Ir-192(ν̅τ̅,τ̅)Os-192</v>
      </c>
      <c r="B18" s="23">
        <v>50000000</v>
      </c>
      <c r="C18" s="24">
        <v>0</v>
      </c>
      <c r="D18" s="23">
        <v>1800000</v>
      </c>
      <c r="E18" s="23">
        <v>20000000</v>
      </c>
      <c r="F18" s="25">
        <v>0.02</v>
      </c>
      <c r="G18" s="23">
        <v>-1780000</v>
      </c>
      <c r="H18" s="24">
        <v>250</v>
      </c>
      <c r="I18" s="65">
        <f>MAX(B18*F18,B18/$H$14)/$D$14</f>
        <v>3333.3333333333335</v>
      </c>
      <c r="J18" s="65">
        <f t="shared" ref="J18:J55" si="0">I18/20</f>
        <v>166.66666666666669</v>
      </c>
      <c r="L18" s="22" t="e" cm="1">
        <f t="array" ref="L18">_xlfn.SWITCH(A14,"proton",_xlfn._xlws.FILTER(ProtonReactions[],(ProtonReactions[Min Energy (keV)]&lt;=L15)*(ProtonReactions[Max energy (keV)]&gt;=L15),""),"neutron",_xlfn._xlws.FILTER(NeutronReactions[],(NeutronReactions[Min Energy (keV)]&lt;=L15)*(NeutronReactions[Max energy (keV)]&gt;=L15),""),"photon",_xlfn._xlws.FILTER(PhotonReactions[],(PhotonReactions[Min Energy (keV)]&lt;=L15)*(PhotonReactions[Max energy (keV)]&gt;=L15),""),"electron",_xlfn._xlws.FILTER(ElectronReactions[],(ElectronReactions[Min Energy (keV)]&lt;=L15)*(ElectronReactions[Max energy (keV)]&gt;=L15),""),"deuteron",_xlfn._xlws.FILTER('Target Chamber Recipes'!$A$262:$H$340,('Target Chamber Recipes'!$D$262:$D$340&lt;=L15)*('Target Chamber Recipes'!$E$262:$E$340&gt;=L15),""),"triton",_xlfn._xlws.FILTER(TritonReactions[],(TritonReactions[Min Energy (keV)]&lt;=L15)*(TritonReactions[Max energy (keV)]&gt;=L15),""),"helion",_xlfn._xlws.FILTER(HelionReactions[],(HelionReactions[Min Energy (keV)]&lt;=L15)*(HelionReactions[Max energy (keV)]&gt;=L15),""),"alpha",_xlfn._xlws.FILTER(AlphaReactions[],(AlphaReactions[Min Energy (keV)]&lt;=L15)*(AlphaReactions[Max energy (keV)]&gt;=L15),""),"boron ion",_xlfn._xlws.FILTER(BoronReactions[],(BoronReactions[Min Energy (keV)]&lt;=L15)*(BoronReactions[Max energy (keV)]&gt;=L15),""),"calcium 48 ion",_xlfn._xlws.FILTER(Calcium48Reactions[],(Calcium48Reactions[Min Energy (keV)]&lt;=L15)*(Calcium48Reactions[Max energy (keV)]&gt;=L15),""),"electron neutrino",_xlfn._xlws.FILTER(ElectronNeutrinoReactions[],(ElectronNeutrinoReactions[Min Energy (keV)]&lt;=L15)*(ElectronNeutrinoReactions[Max energy (keV)]&gt;=L15),""),"electron antineutrino",_xlfn._xlws.FILTER(ElectronAntineutrinoReactions[],(ElectronAntineutrinoReactions[Min Energy (keV)]&lt;=L15)*(ElectronAntineutrinoReactions[Max energy (keV)]&gt;=L15),""),"pion plus",_xlfn._xlws.FILTER(PionPlusReactions[],(PionPlusReactions[Min Energy (keV)]&lt;=L15)*(PionPlusReactions[Max energy (keV)]&gt;=L15),""),"pion minus",_xlfn._xlws.FILTER(PionMinusReactions[],(PionMinusReactions[Min Energy (keV)]&lt;=L15)*(PionMinusReactions[Max energy (keV)]&gt;=L15),""),"antiproton",_xlfn._xlws.FILTER(AntiprotonReactions[],(AntiprotonReactions[Min Energy (keV)]&lt;=L15)*(AntiprotonReactions[Max energy (keV)]&gt;=L15),""),"antideuteron",_xlfn._xlws.FILTER(AntideuteronReactions[],(AntideuteronReactions[Min Energy (keV)]&lt;=L15)*(AntideuteronReactions[Max energy (keV)]&gt;=L15),""))</f>
        <v>#N/A</v>
      </c>
      <c r="M18" s="23"/>
      <c r="N18" s="24"/>
      <c r="O18" s="23"/>
      <c r="P18" s="23"/>
      <c r="Q18" s="25"/>
      <c r="R18" s="23"/>
      <c r="S18" s="24"/>
      <c r="T18" s="65">
        <f>MAX(M18*Q18,M18/$H$14)/$D$14</f>
        <v>0</v>
      </c>
      <c r="U18" s="65">
        <f>T18/20</f>
        <v>0</v>
      </c>
      <c r="W18" s="22" t="str" cm="1">
        <f t="array" ref="W18">_xlfn._xlws.FILTER(PhotonReactions[],(PhotonReactions[Min Energy (keV)]&lt;=W15)*(PhotonReactions[Max energy (keV)]&gt;=W15),"")</f>
        <v/>
      </c>
      <c r="X18" s="23"/>
      <c r="Y18" s="24"/>
      <c r="Z18" s="23"/>
      <c r="AA18" s="23"/>
      <c r="AB18" s="25"/>
      <c r="AC18" s="23"/>
      <c r="AD18" s="24"/>
      <c r="AE18" s="65">
        <f>MAX(X18*AB18,X18/$H$14)/$D$14</f>
        <v>0</v>
      </c>
      <c r="AF18" s="65">
        <f>AE18/20</f>
        <v>0</v>
      </c>
    </row>
    <row r="19" spans="1:32" x14ac:dyDescent="0.4">
      <c r="A19" s="26" t="str">
        <v>Ni-58(ν̅τ̅,τ̅)Co-58(e̅+νe)Fe-58</v>
      </c>
      <c r="B19" s="27">
        <v>50000000</v>
      </c>
      <c r="C19" s="16">
        <v>0</v>
      </c>
      <c r="D19" s="27">
        <v>1800000</v>
      </c>
      <c r="E19" s="27">
        <v>20000000</v>
      </c>
      <c r="F19" s="28">
        <v>0.02</v>
      </c>
      <c r="G19" s="27">
        <v>-1780000</v>
      </c>
      <c r="H19" s="16">
        <v>250</v>
      </c>
      <c r="I19" s="66">
        <f t="shared" ref="I19:I55" si="1">MAX(B19*F19,B19/$H$14)/$D$14</f>
        <v>3333.3333333333335</v>
      </c>
      <c r="J19" s="66">
        <f t="shared" si="0"/>
        <v>166.66666666666669</v>
      </c>
      <c r="L19" s="26"/>
      <c r="M19" s="27"/>
      <c r="N19" s="16"/>
      <c r="O19" s="27"/>
      <c r="P19" s="27"/>
      <c r="Q19" s="28"/>
      <c r="R19" s="27"/>
      <c r="S19" s="16"/>
      <c r="T19" s="66">
        <f t="shared" ref="T19:T55" si="2">MAX(M19*Q19,M19/$H$14)/$D$14</f>
        <v>0</v>
      </c>
      <c r="U19" s="66">
        <f t="shared" ref="U19:U55" si="3">T19/20</f>
        <v>0</v>
      </c>
      <c r="W19" s="26"/>
      <c r="X19" s="27"/>
      <c r="Y19" s="16"/>
      <c r="Z19" s="27"/>
      <c r="AA19" s="27"/>
      <c r="AB19" s="28"/>
      <c r="AC19" s="27"/>
      <c r="AD19" s="16"/>
      <c r="AE19" s="66">
        <f t="shared" ref="AE19:AE55" si="4">MAX(X19*AB19,X19/$H$14)/$D$14</f>
        <v>0</v>
      </c>
      <c r="AF19" s="66">
        <f t="shared" ref="AF19:AF55" si="5">AE19/20</f>
        <v>0</v>
      </c>
    </row>
    <row r="20" spans="1:32" x14ac:dyDescent="0.4">
      <c r="A20" s="29" t="str">
        <v>Am-242(ν̅τ̅,τ)Pu-242</v>
      </c>
      <c r="B20" s="30">
        <v>50000000</v>
      </c>
      <c r="C20" s="15">
        <v>0</v>
      </c>
      <c r="D20" s="30">
        <v>1800000</v>
      </c>
      <c r="E20" s="30">
        <v>20000000</v>
      </c>
      <c r="F20" s="31">
        <v>0.02</v>
      </c>
      <c r="G20" s="30">
        <v>-1780000</v>
      </c>
      <c r="H20" s="15">
        <v>250</v>
      </c>
      <c r="I20" s="67">
        <f t="shared" si="1"/>
        <v>3333.3333333333335</v>
      </c>
      <c r="J20" s="67">
        <f t="shared" si="0"/>
        <v>166.66666666666669</v>
      </c>
      <c r="L20" s="29"/>
      <c r="M20" s="30"/>
      <c r="N20" s="15"/>
      <c r="O20" s="30"/>
      <c r="P20" s="30"/>
      <c r="Q20" s="31"/>
      <c r="R20" s="30"/>
      <c r="S20" s="15"/>
      <c r="T20" s="67">
        <f t="shared" si="2"/>
        <v>0</v>
      </c>
      <c r="U20" s="67">
        <f t="shared" si="3"/>
        <v>0</v>
      </c>
      <c r="W20" s="29"/>
      <c r="X20" s="30"/>
      <c r="Y20" s="15"/>
      <c r="Z20" s="30"/>
      <c r="AA20" s="30"/>
      <c r="AB20" s="31"/>
      <c r="AC20" s="30"/>
      <c r="AD20" s="15"/>
      <c r="AE20" s="67">
        <f t="shared" si="4"/>
        <v>0</v>
      </c>
      <c r="AF20" s="67">
        <f t="shared" si="5"/>
        <v>0</v>
      </c>
    </row>
    <row r="21" spans="1:32" x14ac:dyDescent="0.4">
      <c r="A21" s="26" t="str">
        <v>Cm-243(ν̅τ̅,τ̅)Am-243</v>
      </c>
      <c r="B21" s="27">
        <v>50000000</v>
      </c>
      <c r="C21" s="16">
        <v>0</v>
      </c>
      <c r="D21" s="27">
        <v>1800000</v>
      </c>
      <c r="E21" s="27">
        <v>20000000</v>
      </c>
      <c r="F21" s="28">
        <v>0.02</v>
      </c>
      <c r="G21" s="27">
        <v>-1780000</v>
      </c>
      <c r="H21" s="16">
        <v>250</v>
      </c>
      <c r="I21" s="66">
        <f t="shared" si="1"/>
        <v>3333.3333333333335</v>
      </c>
      <c r="J21" s="66">
        <f t="shared" si="0"/>
        <v>166.66666666666669</v>
      </c>
      <c r="L21" s="26"/>
      <c r="M21" s="27"/>
      <c r="N21" s="16"/>
      <c r="O21" s="27"/>
      <c r="P21" s="27"/>
      <c r="Q21" s="28"/>
      <c r="R21" s="27"/>
      <c r="S21" s="16"/>
      <c r="T21" s="66">
        <f t="shared" si="2"/>
        <v>0</v>
      </c>
      <c r="U21" s="66">
        <f t="shared" si="3"/>
        <v>0</v>
      </c>
      <c r="W21" s="26"/>
      <c r="X21" s="27"/>
      <c r="Y21" s="16"/>
      <c r="Z21" s="27"/>
      <c r="AA21" s="27"/>
      <c r="AB21" s="28"/>
      <c r="AC21" s="27"/>
      <c r="AD21" s="16"/>
      <c r="AE21" s="66">
        <f t="shared" si="4"/>
        <v>0</v>
      </c>
      <c r="AF21" s="66">
        <f t="shared" si="5"/>
        <v>0</v>
      </c>
    </row>
    <row r="22" spans="1:32" x14ac:dyDescent="0.4">
      <c r="A22" s="29" t="str">
        <v>Bk-247(ν̅τ̅,τ)Cm-247</v>
      </c>
      <c r="B22" s="30">
        <v>50000000</v>
      </c>
      <c r="C22" s="15">
        <v>0</v>
      </c>
      <c r="D22" s="30">
        <v>1800000</v>
      </c>
      <c r="E22" s="30">
        <v>20000000</v>
      </c>
      <c r="F22" s="31">
        <v>0.02</v>
      </c>
      <c r="G22" s="30">
        <v>-1780000</v>
      </c>
      <c r="H22" s="15">
        <v>250</v>
      </c>
      <c r="I22" s="67">
        <f t="shared" si="1"/>
        <v>3333.3333333333335</v>
      </c>
      <c r="J22" s="67">
        <f t="shared" si="0"/>
        <v>166.66666666666669</v>
      </c>
      <c r="L22" s="29"/>
      <c r="M22" s="30"/>
      <c r="N22" s="15"/>
      <c r="O22" s="30"/>
      <c r="P22" s="30"/>
      <c r="Q22" s="31"/>
      <c r="R22" s="30"/>
      <c r="S22" s="15"/>
      <c r="T22" s="67">
        <f t="shared" si="2"/>
        <v>0</v>
      </c>
      <c r="U22" s="67">
        <f t="shared" si="3"/>
        <v>0</v>
      </c>
      <c r="W22" s="29"/>
      <c r="X22" s="30"/>
      <c r="Y22" s="15"/>
      <c r="Z22" s="30"/>
      <c r="AA22" s="30"/>
      <c r="AB22" s="31"/>
      <c r="AC22" s="30"/>
      <c r="AD22" s="15"/>
      <c r="AE22" s="67">
        <f t="shared" si="4"/>
        <v>0</v>
      </c>
      <c r="AF22" s="67">
        <f t="shared" si="5"/>
        <v>0</v>
      </c>
    </row>
    <row r="23" spans="1:32" x14ac:dyDescent="0.4">
      <c r="A23" s="26"/>
      <c r="B23" s="27"/>
      <c r="C23" s="16"/>
      <c r="D23" s="27"/>
      <c r="E23" s="27"/>
      <c r="F23" s="28"/>
      <c r="G23" s="27"/>
      <c r="H23" s="16"/>
      <c r="I23" s="66">
        <f t="shared" si="1"/>
        <v>0</v>
      </c>
      <c r="J23" s="66">
        <f t="shared" si="0"/>
        <v>0</v>
      </c>
      <c r="L23" s="26"/>
      <c r="M23" s="27"/>
      <c r="N23" s="16"/>
      <c r="O23" s="27"/>
      <c r="P23" s="27"/>
      <c r="Q23" s="28"/>
      <c r="R23" s="27"/>
      <c r="S23" s="16"/>
      <c r="T23" s="66">
        <f t="shared" si="2"/>
        <v>0</v>
      </c>
      <c r="U23" s="66">
        <f t="shared" si="3"/>
        <v>0</v>
      </c>
      <c r="W23" s="26"/>
      <c r="X23" s="27"/>
      <c r="Y23" s="16"/>
      <c r="Z23" s="27"/>
      <c r="AA23" s="27"/>
      <c r="AB23" s="28"/>
      <c r="AC23" s="27"/>
      <c r="AD23" s="16"/>
      <c r="AE23" s="66">
        <f t="shared" si="4"/>
        <v>0</v>
      </c>
      <c r="AF23" s="66">
        <f t="shared" si="5"/>
        <v>0</v>
      </c>
    </row>
    <row r="24" spans="1:32" x14ac:dyDescent="0.4">
      <c r="A24" s="29"/>
      <c r="B24" s="30"/>
      <c r="C24" s="15"/>
      <c r="D24" s="30"/>
      <c r="E24" s="30"/>
      <c r="F24" s="31"/>
      <c r="G24" s="30"/>
      <c r="H24" s="15"/>
      <c r="I24" s="67">
        <f t="shared" si="1"/>
        <v>0</v>
      </c>
      <c r="J24" s="67">
        <f t="shared" si="0"/>
        <v>0</v>
      </c>
      <c r="L24" s="29"/>
      <c r="M24" s="30"/>
      <c r="N24" s="15"/>
      <c r="O24" s="30"/>
      <c r="P24" s="30"/>
      <c r="Q24" s="31"/>
      <c r="R24" s="30"/>
      <c r="S24" s="15"/>
      <c r="T24" s="67">
        <f t="shared" si="2"/>
        <v>0</v>
      </c>
      <c r="U24" s="67">
        <f t="shared" si="3"/>
        <v>0</v>
      </c>
      <c r="W24" s="29"/>
      <c r="X24" s="30"/>
      <c r="Y24" s="15"/>
      <c r="Z24" s="30"/>
      <c r="AA24" s="30"/>
      <c r="AB24" s="31"/>
      <c r="AC24" s="30"/>
      <c r="AD24" s="15"/>
      <c r="AE24" s="67">
        <f t="shared" si="4"/>
        <v>0</v>
      </c>
      <c r="AF24" s="67">
        <f t="shared" si="5"/>
        <v>0</v>
      </c>
    </row>
    <row r="25" spans="1:32" x14ac:dyDescent="0.4">
      <c r="A25" s="26"/>
      <c r="B25" s="27"/>
      <c r="C25" s="16"/>
      <c r="D25" s="27"/>
      <c r="E25" s="27"/>
      <c r="F25" s="28"/>
      <c r="G25" s="27"/>
      <c r="H25" s="16"/>
      <c r="I25" s="66">
        <f t="shared" si="1"/>
        <v>0</v>
      </c>
      <c r="J25" s="66">
        <f t="shared" si="0"/>
        <v>0</v>
      </c>
      <c r="L25" s="26"/>
      <c r="M25" s="27"/>
      <c r="N25" s="16"/>
      <c r="O25" s="27"/>
      <c r="P25" s="27"/>
      <c r="Q25" s="28"/>
      <c r="R25" s="27"/>
      <c r="S25" s="16"/>
      <c r="T25" s="66">
        <f t="shared" si="2"/>
        <v>0</v>
      </c>
      <c r="U25" s="66">
        <f t="shared" si="3"/>
        <v>0</v>
      </c>
      <c r="W25" s="26"/>
      <c r="X25" s="27"/>
      <c r="Y25" s="16"/>
      <c r="Z25" s="27"/>
      <c r="AA25" s="27"/>
      <c r="AB25" s="28"/>
      <c r="AC25" s="27"/>
      <c r="AD25" s="16"/>
      <c r="AE25" s="66">
        <f t="shared" si="4"/>
        <v>0</v>
      </c>
      <c r="AF25" s="66">
        <f t="shared" si="5"/>
        <v>0</v>
      </c>
    </row>
    <row r="26" spans="1:32" x14ac:dyDescent="0.4">
      <c r="A26" s="29"/>
      <c r="B26" s="30"/>
      <c r="C26" s="15"/>
      <c r="D26" s="30"/>
      <c r="E26" s="30"/>
      <c r="F26" s="31"/>
      <c r="G26" s="30"/>
      <c r="H26" s="15"/>
      <c r="I26" s="67">
        <f t="shared" si="1"/>
        <v>0</v>
      </c>
      <c r="J26" s="67">
        <f t="shared" si="0"/>
        <v>0</v>
      </c>
      <c r="L26" s="29"/>
      <c r="M26" s="30"/>
      <c r="N26" s="15"/>
      <c r="O26" s="30"/>
      <c r="P26" s="30"/>
      <c r="Q26" s="31"/>
      <c r="R26" s="30"/>
      <c r="S26" s="15"/>
      <c r="T26" s="67">
        <f t="shared" si="2"/>
        <v>0</v>
      </c>
      <c r="U26" s="67">
        <f t="shared" si="3"/>
        <v>0</v>
      </c>
      <c r="W26" s="29"/>
      <c r="X26" s="30"/>
      <c r="Y26" s="15"/>
      <c r="Z26" s="30"/>
      <c r="AA26" s="30"/>
      <c r="AB26" s="31"/>
      <c r="AC26" s="30"/>
      <c r="AD26" s="15"/>
      <c r="AE26" s="67">
        <f t="shared" si="4"/>
        <v>0</v>
      </c>
      <c r="AF26" s="67">
        <f t="shared" si="5"/>
        <v>0</v>
      </c>
    </row>
    <row r="27" spans="1:32" x14ac:dyDescent="0.4">
      <c r="A27" s="26"/>
      <c r="B27" s="27"/>
      <c r="C27" s="16"/>
      <c r="D27" s="27"/>
      <c r="E27" s="27"/>
      <c r="F27" s="28"/>
      <c r="G27" s="27"/>
      <c r="H27" s="16"/>
      <c r="I27" s="66">
        <f t="shared" si="1"/>
        <v>0</v>
      </c>
      <c r="J27" s="66">
        <f t="shared" si="0"/>
        <v>0</v>
      </c>
      <c r="L27" s="26"/>
      <c r="M27" s="27"/>
      <c r="N27" s="16"/>
      <c r="O27" s="27"/>
      <c r="P27" s="27"/>
      <c r="Q27" s="28"/>
      <c r="R27" s="27"/>
      <c r="S27" s="16"/>
      <c r="T27" s="66">
        <f t="shared" si="2"/>
        <v>0</v>
      </c>
      <c r="U27" s="66">
        <f t="shared" si="3"/>
        <v>0</v>
      </c>
      <c r="W27" s="26"/>
      <c r="X27" s="27"/>
      <c r="Y27" s="16"/>
      <c r="Z27" s="27"/>
      <c r="AA27" s="27"/>
      <c r="AB27" s="28"/>
      <c r="AC27" s="27"/>
      <c r="AD27" s="16"/>
      <c r="AE27" s="66">
        <f t="shared" si="4"/>
        <v>0</v>
      </c>
      <c r="AF27" s="66">
        <f t="shared" si="5"/>
        <v>0</v>
      </c>
    </row>
    <row r="28" spans="1:32" x14ac:dyDescent="0.4">
      <c r="A28" s="29"/>
      <c r="B28" s="30"/>
      <c r="C28" s="15"/>
      <c r="D28" s="30"/>
      <c r="E28" s="30"/>
      <c r="F28" s="31"/>
      <c r="G28" s="30"/>
      <c r="H28" s="15"/>
      <c r="I28" s="67">
        <f t="shared" si="1"/>
        <v>0</v>
      </c>
      <c r="J28" s="67">
        <f t="shared" si="0"/>
        <v>0</v>
      </c>
      <c r="L28" s="29"/>
      <c r="M28" s="30"/>
      <c r="N28" s="15"/>
      <c r="O28" s="30"/>
      <c r="P28" s="30"/>
      <c r="Q28" s="31"/>
      <c r="R28" s="30"/>
      <c r="S28" s="15"/>
      <c r="T28" s="67">
        <f t="shared" si="2"/>
        <v>0</v>
      </c>
      <c r="U28" s="67">
        <f t="shared" si="3"/>
        <v>0</v>
      </c>
      <c r="W28" s="29"/>
      <c r="X28" s="30"/>
      <c r="Y28" s="15"/>
      <c r="Z28" s="30"/>
      <c r="AA28" s="30"/>
      <c r="AB28" s="31"/>
      <c r="AC28" s="30"/>
      <c r="AD28" s="15"/>
      <c r="AE28" s="67">
        <f t="shared" si="4"/>
        <v>0</v>
      </c>
      <c r="AF28" s="67">
        <f t="shared" si="5"/>
        <v>0</v>
      </c>
    </row>
    <row r="29" spans="1:32" x14ac:dyDescent="0.4">
      <c r="A29" s="26"/>
      <c r="B29" s="27"/>
      <c r="C29" s="16"/>
      <c r="D29" s="27"/>
      <c r="E29" s="27"/>
      <c r="F29" s="28"/>
      <c r="G29" s="27"/>
      <c r="H29" s="16"/>
      <c r="I29" s="66">
        <f t="shared" si="1"/>
        <v>0</v>
      </c>
      <c r="J29" s="66">
        <f t="shared" si="0"/>
        <v>0</v>
      </c>
      <c r="L29" s="26"/>
      <c r="M29" s="27"/>
      <c r="N29" s="16"/>
      <c r="O29" s="27"/>
      <c r="P29" s="27"/>
      <c r="Q29" s="28"/>
      <c r="R29" s="27"/>
      <c r="S29" s="16"/>
      <c r="T29" s="66">
        <f t="shared" si="2"/>
        <v>0</v>
      </c>
      <c r="U29" s="66">
        <f t="shared" si="3"/>
        <v>0</v>
      </c>
      <c r="W29" s="26"/>
      <c r="X29" s="27"/>
      <c r="Y29" s="16"/>
      <c r="Z29" s="27"/>
      <c r="AA29" s="27"/>
      <c r="AB29" s="28"/>
      <c r="AC29" s="27"/>
      <c r="AD29" s="16"/>
      <c r="AE29" s="66">
        <f t="shared" si="4"/>
        <v>0</v>
      </c>
      <c r="AF29" s="66">
        <f t="shared" si="5"/>
        <v>0</v>
      </c>
    </row>
    <row r="30" spans="1:32" x14ac:dyDescent="0.4">
      <c r="A30" s="29"/>
      <c r="B30" s="30"/>
      <c r="C30" s="15"/>
      <c r="D30" s="30"/>
      <c r="E30" s="30"/>
      <c r="F30" s="31"/>
      <c r="G30" s="30"/>
      <c r="H30" s="15"/>
      <c r="I30" s="67">
        <f t="shared" si="1"/>
        <v>0</v>
      </c>
      <c r="J30" s="67">
        <f t="shared" si="0"/>
        <v>0</v>
      </c>
      <c r="L30" s="29"/>
      <c r="M30" s="30"/>
      <c r="N30" s="15"/>
      <c r="O30" s="30"/>
      <c r="P30" s="30"/>
      <c r="Q30" s="31"/>
      <c r="R30" s="30"/>
      <c r="S30" s="15"/>
      <c r="T30" s="67">
        <f t="shared" si="2"/>
        <v>0</v>
      </c>
      <c r="U30" s="67">
        <f t="shared" si="3"/>
        <v>0</v>
      </c>
      <c r="W30" s="29"/>
      <c r="X30" s="30"/>
      <c r="Y30" s="15"/>
      <c r="Z30" s="30"/>
      <c r="AA30" s="30"/>
      <c r="AB30" s="31"/>
      <c r="AC30" s="30"/>
      <c r="AD30" s="15"/>
      <c r="AE30" s="67">
        <f t="shared" si="4"/>
        <v>0</v>
      </c>
      <c r="AF30" s="67">
        <f t="shared" si="5"/>
        <v>0</v>
      </c>
    </row>
    <row r="31" spans="1:32" x14ac:dyDescent="0.4">
      <c r="A31" s="26"/>
      <c r="B31" s="27"/>
      <c r="C31" s="16"/>
      <c r="D31" s="27"/>
      <c r="E31" s="27"/>
      <c r="F31" s="28"/>
      <c r="G31" s="27"/>
      <c r="H31" s="16"/>
      <c r="I31" s="66">
        <f t="shared" si="1"/>
        <v>0</v>
      </c>
      <c r="J31" s="66">
        <f t="shared" si="0"/>
        <v>0</v>
      </c>
      <c r="L31" s="26"/>
      <c r="M31" s="27"/>
      <c r="N31" s="16"/>
      <c r="O31" s="27"/>
      <c r="P31" s="27"/>
      <c r="Q31" s="28"/>
      <c r="R31" s="27"/>
      <c r="S31" s="16"/>
      <c r="T31" s="66">
        <f t="shared" si="2"/>
        <v>0</v>
      </c>
      <c r="U31" s="66">
        <f t="shared" si="3"/>
        <v>0</v>
      </c>
      <c r="W31" s="26"/>
      <c r="X31" s="27"/>
      <c r="Y31" s="16"/>
      <c r="Z31" s="27"/>
      <c r="AA31" s="27"/>
      <c r="AB31" s="28"/>
      <c r="AC31" s="27"/>
      <c r="AD31" s="16"/>
      <c r="AE31" s="66">
        <f t="shared" si="4"/>
        <v>0</v>
      </c>
      <c r="AF31" s="66">
        <f t="shared" si="5"/>
        <v>0</v>
      </c>
    </row>
    <row r="32" spans="1:32" x14ac:dyDescent="0.4">
      <c r="A32" s="29"/>
      <c r="B32" s="30"/>
      <c r="C32" s="15"/>
      <c r="D32" s="30"/>
      <c r="E32" s="30"/>
      <c r="F32" s="31"/>
      <c r="G32" s="30"/>
      <c r="H32" s="15"/>
      <c r="I32" s="67">
        <f t="shared" si="1"/>
        <v>0</v>
      </c>
      <c r="J32" s="67">
        <f t="shared" si="0"/>
        <v>0</v>
      </c>
      <c r="L32" s="29"/>
      <c r="M32" s="30"/>
      <c r="N32" s="15"/>
      <c r="O32" s="30"/>
      <c r="P32" s="30"/>
      <c r="Q32" s="31"/>
      <c r="R32" s="30"/>
      <c r="S32" s="15"/>
      <c r="T32" s="67">
        <f t="shared" si="2"/>
        <v>0</v>
      </c>
      <c r="U32" s="67">
        <f t="shared" si="3"/>
        <v>0</v>
      </c>
      <c r="W32" s="29"/>
      <c r="X32" s="30"/>
      <c r="Y32" s="15"/>
      <c r="Z32" s="30"/>
      <c r="AA32" s="30"/>
      <c r="AB32" s="31"/>
      <c r="AC32" s="30"/>
      <c r="AD32" s="15"/>
      <c r="AE32" s="67">
        <f t="shared" si="4"/>
        <v>0</v>
      </c>
      <c r="AF32" s="67">
        <f t="shared" si="5"/>
        <v>0</v>
      </c>
    </row>
    <row r="33" spans="1:32" x14ac:dyDescent="0.4">
      <c r="A33" s="26"/>
      <c r="B33" s="27"/>
      <c r="C33" s="16"/>
      <c r="D33" s="27"/>
      <c r="E33" s="27"/>
      <c r="F33" s="28"/>
      <c r="G33" s="27"/>
      <c r="H33" s="16"/>
      <c r="I33" s="66">
        <f t="shared" si="1"/>
        <v>0</v>
      </c>
      <c r="J33" s="66">
        <f t="shared" si="0"/>
        <v>0</v>
      </c>
      <c r="L33" s="26"/>
      <c r="M33" s="27"/>
      <c r="N33" s="16"/>
      <c r="O33" s="27"/>
      <c r="P33" s="27"/>
      <c r="Q33" s="28"/>
      <c r="R33" s="27"/>
      <c r="S33" s="16"/>
      <c r="T33" s="66">
        <f t="shared" si="2"/>
        <v>0</v>
      </c>
      <c r="U33" s="66">
        <f t="shared" si="3"/>
        <v>0</v>
      </c>
      <c r="W33" s="26"/>
      <c r="X33" s="27"/>
      <c r="Y33" s="16"/>
      <c r="Z33" s="27"/>
      <c r="AA33" s="27"/>
      <c r="AB33" s="28"/>
      <c r="AC33" s="27"/>
      <c r="AD33" s="16"/>
      <c r="AE33" s="66">
        <f t="shared" si="4"/>
        <v>0</v>
      </c>
      <c r="AF33" s="66">
        <f t="shared" si="5"/>
        <v>0</v>
      </c>
    </row>
    <row r="34" spans="1:32" x14ac:dyDescent="0.4">
      <c r="A34" s="29"/>
      <c r="B34" s="30"/>
      <c r="C34" s="15"/>
      <c r="D34" s="30"/>
      <c r="E34" s="30"/>
      <c r="F34" s="31"/>
      <c r="G34" s="30"/>
      <c r="H34" s="15"/>
      <c r="I34" s="67">
        <f t="shared" si="1"/>
        <v>0</v>
      </c>
      <c r="J34" s="67">
        <f t="shared" si="0"/>
        <v>0</v>
      </c>
      <c r="L34" s="29"/>
      <c r="M34" s="30"/>
      <c r="N34" s="15"/>
      <c r="O34" s="30"/>
      <c r="P34" s="30"/>
      <c r="Q34" s="31"/>
      <c r="R34" s="30"/>
      <c r="S34" s="15"/>
      <c r="T34" s="67">
        <f t="shared" si="2"/>
        <v>0</v>
      </c>
      <c r="U34" s="67">
        <f t="shared" si="3"/>
        <v>0</v>
      </c>
      <c r="W34" s="29"/>
      <c r="X34" s="30"/>
      <c r="Y34" s="15"/>
      <c r="Z34" s="30"/>
      <c r="AA34" s="30"/>
      <c r="AB34" s="31"/>
      <c r="AC34" s="30"/>
      <c r="AD34" s="15"/>
      <c r="AE34" s="67">
        <f t="shared" si="4"/>
        <v>0</v>
      </c>
      <c r="AF34" s="67">
        <f t="shared" si="5"/>
        <v>0</v>
      </c>
    </row>
    <row r="35" spans="1:32" x14ac:dyDescent="0.4">
      <c r="A35" s="26"/>
      <c r="B35" s="27"/>
      <c r="C35" s="16"/>
      <c r="D35" s="27"/>
      <c r="E35" s="27"/>
      <c r="F35" s="28"/>
      <c r="G35" s="27"/>
      <c r="H35" s="16"/>
      <c r="I35" s="66">
        <f t="shared" si="1"/>
        <v>0</v>
      </c>
      <c r="J35" s="66">
        <f t="shared" si="0"/>
        <v>0</v>
      </c>
      <c r="L35" s="26"/>
      <c r="M35" s="27"/>
      <c r="N35" s="16"/>
      <c r="O35" s="27"/>
      <c r="P35" s="27"/>
      <c r="Q35" s="28"/>
      <c r="R35" s="27"/>
      <c r="S35" s="16"/>
      <c r="T35" s="66">
        <f t="shared" si="2"/>
        <v>0</v>
      </c>
      <c r="U35" s="66">
        <f t="shared" si="3"/>
        <v>0</v>
      </c>
      <c r="W35" s="26"/>
      <c r="X35" s="27"/>
      <c r="Y35" s="16"/>
      <c r="Z35" s="27"/>
      <c r="AA35" s="27"/>
      <c r="AB35" s="28"/>
      <c r="AC35" s="27"/>
      <c r="AD35" s="16"/>
      <c r="AE35" s="66">
        <f t="shared" si="4"/>
        <v>0</v>
      </c>
      <c r="AF35" s="66">
        <f t="shared" si="5"/>
        <v>0</v>
      </c>
    </row>
    <row r="36" spans="1:32" x14ac:dyDescent="0.4">
      <c r="A36" s="29"/>
      <c r="B36" s="30"/>
      <c r="C36" s="15"/>
      <c r="D36" s="30"/>
      <c r="E36" s="30"/>
      <c r="F36" s="31"/>
      <c r="G36" s="30"/>
      <c r="H36" s="15"/>
      <c r="I36" s="67">
        <f t="shared" si="1"/>
        <v>0</v>
      </c>
      <c r="J36" s="67">
        <f t="shared" si="0"/>
        <v>0</v>
      </c>
      <c r="L36" s="29"/>
      <c r="M36" s="30"/>
      <c r="N36" s="15"/>
      <c r="O36" s="30"/>
      <c r="P36" s="30"/>
      <c r="Q36" s="31"/>
      <c r="R36" s="30"/>
      <c r="S36" s="15"/>
      <c r="T36" s="67">
        <f t="shared" si="2"/>
        <v>0</v>
      </c>
      <c r="U36" s="67">
        <f t="shared" si="3"/>
        <v>0</v>
      </c>
      <c r="W36" s="29"/>
      <c r="X36" s="30"/>
      <c r="Y36" s="15"/>
      <c r="Z36" s="30"/>
      <c r="AA36" s="30"/>
      <c r="AB36" s="31"/>
      <c r="AC36" s="30"/>
      <c r="AD36" s="15"/>
      <c r="AE36" s="67">
        <f t="shared" si="4"/>
        <v>0</v>
      </c>
      <c r="AF36" s="67">
        <f t="shared" si="5"/>
        <v>0</v>
      </c>
    </row>
    <row r="37" spans="1:32" x14ac:dyDescent="0.4">
      <c r="A37" s="26"/>
      <c r="B37" s="27"/>
      <c r="C37" s="16"/>
      <c r="D37" s="27"/>
      <c r="E37" s="27"/>
      <c r="F37" s="28"/>
      <c r="G37" s="27"/>
      <c r="H37" s="16"/>
      <c r="I37" s="66">
        <f t="shared" si="1"/>
        <v>0</v>
      </c>
      <c r="J37" s="66">
        <f t="shared" si="0"/>
        <v>0</v>
      </c>
      <c r="L37" s="26"/>
      <c r="M37" s="27"/>
      <c r="N37" s="16"/>
      <c r="O37" s="27"/>
      <c r="P37" s="27"/>
      <c r="Q37" s="28"/>
      <c r="R37" s="27"/>
      <c r="S37" s="16"/>
      <c r="T37" s="66">
        <f t="shared" si="2"/>
        <v>0</v>
      </c>
      <c r="U37" s="66">
        <f t="shared" si="3"/>
        <v>0</v>
      </c>
      <c r="W37" s="26"/>
      <c r="X37" s="27"/>
      <c r="Y37" s="16"/>
      <c r="Z37" s="27"/>
      <c r="AA37" s="27"/>
      <c r="AB37" s="28"/>
      <c r="AC37" s="27"/>
      <c r="AD37" s="16"/>
      <c r="AE37" s="66">
        <f t="shared" si="4"/>
        <v>0</v>
      </c>
      <c r="AF37" s="66">
        <f t="shared" si="5"/>
        <v>0</v>
      </c>
    </row>
    <row r="38" spans="1:32" x14ac:dyDescent="0.4">
      <c r="A38" s="29"/>
      <c r="B38" s="30"/>
      <c r="C38" s="15"/>
      <c r="D38" s="30"/>
      <c r="E38" s="30"/>
      <c r="F38" s="31"/>
      <c r="G38" s="30"/>
      <c r="H38" s="15"/>
      <c r="I38" s="67">
        <f t="shared" si="1"/>
        <v>0</v>
      </c>
      <c r="J38" s="67">
        <f t="shared" si="0"/>
        <v>0</v>
      </c>
      <c r="L38" s="29"/>
      <c r="M38" s="30"/>
      <c r="N38" s="15"/>
      <c r="O38" s="30"/>
      <c r="P38" s="30"/>
      <c r="Q38" s="31"/>
      <c r="R38" s="30"/>
      <c r="S38" s="15"/>
      <c r="T38" s="67">
        <f t="shared" si="2"/>
        <v>0</v>
      </c>
      <c r="U38" s="67">
        <f t="shared" si="3"/>
        <v>0</v>
      </c>
      <c r="W38" s="29"/>
      <c r="X38" s="30"/>
      <c r="Y38" s="15"/>
      <c r="Z38" s="30"/>
      <c r="AA38" s="30"/>
      <c r="AB38" s="31"/>
      <c r="AC38" s="30"/>
      <c r="AD38" s="15"/>
      <c r="AE38" s="67">
        <f t="shared" si="4"/>
        <v>0</v>
      </c>
      <c r="AF38" s="67">
        <f t="shared" si="5"/>
        <v>0</v>
      </c>
    </row>
    <row r="39" spans="1:32" x14ac:dyDescent="0.4">
      <c r="A39" s="26"/>
      <c r="B39" s="27"/>
      <c r="C39" s="16"/>
      <c r="D39" s="27"/>
      <c r="E39" s="27"/>
      <c r="F39" s="28"/>
      <c r="G39" s="27"/>
      <c r="H39" s="16"/>
      <c r="I39" s="66">
        <f t="shared" si="1"/>
        <v>0</v>
      </c>
      <c r="J39" s="66">
        <f t="shared" si="0"/>
        <v>0</v>
      </c>
      <c r="L39" s="26"/>
      <c r="M39" s="27"/>
      <c r="N39" s="16"/>
      <c r="O39" s="27"/>
      <c r="P39" s="27"/>
      <c r="Q39" s="28"/>
      <c r="R39" s="27"/>
      <c r="S39" s="16"/>
      <c r="T39" s="66">
        <f t="shared" si="2"/>
        <v>0</v>
      </c>
      <c r="U39" s="66">
        <f t="shared" si="3"/>
        <v>0</v>
      </c>
      <c r="W39" s="26"/>
      <c r="X39" s="27"/>
      <c r="Y39" s="16"/>
      <c r="Z39" s="27"/>
      <c r="AA39" s="27"/>
      <c r="AB39" s="28"/>
      <c r="AC39" s="27"/>
      <c r="AD39" s="16"/>
      <c r="AE39" s="66">
        <f t="shared" si="4"/>
        <v>0</v>
      </c>
      <c r="AF39" s="66">
        <f t="shared" si="5"/>
        <v>0</v>
      </c>
    </row>
    <row r="40" spans="1:32" x14ac:dyDescent="0.4">
      <c r="A40" s="29"/>
      <c r="B40" s="30"/>
      <c r="C40" s="15"/>
      <c r="D40" s="30"/>
      <c r="E40" s="30"/>
      <c r="F40" s="31"/>
      <c r="G40" s="30"/>
      <c r="H40" s="15"/>
      <c r="I40" s="67">
        <f t="shared" si="1"/>
        <v>0</v>
      </c>
      <c r="J40" s="67">
        <f t="shared" si="0"/>
        <v>0</v>
      </c>
      <c r="L40" s="29"/>
      <c r="M40" s="30"/>
      <c r="N40" s="15"/>
      <c r="O40" s="30"/>
      <c r="P40" s="30"/>
      <c r="Q40" s="31"/>
      <c r="R40" s="30"/>
      <c r="S40" s="15"/>
      <c r="T40" s="67">
        <f t="shared" si="2"/>
        <v>0</v>
      </c>
      <c r="U40" s="67">
        <f t="shared" si="3"/>
        <v>0</v>
      </c>
      <c r="W40" s="29"/>
      <c r="X40" s="30"/>
      <c r="Y40" s="15"/>
      <c r="Z40" s="30"/>
      <c r="AA40" s="30"/>
      <c r="AB40" s="31"/>
      <c r="AC40" s="30"/>
      <c r="AD40" s="15"/>
      <c r="AE40" s="67">
        <f t="shared" si="4"/>
        <v>0</v>
      </c>
      <c r="AF40" s="67">
        <f t="shared" si="5"/>
        <v>0</v>
      </c>
    </row>
    <row r="41" spans="1:32" x14ac:dyDescent="0.4">
      <c r="A41" s="26"/>
      <c r="B41" s="27"/>
      <c r="C41" s="16"/>
      <c r="D41" s="27"/>
      <c r="E41" s="27"/>
      <c r="F41" s="28"/>
      <c r="G41" s="27"/>
      <c r="H41" s="16"/>
      <c r="I41" s="66">
        <f t="shared" si="1"/>
        <v>0</v>
      </c>
      <c r="J41" s="66">
        <f t="shared" si="0"/>
        <v>0</v>
      </c>
      <c r="L41" s="26"/>
      <c r="M41" s="27"/>
      <c r="N41" s="16"/>
      <c r="O41" s="27"/>
      <c r="P41" s="27"/>
      <c r="Q41" s="28"/>
      <c r="R41" s="27"/>
      <c r="S41" s="16"/>
      <c r="T41" s="66">
        <f t="shared" si="2"/>
        <v>0</v>
      </c>
      <c r="U41" s="66">
        <f t="shared" si="3"/>
        <v>0</v>
      </c>
      <c r="W41" s="26"/>
      <c r="X41" s="27"/>
      <c r="Y41" s="16"/>
      <c r="Z41" s="27"/>
      <c r="AA41" s="27"/>
      <c r="AB41" s="28"/>
      <c r="AC41" s="27"/>
      <c r="AD41" s="16"/>
      <c r="AE41" s="66">
        <f t="shared" si="4"/>
        <v>0</v>
      </c>
      <c r="AF41" s="66">
        <f t="shared" si="5"/>
        <v>0</v>
      </c>
    </row>
    <row r="42" spans="1:32" x14ac:dyDescent="0.4">
      <c r="A42" s="29"/>
      <c r="B42" s="30"/>
      <c r="C42" s="15"/>
      <c r="D42" s="30"/>
      <c r="E42" s="30"/>
      <c r="F42" s="31"/>
      <c r="G42" s="30"/>
      <c r="H42" s="15"/>
      <c r="I42" s="67">
        <f t="shared" si="1"/>
        <v>0</v>
      </c>
      <c r="J42" s="67">
        <f t="shared" si="0"/>
        <v>0</v>
      </c>
      <c r="L42" s="29"/>
      <c r="M42" s="30"/>
      <c r="N42" s="15"/>
      <c r="O42" s="30"/>
      <c r="P42" s="30"/>
      <c r="Q42" s="31"/>
      <c r="R42" s="30"/>
      <c r="S42" s="15"/>
      <c r="T42" s="67">
        <f t="shared" si="2"/>
        <v>0</v>
      </c>
      <c r="U42" s="67">
        <f t="shared" si="3"/>
        <v>0</v>
      </c>
      <c r="W42" s="29"/>
      <c r="X42" s="30"/>
      <c r="Y42" s="15"/>
      <c r="Z42" s="30"/>
      <c r="AA42" s="30"/>
      <c r="AB42" s="31"/>
      <c r="AC42" s="30"/>
      <c r="AD42" s="15"/>
      <c r="AE42" s="67">
        <f t="shared" si="4"/>
        <v>0</v>
      </c>
      <c r="AF42" s="67">
        <f t="shared" si="5"/>
        <v>0</v>
      </c>
    </row>
    <row r="43" spans="1:32" x14ac:dyDescent="0.4">
      <c r="A43" s="26"/>
      <c r="B43" s="27"/>
      <c r="C43" s="16"/>
      <c r="D43" s="27"/>
      <c r="E43" s="27"/>
      <c r="F43" s="28"/>
      <c r="G43" s="27"/>
      <c r="H43" s="16"/>
      <c r="I43" s="66">
        <f t="shared" si="1"/>
        <v>0</v>
      </c>
      <c r="J43" s="66">
        <f t="shared" si="0"/>
        <v>0</v>
      </c>
      <c r="L43" s="26"/>
      <c r="M43" s="27"/>
      <c r="N43" s="16"/>
      <c r="O43" s="27"/>
      <c r="P43" s="27"/>
      <c r="Q43" s="28"/>
      <c r="R43" s="27"/>
      <c r="S43" s="16"/>
      <c r="T43" s="66">
        <f t="shared" si="2"/>
        <v>0</v>
      </c>
      <c r="U43" s="66">
        <f t="shared" si="3"/>
        <v>0</v>
      </c>
      <c r="W43" s="26"/>
      <c r="X43" s="27"/>
      <c r="Y43" s="16"/>
      <c r="Z43" s="27"/>
      <c r="AA43" s="27"/>
      <c r="AB43" s="28"/>
      <c r="AC43" s="27"/>
      <c r="AD43" s="16"/>
      <c r="AE43" s="66">
        <f t="shared" si="4"/>
        <v>0</v>
      </c>
      <c r="AF43" s="66">
        <f t="shared" si="5"/>
        <v>0</v>
      </c>
    </row>
    <row r="44" spans="1:32" x14ac:dyDescent="0.4">
      <c r="A44" s="29"/>
      <c r="B44" s="30"/>
      <c r="C44" s="15"/>
      <c r="D44" s="30"/>
      <c r="E44" s="30"/>
      <c r="F44" s="31"/>
      <c r="G44" s="30"/>
      <c r="H44" s="15"/>
      <c r="I44" s="67">
        <f t="shared" si="1"/>
        <v>0</v>
      </c>
      <c r="J44" s="67">
        <f t="shared" si="0"/>
        <v>0</v>
      </c>
      <c r="L44" s="29"/>
      <c r="M44" s="30"/>
      <c r="N44" s="15"/>
      <c r="O44" s="30"/>
      <c r="P44" s="30"/>
      <c r="Q44" s="31"/>
      <c r="R44" s="30"/>
      <c r="S44" s="15"/>
      <c r="T44" s="67">
        <f t="shared" si="2"/>
        <v>0</v>
      </c>
      <c r="U44" s="67">
        <f t="shared" si="3"/>
        <v>0</v>
      </c>
      <c r="W44" s="29"/>
      <c r="X44" s="30"/>
      <c r="Y44" s="15"/>
      <c r="Z44" s="30"/>
      <c r="AA44" s="30"/>
      <c r="AB44" s="31"/>
      <c r="AC44" s="30"/>
      <c r="AD44" s="15"/>
      <c r="AE44" s="67">
        <f t="shared" si="4"/>
        <v>0</v>
      </c>
      <c r="AF44" s="67">
        <f t="shared" si="5"/>
        <v>0</v>
      </c>
    </row>
    <row r="45" spans="1:32" x14ac:dyDescent="0.4">
      <c r="A45" s="26"/>
      <c r="B45" s="27"/>
      <c r="C45" s="16"/>
      <c r="D45" s="27"/>
      <c r="E45" s="27"/>
      <c r="F45" s="28"/>
      <c r="G45" s="27"/>
      <c r="H45" s="16"/>
      <c r="I45" s="66">
        <f t="shared" si="1"/>
        <v>0</v>
      </c>
      <c r="J45" s="66">
        <f t="shared" si="0"/>
        <v>0</v>
      </c>
      <c r="L45" s="26"/>
      <c r="M45" s="27"/>
      <c r="N45" s="16"/>
      <c r="O45" s="27"/>
      <c r="P45" s="27"/>
      <c r="Q45" s="28"/>
      <c r="R45" s="27"/>
      <c r="S45" s="16"/>
      <c r="T45" s="66">
        <f t="shared" si="2"/>
        <v>0</v>
      </c>
      <c r="U45" s="66">
        <f t="shared" si="3"/>
        <v>0</v>
      </c>
      <c r="W45" s="26"/>
      <c r="X45" s="27"/>
      <c r="Y45" s="16"/>
      <c r="Z45" s="27"/>
      <c r="AA45" s="27"/>
      <c r="AB45" s="28"/>
      <c r="AC45" s="27"/>
      <c r="AD45" s="16"/>
      <c r="AE45" s="66">
        <f t="shared" si="4"/>
        <v>0</v>
      </c>
      <c r="AF45" s="66">
        <f t="shared" si="5"/>
        <v>0</v>
      </c>
    </row>
    <row r="46" spans="1:32" x14ac:dyDescent="0.4">
      <c r="A46" s="29"/>
      <c r="B46" s="30"/>
      <c r="C46" s="15"/>
      <c r="D46" s="30"/>
      <c r="E46" s="30"/>
      <c r="F46" s="31"/>
      <c r="G46" s="30"/>
      <c r="H46" s="15"/>
      <c r="I46" s="67">
        <f t="shared" si="1"/>
        <v>0</v>
      </c>
      <c r="J46" s="67">
        <f t="shared" si="0"/>
        <v>0</v>
      </c>
      <c r="L46" s="29"/>
      <c r="M46" s="30"/>
      <c r="N46" s="15"/>
      <c r="O46" s="30"/>
      <c r="P46" s="30"/>
      <c r="Q46" s="31"/>
      <c r="R46" s="30"/>
      <c r="S46" s="15"/>
      <c r="T46" s="67">
        <f t="shared" si="2"/>
        <v>0</v>
      </c>
      <c r="U46" s="67">
        <f t="shared" si="3"/>
        <v>0</v>
      </c>
      <c r="W46" s="29"/>
      <c r="X46" s="30"/>
      <c r="Y46" s="15"/>
      <c r="Z46" s="30"/>
      <c r="AA46" s="30"/>
      <c r="AB46" s="31"/>
      <c r="AC46" s="30"/>
      <c r="AD46" s="15"/>
      <c r="AE46" s="67">
        <f t="shared" si="4"/>
        <v>0</v>
      </c>
      <c r="AF46" s="67">
        <f t="shared" si="5"/>
        <v>0</v>
      </c>
    </row>
    <row r="47" spans="1:32" x14ac:dyDescent="0.4">
      <c r="A47" s="26"/>
      <c r="B47" s="27"/>
      <c r="C47" s="16"/>
      <c r="D47" s="27"/>
      <c r="E47" s="27"/>
      <c r="F47" s="28"/>
      <c r="G47" s="27"/>
      <c r="H47" s="16"/>
      <c r="I47" s="66">
        <f t="shared" si="1"/>
        <v>0</v>
      </c>
      <c r="J47" s="66">
        <f t="shared" si="0"/>
        <v>0</v>
      </c>
      <c r="L47" s="26"/>
      <c r="M47" s="27"/>
      <c r="N47" s="16"/>
      <c r="O47" s="27"/>
      <c r="P47" s="27"/>
      <c r="Q47" s="28"/>
      <c r="R47" s="27"/>
      <c r="S47" s="16"/>
      <c r="T47" s="66">
        <f t="shared" si="2"/>
        <v>0</v>
      </c>
      <c r="U47" s="66">
        <f t="shared" si="3"/>
        <v>0</v>
      </c>
      <c r="W47" s="26"/>
      <c r="X47" s="27"/>
      <c r="Y47" s="16"/>
      <c r="Z47" s="27"/>
      <c r="AA47" s="27"/>
      <c r="AB47" s="28"/>
      <c r="AC47" s="27"/>
      <c r="AD47" s="16"/>
      <c r="AE47" s="66">
        <f t="shared" si="4"/>
        <v>0</v>
      </c>
      <c r="AF47" s="66">
        <f t="shared" si="5"/>
        <v>0</v>
      </c>
    </row>
    <row r="48" spans="1:32" x14ac:dyDescent="0.4">
      <c r="A48" s="29"/>
      <c r="B48" s="30"/>
      <c r="C48" s="15"/>
      <c r="D48" s="30"/>
      <c r="E48" s="30"/>
      <c r="F48" s="31"/>
      <c r="G48" s="30"/>
      <c r="H48" s="15"/>
      <c r="I48" s="67">
        <f t="shared" si="1"/>
        <v>0</v>
      </c>
      <c r="J48" s="67">
        <f t="shared" si="0"/>
        <v>0</v>
      </c>
      <c r="L48" s="29"/>
      <c r="M48" s="30"/>
      <c r="N48" s="15"/>
      <c r="O48" s="30"/>
      <c r="P48" s="30"/>
      <c r="Q48" s="31"/>
      <c r="R48" s="30"/>
      <c r="S48" s="15"/>
      <c r="T48" s="67">
        <f t="shared" si="2"/>
        <v>0</v>
      </c>
      <c r="U48" s="67">
        <f t="shared" si="3"/>
        <v>0</v>
      </c>
      <c r="W48" s="29"/>
      <c r="X48" s="30"/>
      <c r="Y48" s="15"/>
      <c r="Z48" s="30"/>
      <c r="AA48" s="30"/>
      <c r="AB48" s="31"/>
      <c r="AC48" s="30"/>
      <c r="AD48" s="15"/>
      <c r="AE48" s="67">
        <f t="shared" si="4"/>
        <v>0</v>
      </c>
      <c r="AF48" s="67">
        <f t="shared" si="5"/>
        <v>0</v>
      </c>
    </row>
    <row r="49" spans="1:32" x14ac:dyDescent="0.4">
      <c r="A49" s="26"/>
      <c r="B49" s="27"/>
      <c r="C49" s="16"/>
      <c r="D49" s="27"/>
      <c r="E49" s="27"/>
      <c r="F49" s="28"/>
      <c r="G49" s="27"/>
      <c r="H49" s="16"/>
      <c r="I49" s="66">
        <f t="shared" si="1"/>
        <v>0</v>
      </c>
      <c r="J49" s="66">
        <f t="shared" si="0"/>
        <v>0</v>
      </c>
      <c r="L49" s="26"/>
      <c r="M49" s="27"/>
      <c r="N49" s="16"/>
      <c r="O49" s="27"/>
      <c r="P49" s="27"/>
      <c r="Q49" s="28"/>
      <c r="R49" s="27"/>
      <c r="S49" s="16"/>
      <c r="T49" s="66">
        <f t="shared" si="2"/>
        <v>0</v>
      </c>
      <c r="U49" s="66">
        <f t="shared" si="3"/>
        <v>0</v>
      </c>
      <c r="W49" s="26"/>
      <c r="X49" s="27"/>
      <c r="Y49" s="16"/>
      <c r="Z49" s="27"/>
      <c r="AA49" s="27"/>
      <c r="AB49" s="28"/>
      <c r="AC49" s="27"/>
      <c r="AD49" s="16"/>
      <c r="AE49" s="66">
        <f t="shared" si="4"/>
        <v>0</v>
      </c>
      <c r="AF49" s="66">
        <f t="shared" si="5"/>
        <v>0</v>
      </c>
    </row>
    <row r="50" spans="1:32" x14ac:dyDescent="0.4">
      <c r="A50" s="29"/>
      <c r="B50" s="30"/>
      <c r="C50" s="15"/>
      <c r="D50" s="30"/>
      <c r="E50" s="30"/>
      <c r="F50" s="31"/>
      <c r="G50" s="30"/>
      <c r="H50" s="15"/>
      <c r="I50" s="67">
        <f t="shared" si="1"/>
        <v>0</v>
      </c>
      <c r="J50" s="67">
        <f t="shared" si="0"/>
        <v>0</v>
      </c>
      <c r="L50" s="29"/>
      <c r="M50" s="30"/>
      <c r="N50" s="15"/>
      <c r="O50" s="30"/>
      <c r="P50" s="30"/>
      <c r="Q50" s="31"/>
      <c r="R50" s="30"/>
      <c r="S50" s="15"/>
      <c r="T50" s="67">
        <f t="shared" si="2"/>
        <v>0</v>
      </c>
      <c r="U50" s="67">
        <f t="shared" si="3"/>
        <v>0</v>
      </c>
      <c r="W50" s="29"/>
      <c r="X50" s="30"/>
      <c r="Y50" s="15"/>
      <c r="Z50" s="30"/>
      <c r="AA50" s="30"/>
      <c r="AB50" s="31"/>
      <c r="AC50" s="30"/>
      <c r="AD50" s="15"/>
      <c r="AE50" s="67">
        <f t="shared" si="4"/>
        <v>0</v>
      </c>
      <c r="AF50" s="67">
        <f t="shared" si="5"/>
        <v>0</v>
      </c>
    </row>
    <row r="51" spans="1:32" x14ac:dyDescent="0.4">
      <c r="A51" s="26"/>
      <c r="B51" s="27"/>
      <c r="C51" s="16"/>
      <c r="D51" s="27"/>
      <c r="E51" s="27"/>
      <c r="F51" s="28"/>
      <c r="G51" s="27"/>
      <c r="H51" s="16"/>
      <c r="I51" s="66">
        <f t="shared" si="1"/>
        <v>0</v>
      </c>
      <c r="J51" s="66">
        <f t="shared" si="0"/>
        <v>0</v>
      </c>
      <c r="L51" s="26"/>
      <c r="M51" s="27"/>
      <c r="N51" s="16"/>
      <c r="O51" s="27"/>
      <c r="P51" s="27"/>
      <c r="Q51" s="28"/>
      <c r="R51" s="27"/>
      <c r="S51" s="16"/>
      <c r="T51" s="66">
        <f t="shared" si="2"/>
        <v>0</v>
      </c>
      <c r="U51" s="66">
        <f t="shared" si="3"/>
        <v>0</v>
      </c>
      <c r="W51" s="26"/>
      <c r="X51" s="27"/>
      <c r="Y51" s="16"/>
      <c r="Z51" s="27"/>
      <c r="AA51" s="27"/>
      <c r="AB51" s="28"/>
      <c r="AC51" s="27"/>
      <c r="AD51" s="16"/>
      <c r="AE51" s="66">
        <f t="shared" si="4"/>
        <v>0</v>
      </c>
      <c r="AF51" s="66">
        <f t="shared" si="5"/>
        <v>0</v>
      </c>
    </row>
    <row r="52" spans="1:32" x14ac:dyDescent="0.4">
      <c r="A52" s="29"/>
      <c r="B52" s="30"/>
      <c r="C52" s="15"/>
      <c r="D52" s="30"/>
      <c r="E52" s="30"/>
      <c r="F52" s="31"/>
      <c r="G52" s="30"/>
      <c r="H52" s="15"/>
      <c r="I52" s="67">
        <f t="shared" si="1"/>
        <v>0</v>
      </c>
      <c r="J52" s="67">
        <f t="shared" si="0"/>
        <v>0</v>
      </c>
      <c r="L52" s="29"/>
      <c r="M52" s="30"/>
      <c r="N52" s="15"/>
      <c r="O52" s="30"/>
      <c r="P52" s="30"/>
      <c r="Q52" s="31"/>
      <c r="R52" s="30"/>
      <c r="S52" s="15"/>
      <c r="T52" s="67">
        <f t="shared" si="2"/>
        <v>0</v>
      </c>
      <c r="U52" s="67">
        <f t="shared" si="3"/>
        <v>0</v>
      </c>
      <c r="W52" s="29"/>
      <c r="X52" s="30"/>
      <c r="Y52" s="15"/>
      <c r="Z52" s="30"/>
      <c r="AA52" s="30"/>
      <c r="AB52" s="31"/>
      <c r="AC52" s="30"/>
      <c r="AD52" s="15"/>
      <c r="AE52" s="67">
        <f t="shared" si="4"/>
        <v>0</v>
      </c>
      <c r="AF52" s="67">
        <f t="shared" si="5"/>
        <v>0</v>
      </c>
    </row>
    <row r="53" spans="1:32" x14ac:dyDescent="0.4">
      <c r="A53" s="26"/>
      <c r="B53" s="27"/>
      <c r="C53" s="16"/>
      <c r="D53" s="27"/>
      <c r="E53" s="27"/>
      <c r="F53" s="28"/>
      <c r="G53" s="27"/>
      <c r="H53" s="16"/>
      <c r="I53" s="66">
        <f t="shared" si="1"/>
        <v>0</v>
      </c>
      <c r="J53" s="66">
        <f t="shared" si="0"/>
        <v>0</v>
      </c>
      <c r="L53" s="26"/>
      <c r="M53" s="27"/>
      <c r="N53" s="16"/>
      <c r="O53" s="27"/>
      <c r="P53" s="27"/>
      <c r="Q53" s="28"/>
      <c r="R53" s="27"/>
      <c r="S53" s="16"/>
      <c r="T53" s="66">
        <f t="shared" si="2"/>
        <v>0</v>
      </c>
      <c r="U53" s="66">
        <f t="shared" si="3"/>
        <v>0</v>
      </c>
      <c r="W53" s="26"/>
      <c r="X53" s="27"/>
      <c r="Y53" s="16"/>
      <c r="Z53" s="27"/>
      <c r="AA53" s="27"/>
      <c r="AB53" s="28"/>
      <c r="AC53" s="27"/>
      <c r="AD53" s="16"/>
      <c r="AE53" s="66">
        <f t="shared" si="4"/>
        <v>0</v>
      </c>
      <c r="AF53" s="66">
        <f t="shared" si="5"/>
        <v>0</v>
      </c>
    </row>
    <row r="54" spans="1:32" x14ac:dyDescent="0.4">
      <c r="A54" s="29"/>
      <c r="B54" s="30"/>
      <c r="C54" s="15"/>
      <c r="D54" s="30"/>
      <c r="E54" s="30"/>
      <c r="F54" s="31"/>
      <c r="G54" s="30"/>
      <c r="H54" s="15"/>
      <c r="I54" s="67">
        <f t="shared" si="1"/>
        <v>0</v>
      </c>
      <c r="J54" s="67">
        <f t="shared" si="0"/>
        <v>0</v>
      </c>
      <c r="L54" s="29"/>
      <c r="M54" s="30"/>
      <c r="N54" s="15"/>
      <c r="O54" s="30"/>
      <c r="P54" s="30"/>
      <c r="Q54" s="31"/>
      <c r="R54" s="30"/>
      <c r="S54" s="15"/>
      <c r="T54" s="67">
        <f t="shared" si="2"/>
        <v>0</v>
      </c>
      <c r="U54" s="67">
        <f t="shared" si="3"/>
        <v>0</v>
      </c>
      <c r="W54" s="29"/>
      <c r="X54" s="30"/>
      <c r="Y54" s="15"/>
      <c r="Z54" s="30"/>
      <c r="AA54" s="30"/>
      <c r="AB54" s="31"/>
      <c r="AC54" s="30"/>
      <c r="AD54" s="15"/>
      <c r="AE54" s="67">
        <f t="shared" si="4"/>
        <v>0</v>
      </c>
      <c r="AF54" s="67">
        <f t="shared" si="5"/>
        <v>0</v>
      </c>
    </row>
    <row r="55" spans="1:32" x14ac:dyDescent="0.4">
      <c r="A55" s="26"/>
      <c r="B55" s="27"/>
      <c r="C55" s="16"/>
      <c r="D55" s="27"/>
      <c r="E55" s="27"/>
      <c r="F55" s="28"/>
      <c r="G55" s="27"/>
      <c r="H55" s="16"/>
      <c r="I55" s="66">
        <f t="shared" si="1"/>
        <v>0</v>
      </c>
      <c r="J55" s="66">
        <f t="shared" si="0"/>
        <v>0</v>
      </c>
      <c r="L55" s="26"/>
      <c r="M55" s="27"/>
      <c r="N55" s="16"/>
      <c r="O55" s="27"/>
      <c r="P55" s="27"/>
      <c r="Q55" s="28"/>
      <c r="R55" s="27"/>
      <c r="S55" s="16"/>
      <c r="T55" s="66">
        <f t="shared" si="2"/>
        <v>0</v>
      </c>
      <c r="U55" s="66">
        <f t="shared" si="3"/>
        <v>0</v>
      </c>
      <c r="W55" s="26"/>
      <c r="X55" s="27"/>
      <c r="Y55" s="16"/>
      <c r="Z55" s="27"/>
      <c r="AA55" s="27"/>
      <c r="AB55" s="28"/>
      <c r="AC55" s="27"/>
      <c r="AD55" s="16"/>
      <c r="AE55" s="66">
        <f t="shared" si="4"/>
        <v>0</v>
      </c>
      <c r="AF55" s="66">
        <f t="shared" si="5"/>
        <v>0</v>
      </c>
    </row>
    <row r="56" spans="1:32" x14ac:dyDescent="0.4">
      <c r="B56" s="18"/>
      <c r="D56" s="18"/>
      <c r="E56" s="18"/>
      <c r="F56" s="7"/>
      <c r="G56" s="18"/>
    </row>
  </sheetData>
  <mergeCells count="8">
    <mergeCell ref="A1:U2"/>
    <mergeCell ref="W16:AF16"/>
    <mergeCell ref="L8:U8"/>
    <mergeCell ref="W8:AF8"/>
    <mergeCell ref="A12:F12"/>
    <mergeCell ref="A16:J16"/>
    <mergeCell ref="L16:U16"/>
    <mergeCell ref="A3:J10"/>
  </mergeCells>
  <dataValidations count="3">
    <dataValidation type="whole" allowBlank="1" showInputMessage="1" showErrorMessage="1" error="Must be a whole number between 0 and 15" sqref="Q10" xr:uid="{9AA44204-FDF9-44A3-8116-2FFC4BD280D6}">
      <formula1>0</formula1>
      <formula2>15</formula2>
    </dataValidation>
    <dataValidation type="whole" allowBlank="1" showInputMessage="1" showErrorMessage="1" error="Must be a whole number between 5 and 100" sqref="S10" xr:uid="{B790A4AA-044E-40CD-88E5-20C3AF1A5AD9}">
      <formula1>5</formula1>
      <formula2>100</formula2>
    </dataValidation>
    <dataValidation type="list" allowBlank="1" showInputMessage="1" showErrorMessage="1" promptTitle="Input Particle" sqref="A14" xr:uid="{6FA8F146-2D9B-4FA5-9AE4-2D9E681284E8}">
      <formula1>INDIRECT("ParticleTable[Name]")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56F574E6-B6F5-41EB-A433-9E19ED8934AD}">
          <x14:formula1>
            <xm:f>Settings!$A$40:$A$42</xm:f>
          </x14:formula1>
          <xm:sqref>L10</xm:sqref>
        </x14:dataValidation>
        <x14:dataValidation type="list" allowBlank="1" showInputMessage="1" showErrorMessage="1" xr:uid="{7CEBF945-F8E2-4DBF-84CC-638684414436}">
          <x14:formula1>
            <xm:f>Settings!$B$40:$B$41</xm:f>
          </x14:formula1>
          <xm:sqref>R10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596A-48D5-4DD2-8CCA-5FB611DFDA6B}">
  <dimension ref="A1:K53"/>
  <sheetViews>
    <sheetView workbookViewId="0">
      <selection activeCell="B56" sqref="B56"/>
    </sheetView>
  </sheetViews>
  <sheetFormatPr defaultRowHeight="14.6" x14ac:dyDescent="0.4"/>
  <cols>
    <col min="1" max="1" width="26.4609375" bestFit="1" customWidth="1"/>
    <col min="2" max="2" width="18.23046875" customWidth="1"/>
    <col min="3" max="3" width="17.4609375" customWidth="1"/>
    <col min="4" max="5" width="21.61328125" bestFit="1" customWidth="1"/>
    <col min="6" max="6" width="31" bestFit="1" customWidth="1"/>
    <col min="7" max="7" width="19.23046875" customWidth="1"/>
    <col min="8" max="8" width="23.07421875" bestFit="1" customWidth="1"/>
    <col min="9" max="9" width="16.765625" customWidth="1"/>
    <col min="10" max="10" width="23.84375" bestFit="1" customWidth="1"/>
    <col min="11" max="11" width="15" bestFit="1" customWidth="1"/>
  </cols>
  <sheetData>
    <row r="1" spans="1:11" ht="14.6" customHeight="1" x14ac:dyDescent="0.4">
      <c r="A1" s="115" t="s">
        <v>880</v>
      </c>
      <c r="B1" s="115"/>
      <c r="C1" s="115"/>
      <c r="D1" s="115"/>
      <c r="E1" s="115"/>
      <c r="F1" s="115"/>
      <c r="G1" s="115"/>
      <c r="H1" s="115"/>
      <c r="I1" s="115"/>
    </row>
    <row r="2" spans="1:11" ht="14.6" customHeight="1" x14ac:dyDescent="0.4">
      <c r="A2" s="115"/>
      <c r="B2" s="115"/>
      <c r="C2" s="115"/>
      <c r="D2" s="115"/>
      <c r="E2" s="115"/>
      <c r="F2" s="115"/>
      <c r="G2" s="115"/>
      <c r="H2" s="115"/>
      <c r="I2" s="115"/>
    </row>
    <row r="3" spans="1:11" ht="14.6" customHeight="1" x14ac:dyDescent="0.4">
      <c r="A3" s="102" t="s">
        <v>881</v>
      </c>
      <c r="B3" s="102"/>
      <c r="C3" s="102"/>
      <c r="D3" s="102"/>
      <c r="E3" s="102"/>
      <c r="F3" s="102"/>
      <c r="G3" s="102"/>
      <c r="H3" s="102"/>
      <c r="I3" s="102"/>
    </row>
    <row r="4" spans="1:11" x14ac:dyDescent="0.4">
      <c r="A4" s="102"/>
      <c r="B4" s="102"/>
      <c r="C4" s="102"/>
      <c r="D4" s="102"/>
      <c r="E4" s="102"/>
      <c r="F4" s="102"/>
      <c r="G4" s="102"/>
      <c r="H4" s="102"/>
      <c r="I4" s="102"/>
    </row>
    <row r="5" spans="1:11" x14ac:dyDescent="0.4">
      <c r="A5" s="102"/>
      <c r="B5" s="102"/>
      <c r="C5" s="102"/>
      <c r="D5" s="102"/>
      <c r="E5" s="102"/>
      <c r="F5" s="102"/>
      <c r="G5" s="102"/>
      <c r="H5" s="102"/>
      <c r="I5" s="102"/>
    </row>
    <row r="7" spans="1:11" x14ac:dyDescent="0.4">
      <c r="A7" s="1" t="s">
        <v>288</v>
      </c>
      <c r="B7" s="1" t="s">
        <v>302</v>
      </c>
      <c r="C7" s="1" t="s">
        <v>334</v>
      </c>
      <c r="D7" s="1" t="s">
        <v>337</v>
      </c>
      <c r="E7" s="1" t="s">
        <v>1288</v>
      </c>
      <c r="F7" s="1" t="s">
        <v>1293</v>
      </c>
    </row>
    <row r="8" spans="1:11" x14ac:dyDescent="0.4">
      <c r="A8" s="2" t="s">
        <v>268</v>
      </c>
      <c r="B8" s="2">
        <v>10000</v>
      </c>
      <c r="C8" s="2" t="s">
        <v>333</v>
      </c>
      <c r="D8" s="2">
        <v>20000</v>
      </c>
      <c r="E8" s="79">
        <v>1</v>
      </c>
      <c r="F8" s="78">
        <v>1</v>
      </c>
    </row>
    <row r="10" spans="1:11" ht="15" thickBot="1" x14ac:dyDescent="0.45">
      <c r="A10" s="32" t="s">
        <v>1</v>
      </c>
      <c r="B10" s="21" t="s">
        <v>217</v>
      </c>
      <c r="C10" s="21" t="s">
        <v>312</v>
      </c>
      <c r="D10" s="21" t="s">
        <v>329</v>
      </c>
      <c r="E10" s="21" t="s">
        <v>330</v>
      </c>
      <c r="F10" s="21" t="s">
        <v>335</v>
      </c>
      <c r="G10" s="21" t="s">
        <v>336</v>
      </c>
      <c r="H10" s="21" t="s">
        <v>1289</v>
      </c>
      <c r="I10" s="21" t="s">
        <v>1290</v>
      </c>
      <c r="J10" s="80" t="s">
        <v>1294</v>
      </c>
      <c r="K10" s="36" t="s">
        <v>338</v>
      </c>
    </row>
    <row r="11" spans="1:11" ht="15" thickTop="1" x14ac:dyDescent="0.4">
      <c r="A11" s="22" t="str" cm="1">
        <f t="array" ref="A11:A53">_xlfn.SWITCH($A$8,"muon",FusionReactions[Reaction],"neutron",RProcessReactions[Reaction],"proton",PProcessReactions[Reaction])</f>
        <v>Fe-56+9n -&gt; Cu-65+3e+3ν̅e</v>
      </c>
      <c r="B11" s="76" cm="1">
        <f t="array" ref="B11:B53">_xlfn.SWITCH($A$8,"muon",FusionReactions[Amount (pu)],"neutron",RProcessReactions[Amount (pu)],"proton",PProcessReactions[Amount (pu)])</f>
        <v>15410000</v>
      </c>
      <c r="C11" s="76" cm="1">
        <f t="array" ref="C11:C53">_xlfn.SWITCH($A$8,"muon",FusionReactions[Heat Released (H)],"neutron",RProcessReactions[Heat Released (H)],"proton",PProcessReactions[Heat Released (H)])</f>
        <v>7930000</v>
      </c>
      <c r="D11" s="86">
        <f t="shared" ref="D11:D45" si="0">B11/$B$8</f>
        <v>1541</v>
      </c>
      <c r="E11" s="86">
        <f>D11/20</f>
        <v>77.05</v>
      </c>
      <c r="F11" s="37">
        <f>C11/D11</f>
        <v>5146.009085009734</v>
      </c>
      <c r="G11" s="37" cm="1">
        <f t="array" ref="G11">M_HP_ratio*F11/_xlfn.SWITCH($C$8,"mercury",NSC_M_h,"hot mercury", NSC_HM_h)</f>
        <v>80.406391953277094</v>
      </c>
      <c r="H11" s="81">
        <f t="shared" ref="H11:H47" si="1">G11*Turb_HPM_RF*$E$8</f>
        <v>15759.65282284231</v>
      </c>
      <c r="I11" s="81">
        <f t="shared" ref="I11:I47" si="2">G11*HPM_EM_ratio*HX_EM_h</f>
        <v>5146.009085009734</v>
      </c>
      <c r="J11" s="81">
        <f>I11*$F$8</f>
        <v>5146.009085009734</v>
      </c>
      <c r="K11" s="81">
        <f>H11+J11-$D$8</f>
        <v>905.66190785204526</v>
      </c>
    </row>
    <row r="12" spans="1:11" ht="15" thickBot="1" x14ac:dyDescent="0.45">
      <c r="A12" s="16" t="str">
        <v>Co-59+6n -&gt; Cu-65+2e+2ν̅e</v>
      </c>
      <c r="B12" s="27">
        <v>10150000</v>
      </c>
      <c r="C12" s="27">
        <v>5350000</v>
      </c>
      <c r="D12" s="87">
        <f t="shared" si="0"/>
        <v>1015</v>
      </c>
      <c r="E12" s="87">
        <f t="shared" ref="E12:E45" si="3">D12/20</f>
        <v>50.75</v>
      </c>
      <c r="F12" s="38">
        <f t="shared" ref="F12:F39" si="4">C12/D12</f>
        <v>5270.9359605911332</v>
      </c>
      <c r="G12" s="38" cm="1">
        <f t="array" ref="G12">M_HP_ratio*F12/_xlfn.SWITCH($C$8,"mercury",NSC_M_h,"hot mercury", NSC_HM_h)</f>
        <v>82.358374384236456</v>
      </c>
      <c r="H12" s="82">
        <f t="shared" si="1"/>
        <v>16142.241379310346</v>
      </c>
      <c r="I12" s="82">
        <f t="shared" si="2"/>
        <v>5270.9359605911322</v>
      </c>
      <c r="J12" s="82">
        <f t="shared" ref="J12:J47" si="5">I12*$F$8</f>
        <v>5270.9359605911322</v>
      </c>
      <c r="K12" s="82">
        <f t="shared" ref="K12:K45" si="6">H12+J12-$D$8</f>
        <v>1413.1773399014783</v>
      </c>
    </row>
    <row r="13" spans="1:11" ht="15" thickTop="1" x14ac:dyDescent="0.4">
      <c r="A13" s="22" t="str">
        <v>Ni-58 + 10n -&gt; Zn-68 +2e+2ν̅e</v>
      </c>
      <c r="B13" s="76">
        <v>16990000</v>
      </c>
      <c r="C13" s="76">
        <v>9000000</v>
      </c>
      <c r="D13" s="86">
        <f t="shared" si="0"/>
        <v>1699</v>
      </c>
      <c r="E13" s="88">
        <f t="shared" si="3"/>
        <v>84.95</v>
      </c>
      <c r="F13" s="39">
        <f t="shared" si="4"/>
        <v>5297.2336668628604</v>
      </c>
      <c r="G13" s="37" cm="1">
        <f t="array" ref="G13">M_HP_ratio*F13/_xlfn.SWITCH($C$8,"mercury",NSC_M_h,"hot mercury", NSC_HM_h)</f>
        <v>82.769276044732194</v>
      </c>
      <c r="H13" s="81">
        <f t="shared" si="1"/>
        <v>16222.778104767511</v>
      </c>
      <c r="I13" s="81">
        <f t="shared" si="2"/>
        <v>5297.2336668628604</v>
      </c>
      <c r="J13" s="81">
        <f t="shared" si="5"/>
        <v>5297.2336668628604</v>
      </c>
      <c r="K13" s="81">
        <f t="shared" si="6"/>
        <v>1520.0117716303721</v>
      </c>
    </row>
    <row r="14" spans="1:11" ht="15" thickBot="1" x14ac:dyDescent="0.45">
      <c r="A14" s="16" t="str">
        <v>Cu-63+12n -&gt; As-75+4e+4ν̅e</v>
      </c>
      <c r="B14" s="27">
        <v>20010000</v>
      </c>
      <c r="C14" s="27">
        <v>10400000</v>
      </c>
      <c r="D14" s="87">
        <f t="shared" si="0"/>
        <v>2001</v>
      </c>
      <c r="E14" s="87">
        <f t="shared" si="3"/>
        <v>100.05</v>
      </c>
      <c r="F14" s="38">
        <f>C14/D14</f>
        <v>5197.4012993503247</v>
      </c>
      <c r="G14" s="38" cm="1">
        <f t="array" ref="G14">M_HP_ratio*F14/_xlfn.SWITCH($C$8,"mercury",NSC_M_h,"hot mercury", NSC_HM_h)</f>
        <v>81.209395302348824</v>
      </c>
      <c r="H14" s="82">
        <f t="shared" si="1"/>
        <v>15917.04147926037</v>
      </c>
      <c r="I14" s="82">
        <f t="shared" si="2"/>
        <v>5197.4012993503247</v>
      </c>
      <c r="J14" s="82">
        <f t="shared" si="5"/>
        <v>5197.4012993503247</v>
      </c>
      <c r="K14" s="82">
        <f t="shared" si="6"/>
        <v>1114.4427786106935</v>
      </c>
    </row>
    <row r="15" spans="1:11" ht="15" thickTop="1" x14ac:dyDescent="0.4">
      <c r="A15" s="22" t="str">
        <v>Zn-64+11n -&gt; As-75+3e+3ν̅e</v>
      </c>
      <c r="B15" s="76">
        <v>18270000</v>
      </c>
      <c r="C15" s="76">
        <v>9580000</v>
      </c>
      <c r="D15" s="88">
        <f t="shared" si="0"/>
        <v>1827</v>
      </c>
      <c r="E15" s="88">
        <f t="shared" si="3"/>
        <v>91.35</v>
      </c>
      <c r="F15" s="39">
        <f>C15/D15</f>
        <v>5243.5686918445535</v>
      </c>
      <c r="G15" s="37" cm="1">
        <f t="array" ref="G15">M_HP_ratio*F15/_xlfn.SWITCH($C$8,"mercury",NSC_M_h,"hot mercury", NSC_HM_h)</f>
        <v>81.930760810071149</v>
      </c>
      <c r="H15" s="81">
        <f t="shared" si="1"/>
        <v>16058.429118773945</v>
      </c>
      <c r="I15" s="81">
        <f t="shared" si="2"/>
        <v>5243.5686918445535</v>
      </c>
      <c r="J15" s="81">
        <f t="shared" si="5"/>
        <v>5243.5686918445535</v>
      </c>
      <c r="K15" s="81">
        <f>H15+J15-$D$8</f>
        <v>1301.9978106185008</v>
      </c>
    </row>
    <row r="16" spans="1:11" ht="15" thickBot="1" x14ac:dyDescent="0.45">
      <c r="A16" s="16" t="str">
        <v>As-75+13n -&gt; Sr-88+5e+5ν̅e</v>
      </c>
      <c r="B16" s="27">
        <v>20800000</v>
      </c>
      <c r="C16" s="27">
        <v>12000000</v>
      </c>
      <c r="D16" s="87">
        <f t="shared" si="0"/>
        <v>2080</v>
      </c>
      <c r="E16" s="87">
        <f t="shared" si="3"/>
        <v>104</v>
      </c>
      <c r="F16" s="38">
        <f t="shared" si="4"/>
        <v>5769.2307692307695</v>
      </c>
      <c r="G16" s="38" cm="1">
        <f t="array" ref="G16">M_HP_ratio*F16/_xlfn.SWITCH($C$8,"mercury",NSC_M_h,"hot mercury", NSC_HM_h)</f>
        <v>90.144230769230774</v>
      </c>
      <c r="H16" s="82">
        <f t="shared" si="1"/>
        <v>17668.26923076923</v>
      </c>
      <c r="I16" s="82">
        <f t="shared" si="2"/>
        <v>5769.2307692307695</v>
      </c>
      <c r="J16" s="82">
        <f t="shared" si="5"/>
        <v>5769.2307692307695</v>
      </c>
      <c r="K16" s="82">
        <f t="shared" si="6"/>
        <v>3437.5</v>
      </c>
    </row>
    <row r="17" spans="1:11" ht="15" thickTop="1" x14ac:dyDescent="0.4">
      <c r="A17" s="22" t="str">
        <v>Sr-88+4n -&gt; Zr-92+2e+2ν̅e</v>
      </c>
      <c r="B17" s="76">
        <v>6157000</v>
      </c>
      <c r="C17" s="76">
        <v>3280000</v>
      </c>
      <c r="D17" s="88">
        <f t="shared" si="0"/>
        <v>615.70000000000005</v>
      </c>
      <c r="E17" s="88">
        <f t="shared" si="3"/>
        <v>30.785000000000004</v>
      </c>
      <c r="F17" s="39">
        <f t="shared" si="4"/>
        <v>5327.2697742407008</v>
      </c>
      <c r="G17" s="37" cm="1">
        <f t="array" ref="G17">M_HP_ratio*F17/_xlfn.SWITCH($C$8,"mercury",NSC_M_h,"hot mercury", NSC_HM_h)</f>
        <v>83.23859022251095</v>
      </c>
      <c r="H17" s="81">
        <f t="shared" si="1"/>
        <v>16314.763683612146</v>
      </c>
      <c r="I17" s="81">
        <f t="shared" si="2"/>
        <v>5327.2697742407008</v>
      </c>
      <c r="J17" s="81">
        <f t="shared" si="5"/>
        <v>5327.2697742407008</v>
      </c>
      <c r="K17" s="81">
        <f t="shared" si="6"/>
        <v>1642.0334578528455</v>
      </c>
    </row>
    <row r="18" spans="1:11" ht="15" thickBot="1" x14ac:dyDescent="0.45">
      <c r="A18" s="16" t="str">
        <v>Sr-90+8n-&gt;Mo-98+4e+4ν̅e</v>
      </c>
      <c r="B18" s="27">
        <v>12250000</v>
      </c>
      <c r="C18" s="27">
        <v>6670000</v>
      </c>
      <c r="D18" s="87">
        <f t="shared" si="0"/>
        <v>1225</v>
      </c>
      <c r="E18" s="87">
        <f t="shared" si="3"/>
        <v>61.25</v>
      </c>
      <c r="F18" s="38">
        <f t="shared" si="4"/>
        <v>5444.8979591836733</v>
      </c>
      <c r="G18" s="38" cm="1">
        <f t="array" ref="G18">M_HP_ratio*F18/_xlfn.SWITCH($C$8,"mercury",NSC_M_h,"hot mercury", NSC_HM_h)</f>
        <v>85.076530612244895</v>
      </c>
      <c r="H18" s="82">
        <f t="shared" si="1"/>
        <v>16675</v>
      </c>
      <c r="I18" s="82">
        <f t="shared" si="2"/>
        <v>5444.8979591836733</v>
      </c>
      <c r="J18" s="82">
        <f t="shared" si="5"/>
        <v>5444.8979591836733</v>
      </c>
      <c r="K18" s="82">
        <f t="shared" si="6"/>
        <v>2119.8979591836724</v>
      </c>
    </row>
    <row r="19" spans="1:11" ht="15" thickTop="1" x14ac:dyDescent="0.4">
      <c r="A19" s="22" t="str">
        <v>Y-89+3n-&gt;Zr-92+e+ν̅e</v>
      </c>
      <c r="B19" s="76">
        <v>4605000</v>
      </c>
      <c r="C19" s="76">
        <v>2500000</v>
      </c>
      <c r="D19" s="88">
        <f t="shared" si="0"/>
        <v>460.5</v>
      </c>
      <c r="E19" s="88">
        <f t="shared" si="3"/>
        <v>23.024999999999999</v>
      </c>
      <c r="F19" s="39">
        <f t="shared" si="4"/>
        <v>5428.8816503800217</v>
      </c>
      <c r="G19" s="37" cm="1">
        <f t="array" ref="G19">M_HP_ratio*F19/_xlfn.SWITCH($C$8,"mercury",NSC_M_h,"hot mercury", NSC_HM_h)</f>
        <v>84.826275787187839</v>
      </c>
      <c r="H19" s="81">
        <f t="shared" si="1"/>
        <v>16625.950054288816</v>
      </c>
      <c r="I19" s="81">
        <f t="shared" si="2"/>
        <v>5428.8816503800208</v>
      </c>
      <c r="J19" s="81">
        <f t="shared" si="5"/>
        <v>5428.8816503800208</v>
      </c>
      <c r="K19" s="81">
        <f t="shared" si="6"/>
        <v>2054.8317046688389</v>
      </c>
    </row>
    <row r="20" spans="1:11" ht="15" thickBot="1" x14ac:dyDescent="0.45">
      <c r="A20" s="16" t="str">
        <v>Zr-90+16n -&gt; Ru-106+4e+4ν̅e</v>
      </c>
      <c r="B20" s="27">
        <v>24490000</v>
      </c>
      <c r="C20" s="27">
        <v>12700000</v>
      </c>
      <c r="D20" s="87">
        <f t="shared" si="0"/>
        <v>2449</v>
      </c>
      <c r="E20" s="87">
        <f t="shared" si="3"/>
        <v>122.45</v>
      </c>
      <c r="F20" s="38">
        <f t="shared" si="4"/>
        <v>5185.7901184156799</v>
      </c>
      <c r="G20" s="38" cm="1">
        <f t="array" ref="G20">M_HP_ratio*F20/_xlfn.SWITCH($C$8,"mercury",NSC_M_h,"hot mercury", NSC_HM_h)</f>
        <v>81.027970600244998</v>
      </c>
      <c r="H20" s="82">
        <f t="shared" si="1"/>
        <v>15881.482237648019</v>
      </c>
      <c r="I20" s="82">
        <f t="shared" si="2"/>
        <v>5185.7901184156799</v>
      </c>
      <c r="J20" s="82">
        <f t="shared" si="5"/>
        <v>5185.7901184156799</v>
      </c>
      <c r="K20" s="82">
        <f t="shared" si="6"/>
        <v>1067.2723560636987</v>
      </c>
    </row>
    <row r="21" spans="1:11" ht="15" thickTop="1" x14ac:dyDescent="0.4">
      <c r="A21" s="22" t="str">
        <v>Nb-93+5n-&gt;Mo-98+e+ν̅e</v>
      </c>
      <c r="B21" s="76">
        <v>7591000</v>
      </c>
      <c r="C21" s="76">
        <v>4130000</v>
      </c>
      <c r="D21" s="88">
        <f t="shared" si="0"/>
        <v>759.1</v>
      </c>
      <c r="E21" s="88">
        <f t="shared" si="3"/>
        <v>37.954999999999998</v>
      </c>
      <c r="F21" s="39">
        <f t="shared" si="4"/>
        <v>5440.6534053484384</v>
      </c>
      <c r="G21" s="37" cm="1">
        <f t="array" ref="G21">M_HP_ratio*F21/_xlfn.SWITCH($C$8,"mercury",NSC_M_h,"hot mercury", NSC_HM_h)</f>
        <v>85.010209458569349</v>
      </c>
      <c r="H21" s="81">
        <f t="shared" si="1"/>
        <v>16662.001053879594</v>
      </c>
      <c r="I21" s="81">
        <f t="shared" si="2"/>
        <v>5440.6534053484374</v>
      </c>
      <c r="J21" s="81">
        <f t="shared" si="5"/>
        <v>5440.6534053484374</v>
      </c>
      <c r="K21" s="81">
        <f t="shared" si="6"/>
        <v>2102.6544592280334</v>
      </c>
    </row>
    <row r="22" spans="1:11" ht="15" thickBot="1" x14ac:dyDescent="0.45">
      <c r="A22" s="16" t="str">
        <v>Mo-98+8n -&gt; Ru-106+2e+2ν̅e</v>
      </c>
      <c r="B22" s="27">
        <v>11990000</v>
      </c>
      <c r="C22" s="27">
        <v>6280000</v>
      </c>
      <c r="D22" s="87">
        <f t="shared" si="0"/>
        <v>1199</v>
      </c>
      <c r="E22" s="87">
        <f t="shared" si="3"/>
        <v>59.95</v>
      </c>
      <c r="F22" s="38">
        <f t="shared" si="4"/>
        <v>5237.6980817347794</v>
      </c>
      <c r="G22" s="38" cm="1">
        <f t="array" ref="G22">M_HP_ratio*F22/_xlfn.SWITCH($C$8,"mercury",NSC_M_h,"hot mercury", NSC_HM_h)</f>
        <v>81.839032527105928</v>
      </c>
      <c r="H22" s="82">
        <f t="shared" si="1"/>
        <v>16040.450375312761</v>
      </c>
      <c r="I22" s="82">
        <f t="shared" si="2"/>
        <v>5237.6980817347794</v>
      </c>
      <c r="J22" s="82">
        <f t="shared" si="5"/>
        <v>5237.6980817347794</v>
      </c>
      <c r="K22" s="82">
        <f t="shared" si="6"/>
        <v>1278.1484570475404</v>
      </c>
    </row>
    <row r="23" spans="1:11" ht="15" thickTop="1" x14ac:dyDescent="0.4">
      <c r="A23" s="22" t="str">
        <v>Ru-106+3n -&gt; Ag-109+3e+3ν̅e</v>
      </c>
      <c r="B23" s="76">
        <v>4406000</v>
      </c>
      <c r="C23" s="76">
        <v>2660000</v>
      </c>
      <c r="D23" s="88">
        <f t="shared" si="0"/>
        <v>440.6</v>
      </c>
      <c r="E23" s="88">
        <f t="shared" si="3"/>
        <v>22.03</v>
      </c>
      <c r="F23" s="39">
        <f t="shared" si="4"/>
        <v>6037.2219700408532</v>
      </c>
      <c r="G23" s="37" cm="1">
        <f t="array" ref="G23">M_HP_ratio*F23/_xlfn.SWITCH($C$8,"mercury",NSC_M_h,"hot mercury", NSC_HM_h)</f>
        <v>94.331593281888331</v>
      </c>
      <c r="H23" s="81">
        <f t="shared" si="1"/>
        <v>18488.992283250114</v>
      </c>
      <c r="I23" s="81">
        <f t="shared" si="2"/>
        <v>6037.2219700408532</v>
      </c>
      <c r="J23" s="81">
        <f t="shared" si="5"/>
        <v>6037.2219700408532</v>
      </c>
      <c r="K23" s="81">
        <f t="shared" si="6"/>
        <v>4526.2142532909675</v>
      </c>
    </row>
    <row r="24" spans="1:11" ht="15" thickBot="1" x14ac:dyDescent="0.45">
      <c r="A24" s="16" t="str">
        <v>Pd-106+14n-&gt;Sn-120+4e+4ν̅e</v>
      </c>
      <c r="B24" s="27">
        <v>20560000</v>
      </c>
      <c r="C24" s="27">
        <v>11400000</v>
      </c>
      <c r="D24" s="87">
        <f t="shared" si="0"/>
        <v>2056</v>
      </c>
      <c r="E24" s="87">
        <f t="shared" si="3"/>
        <v>102.8</v>
      </c>
      <c r="F24" s="38">
        <f t="shared" si="4"/>
        <v>5544.747081712062</v>
      </c>
      <c r="G24" s="38" cm="1">
        <f t="array" ref="G24">M_HP_ratio*F24/_xlfn.SWITCH($C$8,"mercury",NSC_M_h,"hot mercury", NSC_HM_h)</f>
        <v>86.636673151750969</v>
      </c>
      <c r="H24" s="82">
        <f t="shared" si="1"/>
        <v>16980.787937743189</v>
      </c>
      <c r="I24" s="82">
        <f t="shared" si="2"/>
        <v>5544.7470817120611</v>
      </c>
      <c r="J24" s="82">
        <f t="shared" si="5"/>
        <v>5544.7470817120611</v>
      </c>
      <c r="K24" s="82">
        <f t="shared" si="6"/>
        <v>2525.535019455252</v>
      </c>
    </row>
    <row r="25" spans="1:11" ht="15" thickTop="1" x14ac:dyDescent="0.4">
      <c r="A25" s="22" t="str">
        <v>Ag-107+20n -&gt; I-127+6e+6ν̅e</v>
      </c>
      <c r="B25" s="76">
        <v>29300000</v>
      </c>
      <c r="C25" s="76">
        <v>16200000</v>
      </c>
      <c r="D25" s="88">
        <f t="shared" si="0"/>
        <v>2930</v>
      </c>
      <c r="E25" s="88">
        <f t="shared" si="3"/>
        <v>146.5</v>
      </c>
      <c r="F25" s="39">
        <f t="shared" si="4"/>
        <v>5529.0102389078502</v>
      </c>
      <c r="G25" s="37" cm="1">
        <f t="array" ref="G25">M_HP_ratio*F25/_xlfn.SWITCH($C$8,"mercury",NSC_M_h,"hot mercury", NSC_HM_h)</f>
        <v>86.390784982935159</v>
      </c>
      <c r="H25" s="81">
        <f t="shared" si="1"/>
        <v>16932.59385665529</v>
      </c>
      <c r="I25" s="81">
        <f t="shared" si="2"/>
        <v>5529.0102389078502</v>
      </c>
      <c r="J25" s="81">
        <f t="shared" si="5"/>
        <v>5529.0102389078502</v>
      </c>
      <c r="K25" s="81">
        <f t="shared" si="6"/>
        <v>2461.6040955631397</v>
      </c>
    </row>
    <row r="26" spans="1:11" ht="15" thickBot="1" x14ac:dyDescent="0.45">
      <c r="A26" s="16" t="str">
        <v>Sn-120+7n -&gt; I-127+3e+3ν̅e</v>
      </c>
      <c r="B26" s="27">
        <v>9953000</v>
      </c>
      <c r="C26" s="27">
        <v>5440000</v>
      </c>
      <c r="D26" s="87">
        <f t="shared" si="0"/>
        <v>995.3</v>
      </c>
      <c r="E26" s="87">
        <f t="shared" si="3"/>
        <v>49.765000000000001</v>
      </c>
      <c r="F26" s="38">
        <f t="shared" si="4"/>
        <v>5465.6887370642016</v>
      </c>
      <c r="G26" s="38" cm="1">
        <f t="array" ref="G26">M_HP_ratio*F26/_xlfn.SWITCH($C$8,"mercury",NSC_M_h,"hot mercury", NSC_HM_h)</f>
        <v>85.401386516628151</v>
      </c>
      <c r="H26" s="82">
        <f t="shared" si="1"/>
        <v>16738.671757259119</v>
      </c>
      <c r="I26" s="82">
        <f t="shared" si="2"/>
        <v>5465.6887370642016</v>
      </c>
      <c r="J26" s="82">
        <f t="shared" si="5"/>
        <v>5465.6887370642016</v>
      </c>
      <c r="K26" s="82">
        <f t="shared" si="6"/>
        <v>2204.3604943233222</v>
      </c>
    </row>
    <row r="27" spans="1:11" ht="15" thickTop="1" x14ac:dyDescent="0.4">
      <c r="A27" s="22" t="str">
        <v>I-127+10n -&gt; Cs-137+2e+2ν̅e</v>
      </c>
      <c r="B27" s="76">
        <v>14010000</v>
      </c>
      <c r="C27" s="76">
        <v>7830000</v>
      </c>
      <c r="D27" s="88">
        <f t="shared" si="0"/>
        <v>1401</v>
      </c>
      <c r="E27" s="88">
        <f t="shared" si="3"/>
        <v>70.05</v>
      </c>
      <c r="F27" s="39">
        <f t="shared" si="4"/>
        <v>5588.8650963597429</v>
      </c>
      <c r="G27" s="37" cm="1">
        <f t="array" ref="G27">M_HP_ratio*F27/_xlfn.SWITCH($C$8,"mercury",NSC_M_h,"hot mercury", NSC_HM_h)</f>
        <v>87.326017130620983</v>
      </c>
      <c r="H27" s="81">
        <f t="shared" si="1"/>
        <v>17115.899357601713</v>
      </c>
      <c r="I27" s="81">
        <f t="shared" si="2"/>
        <v>5588.8650963597429</v>
      </c>
      <c r="J27" s="81">
        <f t="shared" si="5"/>
        <v>5588.8650963597429</v>
      </c>
      <c r="K27" s="81">
        <f t="shared" si="6"/>
        <v>2704.7644539614557</v>
      </c>
    </row>
    <row r="28" spans="1:11" ht="15" thickBot="1" x14ac:dyDescent="0.45">
      <c r="A28" s="16" t="str">
        <v>Cs-137+15n-&gt;Sm-152+7e+7ν̅e</v>
      </c>
      <c r="B28" s="27">
        <v>20590000</v>
      </c>
      <c r="C28" s="27">
        <v>10900000</v>
      </c>
      <c r="D28" s="87">
        <f t="shared" si="0"/>
        <v>2059</v>
      </c>
      <c r="E28" s="87">
        <f t="shared" si="3"/>
        <v>102.95</v>
      </c>
      <c r="F28" s="38">
        <f t="shared" si="4"/>
        <v>5293.8319572608061</v>
      </c>
      <c r="G28" s="38" cm="1">
        <f t="array" ref="G28">M_HP_ratio*F28/_xlfn.SWITCH($C$8,"mercury",NSC_M_h,"hot mercury", NSC_HM_h)</f>
        <v>82.716124332200096</v>
      </c>
      <c r="H28" s="82">
        <f t="shared" si="1"/>
        <v>16212.360369111218</v>
      </c>
      <c r="I28" s="82">
        <f t="shared" si="2"/>
        <v>5293.8319572608061</v>
      </c>
      <c r="J28" s="82">
        <f t="shared" si="5"/>
        <v>5293.8319572608061</v>
      </c>
      <c r="K28" s="82">
        <f t="shared" si="6"/>
        <v>1506.1923263720237</v>
      </c>
    </row>
    <row r="29" spans="1:11" ht="15" thickTop="1" x14ac:dyDescent="0.4">
      <c r="A29" s="22" t="str">
        <v>Ba-138+9n-&gt;Pm-147+5e+5ν̅e</v>
      </c>
      <c r="B29" s="76">
        <v>12330000</v>
      </c>
      <c r="C29" s="76">
        <v>6340000</v>
      </c>
      <c r="D29" s="88">
        <f t="shared" si="0"/>
        <v>1233</v>
      </c>
      <c r="E29" s="88">
        <f t="shared" si="3"/>
        <v>61.65</v>
      </c>
      <c r="F29" s="39">
        <f t="shared" si="4"/>
        <v>5141.9302514193023</v>
      </c>
      <c r="G29" s="37" cm="1">
        <f t="array" ref="G29">M_HP_ratio*F29/_xlfn.SWITCH($C$8,"mercury",NSC_M_h,"hot mercury", NSC_HM_h)</f>
        <v>80.342660178426598</v>
      </c>
      <c r="H29" s="81">
        <f t="shared" si="1"/>
        <v>15747.161394971614</v>
      </c>
      <c r="I29" s="81">
        <f t="shared" si="2"/>
        <v>5141.9302514193023</v>
      </c>
      <c r="J29" s="81">
        <f t="shared" si="5"/>
        <v>5141.9302514193023</v>
      </c>
      <c r="K29" s="81">
        <f t="shared" si="6"/>
        <v>889.09164639091614</v>
      </c>
    </row>
    <row r="30" spans="1:11" ht="15" thickBot="1" x14ac:dyDescent="0.45">
      <c r="A30" s="16" t="str">
        <v>Nd-142+13n -&gt; Eu-155+3e+3ν̅e</v>
      </c>
      <c r="B30" s="27">
        <v>17670000</v>
      </c>
      <c r="C30" s="27">
        <v>9080000</v>
      </c>
      <c r="D30" s="87">
        <f t="shared" si="0"/>
        <v>1767</v>
      </c>
      <c r="E30" s="87">
        <f t="shared" si="3"/>
        <v>88.35</v>
      </c>
      <c r="F30" s="38">
        <f t="shared" si="4"/>
        <v>5138.6530843237124</v>
      </c>
      <c r="G30" s="38" cm="1">
        <f t="array" ref="G30">M_HP_ratio*F30/_xlfn.SWITCH($C$8,"mercury",NSC_M_h,"hot mercury", NSC_HM_h)</f>
        <v>80.291454442558006</v>
      </c>
      <c r="H30" s="82">
        <f t="shared" si="1"/>
        <v>15737.125070741369</v>
      </c>
      <c r="I30" s="82">
        <f t="shared" si="2"/>
        <v>5138.6530843237124</v>
      </c>
      <c r="J30" s="82">
        <f t="shared" si="5"/>
        <v>5138.6530843237124</v>
      </c>
      <c r="K30" s="82">
        <f t="shared" si="6"/>
        <v>875.77815506508341</v>
      </c>
    </row>
    <row r="31" spans="1:11" ht="15" thickTop="1" x14ac:dyDescent="0.4">
      <c r="A31" s="22" t="str">
        <v>Pm-147+11n-&gt;Gd-158+3e+3ν̅e</v>
      </c>
      <c r="B31" s="76">
        <v>14810000</v>
      </c>
      <c r="C31" s="76">
        <v>8040000</v>
      </c>
      <c r="D31" s="88">
        <f t="shared" si="0"/>
        <v>1481</v>
      </c>
      <c r="E31" s="88">
        <f t="shared" si="3"/>
        <v>74.05</v>
      </c>
      <c r="F31" s="39">
        <f t="shared" si="4"/>
        <v>5428.7643484132341</v>
      </c>
      <c r="G31" s="37" cm="1">
        <f t="array" ref="G31">M_HP_ratio*F31/_xlfn.SWITCH($C$8,"mercury",NSC_M_h,"hot mercury", NSC_HM_h)</f>
        <v>84.824442943956782</v>
      </c>
      <c r="H31" s="81">
        <f t="shared" si="1"/>
        <v>16625.590817015531</v>
      </c>
      <c r="I31" s="81">
        <f t="shared" si="2"/>
        <v>5428.7643484132332</v>
      </c>
      <c r="J31" s="81">
        <f t="shared" si="5"/>
        <v>5428.7643484132332</v>
      </c>
      <c r="K31" s="81">
        <f t="shared" si="6"/>
        <v>2054.3551654287658</v>
      </c>
    </row>
    <row r="32" spans="1:11" ht="15" thickBot="1" x14ac:dyDescent="0.45">
      <c r="A32" s="16" t="str">
        <v>Sm-152+6n -&gt; Gd-158+2e+2ν̅e</v>
      </c>
      <c r="B32" s="27">
        <v>8004000</v>
      </c>
      <c r="C32" s="27">
        <v>4430000</v>
      </c>
      <c r="D32" s="87">
        <f t="shared" si="0"/>
        <v>800.4</v>
      </c>
      <c r="E32" s="87">
        <f t="shared" si="3"/>
        <v>40.019999999999996</v>
      </c>
      <c r="F32" s="38">
        <f t="shared" si="4"/>
        <v>5534.7326336831584</v>
      </c>
      <c r="G32" s="38" cm="1">
        <f t="array" ref="G32">M_HP_ratio*F32/_xlfn.SWITCH($C$8,"mercury",NSC_M_h,"hot mercury", NSC_HM_h)</f>
        <v>86.48019740129935</v>
      </c>
      <c r="H32" s="82">
        <f t="shared" si="1"/>
        <v>16950.118690654672</v>
      </c>
      <c r="I32" s="82">
        <f t="shared" si="2"/>
        <v>5534.7326336831584</v>
      </c>
      <c r="J32" s="82">
        <f t="shared" si="5"/>
        <v>5534.7326336831584</v>
      </c>
      <c r="K32" s="82">
        <f t="shared" si="6"/>
        <v>2484.8513243378293</v>
      </c>
    </row>
    <row r="33" spans="1:11" ht="15" thickTop="1" x14ac:dyDescent="0.4">
      <c r="A33" s="22" t="str">
        <v>Eu-155+9n-&gt;Dy-164+3e+3ν̅e</v>
      </c>
      <c r="B33" s="76">
        <v>11940000</v>
      </c>
      <c r="C33" s="76">
        <v>6680000</v>
      </c>
      <c r="D33" s="88">
        <f t="shared" si="0"/>
        <v>1194</v>
      </c>
      <c r="E33" s="88">
        <f t="shared" si="3"/>
        <v>59.7</v>
      </c>
      <c r="F33" s="39">
        <f t="shared" si="4"/>
        <v>5594.6398659966499</v>
      </c>
      <c r="G33" s="37" cm="1">
        <f t="array" ref="G33">M_HP_ratio*F33/_xlfn.SWITCH($C$8,"mercury",NSC_M_h,"hot mercury", NSC_HM_h)</f>
        <v>87.416247906197654</v>
      </c>
      <c r="H33" s="81">
        <f t="shared" si="1"/>
        <v>17133.58458961474</v>
      </c>
      <c r="I33" s="81">
        <f t="shared" si="2"/>
        <v>5594.639865996649</v>
      </c>
      <c r="J33" s="81">
        <f t="shared" si="5"/>
        <v>5594.639865996649</v>
      </c>
      <c r="K33" s="81">
        <f t="shared" si="6"/>
        <v>2728.2244556113874</v>
      </c>
    </row>
    <row r="34" spans="1:11" ht="15" thickBot="1" x14ac:dyDescent="0.45">
      <c r="A34" s="16" t="str">
        <v>Gd-158+7n-&gt;Ho-165+3e+3ν̅e</v>
      </c>
      <c r="B34" s="27">
        <v>9238000</v>
      </c>
      <c r="C34" s="27">
        <v>5070000</v>
      </c>
      <c r="D34" s="87">
        <f t="shared" si="0"/>
        <v>923.8</v>
      </c>
      <c r="E34" s="87">
        <f t="shared" si="3"/>
        <v>46.19</v>
      </c>
      <c r="F34" s="38">
        <f t="shared" si="4"/>
        <v>5488.2009092877252</v>
      </c>
      <c r="G34" s="38" cm="1">
        <f t="array" ref="G34">M_HP_ratio*F34/_xlfn.SWITCH($C$8,"mercury",NSC_M_h,"hot mercury", NSC_HM_h)</f>
        <v>85.753139207620706</v>
      </c>
      <c r="H34" s="82">
        <f t="shared" si="1"/>
        <v>16807.615284693657</v>
      </c>
      <c r="I34" s="82">
        <f t="shared" si="2"/>
        <v>5488.2009092877242</v>
      </c>
      <c r="J34" s="82">
        <f t="shared" si="5"/>
        <v>5488.2009092877242</v>
      </c>
      <c r="K34" s="82">
        <f t="shared" si="6"/>
        <v>2295.8161939813799</v>
      </c>
    </row>
    <row r="35" spans="1:11" ht="15" thickTop="1" x14ac:dyDescent="0.4">
      <c r="A35" s="22" t="str">
        <v>Dy-164+4n-&gt;Er-168+2e+2ν̅e</v>
      </c>
      <c r="B35" s="76">
        <v>5224000</v>
      </c>
      <c r="C35" s="76">
        <v>2930000</v>
      </c>
      <c r="D35" s="88">
        <f t="shared" si="0"/>
        <v>522.4</v>
      </c>
      <c r="E35" s="88">
        <f t="shared" si="3"/>
        <v>26.119999999999997</v>
      </c>
      <c r="F35" s="39">
        <f t="shared" si="4"/>
        <v>5608.7289433384385</v>
      </c>
      <c r="G35" s="37" cm="1">
        <f t="array" ref="G35">M_HP_ratio*F35/_xlfn.SWITCH($C$8,"mercury",NSC_M_h,"hot mercury", NSC_HM_h)</f>
        <v>87.636389739663102</v>
      </c>
      <c r="H35" s="81">
        <f t="shared" si="1"/>
        <v>17176.732388973967</v>
      </c>
      <c r="I35" s="81">
        <f t="shared" si="2"/>
        <v>5608.7289433384376</v>
      </c>
      <c r="J35" s="81">
        <f t="shared" si="5"/>
        <v>5608.7289433384376</v>
      </c>
      <c r="K35" s="81">
        <f t="shared" si="6"/>
        <v>2785.4613323124067</v>
      </c>
    </row>
    <row r="36" spans="1:11" ht="15" thickBot="1" x14ac:dyDescent="0.45">
      <c r="A36" s="16" t="str">
        <v>Ho-165+13n-&gt;Hf-178+5e+5ν̅e</v>
      </c>
      <c r="B36" s="27">
        <v>16950000</v>
      </c>
      <c r="C36" s="27">
        <v>9250000</v>
      </c>
      <c r="D36" s="87">
        <f t="shared" si="0"/>
        <v>1695</v>
      </c>
      <c r="E36" s="87">
        <f t="shared" si="3"/>
        <v>84.75</v>
      </c>
      <c r="F36" s="38">
        <f>C36/D36</f>
        <v>5457.2271386430675</v>
      </c>
      <c r="G36" s="38" cm="1">
        <f t="array" ref="G36">M_HP_ratio*F36/_xlfn.SWITCH($C$8,"mercury",NSC_M_h,"hot mercury", NSC_HM_h)</f>
        <v>85.26917404129793</v>
      </c>
      <c r="H36" s="82">
        <f t="shared" si="1"/>
        <v>16712.758112094394</v>
      </c>
      <c r="I36" s="82">
        <f t="shared" si="2"/>
        <v>5457.2271386430675</v>
      </c>
      <c r="J36" s="82">
        <f t="shared" si="5"/>
        <v>5457.2271386430675</v>
      </c>
      <c r="K36" s="82">
        <f t="shared" si="6"/>
        <v>2169.9852507374599</v>
      </c>
    </row>
    <row r="37" spans="1:11" ht="15" thickTop="1" x14ac:dyDescent="0.4">
      <c r="A37" s="22" t="str">
        <v>Er-166+14n -&gt; Hf-180+4e+4ν̅e</v>
      </c>
      <c r="B37" s="76">
        <v>18220000</v>
      </c>
      <c r="C37" s="76">
        <v>9790000</v>
      </c>
      <c r="D37" s="88">
        <f t="shared" si="0"/>
        <v>1822</v>
      </c>
      <c r="E37" s="88">
        <f t="shared" si="3"/>
        <v>91.1</v>
      </c>
      <c r="F37" s="39">
        <f t="shared" si="4"/>
        <v>5373.2162458836447</v>
      </c>
      <c r="G37" s="37" cm="1">
        <f t="array" ref="G37">M_HP_ratio*F37/_xlfn.SWITCH($C$8,"mercury",NSC_M_h,"hot mercury", NSC_HM_h)</f>
        <v>83.956503841931948</v>
      </c>
      <c r="H37" s="81">
        <f t="shared" si="1"/>
        <v>16455.474753018661</v>
      </c>
      <c r="I37" s="81">
        <f t="shared" si="2"/>
        <v>5373.2162458836447</v>
      </c>
      <c r="J37" s="81">
        <f t="shared" si="5"/>
        <v>5373.2162458836447</v>
      </c>
      <c r="K37" s="81">
        <f t="shared" si="6"/>
        <v>1828.6909989023043</v>
      </c>
    </row>
    <row r="38" spans="1:11" ht="15" thickBot="1" x14ac:dyDescent="0.45">
      <c r="A38" s="16" t="str">
        <v>Yb-174+10n -&gt; W-184+4e+4ν̅e</v>
      </c>
      <c r="B38" s="27">
        <v>12840000</v>
      </c>
      <c r="C38" s="27">
        <v>6950000</v>
      </c>
      <c r="D38" s="87">
        <f t="shared" si="0"/>
        <v>1284</v>
      </c>
      <c r="E38" s="87">
        <f t="shared" si="3"/>
        <v>64.2</v>
      </c>
      <c r="F38" s="38">
        <f t="shared" si="4"/>
        <v>5412.7725856697816</v>
      </c>
      <c r="G38" s="38" cm="1">
        <f t="array" ref="G38">M_HP_ratio*F38/_xlfn.SWITCH($C$8,"mercury",NSC_M_h,"hot mercury", NSC_HM_h)</f>
        <v>84.574571651090338</v>
      </c>
      <c r="H38" s="82">
        <f t="shared" si="1"/>
        <v>16576.616043613707</v>
      </c>
      <c r="I38" s="82">
        <f t="shared" si="2"/>
        <v>5412.7725856697816</v>
      </c>
      <c r="J38" s="82">
        <f t="shared" si="5"/>
        <v>5412.7725856697816</v>
      </c>
      <c r="K38" s="82">
        <f t="shared" si="6"/>
        <v>1989.3886292834868</v>
      </c>
    </row>
    <row r="39" spans="1:11" ht="15" thickTop="1" x14ac:dyDescent="0.4">
      <c r="A39" s="22" t="str">
        <v>Hf-180+10n -&gt; Os-190+4e+4ν̅e</v>
      </c>
      <c r="B39" s="76">
        <v>12720000</v>
      </c>
      <c r="C39" s="76">
        <v>6960000</v>
      </c>
      <c r="D39" s="88">
        <f t="shared" si="0"/>
        <v>1272</v>
      </c>
      <c r="E39" s="88">
        <f t="shared" si="3"/>
        <v>63.6</v>
      </c>
      <c r="F39" s="39">
        <f t="shared" si="4"/>
        <v>5471.6981132075471</v>
      </c>
      <c r="G39" s="37" cm="1">
        <f t="array" ref="G39">M_HP_ratio*F39/_xlfn.SWITCH($C$8,"mercury",NSC_M_h,"hot mercury", NSC_HM_h)</f>
        <v>85.495283018867923</v>
      </c>
      <c r="H39" s="81">
        <f t="shared" si="1"/>
        <v>16757.075471698114</v>
      </c>
      <c r="I39" s="81">
        <f t="shared" si="2"/>
        <v>5471.6981132075471</v>
      </c>
      <c r="J39" s="81">
        <f t="shared" si="5"/>
        <v>5471.6981132075471</v>
      </c>
      <c r="K39" s="81">
        <f t="shared" si="6"/>
        <v>2228.7735849056626</v>
      </c>
    </row>
    <row r="40" spans="1:11" ht="15" thickBot="1" x14ac:dyDescent="0.45">
      <c r="A40" s="16" t="str">
        <v>W-184+11n -&gt; Pt-195+4e+4ν̅e</v>
      </c>
      <c r="B40" s="27">
        <v>13910000</v>
      </c>
      <c r="C40" s="27">
        <v>7590000</v>
      </c>
      <c r="D40" s="87">
        <f t="shared" si="0"/>
        <v>1391</v>
      </c>
      <c r="E40" s="87">
        <f>D40/20</f>
        <v>69.55</v>
      </c>
      <c r="F40" s="38">
        <f>C40/D40</f>
        <v>5456.5061107117181</v>
      </c>
      <c r="G40" s="38" cm="1">
        <f t="array" ref="G40">M_HP_ratio*F40/_xlfn.SWITCH($C$8,"mercury",NSC_M_h,"hot mercury", NSC_HM_h)</f>
        <v>85.257907979870595</v>
      </c>
      <c r="H40" s="82">
        <f t="shared" si="1"/>
        <v>16710.549964054637</v>
      </c>
      <c r="I40" s="82">
        <f t="shared" si="2"/>
        <v>5456.5061107117181</v>
      </c>
      <c r="J40" s="82">
        <f t="shared" si="5"/>
        <v>5456.5061107117181</v>
      </c>
      <c r="K40" s="82">
        <f t="shared" si="6"/>
        <v>2167.0560747663549</v>
      </c>
    </row>
    <row r="41" spans="1:11" ht="15" thickTop="1" x14ac:dyDescent="0.4">
      <c r="A41" s="22" t="str">
        <v>Os-192+5n -&gt; Au-197+3e+3ν̅e</v>
      </c>
      <c r="B41" s="76">
        <v>6244000</v>
      </c>
      <c r="C41" s="76">
        <v>3560000</v>
      </c>
      <c r="D41" s="88">
        <f t="shared" si="0"/>
        <v>624.4</v>
      </c>
      <c r="E41" s="88">
        <f t="shared" si="3"/>
        <v>31.22</v>
      </c>
      <c r="F41" s="39">
        <f t="shared" ref="F41:F45" si="7">C41/D41</f>
        <v>5701.4734144778986</v>
      </c>
      <c r="G41" s="37" cm="1">
        <f t="array" ref="G41">M_HP_ratio*F41/_xlfn.SWITCH($C$8,"mercury",NSC_M_h,"hot mercury", NSC_HM_h)</f>
        <v>89.085522101217165</v>
      </c>
      <c r="H41" s="81">
        <f t="shared" si="1"/>
        <v>17460.762331838563</v>
      </c>
      <c r="I41" s="81">
        <f t="shared" si="2"/>
        <v>5701.4734144778977</v>
      </c>
      <c r="J41" s="81">
        <f t="shared" si="5"/>
        <v>5701.4734144778977</v>
      </c>
      <c r="K41" s="81">
        <f t="shared" si="6"/>
        <v>3162.235746316459</v>
      </c>
    </row>
    <row r="42" spans="1:11" ht="15" thickBot="1" x14ac:dyDescent="0.45">
      <c r="A42" s="16" t="str">
        <v>Ir-193+4n -&gt; Au-197+2e+2ν̅e</v>
      </c>
      <c r="B42" s="27">
        <v>4987000</v>
      </c>
      <c r="C42" s="27">
        <v>2890000</v>
      </c>
      <c r="D42" s="87">
        <f t="shared" si="0"/>
        <v>498.7</v>
      </c>
      <c r="E42" s="87">
        <f t="shared" si="3"/>
        <v>24.934999999999999</v>
      </c>
      <c r="F42" s="38">
        <f t="shared" si="7"/>
        <v>5795.0671746541011</v>
      </c>
      <c r="G42" s="38" cm="1">
        <f t="array" ref="G42">M_HP_ratio*F42/_xlfn.SWITCH($C$8,"mercury",NSC_M_h,"hot mercury", NSC_HM_h)</f>
        <v>90.54792460397033</v>
      </c>
      <c r="H42" s="82">
        <f t="shared" si="1"/>
        <v>17747.393222378185</v>
      </c>
      <c r="I42" s="82">
        <f t="shared" si="2"/>
        <v>5795.0671746541011</v>
      </c>
      <c r="J42" s="82">
        <f t="shared" si="5"/>
        <v>5795.0671746541011</v>
      </c>
      <c r="K42" s="82">
        <f t="shared" si="6"/>
        <v>3542.460397032286</v>
      </c>
    </row>
    <row r="43" spans="1:11" ht="15" thickTop="1" x14ac:dyDescent="0.4">
      <c r="A43" s="22" t="str">
        <v>Pt-195+13n -&gt; Pb-208+4e+4ν̅e</v>
      </c>
      <c r="B43" s="76">
        <v>16160000</v>
      </c>
      <c r="C43" s="76">
        <v>9390000</v>
      </c>
      <c r="D43" s="88">
        <f t="shared" si="0"/>
        <v>1616</v>
      </c>
      <c r="E43" s="88">
        <f t="shared" si="3"/>
        <v>80.8</v>
      </c>
      <c r="F43" s="39">
        <f t="shared" si="7"/>
        <v>5810.6435643564355</v>
      </c>
      <c r="G43" s="37" cm="1">
        <f t="array" ref="G43">M_HP_ratio*F43/_xlfn.SWITCH($C$8,"mercury",NSC_M_h,"hot mercury", NSC_HM_h)</f>
        <v>90.791305693069305</v>
      </c>
      <c r="H43" s="81">
        <f t="shared" si="1"/>
        <v>17795.095915841583</v>
      </c>
      <c r="I43" s="81">
        <f t="shared" si="2"/>
        <v>5810.6435643564346</v>
      </c>
      <c r="J43" s="81">
        <f t="shared" si="5"/>
        <v>5810.6435643564346</v>
      </c>
      <c r="K43" s="81">
        <f t="shared" si="6"/>
        <v>3605.739480198019</v>
      </c>
    </row>
    <row r="44" spans="1:11" ht="15" thickBot="1" x14ac:dyDescent="0.45">
      <c r="A44" s="16" t="str">
        <v>Au-197+11n -&gt; Pb-208+3e+3ν̅e</v>
      </c>
      <c r="B44" s="27">
        <v>13630000</v>
      </c>
      <c r="C44" s="27">
        <v>7940000</v>
      </c>
      <c r="D44" s="87">
        <f t="shared" si="0"/>
        <v>1363</v>
      </c>
      <c r="E44" s="87">
        <f t="shared" si="3"/>
        <v>68.150000000000006</v>
      </c>
      <c r="F44" s="38">
        <f t="shared" si="7"/>
        <v>5825.3851797505504</v>
      </c>
      <c r="G44" s="38" cm="1">
        <f t="array" ref="G44">M_HP_ratio*F44/_xlfn.SWITCH($C$8,"mercury",NSC_M_h,"hot mercury", NSC_HM_h)</f>
        <v>91.02164343360235</v>
      </c>
      <c r="H44" s="82">
        <f t="shared" si="1"/>
        <v>17840.24211298606</v>
      </c>
      <c r="I44" s="82">
        <f t="shared" si="2"/>
        <v>5825.3851797505504</v>
      </c>
      <c r="J44" s="82">
        <f t="shared" si="5"/>
        <v>5825.3851797505504</v>
      </c>
      <c r="K44" s="82">
        <f t="shared" si="6"/>
        <v>3665.6272927366081</v>
      </c>
    </row>
    <row r="45" spans="1:11" ht="15" thickTop="1" x14ac:dyDescent="0.4">
      <c r="A45" s="84" t="str">
        <v>Hg-202+7n -&gt; Bi-209+3e+3ν̅e</v>
      </c>
      <c r="B45" s="84">
        <v>8613000</v>
      </c>
      <c r="C45" s="84">
        <v>4740000</v>
      </c>
      <c r="D45" s="88">
        <f t="shared" si="0"/>
        <v>861.3</v>
      </c>
      <c r="E45" s="88">
        <f t="shared" si="3"/>
        <v>43.064999999999998</v>
      </c>
      <c r="F45" s="39">
        <f t="shared" si="7"/>
        <v>5503.3089515848142</v>
      </c>
      <c r="G45" s="37" cm="1">
        <f t="array" ref="G45">M_HP_ratio*F45/_xlfn.SWITCH($C$8,"mercury",NSC_M_h,"hot mercury", NSC_HM_h)</f>
        <v>85.989202368512721</v>
      </c>
      <c r="H45" s="81">
        <f t="shared" si="1"/>
        <v>16853.883664228495</v>
      </c>
      <c r="I45" s="81">
        <f t="shared" si="2"/>
        <v>5503.3089515848133</v>
      </c>
      <c r="J45" s="81">
        <f t="shared" si="5"/>
        <v>5503.3089515848133</v>
      </c>
      <c r="K45" s="81">
        <f t="shared" si="6"/>
        <v>2357.1926158133065</v>
      </c>
    </row>
    <row r="46" spans="1:11" x14ac:dyDescent="0.4">
      <c r="A46" s="83" t="str">
        <v>Pb-208+n -&gt; Bi-209+e+ν̅e</v>
      </c>
      <c r="B46" s="83">
        <v>1220000</v>
      </c>
      <c r="C46" s="83">
        <v>458000</v>
      </c>
      <c r="D46" s="87">
        <f t="shared" ref="D46:D47" si="8">B46/$B$8</f>
        <v>122</v>
      </c>
      <c r="E46" s="87">
        <f t="shared" ref="E46:E47" si="9">D46/20</f>
        <v>6.1</v>
      </c>
      <c r="F46" s="38">
        <f t="shared" ref="F46:F47" si="10">C46/D46</f>
        <v>3754.0983606557379</v>
      </c>
      <c r="G46" s="38" cm="1">
        <f t="array" ref="G46">M_HP_ratio*F46/_xlfn.SWITCH($C$8,"mercury",NSC_M_h,"hot mercury", NSC_HM_h)</f>
        <v>58.657786885245905</v>
      </c>
      <c r="H46" s="82">
        <f t="shared" si="1"/>
        <v>11496.926229508197</v>
      </c>
      <c r="I46" s="82">
        <f t="shared" si="2"/>
        <v>3754.0983606557375</v>
      </c>
      <c r="J46" s="82">
        <f t="shared" si="5"/>
        <v>3754.0983606557375</v>
      </c>
      <c r="K46" s="82">
        <f t="shared" ref="K46:K47" si="11">H46+J46-$D$8</f>
        <v>-4748.9754098360645</v>
      </c>
    </row>
    <row r="47" spans="1:11" x14ac:dyDescent="0.4">
      <c r="A47" s="84" t="str">
        <v>Bi-209+n -&gt; Po-210+e+ν̅e</v>
      </c>
      <c r="B47" s="84">
        <v>1218000</v>
      </c>
      <c r="C47" s="84">
        <v>577000</v>
      </c>
      <c r="D47" s="88">
        <f t="shared" si="8"/>
        <v>121.8</v>
      </c>
      <c r="E47" s="88">
        <f t="shared" si="9"/>
        <v>6.09</v>
      </c>
      <c r="F47" s="39">
        <f t="shared" si="10"/>
        <v>4737.2742200328412</v>
      </c>
      <c r="G47" s="39" cm="1">
        <f t="array" ref="G47">M_HP_ratio*F47/_xlfn.SWITCH($C$8,"mercury",NSC_M_h,"hot mercury", NSC_HM_h)</f>
        <v>74.019909688013144</v>
      </c>
      <c r="H47" s="85">
        <f t="shared" si="1"/>
        <v>14507.902298850577</v>
      </c>
      <c r="I47" s="85">
        <f t="shared" si="2"/>
        <v>4737.2742200328412</v>
      </c>
      <c r="J47" s="85">
        <f t="shared" si="5"/>
        <v>4737.2742200328412</v>
      </c>
      <c r="K47" s="85">
        <f t="shared" si="11"/>
        <v>-754.82348111658212</v>
      </c>
    </row>
    <row r="48" spans="1:11" x14ac:dyDescent="0.4">
      <c r="A48" s="83" t="str">
        <v>Po-210+16n-&gt;  Ra-226+4e+4ν̅e</v>
      </c>
      <c r="B48" s="83">
        <v>19460000</v>
      </c>
      <c r="C48" s="83">
        <v>8950000</v>
      </c>
      <c r="D48" s="87">
        <f t="shared" ref="D48:D53" si="12">B48/$B$8</f>
        <v>1946</v>
      </c>
      <c r="E48" s="87">
        <f t="shared" ref="E48:E53" si="13">D48/20</f>
        <v>97.3</v>
      </c>
      <c r="F48" s="38">
        <f t="shared" ref="F48:F53" si="14">C48/D48</f>
        <v>4599.1778006166496</v>
      </c>
      <c r="G48" s="38" cm="1">
        <f t="array" ref="G48">M_HP_ratio*F48/_xlfn.SWITCH($C$8,"mercury",NSC_M_h,"hot mercury", NSC_HM_h)</f>
        <v>71.86215313463515</v>
      </c>
      <c r="H48" s="82">
        <f t="shared" ref="H48:H53" si="15">G48*Turb_HPM_RF*$E$8</f>
        <v>14084.98201438849</v>
      </c>
      <c r="I48" s="82">
        <f t="shared" ref="I48:I53" si="16">G48*HPM_EM_ratio*HX_EM_h</f>
        <v>4599.1778006166496</v>
      </c>
      <c r="J48" s="82">
        <f t="shared" ref="J48:J53" si="17">I48*$F$8</f>
        <v>4599.1778006166496</v>
      </c>
      <c r="K48" s="82">
        <f t="shared" ref="K48:K53" si="18">H48+J48-$D$8</f>
        <v>-1315.8401849948605</v>
      </c>
    </row>
    <row r="49" spans="1:11" x14ac:dyDescent="0.4">
      <c r="A49" s="84" t="str">
        <v>Ra-226+6n-&gt; Th-232+2e+2ν̅e</v>
      </c>
      <c r="B49" s="84">
        <v>7142000</v>
      </c>
      <c r="C49" s="84">
        <v>3660000</v>
      </c>
      <c r="D49" s="88">
        <f t="shared" si="12"/>
        <v>714.2</v>
      </c>
      <c r="E49" s="88">
        <f t="shared" si="13"/>
        <v>35.71</v>
      </c>
      <c r="F49" s="39">
        <f t="shared" si="14"/>
        <v>5124.6149537944548</v>
      </c>
      <c r="G49" s="39" cm="1">
        <f t="array" ref="G49">M_HP_ratio*F49/_xlfn.SWITCH($C$8,"mercury",NSC_M_h,"hot mercury", NSC_HM_h)</f>
        <v>80.072108653038356</v>
      </c>
      <c r="H49" s="85">
        <f t="shared" si="15"/>
        <v>15694.133295995518</v>
      </c>
      <c r="I49" s="85">
        <f t="shared" si="16"/>
        <v>5124.6149537944548</v>
      </c>
      <c r="J49" s="85">
        <f t="shared" si="17"/>
        <v>5124.6149537944548</v>
      </c>
      <c r="K49" s="85">
        <f t="shared" si="18"/>
        <v>818.74824978997276</v>
      </c>
    </row>
    <row r="50" spans="1:11" x14ac:dyDescent="0.4">
      <c r="A50" s="83" t="str">
        <v>Th-232+6n -&gt; U-238 +2e+2ν̅e</v>
      </c>
      <c r="B50" s="83">
        <v>7086000</v>
      </c>
      <c r="C50" s="83">
        <v>3660000</v>
      </c>
      <c r="D50" s="87">
        <f t="shared" si="12"/>
        <v>708.6</v>
      </c>
      <c r="E50" s="87">
        <f t="shared" si="13"/>
        <v>35.43</v>
      </c>
      <c r="F50" s="38">
        <f t="shared" si="14"/>
        <v>5165.1143099068586</v>
      </c>
      <c r="G50" s="38" cm="1">
        <f t="array" ref="G50">M_HP_ratio*F50/_xlfn.SWITCH($C$8,"mercury",NSC_M_h,"hot mercury", NSC_HM_h)</f>
        <v>80.704911092294665</v>
      </c>
      <c r="H50" s="82">
        <f t="shared" si="15"/>
        <v>15818.162574089754</v>
      </c>
      <c r="I50" s="82">
        <f t="shared" si="16"/>
        <v>5165.1143099068586</v>
      </c>
      <c r="J50" s="82">
        <f t="shared" si="17"/>
        <v>5165.1143099068586</v>
      </c>
      <c r="K50" s="82">
        <f t="shared" si="18"/>
        <v>983.27688399661201</v>
      </c>
    </row>
    <row r="51" spans="1:11" x14ac:dyDescent="0.4">
      <c r="A51" s="84" t="str">
        <v>U-238+4n-&gt;Pu-242 +2e+2ν̅e</v>
      </c>
      <c r="B51" s="84">
        <v>4688000</v>
      </c>
      <c r="C51" s="84">
        <v>2490000</v>
      </c>
      <c r="D51" s="88">
        <f t="shared" si="12"/>
        <v>468.8</v>
      </c>
      <c r="E51" s="88">
        <f t="shared" si="13"/>
        <v>23.44</v>
      </c>
      <c r="F51" s="39">
        <f t="shared" si="14"/>
        <v>5311.4334470989761</v>
      </c>
      <c r="G51" s="39" cm="1">
        <f t="array" ref="G51">M_HP_ratio*F51/_xlfn.SWITCH($C$8,"mercury",NSC_M_h,"hot mercury", NSC_HM_h)</f>
        <v>82.991147610921502</v>
      </c>
      <c r="H51" s="85">
        <f t="shared" si="15"/>
        <v>16266.264931740614</v>
      </c>
      <c r="I51" s="85">
        <f t="shared" si="16"/>
        <v>5311.4334470989761</v>
      </c>
      <c r="J51" s="85">
        <f t="shared" si="17"/>
        <v>5311.4334470989761</v>
      </c>
      <c r="K51" s="85">
        <f t="shared" si="18"/>
        <v>1577.6983788395883</v>
      </c>
    </row>
    <row r="52" spans="1:11" x14ac:dyDescent="0.4">
      <c r="A52" s="83" t="str">
        <v>Pu-242+5n -&gt; Cm-247 +2e+2ν̅e</v>
      </c>
      <c r="B52" s="83">
        <v>5831000</v>
      </c>
      <c r="C52" s="83">
        <v>2950000</v>
      </c>
      <c r="D52" s="87">
        <f t="shared" si="12"/>
        <v>583.1</v>
      </c>
      <c r="E52" s="87">
        <f t="shared" si="13"/>
        <v>29.155000000000001</v>
      </c>
      <c r="F52" s="38">
        <f t="shared" si="14"/>
        <v>5059.1665237523575</v>
      </c>
      <c r="G52" s="38" cm="1">
        <f t="array" ref="G52">M_HP_ratio*F52/_xlfn.SWITCH($C$8,"mercury",NSC_M_h,"hot mercury", NSC_HM_h)</f>
        <v>79.049476933630586</v>
      </c>
      <c r="H52" s="82">
        <f t="shared" si="15"/>
        <v>15493.697478991595</v>
      </c>
      <c r="I52" s="82">
        <f t="shared" si="16"/>
        <v>5059.1665237523575</v>
      </c>
      <c r="J52" s="82">
        <f t="shared" si="17"/>
        <v>5059.1665237523575</v>
      </c>
      <c r="K52" s="82">
        <f t="shared" si="18"/>
        <v>552.86400274395419</v>
      </c>
    </row>
    <row r="53" spans="1:11" x14ac:dyDescent="0.4">
      <c r="A53" s="84" t="str">
        <v>Cm-247+5n -&gt; Cf-252 +2e+2ν̅e</v>
      </c>
      <c r="B53" s="84">
        <v>5795000</v>
      </c>
      <c r="C53" s="84">
        <v>2990000</v>
      </c>
      <c r="D53" s="88">
        <f t="shared" si="12"/>
        <v>579.5</v>
      </c>
      <c r="E53" s="88">
        <f t="shared" si="13"/>
        <v>28.975000000000001</v>
      </c>
      <c r="F53" s="39">
        <f t="shared" si="14"/>
        <v>5159.6203623813635</v>
      </c>
      <c r="G53" s="39" cm="1">
        <f t="array" ref="G53">M_HP_ratio*F53/_xlfn.SWITCH($C$8,"mercury",NSC_M_h,"hot mercury", NSC_HM_h)</f>
        <v>80.619068162208805</v>
      </c>
      <c r="H53" s="85">
        <f t="shared" si="15"/>
        <v>15801.337359792926</v>
      </c>
      <c r="I53" s="85">
        <f t="shared" si="16"/>
        <v>5159.6203623813635</v>
      </c>
      <c r="J53" s="85">
        <f t="shared" si="17"/>
        <v>5159.6203623813635</v>
      </c>
      <c r="K53" s="85">
        <f t="shared" si="18"/>
        <v>960.95772217428748</v>
      </c>
    </row>
  </sheetData>
  <mergeCells count="2">
    <mergeCell ref="A1:I2"/>
    <mergeCell ref="A3:I5"/>
  </mergeCells>
  <pageMargins left="0.7" right="0.7" top="0.75" bottom="0.75" header="0.3" footer="0.3"/>
  <extLst>
    <ext xmlns:x14="http://schemas.microsoft.com/office/spreadsheetml/2009/9/main" uri="{CCE6A557-97BC-4b89-ADB6-D9C93CAAB3DF}">
      <x14:dataValidations xmlns:xm="http://schemas.microsoft.com/office/excel/2006/main" disablePrompts="1" count="2">
        <x14:dataValidation type="list" allowBlank="1" showInputMessage="1" showErrorMessage="1" promptTitle="Input Particle" xr:uid="{549BBDB9-C7FB-43BC-A7ED-5498B1D2186F}">
          <x14:formula1>
            <xm:f>Settings!$A$46:$A$48</xm:f>
          </x14:formula1>
          <xm:sqref>A8</xm:sqref>
        </x14:dataValidation>
        <x14:dataValidation type="list" allowBlank="1" showInputMessage="1" showErrorMessage="1" xr:uid="{532964F5-AB04-431B-A81D-BF8E6D6A5C33}">
          <x14:formula1>
            <xm:f>Settings!$B$46:$B$47</xm:f>
          </x14:formula1>
          <xm:sqref>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EEFB-1AB3-4839-857A-CE39E4B5888E}">
  <dimension ref="A1:P65"/>
  <sheetViews>
    <sheetView workbookViewId="0">
      <selection activeCell="A25" sqref="A25"/>
    </sheetView>
  </sheetViews>
  <sheetFormatPr defaultRowHeight="14.6" x14ac:dyDescent="0.4"/>
  <cols>
    <col min="1" max="1" width="35.07421875" bestFit="1" customWidth="1"/>
    <col min="2" max="2" width="25.3828125" bestFit="1" customWidth="1"/>
    <col min="3" max="3" width="23.53515625" bestFit="1" customWidth="1"/>
    <col min="4" max="4" width="22.3828125" bestFit="1" customWidth="1"/>
    <col min="5" max="5" width="22.07421875" bestFit="1" customWidth="1"/>
    <col min="6" max="6" width="22.765625" bestFit="1" customWidth="1"/>
    <col min="7" max="7" width="29.23046875" bestFit="1" customWidth="1"/>
    <col min="8" max="8" width="36.23046875" bestFit="1" customWidth="1"/>
    <col min="10" max="10" width="23.4609375" bestFit="1" customWidth="1"/>
    <col min="11" max="11" width="12.23046875" bestFit="1" customWidth="1"/>
    <col min="12" max="12" width="30.61328125" bestFit="1" customWidth="1"/>
    <col min="13" max="13" width="28.765625" bestFit="1" customWidth="1"/>
    <col min="14" max="14" width="16.23046875" bestFit="1" customWidth="1"/>
    <col min="15" max="15" width="19.53515625" bestFit="1" customWidth="1"/>
    <col min="16" max="16" width="17.765625" bestFit="1" customWidth="1"/>
    <col min="17" max="17" width="13.61328125" bestFit="1" customWidth="1"/>
  </cols>
  <sheetData>
    <row r="1" spans="1:8" ht="14.6" customHeight="1" x14ac:dyDescent="0.4">
      <c r="A1" s="115" t="s">
        <v>1248</v>
      </c>
      <c r="B1" s="115"/>
      <c r="C1" s="115"/>
      <c r="D1" s="115"/>
      <c r="E1" s="115"/>
      <c r="F1" s="115"/>
      <c r="G1" s="115"/>
      <c r="H1" s="115"/>
    </row>
    <row r="2" spans="1:8" ht="14.6" customHeight="1" x14ac:dyDescent="0.4">
      <c r="A2" s="115"/>
      <c r="B2" s="115"/>
      <c r="C2" s="115"/>
      <c r="D2" s="115"/>
      <c r="E2" s="115"/>
      <c r="F2" s="115"/>
      <c r="G2" s="115"/>
      <c r="H2" s="115"/>
    </row>
    <row r="3" spans="1:8" ht="14.6" customHeight="1" x14ac:dyDescent="0.4">
      <c r="A3" s="102" t="s">
        <v>1255</v>
      </c>
      <c r="B3" s="102"/>
      <c r="C3" s="102"/>
      <c r="D3" s="102"/>
      <c r="E3" s="102"/>
      <c r="F3" s="102"/>
      <c r="G3" s="102"/>
      <c r="H3" s="102"/>
    </row>
    <row r="4" spans="1:8" x14ac:dyDescent="0.4">
      <c r="A4" s="102"/>
      <c r="B4" s="102"/>
      <c r="C4" s="102"/>
      <c r="D4" s="102"/>
      <c r="E4" s="102"/>
      <c r="F4" s="102"/>
      <c r="G4" s="102"/>
      <c r="H4" s="102"/>
    </row>
    <row r="5" spans="1:8" x14ac:dyDescent="0.4">
      <c r="A5" s="102"/>
      <c r="B5" s="102"/>
      <c r="C5" s="102"/>
      <c r="D5" s="102"/>
      <c r="E5" s="102"/>
      <c r="F5" s="102"/>
      <c r="G5" s="102"/>
      <c r="H5" s="102"/>
    </row>
    <row r="6" spans="1:8" x14ac:dyDescent="0.4">
      <c r="A6" s="102"/>
      <c r="B6" s="102"/>
      <c r="C6" s="102"/>
      <c r="D6" s="102"/>
      <c r="E6" s="102"/>
      <c r="F6" s="102"/>
      <c r="G6" s="102"/>
      <c r="H6" s="102"/>
    </row>
    <row r="7" spans="1:8" x14ac:dyDescent="0.4">
      <c r="A7" s="102"/>
      <c r="B7" s="102"/>
      <c r="C7" s="102"/>
      <c r="D7" s="102"/>
      <c r="E7" s="102"/>
      <c r="F7" s="102"/>
      <c r="G7" s="102"/>
      <c r="H7" s="102"/>
    </row>
    <row r="8" spans="1:8" x14ac:dyDescent="0.4">
      <c r="A8" s="69"/>
      <c r="B8" s="69"/>
      <c r="C8" s="69"/>
      <c r="D8" s="69"/>
      <c r="E8" s="69"/>
      <c r="F8" s="69"/>
      <c r="G8" s="69"/>
      <c r="H8" s="69"/>
    </row>
    <row r="11" spans="1:8" ht="15" thickBot="1" x14ac:dyDescent="0.45">
      <c r="A11" s="56" t="s">
        <v>1193</v>
      </c>
      <c r="B11" s="57" t="s">
        <v>1192</v>
      </c>
      <c r="C11" s="57" t="s">
        <v>1194</v>
      </c>
      <c r="D11" s="57" t="s">
        <v>1195</v>
      </c>
      <c r="E11" s="57" t="s">
        <v>1196</v>
      </c>
      <c r="F11" s="57" t="s">
        <v>1213</v>
      </c>
      <c r="G11" s="57" t="s">
        <v>1197</v>
      </c>
      <c r="H11" s="63" t="s">
        <v>1214</v>
      </c>
    </row>
    <row r="12" spans="1:8" ht="15" thickTop="1" x14ac:dyDescent="0.4">
      <c r="A12" s="2" t="s">
        <v>1191</v>
      </c>
      <c r="B12" s="10">
        <f>INDEX(LiquefierRecipes[Input amount (mB)],MATCH(A12,LiquefierRecipes[Recipe],0))</f>
        <v>64</v>
      </c>
      <c r="C12" s="10">
        <f>INDEX(LiquefierRecipes[Output amount (mB)],MATCH(A12,LiquefierRecipes[Recipe],0))</f>
        <v>1</v>
      </c>
      <c r="D12" s="10">
        <f>INDEX(LiquefierRecipes[Base RF (RF)],MATCH(A12,LiquefierRecipes[Recipe],0))</f>
        <v>50</v>
      </c>
      <c r="E12" s="10">
        <f>INDEX(LiquefierRecipes[Base Heat (H)],MATCH(A12,LiquefierRecipes[Recipe],0))</f>
        <v>1000</v>
      </c>
      <c r="F12" s="10">
        <f>INDEX(LiquefierRecipes[Inversion Temperature (K)],MATCH(A12,LiquefierRecipes[Recipe],0))</f>
        <v>40</v>
      </c>
      <c r="G12" s="10">
        <f>INDEX(LiquefierRecipes[Hot Gas Temperature (K)],MATCH(A12,LiquefierRecipes[Recipe],0))</f>
        <v>400</v>
      </c>
      <c r="H12" s="10">
        <f>INDEX(LiquefierRecipes[Pressure Coefficient],MATCH(A12,LiquefierRecipes[Recipe],0))</f>
        <v>0.1</v>
      </c>
    </row>
    <row r="14" spans="1:8" ht="15" thickBot="1" x14ac:dyDescent="0.45">
      <c r="A14" s="56" t="s">
        <v>1215</v>
      </c>
      <c r="B14" s="57" t="s">
        <v>1192</v>
      </c>
      <c r="C14" s="57" t="s">
        <v>1194</v>
      </c>
      <c r="D14" s="57" t="s">
        <v>1210</v>
      </c>
      <c r="E14" s="57" t="s">
        <v>1204</v>
      </c>
      <c r="F14" s="57" t="s">
        <v>1205</v>
      </c>
    </row>
    <row r="15" spans="1:8" ht="15" thickTop="1" x14ac:dyDescent="0.4">
      <c r="A15" s="2" t="s">
        <v>1262</v>
      </c>
      <c r="B15" s="10">
        <f>INDEX(LiquefierCoolantRecipes[Input amount (mB)],MATCH(A15,LiquefierCoolantRecipes[Recipe],0))</f>
        <v>1</v>
      </c>
      <c r="C15" s="10">
        <f>INDEX(LiquefierCoolantRecipes[Output amount (mB)],MATCH(A15,LiquefierCoolantRecipes[Recipe],0))</f>
        <v>64</v>
      </c>
      <c r="D15" s="10">
        <f>INDEX(LiquefierCoolantRecipes[Heat (H)],MATCH(A15,LiquefierCoolantRecipes[Recipe],0))</f>
        <v>1000</v>
      </c>
      <c r="E15" s="10">
        <f>INDEX(LiquefierCoolantRecipes[Input Temperature (K)],MATCH(A15,LiquefierCoolantRecipes[Recipe],0))</f>
        <v>27</v>
      </c>
      <c r="F15" s="10">
        <f>INDEX(LiquefierCoolantRecipes[Output Temperature (K)],MATCH(A15,LiquefierCoolantRecipes[Recipe],0))</f>
        <v>300</v>
      </c>
    </row>
    <row r="17" spans="1:16" x14ac:dyDescent="0.4">
      <c r="A17" s="1" t="s">
        <v>1237</v>
      </c>
      <c r="B17" s="1" t="s">
        <v>1238</v>
      </c>
    </row>
    <row r="18" spans="1:16" x14ac:dyDescent="0.4">
      <c r="A18" s="10">
        <f>(G12-F15)/2</f>
        <v>50</v>
      </c>
      <c r="B18" s="41" t="str">
        <f>IF(F12&gt;E15,"Cold Enougth","Not Cold Enougth")</f>
        <v>Cold Enougth</v>
      </c>
    </row>
    <row r="20" spans="1:16" x14ac:dyDescent="0.4">
      <c r="A20" s="55" t="s">
        <v>1241</v>
      </c>
      <c r="C20" s="116" t="s">
        <v>1240</v>
      </c>
      <c r="D20" s="116"/>
      <c r="E20" s="116"/>
      <c r="G20" s="116" t="s">
        <v>1256</v>
      </c>
      <c r="H20" s="116"/>
    </row>
    <row r="21" spans="1:16" x14ac:dyDescent="0.4">
      <c r="A21" s="1" t="s">
        <v>1225</v>
      </c>
      <c r="C21" s="1" t="s">
        <v>1226</v>
      </c>
      <c r="D21" s="1" t="s">
        <v>1221</v>
      </c>
      <c r="E21" s="1" t="s">
        <v>1224</v>
      </c>
      <c r="G21" s="1" t="s">
        <v>1239</v>
      </c>
      <c r="H21" s="1" t="s">
        <v>1236</v>
      </c>
    </row>
    <row r="22" spans="1:16" x14ac:dyDescent="0.4">
      <c r="A22" s="2">
        <v>1</v>
      </c>
      <c r="C22" s="2">
        <v>2</v>
      </c>
      <c r="D22" s="64">
        <v>0.85</v>
      </c>
      <c r="E22" s="64">
        <v>0.95</v>
      </c>
      <c r="G22" s="2">
        <v>28</v>
      </c>
      <c r="H22" s="2">
        <v>24</v>
      </c>
    </row>
    <row r="25" spans="1:16" x14ac:dyDescent="0.4">
      <c r="A25" s="1" t="s">
        <v>1217</v>
      </c>
      <c r="B25" s="1" t="s">
        <v>1222</v>
      </c>
      <c r="C25" s="1" t="s">
        <v>1218</v>
      </c>
      <c r="D25" s="1" t="s">
        <v>1219</v>
      </c>
      <c r="E25" s="1" t="s">
        <v>1223</v>
      </c>
      <c r="F25" s="1" t="s">
        <v>1230</v>
      </c>
      <c r="G25" s="1" t="s">
        <v>1220</v>
      </c>
      <c r="H25" s="1" t="s">
        <v>1231</v>
      </c>
    </row>
    <row r="26" spans="1:16" x14ac:dyDescent="0.4">
      <c r="A26" s="10">
        <f>10*(C22/A22)^2</f>
        <v>40</v>
      </c>
      <c r="B26" s="6">
        <f>$D$22^A29</f>
        <v>0.72249999999999992</v>
      </c>
      <c r="C26" s="6">
        <f>$E$22^A29</f>
        <v>0.90249999999999997</v>
      </c>
      <c r="D26" s="6">
        <f>1-1/($H$12*A26+1)</f>
        <v>0.8</v>
      </c>
      <c r="E26" s="6">
        <f>B26*D26</f>
        <v>0.57799999999999996</v>
      </c>
      <c r="F26" s="6">
        <f>1/E26</f>
        <v>1.7301038062283738</v>
      </c>
      <c r="G26" s="6">
        <f>C26*D26</f>
        <v>0.72199999999999998</v>
      </c>
      <c r="H26" s="6">
        <f>1/G26</f>
        <v>1.3850415512465375</v>
      </c>
    </row>
    <row r="28" spans="1:16" x14ac:dyDescent="0.4">
      <c r="A28" s="1" t="s">
        <v>1249</v>
      </c>
      <c r="B28" s="1" t="s">
        <v>1234</v>
      </c>
      <c r="C28" s="1" t="s">
        <v>1233</v>
      </c>
      <c r="D28" s="1" t="s">
        <v>1228</v>
      </c>
      <c r="E28" s="1" t="s">
        <v>1229</v>
      </c>
      <c r="F28" s="1" t="s">
        <v>1232</v>
      </c>
      <c r="G28" s="1" t="s">
        <v>1235</v>
      </c>
      <c r="H28" s="1" t="s">
        <v>1250</v>
      </c>
      <c r="J28" s="1" t="s">
        <v>1216</v>
      </c>
      <c r="K28" s="1" t="s">
        <v>1217</v>
      </c>
      <c r="L28" s="1" t="s">
        <v>1260</v>
      </c>
      <c r="M28" s="1" t="s">
        <v>1261</v>
      </c>
      <c r="N28" s="1" t="s">
        <v>1219</v>
      </c>
      <c r="O28" s="1" t="s">
        <v>1258</v>
      </c>
      <c r="P28" s="1" t="s">
        <v>1259</v>
      </c>
    </row>
    <row r="29" spans="1:16" x14ac:dyDescent="0.4">
      <c r="A29" s="10">
        <f>C22/A22</f>
        <v>2</v>
      </c>
      <c r="B29" s="10">
        <f>C29/C12*B12</f>
        <v>1024</v>
      </c>
      <c r="C29" s="10">
        <f>D29*G26/E12*C12</f>
        <v>16</v>
      </c>
      <c r="D29" s="10">
        <f>MIN(LiqNozzleSpeed*A26*E12*H26*A22,A18*H22*G22*A22)</f>
        <v>22160.664819944599</v>
      </c>
      <c r="E29" s="10">
        <f>C29/C12*D12*F26</f>
        <v>1384.083044982699</v>
      </c>
      <c r="F29" s="10">
        <f>D29/D15*B15</f>
        <v>22.1606648199446</v>
      </c>
      <c r="G29" s="10">
        <f>D29/D15*C15</f>
        <v>1418.2825484764544</v>
      </c>
      <c r="H29" s="10">
        <f>G22*A22</f>
        <v>28</v>
      </c>
      <c r="J29" s="10">
        <v>1</v>
      </c>
      <c r="K29" s="10">
        <f>10*J29^2</f>
        <v>10</v>
      </c>
      <c r="L29" s="6">
        <f>$D$22^J29</f>
        <v>0.85</v>
      </c>
      <c r="M29" s="6">
        <f>$E$22^J29</f>
        <v>0.95</v>
      </c>
      <c r="N29" s="6">
        <f>1-1/($H$12*K29+1)</f>
        <v>0.5</v>
      </c>
      <c r="O29" s="6">
        <f>L29*N29</f>
        <v>0.42499999999999999</v>
      </c>
      <c r="P29" s="6">
        <f>M29*N29</f>
        <v>0.47499999999999998</v>
      </c>
    </row>
    <row r="30" spans="1:16" x14ac:dyDescent="0.4">
      <c r="J30" s="10">
        <v>1.25</v>
      </c>
      <c r="K30" s="10">
        <f t="shared" ref="K30:K65" si="0">10*J30^2</f>
        <v>15.625</v>
      </c>
      <c r="L30" s="6">
        <f>$D$22^J30</f>
        <v>0.81615690099355964</v>
      </c>
      <c r="M30" s="6">
        <f t="shared" ref="M30:M65" si="1">$E$22^J30</f>
        <v>0.93789561765636209</v>
      </c>
      <c r="N30" s="6">
        <f t="shared" ref="N30:N65" si="2">1-1/($H$12*K30+1)</f>
        <v>0.6097560975609756</v>
      </c>
      <c r="O30" s="6">
        <f t="shared" ref="O30:O47" si="3">L30*N30</f>
        <v>0.49765664694729245</v>
      </c>
      <c r="P30" s="6">
        <f t="shared" ref="P30:P47" si="4">M30*N30</f>
        <v>0.57188757174168414</v>
      </c>
    </row>
    <row r="31" spans="1:16" x14ac:dyDescent="0.4">
      <c r="A31" s="1" t="s">
        <v>1251</v>
      </c>
      <c r="B31" s="1" t="s">
        <v>1242</v>
      </c>
      <c r="C31" s="1" t="s">
        <v>1243</v>
      </c>
      <c r="D31" s="1" t="s">
        <v>1244</v>
      </c>
      <c r="E31" s="1" t="s">
        <v>1245</v>
      </c>
      <c r="F31" s="1" t="s">
        <v>1246</v>
      </c>
      <c r="G31" s="1" t="s">
        <v>1247</v>
      </c>
      <c r="H31" s="1" t="s">
        <v>1252</v>
      </c>
      <c r="J31" s="10">
        <v>1.5</v>
      </c>
      <c r="K31" s="10">
        <f t="shared" si="0"/>
        <v>22.5</v>
      </c>
      <c r="L31" s="6">
        <f t="shared" ref="L31:L65" si="5">$D$22^J31</f>
        <v>0.78366127886989534</v>
      </c>
      <c r="M31" s="6">
        <f t="shared" si="1"/>
        <v>0.92594546275685152</v>
      </c>
      <c r="N31" s="6">
        <f t="shared" si="2"/>
        <v>0.69230769230769229</v>
      </c>
      <c r="O31" s="6">
        <f t="shared" si="3"/>
        <v>0.54253473152531217</v>
      </c>
      <c r="P31" s="6">
        <f t="shared" si="4"/>
        <v>0.64103916652397408</v>
      </c>
    </row>
    <row r="32" spans="1:16" x14ac:dyDescent="0.4">
      <c r="A32" s="10">
        <f>ROUNDUP((D32/A22)/(H22*A18),0)</f>
        <v>19</v>
      </c>
      <c r="B32" s="10">
        <f>LiqNozzleSpeed*A26*B12*A22</f>
        <v>1024</v>
      </c>
      <c r="C32" s="10">
        <f>LiqNozzleSpeed*A26*C12*A22</f>
        <v>16</v>
      </c>
      <c r="D32" s="10">
        <f>LiqNozzleSpeed*A26*E12*H26*A22</f>
        <v>22160.664819944599</v>
      </c>
      <c r="E32" s="10">
        <f>LiqNozzleSpeed*A26*D12*F26*A22</f>
        <v>1384.083044982699</v>
      </c>
      <c r="F32" s="10">
        <f>D32/D15*B15</f>
        <v>22.1606648199446</v>
      </c>
      <c r="G32" s="10">
        <f>D32/D15*C15</f>
        <v>1418.2825484764544</v>
      </c>
      <c r="H32" s="10">
        <f>A32*A22</f>
        <v>19</v>
      </c>
      <c r="J32" s="10">
        <v>1.75</v>
      </c>
      <c r="K32" s="10">
        <f t="shared" si="0"/>
        <v>30.625</v>
      </c>
      <c r="L32" s="6">
        <f t="shared" si="5"/>
        <v>0.7524594832836512</v>
      </c>
      <c r="M32" s="6">
        <f t="shared" si="1"/>
        <v>0.91414757021941395</v>
      </c>
      <c r="N32" s="6">
        <f t="shared" si="2"/>
        <v>0.75384615384615383</v>
      </c>
      <c r="O32" s="6">
        <f t="shared" si="3"/>
        <v>0.56723868739844474</v>
      </c>
      <c r="P32" s="6">
        <f t="shared" si="4"/>
        <v>0.689126629857712</v>
      </c>
    </row>
    <row r="33" spans="10:16" x14ac:dyDescent="0.4">
      <c r="J33" s="10">
        <v>2</v>
      </c>
      <c r="K33" s="10">
        <f t="shared" si="0"/>
        <v>40</v>
      </c>
      <c r="L33" s="6">
        <f t="shared" si="5"/>
        <v>0.72249999999999992</v>
      </c>
      <c r="M33" s="6">
        <f t="shared" si="1"/>
        <v>0.90249999999999997</v>
      </c>
      <c r="N33" s="6">
        <f t="shared" si="2"/>
        <v>0.8</v>
      </c>
      <c r="O33" s="6">
        <f t="shared" si="3"/>
        <v>0.57799999999999996</v>
      </c>
      <c r="P33" s="6">
        <f t="shared" si="4"/>
        <v>0.72199999999999998</v>
      </c>
    </row>
    <row r="34" spans="10:16" x14ac:dyDescent="0.4">
      <c r="J34" s="10">
        <v>2.25</v>
      </c>
      <c r="K34" s="10">
        <f t="shared" si="0"/>
        <v>50.625</v>
      </c>
      <c r="L34" s="6">
        <f t="shared" si="5"/>
        <v>0.69373336584452561</v>
      </c>
      <c r="M34" s="6">
        <f t="shared" si="1"/>
        <v>0.89100083677354391</v>
      </c>
      <c r="N34" s="6">
        <f t="shared" si="2"/>
        <v>0.83505154639175261</v>
      </c>
      <c r="O34" s="6">
        <f t="shared" si="3"/>
        <v>0.57930311993202654</v>
      </c>
      <c r="P34" s="6">
        <f t="shared" si="4"/>
        <v>0.74403162658409339</v>
      </c>
    </row>
    <row r="35" spans="10:16" x14ac:dyDescent="0.4">
      <c r="J35" s="10">
        <v>2.5</v>
      </c>
      <c r="K35" s="10">
        <f t="shared" si="0"/>
        <v>62.5</v>
      </c>
      <c r="L35" s="6">
        <f t="shared" si="5"/>
        <v>0.66611208703941105</v>
      </c>
      <c r="M35" s="6">
        <f t="shared" si="1"/>
        <v>0.87964818961900892</v>
      </c>
      <c r="N35" s="6">
        <f t="shared" si="2"/>
        <v>0.86206896551724133</v>
      </c>
      <c r="O35" s="6">
        <f t="shared" si="3"/>
        <v>0.57423455779259569</v>
      </c>
      <c r="P35" s="6">
        <f t="shared" si="4"/>
        <v>0.75831740484397314</v>
      </c>
    </row>
    <row r="36" spans="10:16" x14ac:dyDescent="0.4">
      <c r="J36" s="10">
        <v>2.75</v>
      </c>
      <c r="K36" s="10">
        <f t="shared" si="0"/>
        <v>75.625</v>
      </c>
      <c r="L36" s="6">
        <f t="shared" si="5"/>
        <v>0.63959056079110355</v>
      </c>
      <c r="M36" s="6">
        <f t="shared" si="1"/>
        <v>0.86844019170844322</v>
      </c>
      <c r="N36" s="6">
        <f t="shared" si="2"/>
        <v>0.88321167883211682</v>
      </c>
      <c r="O36" s="6">
        <f t="shared" si="3"/>
        <v>0.56489385296148564</v>
      </c>
      <c r="P36" s="6">
        <f t="shared" si="4"/>
        <v>0.76701651968409956</v>
      </c>
    </row>
    <row r="37" spans="10:16" x14ac:dyDescent="0.4">
      <c r="J37" s="10">
        <v>3</v>
      </c>
      <c r="K37" s="10">
        <f t="shared" si="0"/>
        <v>90</v>
      </c>
      <c r="L37" s="6">
        <f t="shared" si="5"/>
        <v>0.61412499999999992</v>
      </c>
      <c r="M37" s="6">
        <f t="shared" si="1"/>
        <v>0.85737499999999989</v>
      </c>
      <c r="N37" s="6">
        <f t="shared" si="2"/>
        <v>0.9</v>
      </c>
      <c r="O37" s="6">
        <f t="shared" si="3"/>
        <v>0.55271249999999994</v>
      </c>
      <c r="P37" s="6">
        <f t="shared" si="4"/>
        <v>0.77163749999999987</v>
      </c>
    </row>
    <row r="38" spans="10:16" x14ac:dyDescent="0.4">
      <c r="J38" s="10">
        <v>3.25</v>
      </c>
      <c r="K38" s="10">
        <f t="shared" si="0"/>
        <v>105.625</v>
      </c>
      <c r="L38" s="6">
        <f t="shared" si="5"/>
        <v>0.58967336096784684</v>
      </c>
      <c r="M38" s="6">
        <f t="shared" si="1"/>
        <v>0.84645079493486675</v>
      </c>
      <c r="N38" s="6">
        <f t="shared" si="2"/>
        <v>0.91351351351351351</v>
      </c>
      <c r="O38" s="6">
        <f t="shared" si="3"/>
        <v>0.5386745838030601</v>
      </c>
      <c r="P38" s="6">
        <f t="shared" si="4"/>
        <v>0.77324423969725664</v>
      </c>
    </row>
    <row r="39" spans="10:16" x14ac:dyDescent="0.4">
      <c r="J39" s="10">
        <v>3.5</v>
      </c>
      <c r="K39" s="10">
        <f t="shared" si="0"/>
        <v>122.5</v>
      </c>
      <c r="L39" s="6">
        <f t="shared" si="5"/>
        <v>0.56619527398349934</v>
      </c>
      <c r="M39" s="6">
        <f t="shared" si="1"/>
        <v>0.83566578013805837</v>
      </c>
      <c r="N39" s="6">
        <f t="shared" si="2"/>
        <v>0.92452830188679247</v>
      </c>
      <c r="O39" s="6">
        <f t="shared" si="3"/>
        <v>0.52346355519229182</v>
      </c>
      <c r="P39" s="6">
        <f t="shared" si="4"/>
        <v>0.77259666465594079</v>
      </c>
    </row>
    <row r="40" spans="10:16" x14ac:dyDescent="0.4">
      <c r="J40" s="10">
        <v>3.75</v>
      </c>
      <c r="K40" s="10">
        <f t="shared" si="0"/>
        <v>140.625</v>
      </c>
      <c r="L40" s="6">
        <f t="shared" si="5"/>
        <v>0.54365197667243803</v>
      </c>
      <c r="M40" s="6">
        <f t="shared" si="1"/>
        <v>0.82501818212302103</v>
      </c>
      <c r="N40" s="6">
        <f t="shared" si="2"/>
        <v>0.93360995850622408</v>
      </c>
      <c r="O40" s="6">
        <f t="shared" si="3"/>
        <v>0.5075588993829816</v>
      </c>
      <c r="P40" s="6">
        <f t="shared" si="4"/>
        <v>0.77024519077875409</v>
      </c>
    </row>
    <row r="41" spans="10:16" x14ac:dyDescent="0.4">
      <c r="J41" s="10">
        <v>4</v>
      </c>
      <c r="K41" s="10">
        <f t="shared" si="0"/>
        <v>160</v>
      </c>
      <c r="L41" s="6">
        <f t="shared" si="5"/>
        <v>0.52200624999999989</v>
      </c>
      <c r="M41" s="6">
        <f t="shared" si="1"/>
        <v>0.81450624999999999</v>
      </c>
      <c r="N41" s="6">
        <f t="shared" si="2"/>
        <v>0.94117647058823528</v>
      </c>
      <c r="O41" s="6">
        <f t="shared" si="3"/>
        <v>0.4912999999999999</v>
      </c>
      <c r="P41" s="6">
        <f t="shared" si="4"/>
        <v>0.76659411764705876</v>
      </c>
    </row>
    <row r="42" spans="10:16" x14ac:dyDescent="0.4">
      <c r="J42" s="10">
        <v>4.25</v>
      </c>
      <c r="K42" s="10">
        <f t="shared" si="0"/>
        <v>180.625</v>
      </c>
      <c r="L42" s="6">
        <f t="shared" si="5"/>
        <v>0.50122235682266969</v>
      </c>
      <c r="M42" s="6">
        <f t="shared" si="1"/>
        <v>0.80412825518812336</v>
      </c>
      <c r="N42" s="6">
        <f t="shared" si="2"/>
        <v>0.94754098360655736</v>
      </c>
      <c r="O42" s="6">
        <f t="shared" si="3"/>
        <v>0.47492872498934929</v>
      </c>
      <c r="P42" s="6">
        <f t="shared" si="4"/>
        <v>0.76194447786677921</v>
      </c>
    </row>
    <row r="43" spans="10:16" x14ac:dyDescent="0.4">
      <c r="J43" s="10">
        <v>4.5</v>
      </c>
      <c r="K43" s="10">
        <f t="shared" si="0"/>
        <v>202.5</v>
      </c>
      <c r="L43" s="6">
        <f t="shared" si="5"/>
        <v>0.4812659828859745</v>
      </c>
      <c r="M43" s="6">
        <f t="shared" si="1"/>
        <v>0.7938824911311555</v>
      </c>
      <c r="N43" s="6">
        <f t="shared" si="2"/>
        <v>0.95294117647058818</v>
      </c>
      <c r="O43" s="6">
        <f t="shared" si="3"/>
        <v>0.45861817192663451</v>
      </c>
      <c r="P43" s="6">
        <f t="shared" si="4"/>
        <v>0.75652331507792459</v>
      </c>
    </row>
    <row r="44" spans="10:16" x14ac:dyDescent="0.4">
      <c r="J44" s="10">
        <v>4.75</v>
      </c>
      <c r="K44" s="10">
        <f t="shared" si="0"/>
        <v>225.625</v>
      </c>
      <c r="L44" s="6">
        <f t="shared" si="5"/>
        <v>0.46210418017157223</v>
      </c>
      <c r="M44" s="6">
        <f t="shared" si="1"/>
        <v>0.78376727301686999</v>
      </c>
      <c r="N44" s="6">
        <f t="shared" si="2"/>
        <v>0.95755968169761274</v>
      </c>
      <c r="O44" s="6">
        <f t="shared" si="3"/>
        <v>0.44249233167622698</v>
      </c>
      <c r="P44" s="6">
        <f t="shared" si="4"/>
        <v>0.75050394047503999</v>
      </c>
    </row>
    <row r="45" spans="10:16" x14ac:dyDescent="0.4">
      <c r="J45" s="10">
        <v>5</v>
      </c>
      <c r="K45" s="10">
        <f t="shared" si="0"/>
        <v>250</v>
      </c>
      <c r="L45" s="6">
        <f t="shared" si="5"/>
        <v>0.44370531249999989</v>
      </c>
      <c r="M45" s="6">
        <f t="shared" si="1"/>
        <v>0.77378093749999999</v>
      </c>
      <c r="N45" s="6">
        <f t="shared" si="2"/>
        <v>0.96153846153846156</v>
      </c>
      <c r="O45" s="6">
        <f t="shared" si="3"/>
        <v>0.4266397235576922</v>
      </c>
      <c r="P45" s="6">
        <f t="shared" si="4"/>
        <v>0.74402013221153851</v>
      </c>
    </row>
    <row r="46" spans="10:16" x14ac:dyDescent="0.4">
      <c r="J46" s="10">
        <v>5.25</v>
      </c>
      <c r="K46" s="10">
        <f t="shared" si="0"/>
        <v>275.625</v>
      </c>
      <c r="L46" s="6">
        <f t="shared" si="5"/>
        <v>0.42603900329926925</v>
      </c>
      <c r="M46" s="6">
        <f t="shared" si="1"/>
        <v>0.76392184242871708</v>
      </c>
      <c r="N46" s="6">
        <f t="shared" si="2"/>
        <v>0.96498905908096277</v>
      </c>
      <c r="O46" s="6">
        <f t="shared" si="3"/>
        <v>0.41112297692555305</v>
      </c>
      <c r="P46" s="6">
        <f t="shared" si="4"/>
        <v>0.73717621993668325</v>
      </c>
    </row>
    <row r="47" spans="10:16" x14ac:dyDescent="0.4">
      <c r="J47" s="10">
        <v>5.5</v>
      </c>
      <c r="K47" s="10">
        <f t="shared" si="0"/>
        <v>302.5</v>
      </c>
      <c r="L47" s="6">
        <f t="shared" si="5"/>
        <v>0.40907608545307833</v>
      </c>
      <c r="M47" s="6">
        <f t="shared" si="1"/>
        <v>0.75418836657459765</v>
      </c>
      <c r="N47" s="6">
        <f t="shared" si="2"/>
        <v>0.96799999999999997</v>
      </c>
      <c r="O47" s="6">
        <f t="shared" si="3"/>
        <v>0.39598565071857983</v>
      </c>
      <c r="P47" s="6">
        <f t="shared" si="4"/>
        <v>0.73005433884421045</v>
      </c>
    </row>
    <row r="48" spans="10:16" x14ac:dyDescent="0.4">
      <c r="J48" s="10">
        <v>5.75</v>
      </c>
      <c r="K48" s="10">
        <f t="shared" si="0"/>
        <v>330.625</v>
      </c>
      <c r="L48" s="6">
        <f t="shared" si="5"/>
        <v>0.39278855314583644</v>
      </c>
      <c r="M48" s="6">
        <f t="shared" si="1"/>
        <v>0.74457890936602644</v>
      </c>
      <c r="N48" s="6">
        <f t="shared" si="2"/>
        <v>0.97064220183486238</v>
      </c>
      <c r="O48" s="6">
        <f t="shared" ref="O48:O65" si="6">L48*N48</f>
        <v>0.38125714608100453</v>
      </c>
      <c r="P48" s="6">
        <f t="shared" ref="P48:P65" si="7">M48*N48</f>
        <v>0.72271971202684038</v>
      </c>
    </row>
    <row r="49" spans="10:16" x14ac:dyDescent="0.4">
      <c r="J49" s="10">
        <v>6</v>
      </c>
      <c r="K49" s="10">
        <f t="shared" si="0"/>
        <v>360</v>
      </c>
      <c r="L49" s="6">
        <f t="shared" si="5"/>
        <v>0.37714951562499988</v>
      </c>
      <c r="M49" s="6">
        <f t="shared" si="1"/>
        <v>0.73509189062499991</v>
      </c>
      <c r="N49" s="6">
        <f t="shared" si="2"/>
        <v>0.97297297297297303</v>
      </c>
      <c r="O49" s="6">
        <f t="shared" si="6"/>
        <v>0.36695628547297288</v>
      </c>
      <c r="P49" s="6">
        <f t="shared" si="7"/>
        <v>0.71522454222972964</v>
      </c>
    </row>
    <row r="50" spans="10:16" x14ac:dyDescent="0.4">
      <c r="J50" s="10">
        <v>6.25</v>
      </c>
      <c r="K50" s="10">
        <f t="shared" si="0"/>
        <v>390.625</v>
      </c>
      <c r="L50" s="6">
        <f t="shared" si="5"/>
        <v>0.36213315280437886</v>
      </c>
      <c r="M50" s="6">
        <f t="shared" si="1"/>
        <v>0.72572575030728126</v>
      </c>
      <c r="N50" s="6">
        <f t="shared" si="2"/>
        <v>0.9750390015600624</v>
      </c>
      <c r="O50" s="6">
        <f t="shared" si="6"/>
        <v>0.35309394774217906</v>
      </c>
      <c r="P50" s="6">
        <f t="shared" si="7"/>
        <v>0.70761091098603868</v>
      </c>
    </row>
    <row r="51" spans="10:16" x14ac:dyDescent="0.4">
      <c r="J51" s="10">
        <v>6.5</v>
      </c>
      <c r="K51" s="10">
        <f t="shared" si="0"/>
        <v>422.5</v>
      </c>
      <c r="L51" s="6">
        <f t="shared" si="5"/>
        <v>0.34771467263511657</v>
      </c>
      <c r="M51" s="6">
        <f t="shared" si="1"/>
        <v>0.71647894824586777</v>
      </c>
      <c r="N51" s="6">
        <f t="shared" si="2"/>
        <v>0.97687861271676302</v>
      </c>
      <c r="O51" s="6">
        <f t="shared" si="6"/>
        <v>0.33967502702505609</v>
      </c>
      <c r="P51" s="6">
        <f t="shared" si="7"/>
        <v>0.69991296100318878</v>
      </c>
    </row>
    <row r="52" spans="10:16" x14ac:dyDescent="0.4">
      <c r="J52" s="10">
        <v>6.75</v>
      </c>
      <c r="K52" s="10">
        <f t="shared" si="0"/>
        <v>455.625</v>
      </c>
      <c r="L52" s="6">
        <f t="shared" si="5"/>
        <v>0.33387027017396098</v>
      </c>
      <c r="M52" s="6">
        <f t="shared" si="1"/>
        <v>0.70734996389772509</v>
      </c>
      <c r="N52" s="6">
        <f t="shared" si="2"/>
        <v>0.97852348993288596</v>
      </c>
      <c r="O52" s="6">
        <f t="shared" si="6"/>
        <v>0.32669990195545984</v>
      </c>
      <c r="P52" s="6">
        <f t="shared" si="7"/>
        <v>0.69215855527710279</v>
      </c>
    </row>
    <row r="53" spans="10:16" x14ac:dyDescent="0.4">
      <c r="J53" s="10">
        <v>7</v>
      </c>
      <c r="K53" s="10">
        <f t="shared" si="0"/>
        <v>490</v>
      </c>
      <c r="L53" s="6">
        <f t="shared" si="5"/>
        <v>0.32057708828124987</v>
      </c>
      <c r="M53" s="6">
        <f t="shared" si="1"/>
        <v>0.69833729609374995</v>
      </c>
      <c r="N53" s="6">
        <f t="shared" si="2"/>
        <v>0.98</v>
      </c>
      <c r="O53" s="6">
        <f t="shared" si="6"/>
        <v>0.31416554651562484</v>
      </c>
      <c r="P53" s="6">
        <f t="shared" si="7"/>
        <v>0.68437055017187498</v>
      </c>
    </row>
    <row r="54" spans="10:16" x14ac:dyDescent="0.4">
      <c r="J54" s="10">
        <v>7.25</v>
      </c>
      <c r="K54" s="10">
        <f t="shared" si="0"/>
        <v>525.625</v>
      </c>
      <c r="L54" s="6">
        <f t="shared" si="5"/>
        <v>0.30781317988372203</v>
      </c>
      <c r="M54" s="6">
        <f t="shared" si="1"/>
        <v>0.68943946279191715</v>
      </c>
      <c r="N54" s="6">
        <f t="shared" si="2"/>
        <v>0.98133022170361728</v>
      </c>
      <c r="O54" s="6">
        <f t="shared" si="6"/>
        <v>0.30206637605858838</v>
      </c>
      <c r="P54" s="6">
        <f t="shared" si="7"/>
        <v>0.67656778087281488</v>
      </c>
    </row>
    <row r="55" spans="10:16" x14ac:dyDescent="0.4">
      <c r="J55" s="10">
        <v>7.5</v>
      </c>
      <c r="K55" s="10">
        <f t="shared" si="0"/>
        <v>562.5</v>
      </c>
      <c r="L55" s="6">
        <f t="shared" si="5"/>
        <v>0.29555747173984909</v>
      </c>
      <c r="M55" s="6">
        <f t="shared" si="1"/>
        <v>0.68065500083357433</v>
      </c>
      <c r="N55" s="6">
        <f t="shared" si="2"/>
        <v>0.98253275109170302</v>
      </c>
      <c r="O55" s="6">
        <f t="shared" si="6"/>
        <v>0.2903948958142622</v>
      </c>
      <c r="P55" s="6">
        <f t="shared" si="7"/>
        <v>0.66876583051333716</v>
      </c>
    </row>
    <row r="56" spans="10:16" x14ac:dyDescent="0.4">
      <c r="J56" s="10">
        <v>7.75</v>
      </c>
      <c r="K56" s="10">
        <f t="shared" si="0"/>
        <v>600.625</v>
      </c>
      <c r="L56" s="6">
        <f t="shared" si="5"/>
        <v>0.28378972964786681</v>
      </c>
      <c r="M56" s="6">
        <f t="shared" si="1"/>
        <v>0.67198246570283882</v>
      </c>
      <c r="N56" s="6">
        <f t="shared" si="2"/>
        <v>0.98362333674513813</v>
      </c>
      <c r="O56" s="6">
        <f t="shared" si="6"/>
        <v>0.27914220081023539</v>
      </c>
      <c r="P56" s="6">
        <f t="shared" si="7"/>
        <v>0.66097763514885166</v>
      </c>
    </row>
    <row r="57" spans="10:16" x14ac:dyDescent="0.4">
      <c r="J57" s="10">
        <v>8</v>
      </c>
      <c r="K57" s="10">
        <f t="shared" si="0"/>
        <v>640</v>
      </c>
      <c r="L57" s="6">
        <f t="shared" si="5"/>
        <v>0.2724905250390624</v>
      </c>
      <c r="M57" s="6">
        <f t="shared" si="1"/>
        <v>0.66342043128906247</v>
      </c>
      <c r="N57" s="6">
        <f t="shared" si="2"/>
        <v>0.98461538461538467</v>
      </c>
      <c r="O57" s="6">
        <f t="shared" si="6"/>
        <v>0.26829836311538452</v>
      </c>
      <c r="P57" s="6">
        <f t="shared" si="7"/>
        <v>0.6532139631153846</v>
      </c>
    </row>
    <row r="58" spans="10:16" x14ac:dyDescent="0.4">
      <c r="J58" s="10">
        <v>8.25</v>
      </c>
      <c r="K58" s="10">
        <f t="shared" si="0"/>
        <v>680.625</v>
      </c>
      <c r="L58" s="6">
        <f t="shared" si="5"/>
        <v>0.26164120290116372</v>
      </c>
      <c r="M58" s="6">
        <f t="shared" si="1"/>
        <v>0.65496748965232121</v>
      </c>
      <c r="N58" s="6">
        <f t="shared" si="2"/>
        <v>0.98552036199095028</v>
      </c>
      <c r="O58" s="6">
        <f t="shared" si="6"/>
        <v>0.25785273299490252</v>
      </c>
      <c r="P58" s="6">
        <f t="shared" si="7"/>
        <v>0.64548379749445961</v>
      </c>
    </row>
    <row r="59" spans="10:16" x14ac:dyDescent="0.4">
      <c r="J59" s="10">
        <v>8.5</v>
      </c>
      <c r="K59" s="10">
        <f t="shared" si="0"/>
        <v>722.5</v>
      </c>
      <c r="L59" s="6">
        <f t="shared" si="5"/>
        <v>0.25122385097887168</v>
      </c>
      <c r="M59" s="6">
        <f t="shared" si="1"/>
        <v>0.64662225079189561</v>
      </c>
      <c r="N59" s="6">
        <f t="shared" si="2"/>
        <v>0.98634812286689422</v>
      </c>
      <c r="O59" s="6">
        <f t="shared" si="6"/>
        <v>0.24779417383240243</v>
      </c>
      <c r="P59" s="6">
        <f t="shared" si="7"/>
        <v>0.63779464327255231</v>
      </c>
    </row>
    <row r="60" spans="10:16" x14ac:dyDescent="0.4">
      <c r="J60" s="10">
        <v>8.75</v>
      </c>
      <c r="K60" s="10">
        <f t="shared" si="0"/>
        <v>765.625</v>
      </c>
      <c r="L60" s="6">
        <f t="shared" si="5"/>
        <v>0.24122127020068679</v>
      </c>
      <c r="M60" s="6">
        <f t="shared" si="1"/>
        <v>0.63838334241769679</v>
      </c>
      <c r="N60" s="6">
        <f t="shared" si="2"/>
        <v>0.98710717163577755</v>
      </c>
      <c r="O60" s="6">
        <f t="shared" si="6"/>
        <v>0.23811124576618961</v>
      </c>
      <c r="P60" s="6">
        <f t="shared" si="7"/>
        <v>0.63015277555332672</v>
      </c>
    </row>
    <row r="61" spans="10:16" x14ac:dyDescent="0.4">
      <c r="J61" s="10">
        <v>9</v>
      </c>
      <c r="K61" s="10">
        <f t="shared" si="0"/>
        <v>810</v>
      </c>
      <c r="L61" s="6">
        <f t="shared" si="5"/>
        <v>0.23161694628320303</v>
      </c>
      <c r="M61" s="6">
        <f t="shared" si="1"/>
        <v>0.6302494097246093</v>
      </c>
      <c r="N61" s="6">
        <f t="shared" si="2"/>
        <v>0.98780487804878048</v>
      </c>
      <c r="O61" s="6">
        <f t="shared" si="6"/>
        <v>0.2287923493773103</v>
      </c>
      <c r="P61" s="6">
        <f t="shared" si="7"/>
        <v>0.62256344131333352</v>
      </c>
    </row>
    <row r="62" spans="10:16" x14ac:dyDescent="0.4">
      <c r="J62" s="10">
        <v>9.25</v>
      </c>
      <c r="K62" s="10">
        <f t="shared" si="0"/>
        <v>855.625</v>
      </c>
      <c r="L62" s="6">
        <f t="shared" si="5"/>
        <v>0.22239502246598916</v>
      </c>
      <c r="M62" s="6">
        <f t="shared" si="1"/>
        <v>0.62221911516970518</v>
      </c>
      <c r="N62" s="6">
        <f t="shared" si="2"/>
        <v>0.98844765342960283</v>
      </c>
      <c r="O62" s="6">
        <f t="shared" si="6"/>
        <v>0.21982583809093079</v>
      </c>
      <c r="P62" s="6">
        <f t="shared" si="7"/>
        <v>0.61503102430853884</v>
      </c>
    </row>
    <row r="63" spans="10:16" x14ac:dyDescent="0.4">
      <c r="J63" s="10">
        <v>9.5</v>
      </c>
      <c r="K63" s="10">
        <f t="shared" si="0"/>
        <v>902.5</v>
      </c>
      <c r="L63" s="6">
        <f t="shared" si="5"/>
        <v>0.21354027333204093</v>
      </c>
      <c r="M63" s="6">
        <f t="shared" si="1"/>
        <v>0.61429113825230075</v>
      </c>
      <c r="N63" s="6">
        <f t="shared" si="2"/>
        <v>0.989041095890411</v>
      </c>
      <c r="O63" s="6">
        <f t="shared" si="6"/>
        <v>0.21120010595305966</v>
      </c>
      <c r="P63" s="6">
        <f t="shared" si="7"/>
        <v>0.60755918057282354</v>
      </c>
    </row>
    <row r="64" spans="10:16" x14ac:dyDescent="0.4">
      <c r="J64" s="10">
        <v>9.75</v>
      </c>
      <c r="K64" s="10">
        <f t="shared" si="0"/>
        <v>950.625</v>
      </c>
      <c r="L64" s="6">
        <f t="shared" si="5"/>
        <v>0.20503807967058377</v>
      </c>
      <c r="M64" s="6">
        <f t="shared" si="1"/>
        <v>0.60646417529681196</v>
      </c>
      <c r="N64" s="6">
        <f t="shared" si="2"/>
        <v>0.98959011060507485</v>
      </c>
      <c r="O64" s="6">
        <f t="shared" si="6"/>
        <v>0.20290365593946513</v>
      </c>
      <c r="P64" s="6">
        <f t="shared" si="7"/>
        <v>0.60015095030998766</v>
      </c>
    </row>
    <row r="65" spans="10:16" x14ac:dyDescent="0.4">
      <c r="J65" s="10">
        <v>10</v>
      </c>
      <c r="K65" s="10">
        <f t="shared" si="0"/>
        <v>1000</v>
      </c>
      <c r="L65" s="6">
        <f t="shared" si="5"/>
        <v>0.19687440434072256</v>
      </c>
      <c r="M65" s="6">
        <f t="shared" si="1"/>
        <v>0.5987369392383789</v>
      </c>
      <c r="N65" s="6">
        <f t="shared" si="2"/>
        <v>0.99009900990099009</v>
      </c>
      <c r="O65" s="6">
        <f t="shared" si="6"/>
        <v>0.19492515281259659</v>
      </c>
      <c r="P65" s="6">
        <f t="shared" si="7"/>
        <v>0.59280885073106826</v>
      </c>
    </row>
  </sheetData>
  <mergeCells count="4">
    <mergeCell ref="C20:E20"/>
    <mergeCell ref="G20:H20"/>
    <mergeCell ref="A1:H2"/>
    <mergeCell ref="A3:H7"/>
  </mergeCells>
  <dataValidations count="2">
    <dataValidation type="list" allowBlank="1" showInputMessage="1" showErrorMessage="1" sqref="A12" xr:uid="{894DDD29-1C6B-4303-A190-9F15E13FF405}">
      <formula1>INDIRECT("LiquefierRecipes[Recipe]")</formula1>
    </dataValidation>
    <dataValidation type="list" allowBlank="1" showInputMessage="1" showErrorMessage="1" sqref="A15" xr:uid="{34BD5DCC-A7F5-4FA7-84F2-08895F7D2EF3}">
      <formula1>INDIRECT("LiquefierCoolantRecipes[Recipe]")</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3335-E114-4EA3-8AC8-FB70207D6683}">
  <dimension ref="A1:Q478"/>
  <sheetViews>
    <sheetView topLeftCell="K1" workbookViewId="0">
      <selection activeCell="Q22" sqref="Q22"/>
    </sheetView>
  </sheetViews>
  <sheetFormatPr defaultRowHeight="14.6" x14ac:dyDescent="0.4"/>
  <cols>
    <col min="1" max="1" width="17.15234375" bestFit="1" customWidth="1"/>
    <col min="2" max="2" width="19.765625" bestFit="1" customWidth="1"/>
    <col min="3" max="3" width="18.07421875" bestFit="1" customWidth="1"/>
    <col min="4" max="4" width="15.84375" bestFit="1" customWidth="1"/>
    <col min="5" max="5" width="12.3828125" bestFit="1" customWidth="1"/>
    <col min="6" max="6" width="17.61328125" bestFit="1" customWidth="1"/>
    <col min="7" max="7" width="18.15234375" bestFit="1" customWidth="1"/>
    <col min="9" max="9" width="21.07421875" bestFit="1" customWidth="1"/>
    <col min="10" max="10" width="11.84375" bestFit="1" customWidth="1"/>
    <col min="11" max="11" width="6.921875" bestFit="1" customWidth="1"/>
    <col min="12" max="12" width="17.07421875" customWidth="1"/>
    <col min="13" max="13" width="16.07421875" bestFit="1" customWidth="1"/>
    <col min="14" max="14" width="18" customWidth="1"/>
    <col min="15" max="15" width="15.765625" bestFit="1" customWidth="1"/>
    <col min="16" max="16" width="17.15234375" bestFit="1" customWidth="1"/>
    <col min="17" max="17" width="15.53515625" bestFit="1" customWidth="1"/>
  </cols>
  <sheetData>
    <row r="1" spans="1:17" ht="14.6" customHeight="1" x14ac:dyDescent="0.4">
      <c r="A1" s="115" t="s">
        <v>879</v>
      </c>
      <c r="B1" s="115"/>
      <c r="C1" s="115"/>
      <c r="D1" s="115"/>
      <c r="E1" s="115"/>
      <c r="F1" s="115"/>
      <c r="G1" s="115"/>
      <c r="H1" s="115"/>
      <c r="I1" s="115"/>
      <c r="J1" s="115"/>
      <c r="K1" s="115"/>
      <c r="L1" s="115"/>
      <c r="M1" s="115"/>
      <c r="N1" s="115"/>
      <c r="O1" s="115"/>
      <c r="P1" s="115"/>
      <c r="Q1" s="115"/>
    </row>
    <row r="2" spans="1:17" ht="14.6" customHeight="1" x14ac:dyDescent="0.4">
      <c r="A2" s="115"/>
      <c r="B2" s="115"/>
      <c r="C2" s="115"/>
      <c r="D2" s="115"/>
      <c r="E2" s="115"/>
      <c r="F2" s="115"/>
      <c r="G2" s="115"/>
      <c r="H2" s="115"/>
      <c r="I2" s="115"/>
      <c r="J2" s="115"/>
      <c r="K2" s="115"/>
      <c r="L2" s="115"/>
      <c r="M2" s="115"/>
      <c r="N2" s="115"/>
      <c r="O2" s="115"/>
      <c r="P2" s="115"/>
      <c r="Q2" s="115"/>
    </row>
    <row r="3" spans="1:17" x14ac:dyDescent="0.4">
      <c r="A3" s="97" t="s">
        <v>894</v>
      </c>
      <c r="B3" s="97"/>
      <c r="C3" s="97"/>
      <c r="D3" s="97"/>
      <c r="E3" s="97"/>
      <c r="F3" s="97"/>
      <c r="G3" s="97"/>
    </row>
    <row r="4" spans="1:17" x14ac:dyDescent="0.4">
      <c r="A4" s="97"/>
      <c r="B4" s="97"/>
      <c r="C4" s="97"/>
      <c r="D4" s="97"/>
      <c r="E4" s="97"/>
      <c r="F4" s="97"/>
      <c r="G4" s="97"/>
    </row>
    <row r="5" spans="1:17" x14ac:dyDescent="0.4">
      <c r="A5" s="97"/>
      <c r="B5" s="97"/>
      <c r="C5" s="97"/>
      <c r="D5" s="97"/>
      <c r="E5" s="97"/>
      <c r="F5" s="97"/>
      <c r="G5" s="97"/>
    </row>
    <row r="6" spans="1:17" x14ac:dyDescent="0.4">
      <c r="A6" s="97"/>
      <c r="B6" s="97"/>
      <c r="C6" s="97"/>
      <c r="D6" s="97"/>
      <c r="E6" s="97"/>
      <c r="F6" s="97"/>
      <c r="G6" s="97"/>
    </row>
    <row r="7" spans="1:17" x14ac:dyDescent="0.4">
      <c r="A7" s="97"/>
      <c r="B7" s="97"/>
      <c r="C7" s="97"/>
      <c r="D7" s="97"/>
      <c r="E7" s="97"/>
      <c r="F7" s="97"/>
      <c r="G7" s="97"/>
    </row>
    <row r="8" spans="1:17" x14ac:dyDescent="0.4">
      <c r="A8" s="97"/>
      <c r="B8" s="97"/>
      <c r="C8" s="97"/>
      <c r="D8" s="97"/>
      <c r="E8" s="97"/>
      <c r="F8" s="97"/>
      <c r="G8" s="97"/>
    </row>
    <row r="9" spans="1:17" x14ac:dyDescent="0.4">
      <c r="A9" s="97"/>
      <c r="B9" s="97"/>
      <c r="C9" s="97"/>
      <c r="D9" s="97"/>
      <c r="E9" s="97"/>
      <c r="F9" s="97"/>
      <c r="G9" s="97"/>
    </row>
    <row r="11" spans="1:17" ht="14.6" customHeight="1" x14ac:dyDescent="0.4">
      <c r="A11" s="102" t="s">
        <v>1171</v>
      </c>
      <c r="B11" s="102"/>
      <c r="C11" s="102"/>
      <c r="D11" s="102"/>
      <c r="E11" s="102"/>
      <c r="F11" s="102"/>
      <c r="G11" s="102"/>
    </row>
    <row r="12" spans="1:17" x14ac:dyDescent="0.4">
      <c r="A12" s="102"/>
      <c r="B12" s="102"/>
      <c r="C12" s="102"/>
      <c r="D12" s="102"/>
      <c r="E12" s="102"/>
      <c r="F12" s="102"/>
      <c r="G12" s="102"/>
    </row>
    <row r="13" spans="1:17" x14ac:dyDescent="0.4">
      <c r="A13" s="102"/>
      <c r="B13" s="102"/>
      <c r="C13" s="102"/>
      <c r="D13" s="102"/>
      <c r="E13" s="102"/>
      <c r="F13" s="102"/>
      <c r="G13" s="102"/>
    </row>
    <row r="14" spans="1:17" x14ac:dyDescent="0.4">
      <c r="A14" s="102"/>
      <c r="B14" s="102"/>
      <c r="C14" s="102"/>
      <c r="D14" s="102"/>
      <c r="E14" s="102"/>
      <c r="F14" s="102"/>
      <c r="G14" s="102"/>
    </row>
    <row r="15" spans="1:17" x14ac:dyDescent="0.4">
      <c r="A15" s="102"/>
      <c r="B15" s="102"/>
      <c r="C15" s="102"/>
      <c r="D15" s="102"/>
      <c r="E15" s="102"/>
      <c r="F15" s="102"/>
      <c r="G15" s="102"/>
    </row>
    <row r="16" spans="1:17" x14ac:dyDescent="0.4">
      <c r="K16" s="117" t="s">
        <v>1465</v>
      </c>
      <c r="L16" s="117"/>
      <c r="M16" s="117"/>
      <c r="N16" s="117"/>
      <c r="O16" s="117"/>
      <c r="P16" s="117"/>
      <c r="Q16" s="117"/>
    </row>
    <row r="17" spans="1:17" x14ac:dyDescent="0.4">
      <c r="A17" s="1" t="s">
        <v>1466</v>
      </c>
      <c r="B17" s="1"/>
      <c r="K17" s="117"/>
      <c r="L17" s="117"/>
      <c r="M17" s="117"/>
      <c r="N17" s="117"/>
      <c r="O17" s="117"/>
      <c r="P17" s="117"/>
      <c r="Q17" s="117"/>
    </row>
    <row r="18" spans="1:17" x14ac:dyDescent="0.4">
      <c r="A18" s="52" t="s">
        <v>1467</v>
      </c>
      <c r="B18" s="53" t="s">
        <v>1468</v>
      </c>
    </row>
    <row r="20" spans="1:17" x14ac:dyDescent="0.4">
      <c r="A20" s="1" t="s">
        <v>872</v>
      </c>
      <c r="B20" s="1" t="s">
        <v>412</v>
      </c>
      <c r="C20" s="1" t="s">
        <v>414</v>
      </c>
      <c r="D20" s="1" t="s">
        <v>731</v>
      </c>
      <c r="E20" s="1" t="s">
        <v>729</v>
      </c>
      <c r="F20" s="1" t="s">
        <v>721</v>
      </c>
      <c r="G20" s="1" t="s">
        <v>873</v>
      </c>
      <c r="I20" s="1" t="s">
        <v>725</v>
      </c>
      <c r="L20" s="1" t="s">
        <v>723</v>
      </c>
      <c r="M20" s="1" t="s">
        <v>727</v>
      </c>
      <c r="N20" s="1" t="s">
        <v>722</v>
      </c>
      <c r="O20" s="1" t="s">
        <v>726</v>
      </c>
      <c r="P20" s="1" t="s">
        <v>728</v>
      </c>
      <c r="Q20" s="1" t="s">
        <v>411</v>
      </c>
    </row>
    <row r="21" spans="1:17" x14ac:dyDescent="0.4">
      <c r="A21" s="43">
        <v>0</v>
      </c>
      <c r="B21" s="43" t="s">
        <v>724</v>
      </c>
      <c r="C21" s="43">
        <v>0</v>
      </c>
      <c r="D21" s="43">
        <v>0</v>
      </c>
      <c r="E21" s="45">
        <v>0</v>
      </c>
      <c r="F21" s="43">
        <v>0</v>
      </c>
      <c r="G21" s="43">
        <f t="shared" ref="G21:G84" si="0">F21*amu-C21*m_e</f>
        <v>0</v>
      </c>
      <c r="I21">
        <v>931.49400000000003</v>
      </c>
      <c r="K21" s="55" t="s">
        <v>878</v>
      </c>
      <c r="L21" s="2" t="s">
        <v>637</v>
      </c>
      <c r="M21" s="10">
        <f>INDEX(IsotopeTable[Nuclei Mass (MeV)],MATCH(L21,IsotopeTable[Isotope],0))</f>
        <v>154528.33196419649</v>
      </c>
      <c r="N21" s="2" t="s">
        <v>636</v>
      </c>
      <c r="O21" s="2">
        <v>1</v>
      </c>
      <c r="P21" s="10">
        <f>INDEX(IsotopeTable[Nuclei Mass (MeV)],MATCH(N21,IsotopeTable[Isotope],0))*O21</f>
        <v>153597.37506360907</v>
      </c>
      <c r="Q21" s="41">
        <f>(SUM(M21:M32)-SUM(P21:P32))*1000</f>
        <v>-7315.1888425636571</v>
      </c>
    </row>
    <row r="22" spans="1:17" x14ac:dyDescent="0.4">
      <c r="A22" s="42">
        <v>1</v>
      </c>
      <c r="B22" s="50" t="s">
        <v>413</v>
      </c>
      <c r="C22" s="42">
        <v>1</v>
      </c>
      <c r="D22" s="46" t="s">
        <v>730</v>
      </c>
      <c r="E22" s="44">
        <v>0.99972000000000005</v>
      </c>
      <c r="F22" s="42">
        <v>1.00782503224</v>
      </c>
      <c r="G22" s="42">
        <f>F22*amu-C22*m_e</f>
        <v>938.2719716306766</v>
      </c>
      <c r="I22" s="1" t="s">
        <v>1172</v>
      </c>
      <c r="K22" s="55" t="s">
        <v>878</v>
      </c>
      <c r="L22" s="2" t="s">
        <v>724</v>
      </c>
      <c r="M22" s="10">
        <f>INDEX(IsotopeTable[Nuclei Mass (MeV)],MATCH(L22,IsotopeTable[Isotope],0))</f>
        <v>0</v>
      </c>
      <c r="N22" s="2" t="s">
        <v>724</v>
      </c>
      <c r="O22" s="2">
        <v>0</v>
      </c>
      <c r="P22" s="10">
        <f>INDEX(IsotopeTable[Nuclei Mass (MeV)],MATCH(N22,IsotopeTable[Isotope],0))*O22</f>
        <v>0</v>
      </c>
      <c r="Q22" s="62">
        <f>ROUND(Q21,3-(1+INT(LOG10(ABS(Q21)))))</f>
        <v>-7320</v>
      </c>
    </row>
    <row r="23" spans="1:17" x14ac:dyDescent="0.4">
      <c r="A23" s="42">
        <v>2</v>
      </c>
      <c r="B23" s="51" t="s">
        <v>415</v>
      </c>
      <c r="C23" s="42">
        <v>1</v>
      </c>
      <c r="D23" s="46" t="s">
        <v>730</v>
      </c>
      <c r="E23" s="44">
        <v>2.7999999999999998E-4</v>
      </c>
      <c r="F23" s="42">
        <v>2.0141010000000001</v>
      </c>
      <c r="G23" s="42">
        <f t="shared" si="0"/>
        <v>1875.6119979433101</v>
      </c>
      <c r="I23">
        <v>0.51099895069000001</v>
      </c>
      <c r="K23" s="55" t="s">
        <v>878</v>
      </c>
      <c r="L23" s="2" t="s">
        <v>724</v>
      </c>
      <c r="M23" s="10">
        <f>INDEX(IsotopeTable[Nuclei Mass (MeV)],MATCH(L23,IsotopeTable[Isotope],0))</f>
        <v>0</v>
      </c>
      <c r="N23" s="2" t="s">
        <v>724</v>
      </c>
      <c r="O23" s="2">
        <v>0</v>
      </c>
      <c r="P23" s="10">
        <f>INDEX(IsotopeTable[Nuclei Mass (MeV)],MATCH(N23,IsotopeTable[Isotope],0))*O23</f>
        <v>0</v>
      </c>
    </row>
    <row r="24" spans="1:17" x14ac:dyDescent="0.4">
      <c r="A24" s="42">
        <v>3</v>
      </c>
      <c r="B24" s="51" t="s">
        <v>416</v>
      </c>
      <c r="C24" s="42">
        <v>1</v>
      </c>
      <c r="D24" s="46">
        <v>12.32</v>
      </c>
      <c r="E24" s="44">
        <v>0</v>
      </c>
      <c r="F24" s="42">
        <v>3.0160491999999999</v>
      </c>
      <c r="G24" s="42">
        <f t="shared" si="0"/>
        <v>2808.9207345541099</v>
      </c>
      <c r="H24" s="40"/>
      <c r="I24" s="1" t="s">
        <v>1269</v>
      </c>
      <c r="K24" s="55" t="s">
        <v>878</v>
      </c>
      <c r="L24" s="2" t="s">
        <v>724</v>
      </c>
      <c r="M24" s="10">
        <f>INDEX(IsotopeTable[Nuclei Mass (MeV)],MATCH(L24,IsotopeTable[Isotope],0))</f>
        <v>0</v>
      </c>
      <c r="N24" s="2" t="s">
        <v>724</v>
      </c>
      <c r="O24" s="2">
        <v>0</v>
      </c>
      <c r="P24" s="10">
        <f>INDEX(IsotopeTable[Nuclei Mass (MeV)],MATCH(N24,IsotopeTable[Isotope],0))*O24</f>
        <v>0</v>
      </c>
    </row>
    <row r="25" spans="1:17" x14ac:dyDescent="0.4">
      <c r="A25" s="43">
        <v>4</v>
      </c>
      <c r="B25" s="52" t="s">
        <v>417</v>
      </c>
      <c r="C25" s="43">
        <v>2</v>
      </c>
      <c r="D25" s="47" t="s">
        <v>730</v>
      </c>
      <c r="E25" s="45">
        <v>0.99999800000000005</v>
      </c>
      <c r="F25" s="43">
        <v>3.0160293226500001</v>
      </c>
      <c r="G25" s="43">
        <f t="shared" si="0"/>
        <v>2808.3912199711594</v>
      </c>
      <c r="H25" s="40"/>
      <c r="I25">
        <v>938.27208943000005</v>
      </c>
      <c r="K25" s="55" t="s">
        <v>305</v>
      </c>
      <c r="L25" s="2" t="s">
        <v>268</v>
      </c>
      <c r="M25" s="10">
        <f>INDEX(ParticleTable[Mass (MeV)],MATCH(L25,ParticleTable[Name],0))</f>
        <v>939.56541330000005</v>
      </c>
      <c r="N25" s="2" t="s">
        <v>268</v>
      </c>
      <c r="O25" s="2">
        <v>1</v>
      </c>
      <c r="P25" s="10">
        <f>INDEX(ParticleTable[Mass (MeV)],MATCH(N25,ParticleTable[Name],0))*O25</f>
        <v>939.56541330000005</v>
      </c>
    </row>
    <row r="26" spans="1:17" x14ac:dyDescent="0.4">
      <c r="A26" s="43">
        <v>5</v>
      </c>
      <c r="B26" s="54" t="s">
        <v>418</v>
      </c>
      <c r="C26" s="43">
        <v>2</v>
      </c>
      <c r="D26" s="47" t="s">
        <v>730</v>
      </c>
      <c r="E26" s="45">
        <v>1.9999999999999999E-6</v>
      </c>
      <c r="F26" s="43">
        <v>4.0026032541300003</v>
      </c>
      <c r="G26" s="43">
        <f t="shared" si="0"/>
        <v>3727.3789177011904</v>
      </c>
      <c r="H26" s="40"/>
      <c r="I26" s="1" t="s">
        <v>1270</v>
      </c>
      <c r="K26" s="55" t="s">
        <v>305</v>
      </c>
      <c r="L26" s="2" t="s">
        <v>724</v>
      </c>
      <c r="M26" s="10">
        <f>INDEX(ParticleTable[Mass (MeV)],MATCH(L26,ParticleTable[Name],0))</f>
        <v>0</v>
      </c>
      <c r="N26" s="2" t="s">
        <v>266</v>
      </c>
      <c r="O26" s="2">
        <v>1</v>
      </c>
      <c r="P26" s="10">
        <f>INDEX(ParticleTable[Mass (MeV)],MATCH(N26,ParticleTable[Name],0))*O26</f>
        <v>938.27208943000005</v>
      </c>
    </row>
    <row r="27" spans="1:17" x14ac:dyDescent="0.4">
      <c r="A27" s="42">
        <v>6</v>
      </c>
      <c r="B27" s="51" t="s">
        <v>419</v>
      </c>
      <c r="C27" s="42">
        <v>3</v>
      </c>
      <c r="D27" s="46" t="s">
        <v>730</v>
      </c>
      <c r="E27" s="44">
        <v>7.8E-2</v>
      </c>
      <c r="F27" s="42">
        <v>6.0151228873999996</v>
      </c>
      <c r="G27" s="42">
        <f t="shared" si="0"/>
        <v>5601.5178820237052</v>
      </c>
      <c r="I27">
        <v>939.56541330000005</v>
      </c>
      <c r="K27" s="55" t="s">
        <v>305</v>
      </c>
      <c r="L27" s="2" t="s">
        <v>724</v>
      </c>
      <c r="M27" s="10">
        <f>INDEX(ParticleTable[Mass (MeV)],MATCH(L27,ParticleTable[Name],0))</f>
        <v>0</v>
      </c>
      <c r="N27" s="2" t="s">
        <v>724</v>
      </c>
      <c r="O27" s="2">
        <v>0</v>
      </c>
      <c r="P27" s="10">
        <f>INDEX(ParticleTable[Mass (MeV)],MATCH(N27,ParticleTable[Name],0))*O27</f>
        <v>0</v>
      </c>
    </row>
    <row r="28" spans="1:17" x14ac:dyDescent="0.4">
      <c r="A28" s="42">
        <v>7</v>
      </c>
      <c r="B28" s="50" t="s">
        <v>420</v>
      </c>
      <c r="C28" s="42">
        <v>3</v>
      </c>
      <c r="D28" s="46" t="s">
        <v>730</v>
      </c>
      <c r="E28" s="44">
        <v>0.92200000000000004</v>
      </c>
      <c r="F28" s="42">
        <v>7.0160034370000002</v>
      </c>
      <c r="G28" s="42">
        <f t="shared" si="0"/>
        <v>6533.8321086928081</v>
      </c>
      <c r="K28" s="55" t="s">
        <v>305</v>
      </c>
      <c r="L28" s="2" t="s">
        <v>724</v>
      </c>
      <c r="M28" s="10">
        <f>INDEX(ParticleTable[Mass (MeV)],MATCH(L28,ParticleTable[Name],0))</f>
        <v>0</v>
      </c>
      <c r="N28" s="2" t="s">
        <v>724</v>
      </c>
      <c r="O28" s="2">
        <v>0</v>
      </c>
      <c r="P28" s="10">
        <f>INDEX(ParticleTable[Mass (MeV)],MATCH(N28,ParticleTable[Name],0))*O28</f>
        <v>0</v>
      </c>
    </row>
    <row r="29" spans="1:17" x14ac:dyDescent="0.4">
      <c r="A29" s="43">
        <v>8</v>
      </c>
      <c r="B29" s="52" t="s">
        <v>421</v>
      </c>
      <c r="C29" s="43">
        <v>4</v>
      </c>
      <c r="D29" s="47">
        <v>0.1457</v>
      </c>
      <c r="E29" s="45">
        <v>0</v>
      </c>
      <c r="F29" s="43">
        <v>7.0169287100000002</v>
      </c>
      <c r="G29" s="43">
        <f t="shared" si="0"/>
        <v>6534.1829959899806</v>
      </c>
      <c r="L29" s="48" t="s">
        <v>876</v>
      </c>
      <c r="M29" s="2"/>
      <c r="O29" s="48" t="s">
        <v>877</v>
      </c>
      <c r="P29" s="2"/>
    </row>
    <row r="30" spans="1:17" x14ac:dyDescent="0.4">
      <c r="A30" s="43">
        <v>9</v>
      </c>
      <c r="B30" s="54" t="s">
        <v>422</v>
      </c>
      <c r="C30" s="43">
        <v>4</v>
      </c>
      <c r="D30" s="47" t="s">
        <v>730</v>
      </c>
      <c r="E30" s="45">
        <v>1</v>
      </c>
      <c r="F30" s="43">
        <v>9.0121830599999999</v>
      </c>
      <c r="G30" s="43">
        <f t="shared" si="0"/>
        <v>8392.7504514888806</v>
      </c>
      <c r="L30" s="48" t="s">
        <v>876</v>
      </c>
      <c r="M30" s="2"/>
      <c r="O30" s="48" t="s">
        <v>877</v>
      </c>
      <c r="P30" s="2"/>
    </row>
    <row r="31" spans="1:17" x14ac:dyDescent="0.4">
      <c r="A31" s="43">
        <v>10</v>
      </c>
      <c r="B31" s="43" t="s">
        <v>428</v>
      </c>
      <c r="C31" s="43">
        <v>4</v>
      </c>
      <c r="D31" s="47">
        <v>1387000</v>
      </c>
      <c r="E31" s="45">
        <v>0</v>
      </c>
      <c r="F31" s="43">
        <v>10.013534699999999</v>
      </c>
      <c r="G31" s="43">
        <f t="shared" si="0"/>
        <v>9325.5034960390403</v>
      </c>
      <c r="L31" s="48" t="s">
        <v>876</v>
      </c>
      <c r="M31" s="2"/>
      <c r="O31" s="48" t="s">
        <v>877</v>
      </c>
      <c r="P31" s="2"/>
    </row>
    <row r="32" spans="1:17" x14ac:dyDescent="0.4">
      <c r="A32" s="42">
        <v>11</v>
      </c>
      <c r="B32" s="51" t="s">
        <v>423</v>
      </c>
      <c r="C32" s="42">
        <v>5</v>
      </c>
      <c r="D32" s="46" t="s">
        <v>730</v>
      </c>
      <c r="E32" s="44">
        <v>0.20399999999999999</v>
      </c>
      <c r="F32" s="42">
        <v>10.012936862</v>
      </c>
      <c r="G32" s="42">
        <f t="shared" si="0"/>
        <v>9324.4356145783786</v>
      </c>
      <c r="L32" s="48" t="s">
        <v>876</v>
      </c>
      <c r="M32" s="2"/>
      <c r="O32" s="48" t="s">
        <v>877</v>
      </c>
      <c r="P32" s="2"/>
    </row>
    <row r="33" spans="1:7" x14ac:dyDescent="0.4">
      <c r="A33" s="42">
        <v>12</v>
      </c>
      <c r="B33" s="50" t="s">
        <v>424</v>
      </c>
      <c r="C33" s="42">
        <v>5</v>
      </c>
      <c r="D33" s="46" t="s">
        <v>730</v>
      </c>
      <c r="E33" s="44">
        <v>0.79600000000000004</v>
      </c>
      <c r="F33" s="42">
        <v>11.009305167000001</v>
      </c>
      <c r="G33" s="42">
        <f t="shared" si="0"/>
        <v>10252.546712476051</v>
      </c>
    </row>
    <row r="34" spans="1:7" x14ac:dyDescent="0.4">
      <c r="A34" s="43">
        <v>13</v>
      </c>
      <c r="B34" s="54" t="s">
        <v>425</v>
      </c>
      <c r="C34" s="43">
        <v>6</v>
      </c>
      <c r="D34" s="47" t="s">
        <v>730</v>
      </c>
      <c r="E34" s="45">
        <v>0.98839999999999995</v>
      </c>
      <c r="F34" s="43">
        <v>12</v>
      </c>
      <c r="G34" s="43">
        <f t="shared" si="0"/>
        <v>11174.86200629586</v>
      </c>
    </row>
    <row r="35" spans="1:7" x14ac:dyDescent="0.4">
      <c r="A35" s="43">
        <v>14</v>
      </c>
      <c r="B35" s="43" t="s">
        <v>426</v>
      </c>
      <c r="C35" s="43">
        <v>6</v>
      </c>
      <c r="D35" s="47" t="s">
        <v>730</v>
      </c>
      <c r="E35" s="45">
        <v>1.1599999999999999E-2</v>
      </c>
      <c r="F35" s="43">
        <v>13.003354835210001</v>
      </c>
      <c r="G35" s="43">
        <f t="shared" si="0"/>
        <v>12109.481015164965</v>
      </c>
    </row>
    <row r="36" spans="1:7" x14ac:dyDescent="0.4">
      <c r="A36" s="43">
        <v>15</v>
      </c>
      <c r="B36" s="43" t="s">
        <v>427</v>
      </c>
      <c r="C36" s="43">
        <v>6</v>
      </c>
      <c r="D36" s="47">
        <v>5700</v>
      </c>
      <c r="E36" s="45">
        <v>0</v>
      </c>
      <c r="F36" s="43">
        <v>14.003241987999999</v>
      </c>
      <c r="G36" s="43">
        <f t="shared" si="0"/>
        <v>13040.869898665931</v>
      </c>
    </row>
    <row r="37" spans="1:7" x14ac:dyDescent="0.4">
      <c r="A37" s="42">
        <v>16</v>
      </c>
      <c r="B37" s="50" t="s">
        <v>429</v>
      </c>
      <c r="C37" s="42">
        <v>7</v>
      </c>
      <c r="D37" s="46" t="s">
        <v>730</v>
      </c>
      <c r="E37" s="44">
        <v>0.99578</v>
      </c>
      <c r="F37" s="42">
        <v>14.003074004250999</v>
      </c>
      <c r="G37" s="42">
        <f t="shared" si="0"/>
        <v>13040.202423860952</v>
      </c>
    </row>
    <row r="38" spans="1:7" x14ac:dyDescent="0.4">
      <c r="A38" s="42">
        <v>17</v>
      </c>
      <c r="B38" s="42" t="s">
        <v>430</v>
      </c>
      <c r="C38" s="42">
        <v>7</v>
      </c>
      <c r="D38" s="46" t="s">
        <v>730</v>
      </c>
      <c r="E38" s="44">
        <v>4.2199999999999998E-3</v>
      </c>
      <c r="F38" s="42">
        <v>15.000108898265999</v>
      </c>
      <c r="G38" s="42">
        <f t="shared" si="0"/>
        <v>13968.934445426559</v>
      </c>
    </row>
    <row r="39" spans="1:7" x14ac:dyDescent="0.4">
      <c r="A39" s="43">
        <v>18</v>
      </c>
      <c r="B39" s="54" t="s">
        <v>431</v>
      </c>
      <c r="C39" s="43">
        <v>8</v>
      </c>
      <c r="D39" s="47" t="s">
        <v>730</v>
      </c>
      <c r="E39" s="45">
        <v>0.998</v>
      </c>
      <c r="F39" s="43">
        <v>15.994914619257001</v>
      </c>
      <c r="G39" s="43">
        <f t="shared" si="0"/>
        <v>14895.079006744661</v>
      </c>
    </row>
    <row r="40" spans="1:7" x14ac:dyDescent="0.4">
      <c r="A40" s="43">
        <v>19</v>
      </c>
      <c r="B40" s="43" t="s">
        <v>432</v>
      </c>
      <c r="C40" s="43">
        <v>8</v>
      </c>
      <c r="D40" s="47" t="s">
        <v>730</v>
      </c>
      <c r="E40" s="45">
        <v>3.8400000000000001E-4</v>
      </c>
      <c r="F40" s="43">
        <v>16.999131755953002</v>
      </c>
      <c r="G40" s="43">
        <f t="shared" si="0"/>
        <v>15830.501244274166</v>
      </c>
    </row>
    <row r="41" spans="1:7" x14ac:dyDescent="0.4">
      <c r="A41" s="43">
        <v>20</v>
      </c>
      <c r="B41" s="43" t="s">
        <v>433</v>
      </c>
      <c r="C41" s="43">
        <v>8</v>
      </c>
      <c r="D41" s="47" t="s">
        <v>730</v>
      </c>
      <c r="E41" s="45">
        <v>2.0500000000000002E-3</v>
      </c>
      <c r="F41" s="43">
        <v>17.999159612136001</v>
      </c>
      <c r="G41" s="43">
        <f t="shared" si="0"/>
        <v>16762.021192141492</v>
      </c>
    </row>
    <row r="42" spans="1:7" x14ac:dyDescent="0.4">
      <c r="A42" s="42">
        <v>21</v>
      </c>
      <c r="B42" s="50" t="s">
        <v>434</v>
      </c>
      <c r="C42" s="42">
        <v>9</v>
      </c>
      <c r="D42" s="46" t="s">
        <v>730</v>
      </c>
      <c r="E42" s="44">
        <v>1</v>
      </c>
      <c r="F42" s="42">
        <v>18.998403162067</v>
      </c>
      <c r="G42" s="42">
        <f t="shared" si="0"/>
        <v>17692.299564490229</v>
      </c>
    </row>
    <row r="43" spans="1:7" x14ac:dyDescent="0.4">
      <c r="A43" s="43">
        <v>22</v>
      </c>
      <c r="B43" s="54" t="s">
        <v>435</v>
      </c>
      <c r="C43" s="43">
        <v>10</v>
      </c>
      <c r="D43" s="47" t="s">
        <v>730</v>
      </c>
      <c r="E43" s="45">
        <v>0.90500000000000003</v>
      </c>
      <c r="F43" s="43">
        <v>19.992440175300001</v>
      </c>
      <c r="G43" s="43">
        <f t="shared" si="0"/>
        <v>18617.728079144003</v>
      </c>
    </row>
    <row r="44" spans="1:7" x14ac:dyDescent="0.4">
      <c r="A44" s="43">
        <v>23</v>
      </c>
      <c r="B44" s="43" t="s">
        <v>436</v>
      </c>
      <c r="C44" s="43">
        <v>10</v>
      </c>
      <c r="D44" s="47" t="s">
        <v>730</v>
      </c>
      <c r="E44" s="45">
        <v>2.7000000000000001E-3</v>
      </c>
      <c r="F44" s="43">
        <v>20.993846690000002</v>
      </c>
      <c r="G44" s="43">
        <f t="shared" si="0"/>
        <v>19550.532239147964</v>
      </c>
    </row>
    <row r="45" spans="1:7" x14ac:dyDescent="0.4">
      <c r="A45" s="43">
        <v>24</v>
      </c>
      <c r="B45" s="43" t="s">
        <v>437</v>
      </c>
      <c r="C45" s="43">
        <v>10</v>
      </c>
      <c r="D45" s="47" t="s">
        <v>730</v>
      </c>
      <c r="E45" s="45">
        <v>9.2499999999999999E-2</v>
      </c>
      <c r="F45" s="43">
        <v>21.991385114</v>
      </c>
      <c r="G45" s="43">
        <f t="shared" si="0"/>
        <v>20479.733295873419</v>
      </c>
    </row>
    <row r="46" spans="1:7" x14ac:dyDescent="0.4">
      <c r="A46" s="42">
        <v>25</v>
      </c>
      <c r="B46" s="51" t="s">
        <v>438</v>
      </c>
      <c r="C46" s="42">
        <v>11</v>
      </c>
      <c r="D46" s="46">
        <v>2.6019000000000001</v>
      </c>
      <c r="E46" s="44">
        <v>0</v>
      </c>
      <c r="F46" s="42">
        <v>21.994437420000001</v>
      </c>
      <c r="G46" s="42">
        <f t="shared" si="0"/>
        <v>20482.065501647889</v>
      </c>
    </row>
    <row r="47" spans="1:7" x14ac:dyDescent="0.4">
      <c r="A47" s="42">
        <v>26</v>
      </c>
      <c r="B47" s="50" t="s">
        <v>439</v>
      </c>
      <c r="C47" s="42">
        <v>11</v>
      </c>
      <c r="D47" s="46" t="s">
        <v>730</v>
      </c>
      <c r="E47" s="44">
        <v>1</v>
      </c>
      <c r="F47" s="42">
        <v>22.989769282000001</v>
      </c>
      <c r="G47" s="42">
        <f t="shared" si="0"/>
        <v>21409.21115910972</v>
      </c>
    </row>
    <row r="48" spans="1:7" x14ac:dyDescent="0.4">
      <c r="A48" s="43">
        <v>27</v>
      </c>
      <c r="B48" s="54" t="s">
        <v>440</v>
      </c>
      <c r="C48" s="43">
        <v>12</v>
      </c>
      <c r="D48" s="47" t="s">
        <v>730</v>
      </c>
      <c r="E48" s="45">
        <v>0.79</v>
      </c>
      <c r="F48" s="43">
        <v>23.985041697</v>
      </c>
      <c r="G48" s="43">
        <f t="shared" si="0"/>
        <v>22335.790443097037</v>
      </c>
    </row>
    <row r="49" spans="1:7" x14ac:dyDescent="0.4">
      <c r="A49" s="43">
        <v>28</v>
      </c>
      <c r="B49" s="43" t="s">
        <v>441</v>
      </c>
      <c r="C49" s="43">
        <v>12</v>
      </c>
      <c r="D49" s="47" t="s">
        <v>730</v>
      </c>
      <c r="E49" s="45">
        <v>0.1</v>
      </c>
      <c r="F49" s="43">
        <v>24.98583696</v>
      </c>
      <c r="G49" s="43">
        <f t="shared" si="0"/>
        <v>23268.025225809961</v>
      </c>
    </row>
    <row r="50" spans="1:7" x14ac:dyDescent="0.4">
      <c r="A50" s="43">
        <v>29</v>
      </c>
      <c r="B50" s="43" t="s">
        <v>442</v>
      </c>
      <c r="C50" s="43">
        <v>12</v>
      </c>
      <c r="D50" s="47" t="s">
        <v>730</v>
      </c>
      <c r="E50" s="45">
        <v>0.11</v>
      </c>
      <c r="F50" s="43">
        <v>25.982592969999999</v>
      </c>
      <c r="G50" s="43">
        <f t="shared" si="0"/>
        <v>24196.497468588899</v>
      </c>
    </row>
    <row r="51" spans="1:7" x14ac:dyDescent="0.4">
      <c r="A51" s="42">
        <v>30</v>
      </c>
      <c r="B51" s="42" t="s">
        <v>443</v>
      </c>
      <c r="C51" s="42">
        <v>13</v>
      </c>
      <c r="D51" s="46">
        <v>717000</v>
      </c>
      <c r="E51" s="44">
        <v>0</v>
      </c>
      <c r="F51" s="42">
        <v>25.986891876000001</v>
      </c>
      <c r="G51" s="42">
        <f t="shared" si="0"/>
        <v>24199.990874783776</v>
      </c>
    </row>
    <row r="52" spans="1:7" x14ac:dyDescent="0.4">
      <c r="A52" s="42">
        <v>31</v>
      </c>
      <c r="B52" s="50" t="s">
        <v>444</v>
      </c>
      <c r="C52" s="42">
        <v>13</v>
      </c>
      <c r="D52" s="46" t="s">
        <v>730</v>
      </c>
      <c r="E52" s="44">
        <v>1</v>
      </c>
      <c r="F52" s="42">
        <v>26.981538409999999</v>
      </c>
      <c r="G52" s="42">
        <f t="shared" si="0"/>
        <v>25126.49815332557</v>
      </c>
    </row>
    <row r="53" spans="1:7" x14ac:dyDescent="0.4">
      <c r="A53" s="43">
        <v>32</v>
      </c>
      <c r="B53" s="54" t="s">
        <v>445</v>
      </c>
      <c r="C53" s="43">
        <v>14</v>
      </c>
      <c r="D53" s="47" t="s">
        <v>730</v>
      </c>
      <c r="E53" s="45">
        <v>0.92200000000000004</v>
      </c>
      <c r="F53" s="43">
        <v>27.976926535</v>
      </c>
      <c r="G53" s="43">
        <f t="shared" si="0"/>
        <v>26053.185220483632</v>
      </c>
    </row>
    <row r="54" spans="1:7" x14ac:dyDescent="0.4">
      <c r="A54" s="43">
        <v>33</v>
      </c>
      <c r="B54" s="43" t="s">
        <v>446</v>
      </c>
      <c r="C54" s="43">
        <v>14</v>
      </c>
      <c r="D54" s="47" t="s">
        <v>730</v>
      </c>
      <c r="E54" s="45">
        <v>4.6699999999999998E-2</v>
      </c>
      <c r="F54" s="43">
        <v>28.976494665299999</v>
      </c>
      <c r="G54" s="43">
        <f t="shared" si="0"/>
        <v>26984.2769364493</v>
      </c>
    </row>
    <row r="55" spans="1:7" x14ac:dyDescent="0.4">
      <c r="A55" s="43">
        <v>34</v>
      </c>
      <c r="B55" s="43" t="s">
        <v>447</v>
      </c>
      <c r="C55" s="43">
        <v>14</v>
      </c>
      <c r="D55" s="47" t="s">
        <v>730</v>
      </c>
      <c r="E55" s="45">
        <v>3.0700000000000002E-2</v>
      </c>
      <c r="F55" s="43">
        <v>29.973770136999999</v>
      </c>
      <c r="G55" s="43">
        <f t="shared" si="0"/>
        <v>27913.233054685021</v>
      </c>
    </row>
    <row r="56" spans="1:7" x14ac:dyDescent="0.4">
      <c r="A56" s="43">
        <v>35</v>
      </c>
      <c r="B56" s="43" t="s">
        <v>448</v>
      </c>
      <c r="C56" s="43">
        <v>14</v>
      </c>
      <c r="D56" s="47">
        <v>157</v>
      </c>
      <c r="E56" s="45">
        <v>0</v>
      </c>
      <c r="F56" s="43">
        <v>31.974151540000001</v>
      </c>
      <c r="G56" s="43">
        <f t="shared" si="0"/>
        <v>29776.576329291103</v>
      </c>
    </row>
    <row r="57" spans="1:7" x14ac:dyDescent="0.4">
      <c r="A57" s="42">
        <v>36</v>
      </c>
      <c r="B57" s="49" t="s">
        <v>449</v>
      </c>
      <c r="C57" s="42">
        <v>15</v>
      </c>
      <c r="D57" s="46" t="s">
        <v>730</v>
      </c>
      <c r="E57" s="44">
        <v>1</v>
      </c>
      <c r="F57" s="42">
        <v>30.97376199768</v>
      </c>
      <c r="G57" s="42">
        <f t="shared" si="0"/>
        <v>28844.208474006584</v>
      </c>
    </row>
    <row r="58" spans="1:7" x14ac:dyDescent="0.4">
      <c r="A58" s="43">
        <v>37</v>
      </c>
      <c r="B58" s="54" t="s">
        <v>450</v>
      </c>
      <c r="C58" s="43">
        <v>16</v>
      </c>
      <c r="D58" s="47" t="s">
        <v>730</v>
      </c>
      <c r="E58" s="45">
        <v>0.94799999999999995</v>
      </c>
      <c r="F58" s="43">
        <v>31.9720711744</v>
      </c>
      <c r="G58" s="43">
        <f t="shared" si="0"/>
        <v>29773.616483315513</v>
      </c>
    </row>
    <row r="59" spans="1:7" x14ac:dyDescent="0.4">
      <c r="A59" s="43">
        <v>38</v>
      </c>
      <c r="B59" s="43" t="s">
        <v>451</v>
      </c>
      <c r="C59" s="43">
        <v>16</v>
      </c>
      <c r="D59" s="47" t="s">
        <v>730</v>
      </c>
      <c r="E59" s="45">
        <v>7.6E-3</v>
      </c>
      <c r="F59" s="43">
        <v>32.971458908599999</v>
      </c>
      <c r="G59" s="43">
        <f t="shared" si="0"/>
        <v>30704.54016139641</v>
      </c>
    </row>
    <row r="60" spans="1:7" x14ac:dyDescent="0.4">
      <c r="A60" s="43">
        <v>39</v>
      </c>
      <c r="B60" s="43" t="s">
        <v>452</v>
      </c>
      <c r="C60" s="43">
        <v>16</v>
      </c>
      <c r="D60" s="47" t="s">
        <v>730</v>
      </c>
      <c r="E60" s="45">
        <v>4.3700000000000003E-2</v>
      </c>
      <c r="F60" s="43">
        <v>33.967867011000003</v>
      </c>
      <c r="G60" s="43">
        <f t="shared" si="0"/>
        <v>31632.688330333396</v>
      </c>
    </row>
    <row r="61" spans="1:7" x14ac:dyDescent="0.4">
      <c r="A61" s="43">
        <v>40</v>
      </c>
      <c r="B61" s="43" t="s">
        <v>453</v>
      </c>
      <c r="C61" s="43">
        <v>16</v>
      </c>
      <c r="D61" s="47">
        <v>0.2392</v>
      </c>
      <c r="E61" s="45">
        <v>0</v>
      </c>
      <c r="F61" s="43">
        <v>34.969032321</v>
      </c>
      <c r="G61" s="43">
        <f t="shared" si="0"/>
        <v>32565.267809606536</v>
      </c>
    </row>
    <row r="62" spans="1:7" x14ac:dyDescent="0.4">
      <c r="A62" s="43">
        <v>41</v>
      </c>
      <c r="B62" s="43" t="s">
        <v>454</v>
      </c>
      <c r="C62" s="43">
        <v>16</v>
      </c>
      <c r="D62" s="47" t="s">
        <v>730</v>
      </c>
      <c r="E62" s="45">
        <v>2.0000000000000001E-4</v>
      </c>
      <c r="F62" s="43">
        <v>35.967080690000003</v>
      </c>
      <c r="G62" s="43">
        <f t="shared" si="0"/>
        <v>33494.943877039826</v>
      </c>
    </row>
    <row r="63" spans="1:7" x14ac:dyDescent="0.4">
      <c r="A63" s="42">
        <v>42</v>
      </c>
      <c r="B63" s="50" t="s">
        <v>455</v>
      </c>
      <c r="C63" s="42">
        <v>17</v>
      </c>
      <c r="D63" s="46" t="s">
        <v>730</v>
      </c>
      <c r="E63" s="44">
        <v>0.75800000000000001</v>
      </c>
      <c r="F63" s="42">
        <v>34.968852689999999</v>
      </c>
      <c r="G63" s="42">
        <f t="shared" si="0"/>
        <v>32564.589485457131</v>
      </c>
    </row>
    <row r="64" spans="1:7" x14ac:dyDescent="0.4">
      <c r="A64" s="42">
        <v>43</v>
      </c>
      <c r="B64" s="42" t="s">
        <v>456</v>
      </c>
      <c r="C64" s="42">
        <v>17</v>
      </c>
      <c r="D64" s="46">
        <v>301000</v>
      </c>
      <c r="E64" s="44">
        <v>0</v>
      </c>
      <c r="F64" s="42">
        <v>35.968306822000002</v>
      </c>
      <c r="G64" s="42">
        <f t="shared" si="0"/>
        <v>33495.575012690344</v>
      </c>
    </row>
    <row r="65" spans="1:7" x14ac:dyDescent="0.4">
      <c r="A65" s="42">
        <v>44</v>
      </c>
      <c r="B65" s="42" t="s">
        <v>457</v>
      </c>
      <c r="C65" s="42">
        <v>17</v>
      </c>
      <c r="D65" s="46" t="s">
        <v>730</v>
      </c>
      <c r="E65" s="44">
        <v>0.24199999999999999</v>
      </c>
      <c r="F65" s="42">
        <v>36.965902579999998</v>
      </c>
      <c r="G65" s="42">
        <f t="shared" si="0"/>
        <v>34424.829475692793</v>
      </c>
    </row>
    <row r="66" spans="1:7" x14ac:dyDescent="0.4">
      <c r="A66" s="43">
        <v>45</v>
      </c>
      <c r="B66" s="43" t="s">
        <v>458</v>
      </c>
      <c r="C66" s="43">
        <v>18</v>
      </c>
      <c r="D66" s="47" t="s">
        <v>730</v>
      </c>
      <c r="E66" s="45">
        <v>3.3400000000000001E-3</v>
      </c>
      <c r="F66" s="43">
        <v>35.967545104999999</v>
      </c>
      <c r="G66" s="43">
        <f t="shared" si="0"/>
        <v>33494.354478924455</v>
      </c>
    </row>
    <row r="67" spans="1:7" x14ac:dyDescent="0.4">
      <c r="A67" s="43">
        <v>46</v>
      </c>
      <c r="B67" s="43" t="s">
        <v>459</v>
      </c>
      <c r="C67" s="43">
        <v>18</v>
      </c>
      <c r="D67" s="47">
        <v>9.5850000000000005E-2</v>
      </c>
      <c r="E67" s="45">
        <v>0</v>
      </c>
      <c r="F67" s="43">
        <v>36.966776299999999</v>
      </c>
      <c r="G67" s="43">
        <f t="shared" si="0"/>
        <v>34425.132341679782</v>
      </c>
    </row>
    <row r="68" spans="1:7" x14ac:dyDescent="0.4">
      <c r="A68" s="43">
        <v>47</v>
      </c>
      <c r="B68" s="43" t="s">
        <v>460</v>
      </c>
      <c r="C68" s="43">
        <v>18</v>
      </c>
      <c r="D68" s="47" t="s">
        <v>730</v>
      </c>
      <c r="E68" s="45">
        <v>6.3000000000000003E-4</v>
      </c>
      <c r="F68" s="43">
        <v>37.962732099999997</v>
      </c>
      <c r="G68" s="43">
        <f t="shared" si="0"/>
        <v>35352.859193644981</v>
      </c>
    </row>
    <row r="69" spans="1:7" x14ac:dyDescent="0.4">
      <c r="A69" s="43">
        <v>48</v>
      </c>
      <c r="B69" s="43" t="s">
        <v>461</v>
      </c>
      <c r="C69" s="43">
        <v>18</v>
      </c>
      <c r="D69" s="47">
        <v>302</v>
      </c>
      <c r="E69" s="45">
        <v>0</v>
      </c>
      <c r="F69" s="43">
        <v>38.964312999999997</v>
      </c>
      <c r="G69" s="43">
        <f t="shared" si="0"/>
        <v>36285.825792509582</v>
      </c>
    </row>
    <row r="70" spans="1:7" x14ac:dyDescent="0.4">
      <c r="A70" s="43">
        <v>49</v>
      </c>
      <c r="B70" s="54" t="s">
        <v>462</v>
      </c>
      <c r="C70" s="43">
        <v>18</v>
      </c>
      <c r="D70" s="47" t="s">
        <v>730</v>
      </c>
      <c r="E70" s="45">
        <v>0.996</v>
      </c>
      <c r="F70" s="43">
        <v>39.962383123800002</v>
      </c>
      <c r="G70" s="43">
        <f t="shared" si="0"/>
        <v>37215.522124408541</v>
      </c>
    </row>
    <row r="71" spans="1:7" x14ac:dyDescent="0.4">
      <c r="A71" s="43">
        <v>50</v>
      </c>
      <c r="B71" s="43" t="s">
        <v>463</v>
      </c>
      <c r="C71" s="43">
        <v>18</v>
      </c>
      <c r="D71" s="47">
        <v>32.9</v>
      </c>
      <c r="E71" s="45">
        <v>0</v>
      </c>
      <c r="F71" s="43">
        <v>41.963045700000002</v>
      </c>
      <c r="G71" s="43">
        <f t="shared" si="0"/>
        <v>39079.127310163385</v>
      </c>
    </row>
    <row r="72" spans="1:7" x14ac:dyDescent="0.4">
      <c r="A72" s="42">
        <v>51</v>
      </c>
      <c r="B72" s="50" t="s">
        <v>464</v>
      </c>
      <c r="C72" s="42">
        <v>19</v>
      </c>
      <c r="D72" s="46" t="s">
        <v>730</v>
      </c>
      <c r="E72" s="44">
        <v>0.93300000000000005</v>
      </c>
      <c r="F72" s="42">
        <v>38.963706487000003</v>
      </c>
      <c r="G72" s="42">
        <f t="shared" si="0"/>
        <v>36284.749830338478</v>
      </c>
    </row>
    <row r="73" spans="1:7" x14ac:dyDescent="0.4">
      <c r="A73" s="42">
        <v>52</v>
      </c>
      <c r="B73" s="42" t="s">
        <v>465</v>
      </c>
      <c r="C73" s="42">
        <v>19</v>
      </c>
      <c r="D73" s="46">
        <v>1248000000</v>
      </c>
      <c r="E73" s="44">
        <v>1.17E-4</v>
      </c>
      <c r="F73" s="42">
        <v>39.963998170000004</v>
      </c>
      <c r="G73" s="42">
        <f t="shared" si="0"/>
        <v>37216.515531302874</v>
      </c>
    </row>
    <row r="74" spans="1:7" x14ac:dyDescent="0.4">
      <c r="A74" s="42">
        <v>53</v>
      </c>
      <c r="B74" s="42" t="s">
        <v>466</v>
      </c>
      <c r="C74" s="42">
        <v>19</v>
      </c>
      <c r="D74" s="46" t="s">
        <v>730</v>
      </c>
      <c r="E74" s="44">
        <v>6.7299999999999999E-2</v>
      </c>
      <c r="F74" s="42">
        <v>40.961825257999998</v>
      </c>
      <c r="G74" s="42">
        <f t="shared" si="0"/>
        <v>38145.98547681234</v>
      </c>
    </row>
    <row r="75" spans="1:7" x14ac:dyDescent="0.4">
      <c r="A75" s="43">
        <v>54</v>
      </c>
      <c r="B75" s="54" t="s">
        <v>467</v>
      </c>
      <c r="C75" s="43">
        <v>20</v>
      </c>
      <c r="D75" s="47" t="s">
        <v>730</v>
      </c>
      <c r="E75" s="45">
        <v>0.96899999999999997</v>
      </c>
      <c r="F75" s="43">
        <v>39.962590865999999</v>
      </c>
      <c r="G75" s="43">
        <f t="shared" si="0"/>
        <v>37214.693637120006</v>
      </c>
    </row>
    <row r="76" spans="1:7" x14ac:dyDescent="0.4">
      <c r="A76" s="43">
        <v>55</v>
      </c>
      <c r="B76" s="43" t="s">
        <v>468</v>
      </c>
      <c r="C76" s="43">
        <v>20</v>
      </c>
      <c r="D76" s="47">
        <v>99400</v>
      </c>
      <c r="E76" s="45">
        <v>0</v>
      </c>
      <c r="F76" s="43">
        <v>40.962277919999998</v>
      </c>
      <c r="G76" s="43">
        <f t="shared" si="0"/>
        <v>38145.896129798683</v>
      </c>
    </row>
    <row r="77" spans="1:7" x14ac:dyDescent="0.4">
      <c r="A77" s="43">
        <v>56</v>
      </c>
      <c r="B77" s="43" t="s">
        <v>469</v>
      </c>
      <c r="C77" s="43">
        <v>20</v>
      </c>
      <c r="D77" s="47" t="s">
        <v>730</v>
      </c>
      <c r="E77" s="45">
        <v>6.4700000000000001E-3</v>
      </c>
      <c r="F77" s="43">
        <v>41.958617830000001</v>
      </c>
      <c r="G77" s="43">
        <f t="shared" si="0"/>
        <v>39073.980777924226</v>
      </c>
    </row>
    <row r="78" spans="1:7" x14ac:dyDescent="0.4">
      <c r="A78" s="43">
        <v>57</v>
      </c>
      <c r="B78" s="43" t="s">
        <v>470</v>
      </c>
      <c r="C78" s="43">
        <v>20</v>
      </c>
      <c r="D78" s="47" t="s">
        <v>730</v>
      </c>
      <c r="E78" s="45">
        <v>1.3500000000000001E-3</v>
      </c>
      <c r="F78" s="43">
        <v>42.958766429999997</v>
      </c>
      <c r="G78" s="43">
        <f t="shared" si="0"/>
        <v>40005.613197932624</v>
      </c>
    </row>
    <row r="79" spans="1:7" x14ac:dyDescent="0.4">
      <c r="A79" s="43">
        <v>58</v>
      </c>
      <c r="B79" s="43" t="s">
        <v>471</v>
      </c>
      <c r="C79" s="43">
        <v>20</v>
      </c>
      <c r="D79" s="47" t="s">
        <v>730</v>
      </c>
      <c r="E79" s="45">
        <v>2.0899999999999998E-2</v>
      </c>
      <c r="F79" s="43">
        <v>43.955481499999998</v>
      </c>
      <c r="G79" s="43">
        <f t="shared" si="0"/>
        <v>40934.047305347201</v>
      </c>
    </row>
    <row r="80" spans="1:7" x14ac:dyDescent="0.4">
      <c r="A80" s="43">
        <v>59</v>
      </c>
      <c r="B80" s="43" t="s">
        <v>732</v>
      </c>
      <c r="C80" s="43">
        <v>20</v>
      </c>
      <c r="D80" s="47">
        <v>0.44519999999999998</v>
      </c>
      <c r="E80" s="45">
        <v>0</v>
      </c>
      <c r="F80" s="43">
        <v>44.956186270000003</v>
      </c>
      <c r="G80" s="43">
        <f t="shared" si="0"/>
        <v>41866.197794373591</v>
      </c>
    </row>
    <row r="81" spans="1:7" x14ac:dyDescent="0.4">
      <c r="A81" s="43">
        <v>60</v>
      </c>
      <c r="B81" s="43" t="s">
        <v>733</v>
      </c>
      <c r="C81" s="43">
        <v>20</v>
      </c>
      <c r="D81" s="47" t="s">
        <v>730</v>
      </c>
      <c r="E81" s="45">
        <v>4.0000000000000003E-5</v>
      </c>
      <c r="F81" s="43">
        <v>45.953687700000003</v>
      </c>
      <c r="G81" s="43">
        <f t="shared" si="0"/>
        <v>42795.36439141001</v>
      </c>
    </row>
    <row r="82" spans="1:7" x14ac:dyDescent="0.4">
      <c r="A82" s="43">
        <v>61</v>
      </c>
      <c r="B82" s="52" t="s">
        <v>472</v>
      </c>
      <c r="C82" s="43">
        <v>20</v>
      </c>
      <c r="D82" s="47">
        <v>5.9E+19</v>
      </c>
      <c r="E82" s="45">
        <v>1.8699999999999999E-3</v>
      </c>
      <c r="F82" s="43">
        <v>47.952522899999998</v>
      </c>
      <c r="G82" s="43">
        <f t="shared" si="0"/>
        <v>44657.267387198801</v>
      </c>
    </row>
    <row r="83" spans="1:7" x14ac:dyDescent="0.4">
      <c r="A83" s="42">
        <v>62</v>
      </c>
      <c r="B83" s="49" t="s">
        <v>473</v>
      </c>
      <c r="C83" s="42">
        <v>21</v>
      </c>
      <c r="D83" s="46" t="s">
        <v>730</v>
      </c>
      <c r="E83" s="44">
        <v>1</v>
      </c>
      <c r="F83" s="42">
        <v>44.95590705</v>
      </c>
      <c r="G83" s="42">
        <f t="shared" si="0"/>
        <v>41865.426703668207</v>
      </c>
    </row>
    <row r="84" spans="1:7" x14ac:dyDescent="0.4">
      <c r="A84" s="42">
        <v>63</v>
      </c>
      <c r="B84" s="42" t="s">
        <v>734</v>
      </c>
      <c r="C84" s="42">
        <v>21</v>
      </c>
      <c r="D84" s="46">
        <v>0.2293</v>
      </c>
      <c r="E84" s="44">
        <v>0</v>
      </c>
      <c r="F84" s="42">
        <v>45.955167029999998</v>
      </c>
      <c r="G84" s="42">
        <f t="shared" si="0"/>
        <v>42796.231379478326</v>
      </c>
    </row>
    <row r="85" spans="1:7" x14ac:dyDescent="0.4">
      <c r="A85" s="43">
        <v>64</v>
      </c>
      <c r="B85" s="43" t="s">
        <v>735</v>
      </c>
      <c r="C85" s="43">
        <v>22</v>
      </c>
      <c r="D85" s="47">
        <v>59.1</v>
      </c>
      <c r="E85" s="45">
        <v>0</v>
      </c>
      <c r="F85" s="43">
        <v>43.959689939999997</v>
      </c>
      <c r="G85" s="43">
        <f t="shared" ref="G85:G148" si="1">F85*amu-C85*m_e</f>
        <v>40936.945444055178</v>
      </c>
    </row>
    <row r="86" spans="1:7" x14ac:dyDescent="0.4">
      <c r="A86" s="43">
        <v>65</v>
      </c>
      <c r="B86" s="43" t="s">
        <v>474</v>
      </c>
      <c r="C86" s="43">
        <v>22</v>
      </c>
      <c r="D86" s="47" t="s">
        <v>730</v>
      </c>
      <c r="E86" s="45">
        <v>8.2500000000000004E-2</v>
      </c>
      <c r="F86" s="43">
        <v>45.952626356000003</v>
      </c>
      <c r="G86" s="43">
        <f t="shared" si="1"/>
        <v>42793.353757940684</v>
      </c>
    </row>
    <row r="87" spans="1:7" x14ac:dyDescent="0.4">
      <c r="A87" s="43">
        <v>66</v>
      </c>
      <c r="B87" s="43" t="s">
        <v>475</v>
      </c>
      <c r="C87" s="43">
        <v>22</v>
      </c>
      <c r="D87" s="47" t="s">
        <v>730</v>
      </c>
      <c r="E87" s="45">
        <v>7.4399999999999994E-2</v>
      </c>
      <c r="F87" s="43">
        <v>46.951757491000002</v>
      </c>
      <c r="G87" s="43">
        <f t="shared" si="1"/>
        <v>43724.038415406372</v>
      </c>
    </row>
    <row r="88" spans="1:7" x14ac:dyDescent="0.4">
      <c r="A88" s="43">
        <v>67</v>
      </c>
      <c r="B88" s="54" t="s">
        <v>476</v>
      </c>
      <c r="C88" s="43">
        <v>22</v>
      </c>
      <c r="D88" s="47" t="s">
        <v>730</v>
      </c>
      <c r="E88" s="45">
        <v>0.73699999999999999</v>
      </c>
      <c r="F88" s="43">
        <v>47.947946299999998</v>
      </c>
      <c r="G88" s="43">
        <f t="shared" si="1"/>
        <v>44651.982313857021</v>
      </c>
    </row>
    <row r="89" spans="1:7" x14ac:dyDescent="0.4">
      <c r="A89" s="43">
        <v>68</v>
      </c>
      <c r="B89" s="43" t="s">
        <v>477</v>
      </c>
      <c r="C89" s="43">
        <v>22</v>
      </c>
      <c r="D89" s="47" t="s">
        <v>730</v>
      </c>
      <c r="E89" s="45">
        <v>5.4100000000000002E-2</v>
      </c>
      <c r="F89" s="43">
        <v>48.947870000000002</v>
      </c>
      <c r="G89" s="43">
        <f t="shared" si="1"/>
        <v>45583.40524086482</v>
      </c>
    </row>
    <row r="90" spans="1:7" x14ac:dyDescent="0.4">
      <c r="A90" s="43">
        <v>69</v>
      </c>
      <c r="B90" s="43" t="s">
        <v>478</v>
      </c>
      <c r="C90" s="43">
        <v>22</v>
      </c>
      <c r="D90" s="47" t="s">
        <v>730</v>
      </c>
      <c r="E90" s="45">
        <v>5.1799999999999999E-2</v>
      </c>
      <c r="F90" s="43">
        <v>49.944785621999998</v>
      </c>
      <c r="G90" s="43">
        <f t="shared" si="1"/>
        <v>46512.026161264082</v>
      </c>
    </row>
    <row r="91" spans="1:7" x14ac:dyDescent="0.4">
      <c r="A91" s="42">
        <v>70</v>
      </c>
      <c r="B91" s="42" t="s">
        <v>736</v>
      </c>
      <c r="C91" s="42">
        <v>23</v>
      </c>
      <c r="D91" s="46">
        <v>0.90339999999999998</v>
      </c>
      <c r="E91" s="44">
        <v>0</v>
      </c>
      <c r="F91" s="42">
        <v>48.948510509999998</v>
      </c>
      <c r="G91" s="42">
        <f t="shared" si="1"/>
        <v>45583.49087313607</v>
      </c>
    </row>
    <row r="92" spans="1:7" x14ac:dyDescent="0.4">
      <c r="A92" s="42">
        <v>71</v>
      </c>
      <c r="B92" s="42" t="s">
        <v>479</v>
      </c>
      <c r="C92" s="42">
        <v>23</v>
      </c>
      <c r="D92" s="46">
        <v>2.71E+17</v>
      </c>
      <c r="E92" s="44">
        <v>2.5000000000000001E-3</v>
      </c>
      <c r="F92" s="42">
        <v>49.947156681000003</v>
      </c>
      <c r="G92" s="42">
        <f t="shared" si="1"/>
        <v>46513.723789545547</v>
      </c>
    </row>
    <row r="93" spans="1:7" x14ac:dyDescent="0.4">
      <c r="A93" s="42">
        <v>72</v>
      </c>
      <c r="B93" s="49" t="s">
        <v>480</v>
      </c>
      <c r="C93" s="42">
        <v>23</v>
      </c>
      <c r="D93" s="46" t="s">
        <v>730</v>
      </c>
      <c r="E93" s="44">
        <v>0.998</v>
      </c>
      <c r="F93" s="42">
        <v>50.943957660000002</v>
      </c>
      <c r="G93" s="42">
        <f t="shared" si="1"/>
        <v>47442.23792067817</v>
      </c>
    </row>
    <row r="94" spans="1:7" x14ac:dyDescent="0.4">
      <c r="A94" s="43">
        <v>73</v>
      </c>
      <c r="B94" s="43" t="s">
        <v>481</v>
      </c>
      <c r="C94" s="43">
        <v>24</v>
      </c>
      <c r="D94" s="47" t="s">
        <v>730</v>
      </c>
      <c r="E94" s="45">
        <v>4.3400000000000001E-2</v>
      </c>
      <c r="F94" s="43">
        <v>49.946042210000002</v>
      </c>
      <c r="G94" s="43">
        <f t="shared" si="1"/>
        <v>46512.17466754518</v>
      </c>
    </row>
    <row r="95" spans="1:7" x14ac:dyDescent="0.4">
      <c r="A95" s="43">
        <v>74</v>
      </c>
      <c r="B95" s="54" t="s">
        <v>482</v>
      </c>
      <c r="C95" s="43">
        <v>24</v>
      </c>
      <c r="D95" s="47" t="s">
        <v>730</v>
      </c>
      <c r="E95" s="45">
        <v>0.83799999999999997</v>
      </c>
      <c r="F95" s="43">
        <v>51.940507500000002</v>
      </c>
      <c r="G95" s="43">
        <f t="shared" si="1"/>
        <v>48370.007118388443</v>
      </c>
    </row>
    <row r="96" spans="1:7" x14ac:dyDescent="0.4">
      <c r="A96" s="43">
        <v>75</v>
      </c>
      <c r="B96" s="43" t="s">
        <v>483</v>
      </c>
      <c r="C96" s="43">
        <v>24</v>
      </c>
      <c r="D96" s="47" t="s">
        <v>730</v>
      </c>
      <c r="E96" s="45">
        <v>9.5000000000000001E-2</v>
      </c>
      <c r="F96" s="43">
        <v>52.940649399999998</v>
      </c>
      <c r="G96" s="43">
        <f t="shared" si="1"/>
        <v>49301.633297387038</v>
      </c>
    </row>
    <row r="97" spans="1:7" x14ac:dyDescent="0.4">
      <c r="A97" s="43">
        <v>76</v>
      </c>
      <c r="B97" s="43" t="s">
        <v>484</v>
      </c>
      <c r="C97" s="43">
        <v>24</v>
      </c>
      <c r="D97" s="47" t="s">
        <v>730</v>
      </c>
      <c r="E97" s="45">
        <v>2.3699999999999999E-2</v>
      </c>
      <c r="F97" s="43">
        <v>53.938877359999999</v>
      </c>
      <c r="G97" s="43">
        <f t="shared" si="1"/>
        <v>50231.47665275928</v>
      </c>
    </row>
    <row r="98" spans="1:7" x14ac:dyDescent="0.4">
      <c r="A98" s="42">
        <v>77</v>
      </c>
      <c r="B98" s="42" t="s">
        <v>737</v>
      </c>
      <c r="C98" s="42">
        <v>25</v>
      </c>
      <c r="D98" s="46">
        <v>3700000</v>
      </c>
      <c r="E98" s="44">
        <v>0</v>
      </c>
      <c r="F98" s="42">
        <v>52.941287500000001</v>
      </c>
      <c r="G98" s="42">
        <f t="shared" si="1"/>
        <v>49301.716684757754</v>
      </c>
    </row>
    <row r="99" spans="1:7" x14ac:dyDescent="0.4">
      <c r="A99" s="42">
        <v>78</v>
      </c>
      <c r="B99" s="42" t="s">
        <v>738</v>
      </c>
      <c r="C99" s="42">
        <v>25</v>
      </c>
      <c r="D99" s="46">
        <v>0.85419999999999996</v>
      </c>
      <c r="E99" s="44">
        <v>0</v>
      </c>
      <c r="F99" s="42">
        <v>53.940355799999999</v>
      </c>
      <c r="G99" s="42">
        <f t="shared" si="1"/>
        <v>50232.342811797949</v>
      </c>
    </row>
    <row r="100" spans="1:7" x14ac:dyDescent="0.4">
      <c r="A100" s="42">
        <v>79</v>
      </c>
      <c r="B100" s="50" t="s">
        <v>485</v>
      </c>
      <c r="C100" s="42">
        <v>25</v>
      </c>
      <c r="D100" s="46" t="s">
        <v>730</v>
      </c>
      <c r="E100" s="44">
        <v>1</v>
      </c>
      <c r="F100" s="42">
        <v>54.938045099999997</v>
      </c>
      <c r="G100" s="42">
        <f t="shared" si="1"/>
        <v>51161.684408612149</v>
      </c>
    </row>
    <row r="101" spans="1:7" x14ac:dyDescent="0.4">
      <c r="A101" s="43">
        <v>80</v>
      </c>
      <c r="B101" s="43" t="s">
        <v>486</v>
      </c>
      <c r="C101" s="43">
        <v>26</v>
      </c>
      <c r="D101" s="47" t="s">
        <v>730</v>
      </c>
      <c r="E101" s="45">
        <v>5.8500000000000003E-2</v>
      </c>
      <c r="F101" s="43">
        <v>53.939608999999997</v>
      </c>
      <c r="G101" s="43">
        <f t="shared" si="1"/>
        <v>50231.136173128063</v>
      </c>
    </row>
    <row r="102" spans="1:7" x14ac:dyDescent="0.4">
      <c r="A102" s="43">
        <v>81</v>
      </c>
      <c r="B102" s="43" t="s">
        <v>739</v>
      </c>
      <c r="C102" s="43">
        <v>26</v>
      </c>
      <c r="D102" s="47">
        <v>2.7562000000000002</v>
      </c>
      <c r="E102" s="45">
        <v>0</v>
      </c>
      <c r="F102" s="43">
        <v>54.938291159999999</v>
      </c>
      <c r="G102" s="43">
        <f t="shared" si="1"/>
        <v>51161.402613075101</v>
      </c>
    </row>
    <row r="103" spans="1:7" x14ac:dyDescent="0.4">
      <c r="A103" s="43">
        <v>82</v>
      </c>
      <c r="B103" s="54" t="s">
        <v>487</v>
      </c>
      <c r="C103" s="43">
        <v>26</v>
      </c>
      <c r="D103" s="47" t="s">
        <v>730</v>
      </c>
      <c r="E103" s="45">
        <v>0.91800000000000004</v>
      </c>
      <c r="F103" s="43">
        <v>55.934936299999997</v>
      </c>
      <c r="G103" s="43">
        <f t="shared" si="1"/>
        <v>52089.771581114263</v>
      </c>
    </row>
    <row r="104" spans="1:7" x14ac:dyDescent="0.4">
      <c r="A104" s="43">
        <v>83</v>
      </c>
      <c r="B104" s="43" t="s">
        <v>488</v>
      </c>
      <c r="C104" s="43">
        <v>26</v>
      </c>
      <c r="D104" s="47" t="s">
        <v>730</v>
      </c>
      <c r="E104" s="45">
        <v>2.12E-2</v>
      </c>
      <c r="F104" s="43">
        <v>56.935392800000002</v>
      </c>
      <c r="G104" s="43">
        <f t="shared" si="1"/>
        <v>53021.690808125262</v>
      </c>
    </row>
    <row r="105" spans="1:7" x14ac:dyDescent="0.4">
      <c r="A105" s="43">
        <v>84</v>
      </c>
      <c r="B105" s="43" t="s">
        <v>489</v>
      </c>
      <c r="C105" s="43">
        <v>26</v>
      </c>
      <c r="D105" s="47" t="s">
        <v>730</v>
      </c>
      <c r="E105" s="45">
        <v>2.8E-3</v>
      </c>
      <c r="F105" s="43">
        <v>57.933274400000002</v>
      </c>
      <c r="G105" s="43">
        <f t="shared" si="1"/>
        <v>53951.211531235662</v>
      </c>
    </row>
    <row r="106" spans="1:7" x14ac:dyDescent="0.4">
      <c r="A106" s="43">
        <v>85</v>
      </c>
      <c r="B106" s="43" t="s">
        <v>740</v>
      </c>
      <c r="C106" s="43">
        <v>26</v>
      </c>
      <c r="D106" s="47">
        <v>0.12180000000000001</v>
      </c>
      <c r="E106" s="45">
        <v>0</v>
      </c>
      <c r="F106" s="43">
        <v>58.934873490000001</v>
      </c>
      <c r="G106" s="43">
        <f t="shared" si="1"/>
        <v>54884.195073976123</v>
      </c>
    </row>
    <row r="107" spans="1:7" x14ac:dyDescent="0.4">
      <c r="A107" s="43">
        <v>86</v>
      </c>
      <c r="B107" s="43" t="s">
        <v>741</v>
      </c>
      <c r="C107" s="43">
        <v>26</v>
      </c>
      <c r="D107" s="47">
        <v>2620000</v>
      </c>
      <c r="E107" s="45">
        <v>0</v>
      </c>
      <c r="F107" s="43">
        <v>59.934070200000001</v>
      </c>
      <c r="G107" s="43">
        <f t="shared" si="1"/>
        <v>55814.940814160866</v>
      </c>
    </row>
    <row r="108" spans="1:7" x14ac:dyDescent="0.4">
      <c r="A108" s="42">
        <v>87</v>
      </c>
      <c r="B108" s="42" t="s">
        <v>742</v>
      </c>
      <c r="C108" s="42">
        <v>27</v>
      </c>
      <c r="D108" s="46">
        <v>0.21149999999999999</v>
      </c>
      <c r="E108" s="44">
        <v>0</v>
      </c>
      <c r="F108" s="42">
        <v>55.939838029999997</v>
      </c>
      <c r="G108" s="42">
        <f t="shared" si="1"/>
        <v>52093.826514248191</v>
      </c>
    </row>
    <row r="109" spans="1:7" x14ac:dyDescent="0.4">
      <c r="A109" s="42">
        <v>88</v>
      </c>
      <c r="B109" s="42" t="s">
        <v>743</v>
      </c>
      <c r="C109" s="42">
        <v>27</v>
      </c>
      <c r="D109" s="46">
        <v>0.74419999999999997</v>
      </c>
      <c r="E109" s="44">
        <v>0</v>
      </c>
      <c r="F109" s="42">
        <v>56.936289819999999</v>
      </c>
      <c r="G109" s="42">
        <f t="shared" si="1"/>
        <v>53022.015377922457</v>
      </c>
    </row>
    <row r="110" spans="1:7" x14ac:dyDescent="0.4">
      <c r="A110" s="42">
        <v>89</v>
      </c>
      <c r="B110" s="42" t="s">
        <v>744</v>
      </c>
      <c r="C110" s="42">
        <v>27</v>
      </c>
      <c r="D110" s="46">
        <v>0.19389999999999999</v>
      </c>
      <c r="E110" s="44">
        <v>0</v>
      </c>
      <c r="F110" s="42">
        <v>57.9357513</v>
      </c>
      <c r="G110" s="42">
        <f t="shared" si="1"/>
        <v>53953.007749773577</v>
      </c>
    </row>
    <row r="111" spans="1:7" x14ac:dyDescent="0.4">
      <c r="A111" s="42">
        <v>90</v>
      </c>
      <c r="B111" s="50" t="s">
        <v>490</v>
      </c>
      <c r="C111" s="42">
        <v>27</v>
      </c>
      <c r="D111" s="46" t="s">
        <v>730</v>
      </c>
      <c r="E111" s="44">
        <v>1</v>
      </c>
      <c r="F111" s="42">
        <v>58.933194999999998</v>
      </c>
      <c r="G111" s="42">
        <f t="shared" si="1"/>
        <v>54882.120571661369</v>
      </c>
    </row>
    <row r="112" spans="1:7" x14ac:dyDescent="0.4">
      <c r="A112" s="42">
        <v>91</v>
      </c>
      <c r="B112" s="51" t="s">
        <v>491</v>
      </c>
      <c r="C112" s="42">
        <v>27</v>
      </c>
      <c r="D112" s="46">
        <v>5.2713999999999999</v>
      </c>
      <c r="E112" s="44">
        <v>0</v>
      </c>
      <c r="F112" s="42">
        <v>59.933817099999999</v>
      </c>
      <c r="G112" s="42">
        <f t="shared" si="1"/>
        <v>55814.194054078776</v>
      </c>
    </row>
    <row r="113" spans="1:7" x14ac:dyDescent="0.4">
      <c r="A113" s="43">
        <v>92</v>
      </c>
      <c r="B113" s="54" t="s">
        <v>492</v>
      </c>
      <c r="C113" s="43">
        <v>28</v>
      </c>
      <c r="D113" s="47" t="s">
        <v>730</v>
      </c>
      <c r="E113" s="45">
        <v>0.68100000000000005</v>
      </c>
      <c r="F113" s="43">
        <v>57.935342900000002</v>
      </c>
      <c r="G113" s="43">
        <f t="shared" si="1"/>
        <v>53952.116328673284</v>
      </c>
    </row>
    <row r="114" spans="1:7" x14ac:dyDescent="0.4">
      <c r="A114" s="43">
        <v>93</v>
      </c>
      <c r="B114" s="43" t="s">
        <v>493</v>
      </c>
      <c r="C114" s="43">
        <v>28</v>
      </c>
      <c r="D114" s="47">
        <v>81000</v>
      </c>
      <c r="E114" s="45">
        <v>0</v>
      </c>
      <c r="F114" s="43">
        <v>58.934346699999999</v>
      </c>
      <c r="G114" s="43">
        <f t="shared" si="1"/>
        <v>54882.682374350486</v>
      </c>
    </row>
    <row r="115" spans="1:7" x14ac:dyDescent="0.4">
      <c r="A115" s="43">
        <v>94</v>
      </c>
      <c r="B115" s="43" t="s">
        <v>494</v>
      </c>
      <c r="C115" s="43">
        <v>28</v>
      </c>
      <c r="D115" s="47" t="s">
        <v>730</v>
      </c>
      <c r="E115" s="45">
        <v>0.26200000000000001</v>
      </c>
      <c r="F115" s="43">
        <v>59.930786400000002</v>
      </c>
      <c r="G115" s="43">
        <f t="shared" si="1"/>
        <v>55810.859976262291</v>
      </c>
    </row>
    <row r="116" spans="1:7" x14ac:dyDescent="0.4">
      <c r="A116" s="43">
        <v>95</v>
      </c>
      <c r="B116" s="43" t="s">
        <v>495</v>
      </c>
      <c r="C116" s="43">
        <v>28</v>
      </c>
      <c r="D116" s="47" t="s">
        <v>730</v>
      </c>
      <c r="E116" s="45">
        <v>1.14E-2</v>
      </c>
      <c r="F116" s="43">
        <v>60.931055999999998</v>
      </c>
      <c r="G116" s="43">
        <f t="shared" si="1"/>
        <v>56742.605107044685</v>
      </c>
    </row>
    <row r="117" spans="1:7" x14ac:dyDescent="0.4">
      <c r="A117" s="43">
        <v>96</v>
      </c>
      <c r="B117" s="43" t="s">
        <v>496</v>
      </c>
      <c r="C117" s="43">
        <v>28</v>
      </c>
      <c r="D117" s="47" t="s">
        <v>730</v>
      </c>
      <c r="E117" s="45">
        <v>3.6299999999999999E-2</v>
      </c>
      <c r="F117" s="43">
        <v>61.928345100000001</v>
      </c>
      <c r="G117" s="43">
        <f t="shared" si="1"/>
        <v>57671.573919960087</v>
      </c>
    </row>
    <row r="118" spans="1:7" x14ac:dyDescent="0.4">
      <c r="A118" s="43">
        <v>97</v>
      </c>
      <c r="B118" s="43" t="s">
        <v>745</v>
      </c>
      <c r="C118" s="43">
        <v>28</v>
      </c>
      <c r="D118" s="47">
        <v>101</v>
      </c>
      <c r="E118" s="45">
        <v>0</v>
      </c>
      <c r="F118" s="43">
        <v>62.929669019999999</v>
      </c>
      <c r="G118" s="43">
        <f t="shared" si="1"/>
        <v>58604.301143496567</v>
      </c>
    </row>
    <row r="119" spans="1:7" x14ac:dyDescent="0.4">
      <c r="A119" s="43">
        <v>98</v>
      </c>
      <c r="B119" s="43" t="s">
        <v>497</v>
      </c>
      <c r="C119" s="43">
        <v>28</v>
      </c>
      <c r="D119" s="47" t="s">
        <v>730</v>
      </c>
      <c r="E119" s="45">
        <v>9.2599999999999991E-3</v>
      </c>
      <c r="F119" s="43">
        <v>63.927965999999998</v>
      </c>
      <c r="G119" s="43">
        <f t="shared" si="1"/>
        <v>59534.208790584686</v>
      </c>
    </row>
    <row r="120" spans="1:7" x14ac:dyDescent="0.4">
      <c r="A120" s="42">
        <v>99</v>
      </c>
      <c r="B120" s="50" t="s">
        <v>498</v>
      </c>
      <c r="C120" s="42">
        <v>29</v>
      </c>
      <c r="D120" s="46" t="s">
        <v>730</v>
      </c>
      <c r="E120" s="44">
        <v>0.69199999999999995</v>
      </c>
      <c r="F120" s="42">
        <v>62.9295975</v>
      </c>
      <c r="G120" s="42">
        <f t="shared" si="1"/>
        <v>58603.723524094989</v>
      </c>
    </row>
    <row r="121" spans="1:7" x14ac:dyDescent="0.4">
      <c r="A121" s="42">
        <v>100</v>
      </c>
      <c r="B121" s="42" t="s">
        <v>499</v>
      </c>
      <c r="C121" s="42">
        <v>29</v>
      </c>
      <c r="D121" s="46" t="s">
        <v>730</v>
      </c>
      <c r="E121" s="44">
        <v>0.309</v>
      </c>
      <c r="F121" s="42">
        <v>64.927789480000001</v>
      </c>
      <c r="G121" s="42">
        <f t="shared" si="1"/>
        <v>60465.027364313108</v>
      </c>
    </row>
    <row r="122" spans="1:7" x14ac:dyDescent="0.4">
      <c r="A122" s="43">
        <v>101</v>
      </c>
      <c r="B122" s="54" t="s">
        <v>500</v>
      </c>
      <c r="C122" s="43">
        <v>30</v>
      </c>
      <c r="D122" s="47" t="s">
        <v>730</v>
      </c>
      <c r="E122" s="45">
        <v>0.49199999999999999</v>
      </c>
      <c r="F122" s="43">
        <v>63.929142200000001</v>
      </c>
      <c r="G122" s="43">
        <f t="shared" si="1"/>
        <v>59534.2824159261</v>
      </c>
    </row>
    <row r="123" spans="1:7" x14ac:dyDescent="0.4">
      <c r="A123" s="43">
        <v>102</v>
      </c>
      <c r="B123" s="43" t="s">
        <v>501</v>
      </c>
      <c r="C123" s="43">
        <v>30</v>
      </c>
      <c r="D123" s="47">
        <v>0.66790000000000005</v>
      </c>
      <c r="E123" s="45">
        <v>0</v>
      </c>
      <c r="F123" s="43">
        <v>64.929240530000001</v>
      </c>
      <c r="G123" s="43">
        <f t="shared" si="1"/>
        <v>60465.868009731123</v>
      </c>
    </row>
    <row r="124" spans="1:7" x14ac:dyDescent="0.4">
      <c r="A124" s="43">
        <v>103</v>
      </c>
      <c r="B124" s="43" t="s">
        <v>502</v>
      </c>
      <c r="C124" s="43">
        <v>30</v>
      </c>
      <c r="D124" s="47" t="s">
        <v>730</v>
      </c>
      <c r="E124" s="45">
        <v>0.27700000000000002</v>
      </c>
      <c r="F124" s="43">
        <v>65.926033399999994</v>
      </c>
      <c r="G124" s="43">
        <f t="shared" si="1"/>
        <v>61394.374587378894</v>
      </c>
    </row>
    <row r="125" spans="1:7" x14ac:dyDescent="0.4">
      <c r="A125" s="43">
        <v>104</v>
      </c>
      <c r="B125" s="43" t="s">
        <v>503</v>
      </c>
      <c r="C125" s="43">
        <v>30</v>
      </c>
      <c r="D125" s="47" t="s">
        <v>730</v>
      </c>
      <c r="E125" s="45">
        <v>4.0399999999999998E-2</v>
      </c>
      <c r="F125" s="43">
        <v>66.927127299999995</v>
      </c>
      <c r="G125" s="43">
        <f t="shared" si="1"/>
        <v>62326.887548665494</v>
      </c>
    </row>
    <row r="126" spans="1:7" x14ac:dyDescent="0.4">
      <c r="A126" s="43">
        <v>105</v>
      </c>
      <c r="B126" s="43" t="s">
        <v>504</v>
      </c>
      <c r="C126" s="43">
        <v>30</v>
      </c>
      <c r="D126" s="47" t="s">
        <v>730</v>
      </c>
      <c r="E126" s="45">
        <v>0.184</v>
      </c>
      <c r="F126" s="43">
        <v>67.924844199999995</v>
      </c>
      <c r="G126" s="43">
        <f t="shared" si="1"/>
        <v>63256.254854714098</v>
      </c>
    </row>
    <row r="127" spans="1:7" x14ac:dyDescent="0.4">
      <c r="A127" s="43">
        <v>106</v>
      </c>
      <c r="B127" s="43" t="s">
        <v>505</v>
      </c>
      <c r="C127" s="43">
        <v>30</v>
      </c>
      <c r="D127" s="47" t="s">
        <v>730</v>
      </c>
      <c r="E127" s="45">
        <v>6.1000000000000004E-3</v>
      </c>
      <c r="F127" s="43">
        <v>69.925319299999998</v>
      </c>
      <c r="G127" s="43">
        <f t="shared" si="1"/>
        <v>65119.685407513498</v>
      </c>
    </row>
    <row r="128" spans="1:7" x14ac:dyDescent="0.4">
      <c r="A128" s="42">
        <v>107</v>
      </c>
      <c r="B128" s="49" t="s">
        <v>506</v>
      </c>
      <c r="C128" s="42">
        <v>31</v>
      </c>
      <c r="D128" s="46" t="s">
        <v>730</v>
      </c>
      <c r="E128" s="44">
        <v>0.60099999999999998</v>
      </c>
      <c r="F128" s="42">
        <v>68.925573600000007</v>
      </c>
      <c r="G128" s="42">
        <f t="shared" si="1"/>
        <v>64187.91728748702</v>
      </c>
    </row>
    <row r="129" spans="1:7" x14ac:dyDescent="0.4">
      <c r="A129" s="42">
        <v>108</v>
      </c>
      <c r="B129" s="42" t="s">
        <v>507</v>
      </c>
      <c r="C129" s="42">
        <v>31</v>
      </c>
      <c r="D129" s="46" t="s">
        <v>730</v>
      </c>
      <c r="E129" s="44">
        <v>0.39900000000000002</v>
      </c>
      <c r="F129" s="42">
        <v>70.924701299999995</v>
      </c>
      <c r="G129" s="42">
        <f t="shared" si="1"/>
        <v>66050.092745270813</v>
      </c>
    </row>
    <row r="130" spans="1:7" x14ac:dyDescent="0.4">
      <c r="A130" s="43">
        <v>109</v>
      </c>
      <c r="B130" s="43" t="s">
        <v>746</v>
      </c>
      <c r="C130" s="43">
        <v>32</v>
      </c>
      <c r="D130" s="47">
        <v>0.74209999999999998</v>
      </c>
      <c r="E130" s="45">
        <v>0</v>
      </c>
      <c r="F130" s="43">
        <v>68.927964500000002</v>
      </c>
      <c r="G130" s="43">
        <f t="shared" si="1"/>
        <v>64189.633397540922</v>
      </c>
    </row>
    <row r="131" spans="1:7" x14ac:dyDescent="0.4">
      <c r="A131" s="43">
        <v>110</v>
      </c>
      <c r="B131" s="43" t="s">
        <v>508</v>
      </c>
      <c r="C131" s="43">
        <v>32</v>
      </c>
      <c r="D131" s="47" t="s">
        <v>730</v>
      </c>
      <c r="E131" s="45">
        <v>0.20499999999999999</v>
      </c>
      <c r="F131" s="43">
        <v>69.924248539999994</v>
      </c>
      <c r="G131" s="43">
        <f t="shared" si="1"/>
        <v>65117.666003096674</v>
      </c>
    </row>
    <row r="132" spans="1:7" x14ac:dyDescent="0.4">
      <c r="A132" s="43">
        <v>111</v>
      </c>
      <c r="B132" s="43" t="s">
        <v>509</v>
      </c>
      <c r="C132" s="43">
        <v>32</v>
      </c>
      <c r="D132" s="47" t="s">
        <v>730</v>
      </c>
      <c r="E132" s="45">
        <v>0.27400000000000002</v>
      </c>
      <c r="F132" s="43">
        <v>71.922075824000004</v>
      </c>
      <c r="G132" s="43">
        <f t="shared" si="1"/>
        <v>66978.630131178987</v>
      </c>
    </row>
    <row r="133" spans="1:7" x14ac:dyDescent="0.4">
      <c r="A133" s="43">
        <v>112</v>
      </c>
      <c r="B133" s="43" t="s">
        <v>510</v>
      </c>
      <c r="C133" s="43">
        <v>32</v>
      </c>
      <c r="D133" s="47" t="s">
        <v>730</v>
      </c>
      <c r="E133" s="45">
        <v>7.7600000000000002E-2</v>
      </c>
      <c r="F133" s="43">
        <v>72.923458953999997</v>
      </c>
      <c r="G133" s="43">
        <f t="shared" si="1"/>
        <v>67911.412508475201</v>
      </c>
    </row>
    <row r="134" spans="1:7" x14ac:dyDescent="0.4">
      <c r="A134" s="43">
        <v>113</v>
      </c>
      <c r="B134" s="53" t="s">
        <v>511</v>
      </c>
      <c r="C134" s="43">
        <v>32</v>
      </c>
      <c r="D134" s="47" t="s">
        <v>730</v>
      </c>
      <c r="E134" s="45">
        <v>0.36499999999999999</v>
      </c>
      <c r="F134" s="43">
        <v>73.921177760000006</v>
      </c>
      <c r="G134" s="43">
        <f t="shared" si="1"/>
        <v>68840.781589951366</v>
      </c>
    </row>
    <row r="135" spans="1:7" x14ac:dyDescent="0.4">
      <c r="A135" s="43">
        <v>114</v>
      </c>
      <c r="B135" s="43" t="s">
        <v>512</v>
      </c>
      <c r="C135" s="43">
        <v>32</v>
      </c>
      <c r="D135" s="47">
        <v>2.02E+21</v>
      </c>
      <c r="E135" s="45">
        <v>7.7499999999999999E-2</v>
      </c>
      <c r="F135" s="43">
        <v>75.921402724999993</v>
      </c>
      <c r="G135" s="43">
        <f t="shared" si="1"/>
        <v>70703.979143499062</v>
      </c>
    </row>
    <row r="136" spans="1:7" x14ac:dyDescent="0.4">
      <c r="A136" s="42">
        <v>115</v>
      </c>
      <c r="B136" s="42" t="s">
        <v>747</v>
      </c>
      <c r="C136" s="42">
        <v>33</v>
      </c>
      <c r="D136" s="46">
        <v>0.2198</v>
      </c>
      <c r="E136" s="44">
        <v>0</v>
      </c>
      <c r="F136" s="42">
        <v>72.923829100000006</v>
      </c>
      <c r="G136" s="42">
        <f t="shared" si="1"/>
        <v>67911.246298302634</v>
      </c>
    </row>
    <row r="137" spans="1:7" x14ac:dyDescent="0.4">
      <c r="A137" s="42">
        <v>116</v>
      </c>
      <c r="B137" s="50" t="s">
        <v>513</v>
      </c>
      <c r="C137" s="42">
        <v>33</v>
      </c>
      <c r="D137" s="46" t="s">
        <v>730</v>
      </c>
      <c r="E137" s="44">
        <v>1</v>
      </c>
      <c r="F137" s="42">
        <v>74.921596500000007</v>
      </c>
      <c r="G137" s="42">
        <f t="shared" si="1"/>
        <v>69772.15464479824</v>
      </c>
    </row>
    <row r="138" spans="1:7" x14ac:dyDescent="0.4">
      <c r="A138" s="43">
        <v>117</v>
      </c>
      <c r="B138" s="43" t="s">
        <v>748</v>
      </c>
      <c r="C138" s="43">
        <v>34</v>
      </c>
      <c r="D138" s="47" t="s">
        <v>730</v>
      </c>
      <c r="E138" s="45">
        <v>8.6E-3</v>
      </c>
      <c r="F138" s="43">
        <v>73.922475933000001</v>
      </c>
      <c r="G138" s="43">
        <f t="shared" si="1"/>
        <v>68840.96883241045</v>
      </c>
    </row>
    <row r="139" spans="1:7" x14ac:dyDescent="0.4">
      <c r="A139" s="43">
        <v>118</v>
      </c>
      <c r="B139" s="43" t="s">
        <v>749</v>
      </c>
      <c r="C139" s="43">
        <v>34</v>
      </c>
      <c r="D139" s="47">
        <v>0.32790000000000002</v>
      </c>
      <c r="E139" s="45">
        <v>0</v>
      </c>
      <c r="F139" s="43">
        <v>74.922522869999995</v>
      </c>
      <c r="G139" s="43">
        <f t="shared" si="1"/>
        <v>69772.506553944317</v>
      </c>
    </row>
    <row r="140" spans="1:7" x14ac:dyDescent="0.4">
      <c r="A140" s="43">
        <v>119</v>
      </c>
      <c r="B140" s="43" t="s">
        <v>750</v>
      </c>
      <c r="C140" s="43">
        <v>34</v>
      </c>
      <c r="D140" s="47" t="s">
        <v>730</v>
      </c>
      <c r="E140" s="45">
        <v>9.2299999999999993E-2</v>
      </c>
      <c r="F140" s="43">
        <v>75.919213701999993</v>
      </c>
      <c r="G140" s="43">
        <f t="shared" si="1"/>
        <v>70700.918083807323</v>
      </c>
    </row>
    <row r="141" spans="1:7" x14ac:dyDescent="0.4">
      <c r="A141" s="43">
        <v>120</v>
      </c>
      <c r="B141" s="43" t="s">
        <v>751</v>
      </c>
      <c r="C141" s="43">
        <v>34</v>
      </c>
      <c r="D141" s="47" t="s">
        <v>730</v>
      </c>
      <c r="E141" s="45">
        <v>7.5999999999999998E-2</v>
      </c>
      <c r="F141" s="43">
        <v>76.919914149999997</v>
      </c>
      <c r="G141" s="43">
        <f t="shared" si="1"/>
        <v>71633.064546916634</v>
      </c>
    </row>
    <row r="142" spans="1:7" x14ac:dyDescent="0.4">
      <c r="A142" s="43">
        <v>121</v>
      </c>
      <c r="B142" s="43" t="s">
        <v>752</v>
      </c>
      <c r="C142" s="43">
        <v>34</v>
      </c>
      <c r="D142" s="47" t="s">
        <v>730</v>
      </c>
      <c r="E142" s="45">
        <v>0.23699999999999999</v>
      </c>
      <c r="F142" s="43">
        <v>77.917309239999994</v>
      </c>
      <c r="G142" s="43">
        <f t="shared" si="1"/>
        <v>72562.132088881102</v>
      </c>
    </row>
    <row r="143" spans="1:7" x14ac:dyDescent="0.4">
      <c r="A143" s="43">
        <v>122</v>
      </c>
      <c r="B143" s="43" t="s">
        <v>753</v>
      </c>
      <c r="C143" s="43">
        <v>34</v>
      </c>
      <c r="D143" s="47">
        <v>327000</v>
      </c>
      <c r="E143" s="45">
        <v>0</v>
      </c>
      <c r="F143" s="43">
        <v>78.918499249999996</v>
      </c>
      <c r="G143" s="43">
        <f t="shared" si="1"/>
        <v>73494.734576056042</v>
      </c>
    </row>
    <row r="144" spans="1:7" x14ac:dyDescent="0.4">
      <c r="A144" s="43">
        <v>123</v>
      </c>
      <c r="B144" s="53" t="s">
        <v>514</v>
      </c>
      <c r="C144" s="43">
        <v>34</v>
      </c>
      <c r="D144" s="47" t="s">
        <v>730</v>
      </c>
      <c r="E144" s="45">
        <v>0.498</v>
      </c>
      <c r="F144" s="43">
        <v>79.916521799999998</v>
      </c>
      <c r="G144" s="43">
        <f t="shared" si="1"/>
        <v>74424.386593245741</v>
      </c>
    </row>
    <row r="145" spans="1:7" x14ac:dyDescent="0.4">
      <c r="A145" s="43">
        <v>124</v>
      </c>
      <c r="B145" s="43" t="s">
        <v>754</v>
      </c>
      <c r="C145" s="43">
        <v>34</v>
      </c>
      <c r="D145" s="47">
        <v>8.76E+19</v>
      </c>
      <c r="E145" s="45">
        <v>8.8200000000000001E-2</v>
      </c>
      <c r="F145" s="43">
        <v>81.916699530000002</v>
      </c>
      <c r="G145" s="43">
        <f t="shared" si="1"/>
        <v>76287.540147674372</v>
      </c>
    </row>
    <row r="146" spans="1:7" x14ac:dyDescent="0.4">
      <c r="A146" s="42">
        <v>125</v>
      </c>
      <c r="B146" s="49" t="s">
        <v>515</v>
      </c>
      <c r="C146" s="42">
        <v>35</v>
      </c>
      <c r="D146" s="46" t="s">
        <v>730</v>
      </c>
      <c r="E146" s="44">
        <v>0.50600000000000001</v>
      </c>
      <c r="F146" s="42">
        <v>78.918337600000001</v>
      </c>
      <c r="G146" s="42">
        <f t="shared" si="1"/>
        <v>73494.07300110026</v>
      </c>
    </row>
    <row r="147" spans="1:7" x14ac:dyDescent="0.4">
      <c r="A147" s="42">
        <v>126</v>
      </c>
      <c r="B147" s="42" t="s">
        <v>516</v>
      </c>
      <c r="C147" s="42">
        <v>35</v>
      </c>
      <c r="D147" s="46" t="s">
        <v>730</v>
      </c>
      <c r="E147" s="44">
        <v>0.49399999999999999</v>
      </c>
      <c r="F147" s="42">
        <v>80.916288199999997</v>
      </c>
      <c r="G147" s="42">
        <f t="shared" si="1"/>
        <v>75355.151997296649</v>
      </c>
    </row>
    <row r="148" spans="1:7" x14ac:dyDescent="0.4">
      <c r="A148" s="43">
        <v>127</v>
      </c>
      <c r="B148" s="43" t="s">
        <v>761</v>
      </c>
      <c r="C148" s="43">
        <v>36</v>
      </c>
      <c r="D148" s="47">
        <v>9.2E+21</v>
      </c>
      <c r="E148" s="45">
        <v>3.5999999999999999E-3</v>
      </c>
      <c r="F148" s="43">
        <v>77.920366340000001</v>
      </c>
      <c r="G148" s="43">
        <f t="shared" si="1"/>
        <v>72563.957761287122</v>
      </c>
    </row>
    <row r="149" spans="1:7" x14ac:dyDescent="0.4">
      <c r="A149" s="43">
        <v>128</v>
      </c>
      <c r="B149" s="43" t="s">
        <v>755</v>
      </c>
      <c r="C149" s="43">
        <v>36</v>
      </c>
      <c r="D149" s="47" t="s">
        <v>730</v>
      </c>
      <c r="E149" s="45">
        <v>2.29E-2</v>
      </c>
      <c r="F149" s="43">
        <v>79.916377940000004</v>
      </c>
      <c r="G149" s="43">
        <f t="shared" ref="G149:G212" si="2">F149*amu-C149*m_e</f>
        <v>74423.230590617532</v>
      </c>
    </row>
    <row r="150" spans="1:7" x14ac:dyDescent="0.4">
      <c r="A150" s="43">
        <v>129</v>
      </c>
      <c r="B150" s="43" t="s">
        <v>756</v>
      </c>
      <c r="C150" s="43">
        <v>36</v>
      </c>
      <c r="D150" s="47">
        <v>230000</v>
      </c>
      <c r="E150" s="45">
        <v>0</v>
      </c>
      <c r="F150" s="43">
        <v>80.916589700000003</v>
      </c>
      <c r="G150" s="43">
        <f t="shared" si="2"/>
        <v>75354.921843786971</v>
      </c>
    </row>
    <row r="151" spans="1:7" x14ac:dyDescent="0.4">
      <c r="A151" s="43">
        <v>130</v>
      </c>
      <c r="B151" s="43" t="s">
        <v>757</v>
      </c>
      <c r="C151" s="43">
        <v>36</v>
      </c>
      <c r="D151" s="47" t="s">
        <v>730</v>
      </c>
      <c r="E151" s="45">
        <v>0.11600000000000001</v>
      </c>
      <c r="F151" s="43">
        <v>81.913481153700005</v>
      </c>
      <c r="G151" s="43">
        <f t="shared" si="2"/>
        <v>76283.520251559792</v>
      </c>
    </row>
    <row r="152" spans="1:7" x14ac:dyDescent="0.4">
      <c r="A152" s="43">
        <v>131</v>
      </c>
      <c r="B152" s="43" t="s">
        <v>758</v>
      </c>
      <c r="C152" s="43">
        <v>36</v>
      </c>
      <c r="D152" s="47" t="s">
        <v>730</v>
      </c>
      <c r="E152" s="45">
        <v>0.115</v>
      </c>
      <c r="F152" s="43">
        <v>82.914126515999996</v>
      </c>
      <c r="G152" s="43">
        <f t="shared" si="2"/>
        <v>77215.615402670068</v>
      </c>
    </row>
    <row r="153" spans="1:7" x14ac:dyDescent="0.4">
      <c r="A153" s="43">
        <v>132</v>
      </c>
      <c r="B153" s="53" t="s">
        <v>517</v>
      </c>
      <c r="C153" s="43">
        <v>36</v>
      </c>
      <c r="D153" s="47" t="s">
        <v>730</v>
      </c>
      <c r="E153" s="45">
        <v>0.56999999999999995</v>
      </c>
      <c r="F153" s="43">
        <v>83.911497727099999</v>
      </c>
      <c r="G153" s="43">
        <f t="shared" si="2"/>
        <v>78144.660701582456</v>
      </c>
    </row>
    <row r="154" spans="1:7" x14ac:dyDescent="0.4">
      <c r="A154" s="43">
        <v>133</v>
      </c>
      <c r="B154" s="43" t="s">
        <v>759</v>
      </c>
      <c r="C154" s="43">
        <v>36</v>
      </c>
      <c r="D154" s="47">
        <v>10.728</v>
      </c>
      <c r="E154" s="45">
        <v>0</v>
      </c>
      <c r="F154" s="43">
        <v>84.912527299999994</v>
      </c>
      <c r="G154" s="43">
        <f t="shared" si="2"/>
        <v>79077.113742561356</v>
      </c>
    </row>
    <row r="155" spans="1:7" x14ac:dyDescent="0.4">
      <c r="A155" s="43">
        <v>134</v>
      </c>
      <c r="B155" s="43" t="s">
        <v>760</v>
      </c>
      <c r="C155" s="43">
        <v>36</v>
      </c>
      <c r="D155" s="47" t="s">
        <v>730</v>
      </c>
      <c r="E155" s="45">
        <v>0.17299999999999999</v>
      </c>
      <c r="F155" s="43">
        <v>85.910610624699999</v>
      </c>
      <c r="G155" s="43">
        <f t="shared" si="2"/>
        <v>80006.822371019472</v>
      </c>
    </row>
    <row r="156" spans="1:7" x14ac:dyDescent="0.4">
      <c r="A156" s="42">
        <v>135</v>
      </c>
      <c r="B156" s="42" t="s">
        <v>762</v>
      </c>
      <c r="C156" s="42">
        <v>37</v>
      </c>
      <c r="D156" s="46">
        <v>0.23599999999999999</v>
      </c>
      <c r="E156" s="44">
        <v>0</v>
      </c>
      <c r="F156" s="42">
        <v>82.915114200000005</v>
      </c>
      <c r="G156" s="42">
        <f t="shared" si="2"/>
        <v>77216.024425439275</v>
      </c>
    </row>
    <row r="157" spans="1:7" x14ac:dyDescent="0.4">
      <c r="A157" s="42">
        <v>136</v>
      </c>
      <c r="B157" s="49" t="s">
        <v>518</v>
      </c>
      <c r="C157" s="42">
        <v>37</v>
      </c>
      <c r="D157" s="46" t="s">
        <v>730</v>
      </c>
      <c r="E157" s="44">
        <v>0.72199999999999998</v>
      </c>
      <c r="F157" s="42">
        <v>84.911789736000003</v>
      </c>
      <c r="G157" s="42">
        <f t="shared" si="2"/>
        <v>79075.915707170061</v>
      </c>
    </row>
    <row r="158" spans="1:7" x14ac:dyDescent="0.4">
      <c r="A158" s="42">
        <v>137</v>
      </c>
      <c r="B158" s="42" t="s">
        <v>763</v>
      </c>
      <c r="C158" s="42">
        <v>37</v>
      </c>
      <c r="D158" s="46">
        <v>49700000000</v>
      </c>
      <c r="E158" s="44">
        <v>0.27800000000000002</v>
      </c>
      <c r="F158" s="42">
        <v>86.909180528999997</v>
      </c>
      <c r="G158" s="42">
        <f t="shared" si="2"/>
        <v>80936.4732465048</v>
      </c>
    </row>
    <row r="159" spans="1:7" x14ac:dyDescent="0.4">
      <c r="A159" s="43">
        <v>138</v>
      </c>
      <c r="B159" s="43" t="s">
        <v>519</v>
      </c>
      <c r="C159" s="43">
        <v>38</v>
      </c>
      <c r="D159" s="47" t="s">
        <v>730</v>
      </c>
      <c r="E159" s="45">
        <v>5.5999999999999999E-3</v>
      </c>
      <c r="F159" s="43">
        <v>83.913419099999999</v>
      </c>
      <c r="G159" s="43">
        <f t="shared" si="2"/>
        <v>78145.428451009182</v>
      </c>
    </row>
    <row r="160" spans="1:7" x14ac:dyDescent="0.4">
      <c r="A160" s="43">
        <v>139</v>
      </c>
      <c r="B160" s="43" t="s">
        <v>764</v>
      </c>
      <c r="C160" s="43">
        <v>38</v>
      </c>
      <c r="D160" s="47">
        <v>0.17749999999999999</v>
      </c>
      <c r="E160" s="45">
        <v>0</v>
      </c>
      <c r="F160" s="43">
        <v>84.912931999999998</v>
      </c>
      <c r="G160" s="43">
        <f t="shared" si="2"/>
        <v>79076.468720281788</v>
      </c>
    </row>
    <row r="161" spans="1:7" x14ac:dyDescent="0.4">
      <c r="A161" s="43">
        <v>140</v>
      </c>
      <c r="B161" s="43" t="s">
        <v>520</v>
      </c>
      <c r="C161" s="43">
        <v>38</v>
      </c>
      <c r="D161" s="47" t="s">
        <v>730</v>
      </c>
      <c r="E161" s="45">
        <v>9.8599999999999993E-2</v>
      </c>
      <c r="F161" s="43">
        <v>85.909260724700005</v>
      </c>
      <c r="G161" s="43">
        <f t="shared" si="2"/>
        <v>80004.542949367489</v>
      </c>
    </row>
    <row r="162" spans="1:7" x14ac:dyDescent="0.4">
      <c r="A162" s="43">
        <v>141</v>
      </c>
      <c r="B162" s="43" t="s">
        <v>521</v>
      </c>
      <c r="C162" s="43">
        <v>38</v>
      </c>
      <c r="D162" s="47" t="s">
        <v>730</v>
      </c>
      <c r="E162" s="45">
        <v>7.0000000000000007E-2</v>
      </c>
      <c r="F162" s="43">
        <v>86.908877497000006</v>
      </c>
      <c r="G162" s="43">
        <f t="shared" si="2"/>
        <v>80935.679975064311</v>
      </c>
    </row>
    <row r="163" spans="1:7" x14ac:dyDescent="0.4">
      <c r="A163" s="43">
        <v>142</v>
      </c>
      <c r="B163" s="54" t="s">
        <v>522</v>
      </c>
      <c r="C163" s="43">
        <v>38</v>
      </c>
      <c r="D163" s="47" t="s">
        <v>730</v>
      </c>
      <c r="E163" s="45">
        <v>0.82599999999999996</v>
      </c>
      <c r="F163" s="43">
        <v>87.905612257100003</v>
      </c>
      <c r="G163" s="43">
        <f t="shared" si="2"/>
        <v>81864.132423688905</v>
      </c>
    </row>
    <row r="164" spans="1:7" x14ac:dyDescent="0.4">
      <c r="A164" s="43">
        <v>143</v>
      </c>
      <c r="B164" s="43" t="s">
        <v>765</v>
      </c>
      <c r="C164" s="43">
        <v>38</v>
      </c>
      <c r="D164" s="47">
        <v>0.1384</v>
      </c>
      <c r="E164" s="45">
        <v>0</v>
      </c>
      <c r="F164" s="43">
        <v>88.907450807999993</v>
      </c>
      <c r="G164" s="43">
        <f t="shared" si="2"/>
        <v>82797.339022820932</v>
      </c>
    </row>
    <row r="165" spans="1:7" x14ac:dyDescent="0.4">
      <c r="A165" s="43">
        <v>144</v>
      </c>
      <c r="B165" s="52" t="s">
        <v>523</v>
      </c>
      <c r="C165" s="43">
        <v>38</v>
      </c>
      <c r="D165" s="47">
        <v>28.91</v>
      </c>
      <c r="E165" s="45">
        <v>0</v>
      </c>
      <c r="F165" s="43">
        <v>89.907737999999995</v>
      </c>
      <c r="G165" s="43">
        <f t="shared" si="2"/>
        <v>83729.100540445783</v>
      </c>
    </row>
    <row r="166" spans="1:7" x14ac:dyDescent="0.4">
      <c r="A166" s="42">
        <v>145</v>
      </c>
      <c r="B166" s="42" t="s">
        <v>767</v>
      </c>
      <c r="C166" s="42">
        <v>39</v>
      </c>
      <c r="D166" s="46">
        <v>0.29189999999999999</v>
      </c>
      <c r="E166" s="44">
        <v>0</v>
      </c>
      <c r="F166" s="42">
        <v>87.909501300000002</v>
      </c>
      <c r="G166" s="42">
        <f t="shared" si="2"/>
        <v>81867.244044865307</v>
      </c>
    </row>
    <row r="167" spans="1:7" x14ac:dyDescent="0.4">
      <c r="A167" s="42">
        <v>146</v>
      </c>
      <c r="B167" s="50" t="s">
        <v>524</v>
      </c>
      <c r="C167" s="42">
        <v>39</v>
      </c>
      <c r="D167" s="46" t="s">
        <v>730</v>
      </c>
      <c r="E167" s="44">
        <v>1</v>
      </c>
      <c r="F167" s="42">
        <v>88.905848300000002</v>
      </c>
      <c r="G167" s="42">
        <f t="shared" si="2"/>
        <v>82795.335297283294</v>
      </c>
    </row>
    <row r="168" spans="1:7" x14ac:dyDescent="0.4">
      <c r="A168" s="42">
        <v>147</v>
      </c>
      <c r="B168" s="42" t="s">
        <v>766</v>
      </c>
      <c r="C168" s="42">
        <v>39</v>
      </c>
      <c r="D168" s="46">
        <v>0.16020000000000001</v>
      </c>
      <c r="E168" s="44">
        <v>0</v>
      </c>
      <c r="F168" s="42">
        <v>90.907297999999997</v>
      </c>
      <c r="G168" s="42">
        <f t="shared" si="2"/>
        <v>84659.673684135094</v>
      </c>
    </row>
    <row r="169" spans="1:7" x14ac:dyDescent="0.4">
      <c r="A169" s="43">
        <v>148</v>
      </c>
      <c r="B169" s="43" t="s">
        <v>768</v>
      </c>
      <c r="C169" s="43">
        <v>40</v>
      </c>
      <c r="D169" s="47">
        <v>0.2283</v>
      </c>
      <c r="E169" s="45">
        <v>0</v>
      </c>
      <c r="F169" s="43">
        <v>87.910220699999996</v>
      </c>
      <c r="G169" s="43">
        <f t="shared" si="2"/>
        <v>81867.403162698203</v>
      </c>
    </row>
    <row r="170" spans="1:7" ht="14.15" customHeight="1" x14ac:dyDescent="0.4">
      <c r="A170" s="43">
        <v>149</v>
      </c>
      <c r="B170" s="54" t="s">
        <v>525</v>
      </c>
      <c r="C170" s="43">
        <v>40</v>
      </c>
      <c r="D170" s="47" t="s">
        <v>730</v>
      </c>
      <c r="E170" s="45">
        <v>0.51500000000000001</v>
      </c>
      <c r="F170" s="43">
        <v>89.9047044</v>
      </c>
      <c r="G170" s="43">
        <f t="shared" si="2"/>
        <v>83725.252762346005</v>
      </c>
    </row>
    <row r="171" spans="1:7" x14ac:dyDescent="0.4">
      <c r="A171" s="43">
        <v>150</v>
      </c>
      <c r="B171" s="43" t="s">
        <v>526</v>
      </c>
      <c r="C171" s="43">
        <v>40</v>
      </c>
      <c r="D171" s="47" t="s">
        <v>730</v>
      </c>
      <c r="E171" s="45">
        <v>0.112</v>
      </c>
      <c r="F171" s="43">
        <v>90.905640210000001</v>
      </c>
      <c r="G171" s="43">
        <f t="shared" si="2"/>
        <v>84657.618463746156</v>
      </c>
    </row>
    <row r="172" spans="1:7" x14ac:dyDescent="0.4">
      <c r="A172" s="43">
        <v>151</v>
      </c>
      <c r="B172" s="43" t="s">
        <v>527</v>
      </c>
      <c r="C172" s="43">
        <v>40</v>
      </c>
      <c r="D172" s="47" t="s">
        <v>730</v>
      </c>
      <c r="E172" s="45">
        <v>0.17100000000000001</v>
      </c>
      <c r="F172" s="43">
        <v>91.905035339999998</v>
      </c>
      <c r="G172" s="43">
        <f t="shared" si="2"/>
        <v>85588.549030970375</v>
      </c>
    </row>
    <row r="173" spans="1:7" x14ac:dyDescent="0.4">
      <c r="A173" s="43">
        <v>152</v>
      </c>
      <c r="B173" s="43" t="s">
        <v>528</v>
      </c>
      <c r="C173" s="43">
        <v>40</v>
      </c>
      <c r="D173" s="47">
        <v>1610000</v>
      </c>
      <c r="E173" s="45">
        <v>0</v>
      </c>
      <c r="F173" s="43">
        <v>92.906470659999997</v>
      </c>
      <c r="G173" s="43">
        <f t="shared" si="2"/>
        <v>86521.380022938451</v>
      </c>
    </row>
    <row r="174" spans="1:7" x14ac:dyDescent="0.4">
      <c r="A174" s="43">
        <v>153</v>
      </c>
      <c r="B174" s="43" t="s">
        <v>529</v>
      </c>
      <c r="C174" s="43">
        <v>40</v>
      </c>
      <c r="D174" s="47" t="s">
        <v>730</v>
      </c>
      <c r="E174" s="45">
        <v>0.17399999999999999</v>
      </c>
      <c r="F174" s="43">
        <v>93.90631252</v>
      </c>
      <c r="G174" s="43">
        <f t="shared" si="2"/>
        <v>87452.726716477293</v>
      </c>
    </row>
    <row r="175" spans="1:7" x14ac:dyDescent="0.4">
      <c r="A175" s="43">
        <v>154</v>
      </c>
      <c r="B175" s="43" t="s">
        <v>769</v>
      </c>
      <c r="C175" s="43">
        <v>40</v>
      </c>
      <c r="D175" s="47">
        <v>0.17530000000000001</v>
      </c>
      <c r="E175" s="45">
        <v>0</v>
      </c>
      <c r="F175" s="43">
        <v>94.908040279999994</v>
      </c>
      <c r="G175" s="43">
        <f t="shared" si="2"/>
        <v>88385.830114550728</v>
      </c>
    </row>
    <row r="176" spans="1:7" x14ac:dyDescent="0.4">
      <c r="A176" s="43">
        <v>155</v>
      </c>
      <c r="B176" s="43" t="s">
        <v>530</v>
      </c>
      <c r="C176" s="43">
        <v>40</v>
      </c>
      <c r="D176" s="47">
        <v>2.34E+19</v>
      </c>
      <c r="E176" s="45">
        <v>2.8000000000000001E-2</v>
      </c>
      <c r="F176" s="43">
        <v>95.908277620000007</v>
      </c>
      <c r="G176" s="43">
        <f t="shared" si="2"/>
        <v>89317.545195336701</v>
      </c>
    </row>
    <row r="177" spans="1:7" x14ac:dyDescent="0.4">
      <c r="A177" s="42">
        <v>156</v>
      </c>
      <c r="B177" s="42" t="s">
        <v>770</v>
      </c>
      <c r="C177" s="42">
        <v>41</v>
      </c>
      <c r="D177" s="46">
        <v>680</v>
      </c>
      <c r="E177" s="44">
        <v>0</v>
      </c>
      <c r="F177" s="42">
        <v>90.906990300000004</v>
      </c>
      <c r="G177" s="42">
        <f t="shared" si="2"/>
        <v>84658.365065529913</v>
      </c>
    </row>
    <row r="178" spans="1:7" x14ac:dyDescent="0.4">
      <c r="A178" s="42">
        <v>157</v>
      </c>
      <c r="B178" s="42" t="s">
        <v>771</v>
      </c>
      <c r="C178" s="42">
        <v>41</v>
      </c>
      <c r="D178" s="46">
        <v>34700000</v>
      </c>
      <c r="E178" s="44">
        <v>0</v>
      </c>
      <c r="F178" s="42">
        <v>91.907188599999998</v>
      </c>
      <c r="G178" s="42">
        <f t="shared" si="2"/>
        <v>85590.043780790103</v>
      </c>
    </row>
    <row r="179" spans="1:7" x14ac:dyDescent="0.4">
      <c r="A179" s="42">
        <v>158</v>
      </c>
      <c r="B179" s="50" t="s">
        <v>531</v>
      </c>
      <c r="C179" s="42">
        <v>41</v>
      </c>
      <c r="D179" s="46" t="s">
        <v>730</v>
      </c>
      <c r="E179" s="44">
        <v>1</v>
      </c>
      <c r="F179" s="42">
        <v>92.906378099999998</v>
      </c>
      <c r="G179" s="42">
        <f t="shared" si="2"/>
        <v>86520.782804903109</v>
      </c>
    </row>
    <row r="180" spans="1:7" x14ac:dyDescent="0.4">
      <c r="A180" s="42">
        <v>159</v>
      </c>
      <c r="B180" s="42" t="s">
        <v>772</v>
      </c>
      <c r="C180" s="42">
        <v>41</v>
      </c>
      <c r="D180" s="46">
        <v>20400</v>
      </c>
      <c r="E180" s="44">
        <v>0</v>
      </c>
      <c r="F180" s="42">
        <v>93.907279000000003</v>
      </c>
      <c r="G180" s="42">
        <f t="shared" si="2"/>
        <v>87453.115987847705</v>
      </c>
    </row>
    <row r="181" spans="1:7" x14ac:dyDescent="0.4">
      <c r="A181" s="43">
        <v>160</v>
      </c>
      <c r="B181" s="43" t="s">
        <v>532</v>
      </c>
      <c r="C181" s="43">
        <v>42</v>
      </c>
      <c r="D181" s="47" t="s">
        <v>730</v>
      </c>
      <c r="E181" s="45">
        <v>0.14699999999999999</v>
      </c>
      <c r="F181" s="43">
        <v>91.906807150000006</v>
      </c>
      <c r="G181" s="43">
        <f t="shared" si="2"/>
        <v>85589.177463453118</v>
      </c>
    </row>
    <row r="182" spans="1:7" x14ac:dyDescent="0.4">
      <c r="A182" s="43">
        <v>161</v>
      </c>
      <c r="B182" s="43" t="s">
        <v>773</v>
      </c>
      <c r="C182" s="43">
        <v>42</v>
      </c>
      <c r="D182" s="47">
        <v>4839</v>
      </c>
      <c r="E182" s="45">
        <v>0</v>
      </c>
      <c r="F182" s="43">
        <v>92.906808769999998</v>
      </c>
      <c r="G182" s="43">
        <f t="shared" si="2"/>
        <v>86520.672972473389</v>
      </c>
    </row>
    <row r="183" spans="1:7" x14ac:dyDescent="0.4">
      <c r="A183" s="43">
        <v>162</v>
      </c>
      <c r="B183" s="43" t="s">
        <v>533</v>
      </c>
      <c r="C183" s="43">
        <v>42</v>
      </c>
      <c r="D183" s="47" t="s">
        <v>730</v>
      </c>
      <c r="E183" s="45">
        <v>9.1899999999999996E-2</v>
      </c>
      <c r="F183" s="43">
        <v>93.905083590000004</v>
      </c>
      <c r="G183" s="43">
        <f t="shared" si="2"/>
        <v>87450.559977654484</v>
      </c>
    </row>
    <row r="184" spans="1:7" x14ac:dyDescent="0.4">
      <c r="A184" s="43">
        <v>163</v>
      </c>
      <c r="B184" s="43" t="s">
        <v>534</v>
      </c>
      <c r="C184" s="43">
        <v>42</v>
      </c>
      <c r="D184" s="47" t="s">
        <v>730</v>
      </c>
      <c r="E184" s="45">
        <v>0.159</v>
      </c>
      <c r="F184" s="43">
        <v>94.905837439999999</v>
      </c>
      <c r="G184" s="43">
        <f t="shared" si="2"/>
        <v>88382.756184406375</v>
      </c>
    </row>
    <row r="185" spans="1:7" x14ac:dyDescent="0.4">
      <c r="A185" s="43">
        <v>164</v>
      </c>
      <c r="B185" s="43" t="s">
        <v>535</v>
      </c>
      <c r="C185" s="43">
        <v>42</v>
      </c>
      <c r="D185" s="47" t="s">
        <v>730</v>
      </c>
      <c r="E185" s="45">
        <v>0.16700000000000001</v>
      </c>
      <c r="F185" s="43">
        <v>95.90467477</v>
      </c>
      <c r="G185" s="43">
        <f t="shared" si="2"/>
        <v>89313.167164277402</v>
      </c>
    </row>
    <row r="186" spans="1:7" x14ac:dyDescent="0.4">
      <c r="A186" s="43">
        <v>165</v>
      </c>
      <c r="B186" s="43" t="s">
        <v>536</v>
      </c>
      <c r="C186" s="43">
        <v>42</v>
      </c>
      <c r="D186" s="47" t="s">
        <v>730</v>
      </c>
      <c r="E186" s="45">
        <v>9.5799999999999996E-2</v>
      </c>
      <c r="F186" s="43">
        <v>96.906016899999997</v>
      </c>
      <c r="G186" s="43">
        <f t="shared" si="2"/>
        <v>90245.911350319613</v>
      </c>
    </row>
    <row r="187" spans="1:7" x14ac:dyDescent="0.4">
      <c r="A187" s="43">
        <v>166</v>
      </c>
      <c r="B187" s="54" t="s">
        <v>537</v>
      </c>
      <c r="C187" s="43">
        <v>42</v>
      </c>
      <c r="D187" s="47" t="s">
        <v>730</v>
      </c>
      <c r="E187" s="45">
        <v>0.24299999999999999</v>
      </c>
      <c r="F187" s="43">
        <v>97.905404820000001</v>
      </c>
      <c r="G187" s="43">
        <f t="shared" si="2"/>
        <v>91176.835201472102</v>
      </c>
    </row>
    <row r="188" spans="1:7" x14ac:dyDescent="0.4">
      <c r="A188" s="43">
        <v>167</v>
      </c>
      <c r="B188" s="43" t="s">
        <v>538</v>
      </c>
      <c r="C188" s="43">
        <v>42</v>
      </c>
      <c r="D188" s="47">
        <v>7.07E+18</v>
      </c>
      <c r="E188" s="45">
        <v>9.74E-2</v>
      </c>
      <c r="F188" s="43">
        <v>99.907467999999994</v>
      </c>
      <c r="G188" s="43">
        <f t="shared" si="2"/>
        <v>93041.745041263013</v>
      </c>
    </row>
    <row r="189" spans="1:7" x14ac:dyDescent="0.4">
      <c r="A189" s="42">
        <v>168</v>
      </c>
      <c r="B189" s="42" t="s">
        <v>774</v>
      </c>
      <c r="C189" s="42">
        <v>43</v>
      </c>
      <c r="D189" s="46">
        <v>4210000</v>
      </c>
      <c r="E189" s="44">
        <v>0</v>
      </c>
      <c r="F189" s="42">
        <v>96.906360699999993</v>
      </c>
      <c r="G189" s="42">
        <f t="shared" si="2"/>
        <v>90245.720599006119</v>
      </c>
    </row>
    <row r="190" spans="1:7" x14ac:dyDescent="0.4">
      <c r="A190" s="42">
        <v>169</v>
      </c>
      <c r="B190" s="42" t="s">
        <v>539</v>
      </c>
      <c r="C190" s="42">
        <v>43</v>
      </c>
      <c r="D190" s="46">
        <v>4200000</v>
      </c>
      <c r="E190" s="44">
        <v>0</v>
      </c>
      <c r="F190" s="42">
        <v>97.907211200000006</v>
      </c>
      <c r="G190" s="42">
        <f t="shared" si="2"/>
        <v>91178.006834653133</v>
      </c>
    </row>
    <row r="191" spans="1:7" x14ac:dyDescent="0.4">
      <c r="A191" s="42">
        <v>170</v>
      </c>
      <c r="B191" s="42" t="s">
        <v>540</v>
      </c>
      <c r="C191" s="42">
        <v>43</v>
      </c>
      <c r="D191" s="46">
        <v>211100</v>
      </c>
      <c r="E191" s="44">
        <v>0</v>
      </c>
      <c r="F191" s="42">
        <v>98.906249680000002</v>
      </c>
      <c r="G191" s="42">
        <f t="shared" si="2"/>
        <v>92108.605184542248</v>
      </c>
    </row>
    <row r="192" spans="1:7" x14ac:dyDescent="0.4">
      <c r="A192" s="43">
        <v>171</v>
      </c>
      <c r="B192" s="43" t="s">
        <v>541</v>
      </c>
      <c r="C192" s="43">
        <v>44</v>
      </c>
      <c r="D192" s="47" t="s">
        <v>730</v>
      </c>
      <c r="E192" s="45">
        <v>5.5399999999999998E-2</v>
      </c>
      <c r="F192" s="43">
        <v>95.907588910000001</v>
      </c>
      <c r="G192" s="43">
        <f t="shared" si="2"/>
        <v>89314.859670301186</v>
      </c>
    </row>
    <row r="193" spans="1:7" x14ac:dyDescent="0.4">
      <c r="A193" s="43">
        <v>172</v>
      </c>
      <c r="B193" s="43" t="s">
        <v>542</v>
      </c>
      <c r="C193" s="43">
        <v>44</v>
      </c>
      <c r="D193" s="47" t="s">
        <v>730</v>
      </c>
      <c r="E193" s="45">
        <v>1.8700000000000001E-2</v>
      </c>
      <c r="F193" s="43">
        <v>97.905286700000005</v>
      </c>
      <c r="G193" s="43">
        <f t="shared" si="2"/>
        <v>91175.703175499439</v>
      </c>
    </row>
    <row r="194" spans="1:7" x14ac:dyDescent="0.4">
      <c r="A194" s="43">
        <v>173</v>
      </c>
      <c r="B194" s="43" t="s">
        <v>543</v>
      </c>
      <c r="C194" s="43">
        <v>44</v>
      </c>
      <c r="D194" s="47" t="s">
        <v>730</v>
      </c>
      <c r="E194" s="45">
        <v>0.128</v>
      </c>
      <c r="F194" s="43">
        <v>98.905930280000007</v>
      </c>
      <c r="G194" s="43">
        <f t="shared" si="2"/>
        <v>92107.796666407972</v>
      </c>
    </row>
    <row r="195" spans="1:7" x14ac:dyDescent="0.4">
      <c r="A195" s="43">
        <v>174</v>
      </c>
      <c r="B195" s="43" t="s">
        <v>544</v>
      </c>
      <c r="C195" s="43">
        <v>44</v>
      </c>
      <c r="D195" s="47" t="s">
        <v>730</v>
      </c>
      <c r="E195" s="45">
        <v>0.126</v>
      </c>
      <c r="F195" s="43">
        <v>99.904210460000002</v>
      </c>
      <c r="G195" s="43">
        <f t="shared" si="2"/>
        <v>93037.688664396876</v>
      </c>
    </row>
    <row r="196" spans="1:7" x14ac:dyDescent="0.4">
      <c r="A196" s="43">
        <v>175</v>
      </c>
      <c r="B196" s="53" t="s">
        <v>545</v>
      </c>
      <c r="C196" s="43">
        <v>44</v>
      </c>
      <c r="D196" s="47" t="s">
        <v>730</v>
      </c>
      <c r="E196" s="45">
        <v>0.17100000000000001</v>
      </c>
      <c r="F196" s="43">
        <v>100.90557309</v>
      </c>
      <c r="G196" s="43">
        <f t="shared" si="2"/>
        <v>93970.451946066096</v>
      </c>
    </row>
    <row r="197" spans="1:7" x14ac:dyDescent="0.4">
      <c r="A197" s="43">
        <v>176</v>
      </c>
      <c r="B197" s="43" t="s">
        <v>546</v>
      </c>
      <c r="C197" s="43">
        <v>44</v>
      </c>
      <c r="D197" s="47" t="s">
        <v>730</v>
      </c>
      <c r="E197" s="45">
        <v>0.316</v>
      </c>
      <c r="F197" s="43">
        <v>101.90434030999999</v>
      </c>
      <c r="G197" s="43">
        <f t="shared" si="2"/>
        <v>94900.797618892771</v>
      </c>
    </row>
    <row r="198" spans="1:7" x14ac:dyDescent="0.4">
      <c r="A198" s="43">
        <v>177</v>
      </c>
      <c r="B198" s="43" t="s">
        <v>547</v>
      </c>
      <c r="C198" s="43">
        <v>44</v>
      </c>
      <c r="D198" s="47" t="s">
        <v>730</v>
      </c>
      <c r="E198" s="45">
        <v>0.186</v>
      </c>
      <c r="F198" s="43">
        <v>103.9054253</v>
      </c>
      <c r="G198" s="43">
        <f t="shared" si="2"/>
        <v>96764.79628056784</v>
      </c>
    </row>
    <row r="199" spans="1:7" x14ac:dyDescent="0.4">
      <c r="A199" s="43">
        <v>178</v>
      </c>
      <c r="B199" s="52" t="s">
        <v>548</v>
      </c>
      <c r="C199" s="43">
        <v>44</v>
      </c>
      <c r="D199" s="47">
        <v>1.018</v>
      </c>
      <c r="E199" s="45">
        <v>0</v>
      </c>
      <c r="F199" s="43">
        <v>105.907329</v>
      </c>
      <c r="G199" s="43">
        <f t="shared" si="2"/>
        <v>98629.55756569565</v>
      </c>
    </row>
    <row r="200" spans="1:7" x14ac:dyDescent="0.4">
      <c r="A200" s="42">
        <v>179</v>
      </c>
      <c r="B200" s="42" t="s">
        <v>775</v>
      </c>
      <c r="C200" s="42">
        <v>45</v>
      </c>
      <c r="D200" s="46">
        <v>4.07</v>
      </c>
      <c r="E200" s="44">
        <v>0</v>
      </c>
      <c r="F200" s="42">
        <v>100.90615889999999</v>
      </c>
      <c r="G200" s="42">
        <f t="shared" si="2"/>
        <v>93970.486625615551</v>
      </c>
    </row>
    <row r="201" spans="1:7" x14ac:dyDescent="0.4">
      <c r="A201" s="42">
        <v>180</v>
      </c>
      <c r="B201" s="42" t="s">
        <v>776</v>
      </c>
      <c r="C201" s="42">
        <v>45</v>
      </c>
      <c r="D201" s="46">
        <v>0.56669999999999998</v>
      </c>
      <c r="E201" s="44">
        <v>0</v>
      </c>
      <c r="F201" s="42">
        <v>101.9068343</v>
      </c>
      <c r="G201" s="42">
        <f t="shared" si="2"/>
        <v>94902.609756663151</v>
      </c>
    </row>
    <row r="202" spans="1:7" x14ac:dyDescent="0.4">
      <c r="A202" s="42">
        <v>181</v>
      </c>
      <c r="B202" s="49" t="s">
        <v>549</v>
      </c>
      <c r="C202" s="42">
        <v>45</v>
      </c>
      <c r="D202" s="46" t="s">
        <v>730</v>
      </c>
      <c r="E202" s="44">
        <v>1</v>
      </c>
      <c r="F202" s="42">
        <v>102.9054941</v>
      </c>
      <c r="G202" s="42">
        <f t="shared" si="2"/>
        <v>95832.855368404344</v>
      </c>
    </row>
    <row r="203" spans="1:7" x14ac:dyDescent="0.4">
      <c r="A203" s="43">
        <v>182</v>
      </c>
      <c r="B203" s="43" t="s">
        <v>777</v>
      </c>
      <c r="C203" s="43">
        <v>46</v>
      </c>
      <c r="D203" s="47" t="s">
        <v>730</v>
      </c>
      <c r="E203" s="45">
        <v>1.0200000000000001E-2</v>
      </c>
      <c r="F203" s="43">
        <v>101.90563229</v>
      </c>
      <c r="G203" s="43">
        <f t="shared" si="2"/>
        <v>94900.979092609516</v>
      </c>
    </row>
    <row r="204" spans="1:7" x14ac:dyDescent="0.4">
      <c r="A204" s="43">
        <v>183</v>
      </c>
      <c r="B204" s="43" t="s">
        <v>778</v>
      </c>
      <c r="C204" s="43">
        <v>46</v>
      </c>
      <c r="D204" s="47" t="s">
        <v>730</v>
      </c>
      <c r="E204" s="45">
        <v>0.111</v>
      </c>
      <c r="F204" s="43">
        <v>103.9040304</v>
      </c>
      <c r="G204" s="43">
        <f t="shared" si="2"/>
        <v>96762.474941685854</v>
      </c>
    </row>
    <row r="205" spans="1:7" x14ac:dyDescent="0.4">
      <c r="A205" s="43">
        <v>184</v>
      </c>
      <c r="B205" s="43" t="s">
        <v>779</v>
      </c>
      <c r="C205" s="43">
        <v>46</v>
      </c>
      <c r="D205" s="47" t="s">
        <v>730</v>
      </c>
      <c r="E205" s="45">
        <v>0.223</v>
      </c>
      <c r="F205" s="43">
        <v>104.9050795</v>
      </c>
      <c r="G205" s="43">
        <f t="shared" si="2"/>
        <v>97694.946172041266</v>
      </c>
    </row>
    <row r="206" spans="1:7" x14ac:dyDescent="0.4">
      <c r="A206" s="43">
        <v>185</v>
      </c>
      <c r="B206" s="54" t="s">
        <v>550</v>
      </c>
      <c r="C206" s="43">
        <v>46</v>
      </c>
      <c r="D206" s="47" t="s">
        <v>730</v>
      </c>
      <c r="E206" s="45">
        <v>0.27300000000000002</v>
      </c>
      <c r="F206" s="43">
        <v>105.9034803</v>
      </c>
      <c r="G206" s="43">
        <f t="shared" si="2"/>
        <v>98624.950526836459</v>
      </c>
    </row>
    <row r="207" spans="1:7" x14ac:dyDescent="0.4">
      <c r="A207" s="43">
        <v>186</v>
      </c>
      <c r="B207" s="43" t="s">
        <v>780</v>
      </c>
      <c r="C207" s="43">
        <v>46</v>
      </c>
      <c r="D207" s="47">
        <v>6500000</v>
      </c>
      <c r="E207" s="45">
        <v>0</v>
      </c>
      <c r="F207" s="43">
        <v>106.9051281</v>
      </c>
      <c r="G207" s="43">
        <f t="shared" si="2"/>
        <v>99557.979442649666</v>
      </c>
    </row>
    <row r="208" spans="1:7" x14ac:dyDescent="0.4">
      <c r="A208" s="43">
        <v>187</v>
      </c>
      <c r="B208" s="43" t="s">
        <v>781</v>
      </c>
      <c r="C208" s="43">
        <v>46</v>
      </c>
      <c r="D208" s="47" t="s">
        <v>730</v>
      </c>
      <c r="E208" s="45">
        <v>0.26500000000000001</v>
      </c>
      <c r="F208" s="43">
        <v>107.9038918</v>
      </c>
      <c r="G208" s="43">
        <f t="shared" si="2"/>
        <v>100488.32183661746</v>
      </c>
    </row>
    <row r="209" spans="1:7" x14ac:dyDescent="0.4">
      <c r="A209" s="43">
        <v>188</v>
      </c>
      <c r="B209" s="43" t="s">
        <v>782</v>
      </c>
      <c r="C209" s="43">
        <v>46</v>
      </c>
      <c r="D209" s="47" t="s">
        <v>730</v>
      </c>
      <c r="E209" s="45">
        <v>0.11700000000000001</v>
      </c>
      <c r="F209" s="43">
        <v>109.90517287999999</v>
      </c>
      <c r="G209" s="43">
        <f t="shared" si="2"/>
        <v>102352.50315495097</v>
      </c>
    </row>
    <row r="210" spans="1:7" x14ac:dyDescent="0.4">
      <c r="A210" s="42">
        <v>189</v>
      </c>
      <c r="B210" s="50" t="s">
        <v>551</v>
      </c>
      <c r="C210" s="42">
        <v>47</v>
      </c>
      <c r="D210" s="46" t="s">
        <v>730</v>
      </c>
      <c r="E210" s="44">
        <v>0.51800000000000002</v>
      </c>
      <c r="F210" s="42">
        <v>106.905097</v>
      </c>
      <c r="G210" s="42">
        <f t="shared" si="2"/>
        <v>99557.439474235565</v>
      </c>
    </row>
    <row r="211" spans="1:7" x14ac:dyDescent="0.4">
      <c r="A211" s="42">
        <v>190</v>
      </c>
      <c r="B211" s="42" t="s">
        <v>552</v>
      </c>
      <c r="C211" s="42">
        <v>47</v>
      </c>
      <c r="D211" s="46" t="s">
        <v>730</v>
      </c>
      <c r="E211" s="44">
        <v>0.48199999999999998</v>
      </c>
      <c r="F211" s="42">
        <v>108.904752</v>
      </c>
      <c r="G211" s="42">
        <f t="shared" si="2"/>
        <v>101420.10610880557</v>
      </c>
    </row>
    <row r="212" spans="1:7" x14ac:dyDescent="0.4">
      <c r="A212" s="43">
        <v>191</v>
      </c>
      <c r="B212" s="43" t="s">
        <v>783</v>
      </c>
      <c r="C212" s="43">
        <v>48</v>
      </c>
      <c r="D212" s="47" t="s">
        <v>730</v>
      </c>
      <c r="E212" s="45">
        <v>1.2500000000000001E-2</v>
      </c>
      <c r="F212" s="43">
        <v>105.90645979999999</v>
      </c>
      <c r="G212" s="43">
        <f t="shared" si="2"/>
        <v>98626.70391530807</v>
      </c>
    </row>
    <row r="213" spans="1:7" x14ac:dyDescent="0.4">
      <c r="A213" s="43">
        <v>192</v>
      </c>
      <c r="B213" s="43" t="s">
        <v>784</v>
      </c>
      <c r="C213" s="43">
        <v>48</v>
      </c>
      <c r="D213" s="47" t="s">
        <v>730</v>
      </c>
      <c r="E213" s="45">
        <v>8.8999999999999999E-3</v>
      </c>
      <c r="F213" s="43">
        <v>107.9041836</v>
      </c>
      <c r="G213" s="43">
        <f t="shared" ref="G213:G276" si="3">F213*amu-C213*m_e</f>
        <v>100487.57164866528</v>
      </c>
    </row>
    <row r="214" spans="1:7" x14ac:dyDescent="0.4">
      <c r="A214" s="43">
        <v>193</v>
      </c>
      <c r="B214" s="43" t="s">
        <v>785</v>
      </c>
      <c r="C214" s="43">
        <v>48</v>
      </c>
      <c r="D214" s="47">
        <v>1.2629999999999999</v>
      </c>
      <c r="E214" s="45">
        <v>0</v>
      </c>
      <c r="F214" s="43">
        <v>108.90498669999999</v>
      </c>
      <c r="G214" s="43">
        <f t="shared" si="3"/>
        <v>101419.81373149667</v>
      </c>
    </row>
    <row r="215" spans="1:7" x14ac:dyDescent="0.4">
      <c r="A215" s="43">
        <v>194</v>
      </c>
      <c r="B215" s="43" t="s">
        <v>786</v>
      </c>
      <c r="C215" s="43">
        <v>48</v>
      </c>
      <c r="D215" s="47" t="s">
        <v>730</v>
      </c>
      <c r="E215" s="45">
        <v>0.125</v>
      </c>
      <c r="F215" s="43">
        <v>109.90300747000001</v>
      </c>
      <c r="G215" s="43">
        <f t="shared" si="3"/>
        <v>102349.46409062707</v>
      </c>
    </row>
    <row r="216" spans="1:7" x14ac:dyDescent="0.4">
      <c r="A216" s="43">
        <v>195</v>
      </c>
      <c r="B216" s="43" t="s">
        <v>787</v>
      </c>
      <c r="C216" s="43">
        <v>48</v>
      </c>
      <c r="D216" s="47" t="s">
        <v>730</v>
      </c>
      <c r="E216" s="45">
        <v>0.128</v>
      </c>
      <c r="F216" s="43">
        <v>110.90418378</v>
      </c>
      <c r="G216" s="43">
        <f t="shared" si="3"/>
        <v>103282.0538163342</v>
      </c>
    </row>
    <row r="217" spans="1:7" x14ac:dyDescent="0.4">
      <c r="A217" s="43">
        <v>196</v>
      </c>
      <c r="B217" s="43" t="s">
        <v>788</v>
      </c>
      <c r="C217" s="43">
        <v>48</v>
      </c>
      <c r="D217" s="47" t="s">
        <v>730</v>
      </c>
      <c r="E217" s="45">
        <v>0.24099999999999999</v>
      </c>
      <c r="F217" s="43">
        <v>111.9027639</v>
      </c>
      <c r="G217" s="43">
        <f t="shared" si="3"/>
        <v>104212.22520663348</v>
      </c>
    </row>
    <row r="218" spans="1:7" x14ac:dyDescent="0.4">
      <c r="A218" s="43">
        <v>197</v>
      </c>
      <c r="B218" s="43" t="s">
        <v>789</v>
      </c>
      <c r="C218" s="43">
        <v>48</v>
      </c>
      <c r="D218" s="47">
        <v>8040000000000000</v>
      </c>
      <c r="E218" s="45">
        <v>0.122</v>
      </c>
      <c r="F218" s="43">
        <v>112.90440811000001</v>
      </c>
      <c r="G218" s="43">
        <f t="shared" si="3"/>
        <v>105145.25077838323</v>
      </c>
    </row>
    <row r="219" spans="1:7" x14ac:dyDescent="0.4">
      <c r="A219" s="43">
        <v>198</v>
      </c>
      <c r="B219" s="53" t="s">
        <v>553</v>
      </c>
      <c r="C219" s="43">
        <v>48</v>
      </c>
      <c r="D219" s="47" t="s">
        <v>730</v>
      </c>
      <c r="E219" s="45">
        <v>0.28799999999999998</v>
      </c>
      <c r="F219" s="43">
        <v>113.90336499999999</v>
      </c>
      <c r="G219" s="43">
        <f t="shared" si="3"/>
        <v>106075.77312767688</v>
      </c>
    </row>
    <row r="220" spans="1:7" x14ac:dyDescent="0.4">
      <c r="A220" s="43">
        <v>199</v>
      </c>
      <c r="B220" s="43" t="s">
        <v>790</v>
      </c>
      <c r="C220" s="43">
        <v>48</v>
      </c>
      <c r="D220" s="47">
        <v>2.69E+19</v>
      </c>
      <c r="E220" s="45">
        <v>7.51E-2</v>
      </c>
      <c r="F220" s="43">
        <v>115.90476323</v>
      </c>
      <c r="G220" s="43">
        <f t="shared" si="3"/>
        <v>107940.0635705325</v>
      </c>
    </row>
    <row r="221" spans="1:7" x14ac:dyDescent="0.4">
      <c r="A221" s="42">
        <v>200</v>
      </c>
      <c r="B221" s="42" t="s">
        <v>554</v>
      </c>
      <c r="C221" s="42">
        <v>49</v>
      </c>
      <c r="D221" s="46" t="s">
        <v>730</v>
      </c>
      <c r="E221" s="44" t="s">
        <v>791</v>
      </c>
      <c r="F221" s="42">
        <v>112.90406045</v>
      </c>
      <c r="G221" s="42">
        <f t="shared" si="3"/>
        <v>105144.4159362285</v>
      </c>
    </row>
    <row r="222" spans="1:7" x14ac:dyDescent="0.4">
      <c r="A222" s="42">
        <v>201</v>
      </c>
      <c r="B222" s="49" t="s">
        <v>555</v>
      </c>
      <c r="C222" s="42">
        <v>49</v>
      </c>
      <c r="D222" s="46">
        <v>441000000000000</v>
      </c>
      <c r="E222" s="44">
        <v>0.95699999999999996</v>
      </c>
      <c r="F222" s="42">
        <v>114.903878772</v>
      </c>
      <c r="G222" s="42">
        <f t="shared" si="3"/>
        <v>107007.23470426156</v>
      </c>
    </row>
    <row r="223" spans="1:7" x14ac:dyDescent="0.4">
      <c r="A223" s="43">
        <v>202</v>
      </c>
      <c r="B223" s="43" t="s">
        <v>556</v>
      </c>
      <c r="C223" s="43">
        <v>50</v>
      </c>
      <c r="D223" s="47" t="s">
        <v>730</v>
      </c>
      <c r="E223" s="45">
        <v>9.7000000000000003E-3</v>
      </c>
      <c r="F223" s="43">
        <v>111.90482489999999</v>
      </c>
      <c r="G223" s="43">
        <f t="shared" si="3"/>
        <v>104213.12301786611</v>
      </c>
    </row>
    <row r="224" spans="1:7" x14ac:dyDescent="0.4">
      <c r="A224" s="43">
        <v>203</v>
      </c>
      <c r="B224" s="43" t="s">
        <v>792</v>
      </c>
      <c r="C224" s="43">
        <v>50</v>
      </c>
      <c r="D224" s="47">
        <v>0.31509999999999999</v>
      </c>
      <c r="E224" s="45">
        <v>0</v>
      </c>
      <c r="F224" s="43">
        <v>112.9051759</v>
      </c>
      <c r="G224" s="43">
        <f t="shared" si="3"/>
        <v>105144.94397226011</v>
      </c>
    </row>
    <row r="225" spans="1:7" x14ac:dyDescent="0.4">
      <c r="A225" s="43">
        <v>204</v>
      </c>
      <c r="B225" s="43" t="s">
        <v>557</v>
      </c>
      <c r="C225" s="43">
        <v>50</v>
      </c>
      <c r="D225" s="47" t="s">
        <v>730</v>
      </c>
      <c r="E225" s="45">
        <v>6.6E-3</v>
      </c>
      <c r="F225" s="43">
        <v>113.90278013</v>
      </c>
      <c r="G225" s="43">
        <f t="shared" si="3"/>
        <v>106074.20632687972</v>
      </c>
    </row>
    <row r="226" spans="1:7" x14ac:dyDescent="0.4">
      <c r="A226" s="43">
        <v>205</v>
      </c>
      <c r="B226" s="43" t="s">
        <v>558</v>
      </c>
      <c r="C226" s="43">
        <v>50</v>
      </c>
      <c r="D226" s="47" t="s">
        <v>730</v>
      </c>
      <c r="E226" s="45">
        <v>3.3999999999999998E-3</v>
      </c>
      <c r="F226" s="43">
        <v>114.903344695</v>
      </c>
      <c r="G226" s="43">
        <f t="shared" si="3"/>
        <v>107006.22621578984</v>
      </c>
    </row>
    <row r="227" spans="1:7" x14ac:dyDescent="0.4">
      <c r="A227" s="43">
        <v>206</v>
      </c>
      <c r="B227" s="43" t="s">
        <v>559</v>
      </c>
      <c r="C227" s="43">
        <v>50</v>
      </c>
      <c r="D227" s="47" t="s">
        <v>730</v>
      </c>
      <c r="E227" s="45">
        <v>0.14499999999999999</v>
      </c>
      <c r="F227" s="43">
        <v>115.90174283</v>
      </c>
      <c r="G227" s="43">
        <f t="shared" si="3"/>
        <v>107936.22808815353</v>
      </c>
    </row>
    <row r="228" spans="1:7" x14ac:dyDescent="0.4">
      <c r="A228" s="43">
        <v>207</v>
      </c>
      <c r="B228" s="43" t="s">
        <v>560</v>
      </c>
      <c r="C228" s="43">
        <v>50</v>
      </c>
      <c r="D228" s="47" t="s">
        <v>730</v>
      </c>
      <c r="E228" s="45">
        <v>7.6799999999999993E-2</v>
      </c>
      <c r="F228" s="43">
        <v>116.90295404</v>
      </c>
      <c r="G228" s="43">
        <f t="shared" si="3"/>
        <v>108868.85032300126</v>
      </c>
    </row>
    <row r="229" spans="1:7" x14ac:dyDescent="0.4">
      <c r="A229" s="43">
        <v>208</v>
      </c>
      <c r="B229" s="43" t="s">
        <v>561</v>
      </c>
      <c r="C229" s="43">
        <v>50</v>
      </c>
      <c r="D229" s="47" t="s">
        <v>730</v>
      </c>
      <c r="E229" s="45">
        <v>0.24199999999999999</v>
      </c>
      <c r="F229" s="43">
        <v>117.90160663</v>
      </c>
      <c r="G229" s="43">
        <f t="shared" si="3"/>
        <v>109799.08921867072</v>
      </c>
    </row>
    <row r="230" spans="1:7" x14ac:dyDescent="0.4">
      <c r="A230" s="43">
        <v>209</v>
      </c>
      <c r="B230" s="43" t="s">
        <v>562</v>
      </c>
      <c r="C230" s="43">
        <v>50</v>
      </c>
      <c r="D230" s="47" t="s">
        <v>730</v>
      </c>
      <c r="E230" s="45">
        <v>8.5900000000000004E-2</v>
      </c>
      <c r="F230" s="43">
        <v>118.90331127</v>
      </c>
      <c r="G230" s="43">
        <f t="shared" si="3"/>
        <v>110732.17108060289</v>
      </c>
    </row>
    <row r="231" spans="1:7" x14ac:dyDescent="0.4">
      <c r="A231" s="43">
        <v>210</v>
      </c>
      <c r="B231" s="54" t="s">
        <v>563</v>
      </c>
      <c r="C231" s="43">
        <v>50</v>
      </c>
      <c r="D231" s="47" t="s">
        <v>730</v>
      </c>
      <c r="E231" s="45">
        <v>0.32600000000000001</v>
      </c>
      <c r="F231" s="43">
        <v>119.9021947</v>
      </c>
      <c r="G231" s="43">
        <f t="shared" si="3"/>
        <v>111662.6250023473</v>
      </c>
    </row>
    <row r="232" spans="1:7" x14ac:dyDescent="0.4">
      <c r="A232" s="43">
        <v>211</v>
      </c>
      <c r="B232" s="43" t="s">
        <v>564</v>
      </c>
      <c r="C232" s="43">
        <v>50</v>
      </c>
      <c r="D232" s="47" t="s">
        <v>730</v>
      </c>
      <c r="E232" s="45">
        <v>4.6300000000000001E-2</v>
      </c>
      <c r="F232" s="43">
        <v>121.9034455</v>
      </c>
      <c r="G232" s="43">
        <f t="shared" si="3"/>
        <v>113526.77811504251</v>
      </c>
    </row>
    <row r="233" spans="1:7" x14ac:dyDescent="0.4">
      <c r="A233" s="43">
        <v>212</v>
      </c>
      <c r="B233" s="43" t="s">
        <v>793</v>
      </c>
      <c r="C233" s="43">
        <v>50</v>
      </c>
      <c r="D233" s="47">
        <v>0.35370000000000001</v>
      </c>
      <c r="E233" s="45">
        <v>0</v>
      </c>
      <c r="F233" s="43">
        <v>122.90572709999999</v>
      </c>
      <c r="G233" s="43">
        <f t="shared" si="3"/>
        <v>114460.3974117529</v>
      </c>
    </row>
    <row r="234" spans="1:7" x14ac:dyDescent="0.4">
      <c r="A234" s="43">
        <v>213</v>
      </c>
      <c r="B234" s="43" t="s">
        <v>565</v>
      </c>
      <c r="C234" s="43">
        <v>50</v>
      </c>
      <c r="D234" s="47" t="s">
        <v>730</v>
      </c>
      <c r="E234" s="45">
        <v>5.79E-2</v>
      </c>
      <c r="F234" s="43">
        <v>123.9052796</v>
      </c>
      <c r="G234" s="43">
        <f t="shared" si="3"/>
        <v>115391.4745681879</v>
      </c>
    </row>
    <row r="235" spans="1:7" x14ac:dyDescent="0.4">
      <c r="A235" s="43">
        <v>214</v>
      </c>
      <c r="B235" s="43" t="s">
        <v>794</v>
      </c>
      <c r="C235" s="43">
        <v>50</v>
      </c>
      <c r="D235" s="47">
        <v>230000</v>
      </c>
      <c r="E235" s="45">
        <v>0</v>
      </c>
      <c r="F235" s="43">
        <v>125.907658</v>
      </c>
      <c r="G235" s="43">
        <f t="shared" si="3"/>
        <v>117256.6780335175</v>
      </c>
    </row>
    <row r="236" spans="1:7" x14ac:dyDescent="0.4">
      <c r="A236" s="42">
        <v>215</v>
      </c>
      <c r="B236" s="49" t="s">
        <v>566</v>
      </c>
      <c r="C236" s="42">
        <v>51</v>
      </c>
      <c r="D236" s="46" t="s">
        <v>730</v>
      </c>
      <c r="E236" s="44">
        <v>0.57199999999999995</v>
      </c>
      <c r="F236" s="42">
        <v>120.9038114</v>
      </c>
      <c r="G236" s="42">
        <f t="shared" si="3"/>
        <v>112595.11394974642</v>
      </c>
    </row>
    <row r="237" spans="1:7" x14ac:dyDescent="0.4">
      <c r="A237" s="42">
        <v>216</v>
      </c>
      <c r="B237" s="42" t="s">
        <v>567</v>
      </c>
      <c r="C237" s="42">
        <v>51</v>
      </c>
      <c r="D237" s="46" t="s">
        <v>730</v>
      </c>
      <c r="E237" s="44">
        <v>0.42799999999999999</v>
      </c>
      <c r="F237" s="42">
        <v>122.9042153</v>
      </c>
      <c r="G237" s="42">
        <f t="shared" si="3"/>
        <v>114458.47818017301</v>
      </c>
    </row>
    <row r="238" spans="1:7" x14ac:dyDescent="0.4">
      <c r="A238" s="42">
        <v>217</v>
      </c>
      <c r="B238" s="42" t="s">
        <v>795</v>
      </c>
      <c r="C238" s="42">
        <v>51</v>
      </c>
      <c r="D238" s="46">
        <v>2.758</v>
      </c>
      <c r="E238" s="44">
        <v>0</v>
      </c>
      <c r="F238" s="42">
        <v>124.9052543</v>
      </c>
      <c r="G238" s="42">
        <f t="shared" si="3"/>
        <v>116322.43400243901</v>
      </c>
    </row>
    <row r="239" spans="1:7" ht="13.75" customHeight="1" x14ac:dyDescent="0.4">
      <c r="A239" s="43">
        <v>218</v>
      </c>
      <c r="B239" s="43" t="s">
        <v>568</v>
      </c>
      <c r="C239" s="43">
        <v>52</v>
      </c>
      <c r="D239" s="47" t="s">
        <v>730</v>
      </c>
      <c r="E239" s="45">
        <v>8.9999999999999998E-4</v>
      </c>
      <c r="F239" s="43">
        <v>119.9040658</v>
      </c>
      <c r="G239" s="43">
        <f t="shared" si="3"/>
        <v>111663.34592286932</v>
      </c>
    </row>
    <row r="240" spans="1:7" x14ac:dyDescent="0.4">
      <c r="A240" s="43">
        <v>219</v>
      </c>
      <c r="B240" s="43" t="s">
        <v>569</v>
      </c>
      <c r="C240" s="43">
        <v>52</v>
      </c>
      <c r="D240" s="47" t="s">
        <v>730</v>
      </c>
      <c r="E240" s="45">
        <v>2.5499999999999998E-2</v>
      </c>
      <c r="F240" s="43">
        <v>121.9030447</v>
      </c>
      <c r="G240" s="43">
        <f t="shared" si="3"/>
        <v>113525.38277434593</v>
      </c>
    </row>
    <row r="241" spans="1:7" x14ac:dyDescent="0.4">
      <c r="A241" s="43">
        <v>220</v>
      </c>
      <c r="B241" s="43" t="s">
        <v>570</v>
      </c>
      <c r="C241" s="43">
        <v>52</v>
      </c>
      <c r="D241" s="47" t="s">
        <v>730</v>
      </c>
      <c r="E241" s="45">
        <v>8.8999999999999999E-3</v>
      </c>
      <c r="F241" s="43">
        <v>122.90427099999999</v>
      </c>
      <c r="G241" s="43">
        <f t="shared" si="3"/>
        <v>114458.01906543811</v>
      </c>
    </row>
    <row r="242" spans="1:7" x14ac:dyDescent="0.4">
      <c r="A242" s="43">
        <v>221</v>
      </c>
      <c r="B242" s="43" t="s">
        <v>571</v>
      </c>
      <c r="C242" s="43">
        <v>52</v>
      </c>
      <c r="D242" s="47" t="s">
        <v>730</v>
      </c>
      <c r="E242" s="45">
        <v>4.7399999999999998E-2</v>
      </c>
      <c r="F242" s="43">
        <v>123.90281830000001</v>
      </c>
      <c r="G242" s="43">
        <f t="shared" si="3"/>
        <v>115388.15988410433</v>
      </c>
    </row>
    <row r="243" spans="1:7" x14ac:dyDescent="0.4">
      <c r="A243" s="43">
        <v>222</v>
      </c>
      <c r="B243" s="43" t="s">
        <v>572</v>
      </c>
      <c r="C243" s="43">
        <v>52</v>
      </c>
      <c r="D243" s="47" t="s">
        <v>730</v>
      </c>
      <c r="E243" s="45">
        <v>7.0699999999999999E-2</v>
      </c>
      <c r="F243" s="43">
        <v>124.9044312</v>
      </c>
      <c r="G243" s="43">
        <f t="shared" si="3"/>
        <v>116321.15629077693</v>
      </c>
    </row>
    <row r="244" spans="1:7" x14ac:dyDescent="0.4">
      <c r="A244" s="43">
        <v>223</v>
      </c>
      <c r="B244" s="43" t="s">
        <v>573</v>
      </c>
      <c r="C244" s="43">
        <v>52</v>
      </c>
      <c r="D244" s="47" t="s">
        <v>730</v>
      </c>
      <c r="E244" s="45">
        <v>0.188</v>
      </c>
      <c r="F244" s="43">
        <v>125.90331209999999</v>
      </c>
      <c r="G244" s="43">
        <f t="shared" si="3"/>
        <v>117251.60785584152</v>
      </c>
    </row>
    <row r="245" spans="1:7" x14ac:dyDescent="0.4">
      <c r="A245" s="43">
        <v>224</v>
      </c>
      <c r="B245" s="43" t="s">
        <v>574</v>
      </c>
      <c r="C245" s="43">
        <v>52</v>
      </c>
      <c r="D245" s="47">
        <v>2.2500000000000001E+24</v>
      </c>
      <c r="E245" s="45">
        <v>0.317</v>
      </c>
      <c r="F245" s="43">
        <v>127.90446124</v>
      </c>
      <c r="G245" s="43">
        <f t="shared" si="3"/>
        <v>119115.66627285669</v>
      </c>
    </row>
    <row r="246" spans="1:7" x14ac:dyDescent="0.4">
      <c r="A246" s="43">
        <v>225</v>
      </c>
      <c r="B246" s="53" t="s">
        <v>575</v>
      </c>
      <c r="C246" s="43">
        <v>52</v>
      </c>
      <c r="D246" s="47">
        <v>7.9E+20</v>
      </c>
      <c r="E246" s="45">
        <v>0.34100000000000003</v>
      </c>
      <c r="F246" s="43">
        <v>129.90622274500001</v>
      </c>
      <c r="G246" s="43">
        <f t="shared" si="3"/>
        <v>120980.29510419516</v>
      </c>
    </row>
    <row r="247" spans="1:7" x14ac:dyDescent="0.4">
      <c r="A247" s="42">
        <v>226</v>
      </c>
      <c r="B247" s="42" t="s">
        <v>796</v>
      </c>
      <c r="C247" s="42">
        <v>53</v>
      </c>
      <c r="D247" s="46">
        <v>0.16259999999999999</v>
      </c>
      <c r="E247" s="44">
        <v>0</v>
      </c>
      <c r="F247" s="42">
        <v>124.9046306</v>
      </c>
      <c r="G247" s="42">
        <f t="shared" si="3"/>
        <v>116320.83103172985</v>
      </c>
    </row>
    <row r="248" spans="1:7" x14ac:dyDescent="0.4">
      <c r="A248" s="42">
        <v>227</v>
      </c>
      <c r="B248" s="50" t="s">
        <v>576</v>
      </c>
      <c r="C248" s="42">
        <v>53</v>
      </c>
      <c r="D248" s="46" t="s">
        <v>730</v>
      </c>
      <c r="E248" s="44">
        <v>1</v>
      </c>
      <c r="F248" s="42">
        <v>126.904473</v>
      </c>
      <c r="G248" s="42">
        <f t="shared" si="3"/>
        <v>118183.67222827543</v>
      </c>
    </row>
    <row r="249" spans="1:7" x14ac:dyDescent="0.4">
      <c r="A249" s="42">
        <v>228</v>
      </c>
      <c r="B249" s="42" t="s">
        <v>577</v>
      </c>
      <c r="C249" s="42">
        <v>53</v>
      </c>
      <c r="D249" s="46">
        <v>16140000</v>
      </c>
      <c r="E249" s="44">
        <v>0</v>
      </c>
      <c r="F249" s="42">
        <v>128.90498360000001</v>
      </c>
      <c r="G249" s="42">
        <f t="shared" si="3"/>
        <v>120047.13584911184</v>
      </c>
    </row>
    <row r="250" spans="1:7" x14ac:dyDescent="0.4">
      <c r="A250" s="43">
        <v>229</v>
      </c>
      <c r="B250" s="43" t="s">
        <v>578</v>
      </c>
      <c r="C250" s="43">
        <v>54</v>
      </c>
      <c r="D250" s="47">
        <v>1.1E+22</v>
      </c>
      <c r="E250" s="45">
        <v>9.5E-4</v>
      </c>
      <c r="F250" s="43">
        <v>123.9058852</v>
      </c>
      <c r="G250" s="43">
        <f t="shared" si="3"/>
        <v>115389.99468515154</v>
      </c>
    </row>
    <row r="251" spans="1:7" x14ac:dyDescent="0.4">
      <c r="A251" s="43">
        <v>230</v>
      </c>
      <c r="B251" s="43" t="s">
        <v>579</v>
      </c>
      <c r="C251" s="43">
        <v>54</v>
      </c>
      <c r="D251" s="47" t="s">
        <v>730</v>
      </c>
      <c r="E251" s="45">
        <v>8.8999999999999995E-4</v>
      </c>
      <c r="F251" s="43">
        <v>125.904297422</v>
      </c>
      <c r="G251" s="43">
        <f t="shared" si="3"/>
        <v>117251.50367947122</v>
      </c>
    </row>
    <row r="252" spans="1:7" x14ac:dyDescent="0.4">
      <c r="A252" s="43">
        <v>231</v>
      </c>
      <c r="B252" s="43" t="s">
        <v>580</v>
      </c>
      <c r="C252" s="43">
        <v>54</v>
      </c>
      <c r="D252" s="47" t="s">
        <v>730</v>
      </c>
      <c r="E252" s="45">
        <v>1.9099999999999999E-2</v>
      </c>
      <c r="F252" s="43">
        <v>127.90353075340001</v>
      </c>
      <c r="G252" s="43">
        <f t="shared" si="3"/>
        <v>119113.77753227034</v>
      </c>
    </row>
    <row r="253" spans="1:7" x14ac:dyDescent="0.4">
      <c r="A253" s="43">
        <v>232</v>
      </c>
      <c r="B253" s="43" t="s">
        <v>581</v>
      </c>
      <c r="C253" s="43">
        <v>54</v>
      </c>
      <c r="D253" s="47" t="s">
        <v>730</v>
      </c>
      <c r="E253" s="45">
        <v>0.26400000000000001</v>
      </c>
      <c r="F253" s="43">
        <v>128.9047808574</v>
      </c>
      <c r="G253" s="43">
        <f t="shared" si="3"/>
        <v>120046.4359966457</v>
      </c>
    </row>
    <row r="254" spans="1:7" x14ac:dyDescent="0.4">
      <c r="A254" s="43">
        <v>233</v>
      </c>
      <c r="B254" s="43" t="s">
        <v>582</v>
      </c>
      <c r="C254" s="43">
        <v>54</v>
      </c>
      <c r="D254" s="47" t="s">
        <v>730</v>
      </c>
      <c r="E254" s="45">
        <v>4.07E-2</v>
      </c>
      <c r="F254" s="43">
        <v>129.90350934599999</v>
      </c>
      <c r="G254" s="43">
        <f t="shared" si="3"/>
        <v>120976.74559140566</v>
      </c>
    </row>
    <row r="255" spans="1:7" x14ac:dyDescent="0.4">
      <c r="A255" s="43">
        <v>234</v>
      </c>
      <c r="B255" s="43" t="s">
        <v>583</v>
      </c>
      <c r="C255" s="43">
        <v>54</v>
      </c>
      <c r="D255" s="47" t="s">
        <v>730</v>
      </c>
      <c r="E255" s="45">
        <v>0.21199999999999999</v>
      </c>
      <c r="F255" s="43">
        <v>130.90508412809999</v>
      </c>
      <c r="G255" s="43">
        <f t="shared" si="3"/>
        <v>121909.70649148311</v>
      </c>
    </row>
    <row r="256" spans="1:7" x14ac:dyDescent="0.4">
      <c r="A256" s="43">
        <v>235</v>
      </c>
      <c r="B256" s="53" t="s">
        <v>584</v>
      </c>
      <c r="C256" s="43">
        <v>54</v>
      </c>
      <c r="D256" s="47" t="s">
        <v>730</v>
      </c>
      <c r="E256" s="45">
        <v>0.26900000000000002</v>
      </c>
      <c r="F256" s="43">
        <v>131.9041550835</v>
      </c>
      <c r="G256" s="43">
        <f t="shared" si="3"/>
        <v>122840.33509201249</v>
      </c>
    </row>
    <row r="257" spans="1:7" x14ac:dyDescent="0.4">
      <c r="A257" s="43">
        <v>236</v>
      </c>
      <c r="B257" s="43" t="s">
        <v>585</v>
      </c>
      <c r="C257" s="43">
        <v>54</v>
      </c>
      <c r="D257" s="47" t="s">
        <v>730</v>
      </c>
      <c r="E257" s="45">
        <v>0.104</v>
      </c>
      <c r="F257" s="43">
        <v>133.90539303</v>
      </c>
      <c r="G257" s="43">
        <f t="shared" si="3"/>
        <v>124704.47623174956</v>
      </c>
    </row>
    <row r="258" spans="1:7" x14ac:dyDescent="0.4">
      <c r="A258" s="43">
        <v>237</v>
      </c>
      <c r="B258" s="43" t="s">
        <v>586</v>
      </c>
      <c r="C258" s="43">
        <v>54</v>
      </c>
      <c r="D258" s="47">
        <v>2.18E+21</v>
      </c>
      <c r="E258" s="45">
        <v>8.8599999999999998E-2</v>
      </c>
      <c r="F258" s="43">
        <v>135.907214474</v>
      </c>
      <c r="G258" s="43">
        <f t="shared" si="3"/>
        <v>126569.1608959069</v>
      </c>
    </row>
    <row r="259" spans="1:7" x14ac:dyDescent="0.4">
      <c r="A259" s="42">
        <v>238</v>
      </c>
      <c r="B259" s="49" t="s">
        <v>587</v>
      </c>
      <c r="C259" s="42">
        <v>55</v>
      </c>
      <c r="D259" s="46" t="s">
        <v>730</v>
      </c>
      <c r="E259" s="44">
        <v>1</v>
      </c>
      <c r="F259" s="42">
        <v>132.90545195799999</v>
      </c>
      <c r="G259" s="42">
        <f t="shared" si="3"/>
        <v>123772.52612387729</v>
      </c>
    </row>
    <row r="260" spans="1:7" x14ac:dyDescent="0.4">
      <c r="A260" s="42">
        <v>239</v>
      </c>
      <c r="B260" s="42" t="s">
        <v>797</v>
      </c>
      <c r="C260" s="42">
        <v>55</v>
      </c>
      <c r="D260" s="46">
        <v>2.0649999999999999</v>
      </c>
      <c r="E260" s="44">
        <v>0</v>
      </c>
      <c r="F260" s="42">
        <v>133.906718501</v>
      </c>
      <c r="G260" s="42">
        <f t="shared" si="3"/>
        <v>124705.19990108255</v>
      </c>
    </row>
    <row r="261" spans="1:7" x14ac:dyDescent="0.4">
      <c r="A261" s="42">
        <v>240</v>
      </c>
      <c r="B261" s="42" t="s">
        <v>588</v>
      </c>
      <c r="C261" s="42">
        <v>55</v>
      </c>
      <c r="D261" s="46">
        <v>1330000</v>
      </c>
      <c r="E261" s="44">
        <v>0</v>
      </c>
      <c r="F261" s="42">
        <v>134.90597690999999</v>
      </c>
      <c r="G261" s="42">
        <f t="shared" si="3"/>
        <v>125636.00311351559</v>
      </c>
    </row>
    <row r="262" spans="1:7" x14ac:dyDescent="0.4">
      <c r="A262" s="42">
        <v>241</v>
      </c>
      <c r="B262" s="51" t="s">
        <v>589</v>
      </c>
      <c r="C262" s="42">
        <v>55</v>
      </c>
      <c r="D262" s="46">
        <v>30.04</v>
      </c>
      <c r="E262" s="44">
        <v>0</v>
      </c>
      <c r="F262" s="42">
        <v>136.90708950000001</v>
      </c>
      <c r="G262" s="42">
        <f t="shared" si="3"/>
        <v>127500.02748442507</v>
      </c>
    </row>
    <row r="263" spans="1:7" x14ac:dyDescent="0.4">
      <c r="A263" s="43">
        <v>242</v>
      </c>
      <c r="B263" s="43" t="s">
        <v>590</v>
      </c>
      <c r="C263" s="43">
        <v>56</v>
      </c>
      <c r="D263" s="47">
        <v>1E+21</v>
      </c>
      <c r="E263" s="45">
        <v>1.1000000000000001E-3</v>
      </c>
      <c r="F263" s="43">
        <v>129.90632600000001</v>
      </c>
      <c r="G263" s="43">
        <f t="shared" si="3"/>
        <v>120978.34728980537</v>
      </c>
    </row>
    <row r="264" spans="1:7" x14ac:dyDescent="0.4">
      <c r="A264" s="43">
        <v>243</v>
      </c>
      <c r="B264" s="43" t="s">
        <v>591</v>
      </c>
      <c r="C264" s="43">
        <v>56</v>
      </c>
      <c r="D264" s="47" t="s">
        <v>730</v>
      </c>
      <c r="E264" s="45">
        <v>1E-3</v>
      </c>
      <c r="F264" s="43">
        <v>131.90506120000001</v>
      </c>
      <c r="G264" s="43">
        <f t="shared" si="3"/>
        <v>122840.15713619418</v>
      </c>
    </row>
    <row r="265" spans="1:7" x14ac:dyDescent="0.4">
      <c r="A265" s="43">
        <v>244</v>
      </c>
      <c r="B265" s="43" t="s">
        <v>798</v>
      </c>
      <c r="C265" s="43">
        <v>56</v>
      </c>
      <c r="D265" s="47">
        <v>10.538</v>
      </c>
      <c r="E265" s="45">
        <v>0</v>
      </c>
      <c r="F265" s="43">
        <v>132.90600739999999</v>
      </c>
      <c r="G265" s="43">
        <f t="shared" si="3"/>
        <v>123772.53251581696</v>
      </c>
    </row>
    <row r="266" spans="1:7" x14ac:dyDescent="0.4">
      <c r="A266" s="43">
        <v>245</v>
      </c>
      <c r="B266" s="43" t="s">
        <v>592</v>
      </c>
      <c r="C266" s="43">
        <v>56</v>
      </c>
      <c r="D266" s="47" t="s">
        <v>730</v>
      </c>
      <c r="E266" s="45">
        <v>2.4199999999999999E-2</v>
      </c>
      <c r="F266" s="43">
        <v>133.90450824999999</v>
      </c>
      <c r="G266" s="43">
        <f t="shared" si="3"/>
        <v>124702.63006658686</v>
      </c>
    </row>
    <row r="267" spans="1:7" x14ac:dyDescent="0.4">
      <c r="A267" s="43">
        <v>246</v>
      </c>
      <c r="B267" s="43" t="s">
        <v>593</v>
      </c>
      <c r="C267" s="43">
        <v>56</v>
      </c>
      <c r="D267" s="47" t="s">
        <v>730</v>
      </c>
      <c r="E267" s="45">
        <v>6.59E-2</v>
      </c>
      <c r="F267" s="43">
        <v>134.90568845000001</v>
      </c>
      <c r="G267" s="43">
        <f t="shared" si="3"/>
        <v>125635.22341580568</v>
      </c>
    </row>
    <row r="268" spans="1:7" x14ac:dyDescent="0.4">
      <c r="A268" s="43">
        <v>247</v>
      </c>
      <c r="B268" s="43" t="s">
        <v>594</v>
      </c>
      <c r="C268" s="43">
        <v>56</v>
      </c>
      <c r="D268" s="47" t="s">
        <v>730</v>
      </c>
      <c r="E268" s="45">
        <v>7.85E-2</v>
      </c>
      <c r="F268" s="43">
        <v>135.9045758</v>
      </c>
      <c r="G268" s="43">
        <f t="shared" si="3"/>
        <v>126565.68098900658</v>
      </c>
    </row>
    <row r="269" spans="1:7" x14ac:dyDescent="0.4">
      <c r="A269" s="43">
        <v>248</v>
      </c>
      <c r="B269" s="43" t="s">
        <v>595</v>
      </c>
      <c r="C269" s="43">
        <v>56</v>
      </c>
      <c r="D269" s="47" t="s">
        <v>730</v>
      </c>
      <c r="E269" s="45">
        <v>0.112</v>
      </c>
      <c r="F269" s="43">
        <v>136.90582721000001</v>
      </c>
      <c r="G269" s="43">
        <f t="shared" si="3"/>
        <v>127498.34066991312</v>
      </c>
    </row>
    <row r="270" spans="1:7" x14ac:dyDescent="0.4">
      <c r="A270" s="43">
        <v>249</v>
      </c>
      <c r="B270" s="54" t="s">
        <v>596</v>
      </c>
      <c r="C270" s="43">
        <v>56</v>
      </c>
      <c r="D270" s="47" t="s">
        <v>730</v>
      </c>
      <c r="E270" s="45">
        <v>0.71699999999999997</v>
      </c>
      <c r="F270" s="43">
        <v>137.90524719999999</v>
      </c>
      <c r="G270" s="43">
        <f t="shared" si="3"/>
        <v>128429.29439407816</v>
      </c>
    </row>
    <row r="271" spans="1:7" x14ac:dyDescent="0.4">
      <c r="A271" s="42">
        <v>250</v>
      </c>
      <c r="B271" s="42" t="s">
        <v>799</v>
      </c>
      <c r="C271" s="42">
        <v>57</v>
      </c>
      <c r="D271" s="46">
        <v>60000</v>
      </c>
      <c r="E271" s="44">
        <v>0</v>
      </c>
      <c r="F271" s="42">
        <v>136.90645040000001</v>
      </c>
      <c r="G271" s="42">
        <f t="shared" si="3"/>
        <v>127498.41016870827</v>
      </c>
    </row>
    <row r="272" spans="1:7" x14ac:dyDescent="0.4">
      <c r="A272" s="42">
        <v>251</v>
      </c>
      <c r="B272" s="42" t="s">
        <v>597</v>
      </c>
      <c r="C272" s="42">
        <v>57</v>
      </c>
      <c r="D272" s="46">
        <v>103000000000</v>
      </c>
      <c r="E272" s="44">
        <v>8.8999999999999995E-4</v>
      </c>
      <c r="F272" s="42">
        <v>137.90712404000001</v>
      </c>
      <c r="G272" s="42">
        <f t="shared" si="3"/>
        <v>128430.53166032644</v>
      </c>
    </row>
    <row r="273" spans="1:7" x14ac:dyDescent="0.4">
      <c r="A273" s="42">
        <v>252</v>
      </c>
      <c r="B273" s="49" t="s">
        <v>598</v>
      </c>
      <c r="C273" s="42">
        <v>57</v>
      </c>
      <c r="D273" s="46" t="s">
        <v>730</v>
      </c>
      <c r="E273" s="44">
        <v>0.999</v>
      </c>
      <c r="F273" s="42">
        <v>138.90636293</v>
      </c>
      <c r="G273" s="42">
        <f t="shared" si="3"/>
        <v>129361.31669092808</v>
      </c>
    </row>
    <row r="274" spans="1:7" x14ac:dyDescent="0.4">
      <c r="A274" s="43">
        <v>253</v>
      </c>
      <c r="B274" s="43" t="s">
        <v>802</v>
      </c>
      <c r="C274" s="43">
        <v>58</v>
      </c>
      <c r="D274" s="47" t="s">
        <v>730</v>
      </c>
      <c r="E274" s="45">
        <v>1.8600000000000001E-3</v>
      </c>
      <c r="F274" s="43">
        <v>135.90712926</v>
      </c>
      <c r="G274" s="43">
        <f t="shared" si="3"/>
        <v>126567.03752377442</v>
      </c>
    </row>
    <row r="275" spans="1:7" x14ac:dyDescent="0.4">
      <c r="A275" s="43">
        <v>254</v>
      </c>
      <c r="B275" s="43" t="s">
        <v>800</v>
      </c>
      <c r="C275" s="43">
        <v>58</v>
      </c>
      <c r="D275" s="47" t="s">
        <v>730</v>
      </c>
      <c r="E275" s="45">
        <v>2.5100000000000001E-3</v>
      </c>
      <c r="F275" s="43">
        <v>137.90599417999999</v>
      </c>
      <c r="G275" s="43">
        <f t="shared" si="3"/>
        <v>128428.96820356489</v>
      </c>
    </row>
    <row r="276" spans="1:7" x14ac:dyDescent="0.4">
      <c r="A276" s="43">
        <v>255</v>
      </c>
      <c r="B276" s="43" t="s">
        <v>801</v>
      </c>
      <c r="C276" s="43">
        <v>58</v>
      </c>
      <c r="D276" s="47">
        <v>0.37680000000000002</v>
      </c>
      <c r="E276" s="45">
        <v>0</v>
      </c>
      <c r="F276" s="43">
        <v>138.90664699999999</v>
      </c>
      <c r="G276" s="43">
        <f t="shared" si="3"/>
        <v>129361.07030147797</v>
      </c>
    </row>
    <row r="277" spans="1:7" x14ac:dyDescent="0.4">
      <c r="A277" s="43">
        <v>256</v>
      </c>
      <c r="B277" s="53" t="s">
        <v>599</v>
      </c>
      <c r="C277" s="43">
        <v>58</v>
      </c>
      <c r="D277" s="47" t="s">
        <v>730</v>
      </c>
      <c r="E277" s="45">
        <v>0.88400000000000001</v>
      </c>
      <c r="F277" s="43">
        <v>139.90544840000001</v>
      </c>
      <c r="G277" s="43">
        <f t="shared" ref="G277:G340" si="4">F277*amu-C277*m_e</f>
        <v>130291.44781276959</v>
      </c>
    </row>
    <row r="278" spans="1:7" x14ac:dyDescent="0.4">
      <c r="A278" s="43">
        <v>257</v>
      </c>
      <c r="B278" s="43" t="s">
        <v>803</v>
      </c>
      <c r="C278" s="43">
        <v>58</v>
      </c>
      <c r="D278" s="47" t="s">
        <v>730</v>
      </c>
      <c r="E278" s="45">
        <v>0.111</v>
      </c>
      <c r="F278" s="43">
        <v>141.9092502</v>
      </c>
      <c r="G278" s="43">
        <f t="shared" si="4"/>
        <v>132157.97716665879</v>
      </c>
    </row>
    <row r="279" spans="1:7" x14ac:dyDescent="0.4">
      <c r="A279" s="43">
        <v>258</v>
      </c>
      <c r="B279" s="43" t="s">
        <v>804</v>
      </c>
      <c r="C279" s="43">
        <v>58</v>
      </c>
      <c r="D279" s="47">
        <v>0.77990000000000004</v>
      </c>
      <c r="E279" s="45">
        <v>0</v>
      </c>
      <c r="F279" s="43">
        <v>143.91365279999999</v>
      </c>
      <c r="G279" s="43">
        <f t="shared" si="4"/>
        <v>134025.06616214316</v>
      </c>
    </row>
    <row r="280" spans="1:7" x14ac:dyDescent="0.4">
      <c r="A280" s="42">
        <v>259</v>
      </c>
      <c r="B280" s="49" t="s">
        <v>600</v>
      </c>
      <c r="C280" s="42">
        <v>59</v>
      </c>
      <c r="D280" s="46" t="s">
        <v>730</v>
      </c>
      <c r="E280" s="44">
        <v>1</v>
      </c>
      <c r="F280" s="42">
        <v>140.90765959999999</v>
      </c>
      <c r="G280" s="42">
        <f t="shared" si="4"/>
        <v>131224.49053335167</v>
      </c>
    </row>
    <row r="281" spans="1:7" x14ac:dyDescent="0.4">
      <c r="A281" s="43">
        <v>260</v>
      </c>
      <c r="B281" s="54" t="s">
        <v>601</v>
      </c>
      <c r="C281" s="43">
        <v>60</v>
      </c>
      <c r="D281" s="47" t="s">
        <v>730</v>
      </c>
      <c r="E281" s="45">
        <v>0.27200000000000002</v>
      </c>
      <c r="F281" s="43">
        <v>141.9077288</v>
      </c>
      <c r="G281" s="43">
        <f t="shared" si="4"/>
        <v>132155.53799378581</v>
      </c>
    </row>
    <row r="282" spans="1:7" x14ac:dyDescent="0.4">
      <c r="A282" s="43">
        <v>261</v>
      </c>
      <c r="B282" s="43" t="s">
        <v>602</v>
      </c>
      <c r="C282" s="43">
        <v>60</v>
      </c>
      <c r="D282" s="47" t="s">
        <v>730</v>
      </c>
      <c r="E282" s="45">
        <v>0.122</v>
      </c>
      <c r="F282" s="43">
        <v>142.90981429999999</v>
      </c>
      <c r="G282" s="43">
        <f t="shared" si="4"/>
        <v>133088.97462452279</v>
      </c>
    </row>
    <row r="283" spans="1:7" x14ac:dyDescent="0.4">
      <c r="A283" s="43">
        <v>262</v>
      </c>
      <c r="B283" s="43" t="s">
        <v>603</v>
      </c>
      <c r="C283" s="43">
        <v>60</v>
      </c>
      <c r="D283" s="47">
        <v>2260000000000000</v>
      </c>
      <c r="E283" s="45">
        <v>0.23799999999999999</v>
      </c>
      <c r="F283" s="43">
        <v>143.9100928</v>
      </c>
      <c r="G283" s="43">
        <f t="shared" si="4"/>
        <v>134020.72804560181</v>
      </c>
    </row>
    <row r="284" spans="1:7" x14ac:dyDescent="0.4">
      <c r="A284" s="43">
        <v>263</v>
      </c>
      <c r="B284" s="43" t="s">
        <v>604</v>
      </c>
      <c r="C284" s="43">
        <v>60</v>
      </c>
      <c r="D284" s="47" t="s">
        <v>730</v>
      </c>
      <c r="E284" s="45">
        <v>8.3000000000000004E-2</v>
      </c>
      <c r="F284" s="43">
        <v>144.91257920000001</v>
      </c>
      <c r="G284" s="43">
        <f t="shared" si="4"/>
        <v>134954.53811228342</v>
      </c>
    </row>
    <row r="285" spans="1:7" x14ac:dyDescent="0.4">
      <c r="A285" s="43">
        <v>264</v>
      </c>
      <c r="B285" s="43" t="s">
        <v>605</v>
      </c>
      <c r="C285" s="43">
        <v>60</v>
      </c>
      <c r="D285" s="47" t="s">
        <v>730</v>
      </c>
      <c r="E285" s="45">
        <v>0.17199999999999999</v>
      </c>
      <c r="F285" s="43">
        <v>145.91312249999999</v>
      </c>
      <c r="G285" s="43">
        <f t="shared" si="4"/>
        <v>135886.53819297359</v>
      </c>
    </row>
    <row r="286" spans="1:7" x14ac:dyDescent="0.4">
      <c r="A286" s="43">
        <v>265</v>
      </c>
      <c r="B286" s="43" t="s">
        <v>606</v>
      </c>
      <c r="C286" s="43">
        <v>60</v>
      </c>
      <c r="D286" s="47" t="s">
        <v>730</v>
      </c>
      <c r="E286" s="45">
        <v>5.8000000000000003E-2</v>
      </c>
      <c r="F286" s="43">
        <v>147.916899</v>
      </c>
      <c r="G286" s="43">
        <f t="shared" si="4"/>
        <v>137753.0439800646</v>
      </c>
    </row>
    <row r="287" spans="1:7" x14ac:dyDescent="0.4">
      <c r="A287" s="43">
        <v>266</v>
      </c>
      <c r="B287" s="43" t="s">
        <v>607</v>
      </c>
      <c r="C287" s="43">
        <v>60</v>
      </c>
      <c r="D287" s="47">
        <v>9.3E+18</v>
      </c>
      <c r="E287" s="45">
        <v>5.6000000000000001E-2</v>
      </c>
      <c r="F287" s="43">
        <v>149.9209013</v>
      </c>
      <c r="G287" s="43">
        <f t="shared" si="4"/>
        <v>139619.76009850079</v>
      </c>
    </row>
    <row r="288" spans="1:7" x14ac:dyDescent="0.4">
      <c r="A288" s="42">
        <v>267</v>
      </c>
      <c r="B288" s="42" t="s">
        <v>805</v>
      </c>
      <c r="C288" s="42">
        <v>61</v>
      </c>
      <c r="D288" s="46">
        <v>0.72550000000000003</v>
      </c>
      <c r="E288" s="44">
        <v>0</v>
      </c>
      <c r="F288" s="42">
        <v>142.91093810000001</v>
      </c>
      <c r="G288" s="42">
        <f t="shared" si="4"/>
        <v>133089.51043852931</v>
      </c>
    </row>
    <row r="289" spans="1:7" x14ac:dyDescent="0.4">
      <c r="A289" s="42">
        <v>268</v>
      </c>
      <c r="B289" s="42" t="s">
        <v>806</v>
      </c>
      <c r="C289" s="42">
        <v>61</v>
      </c>
      <c r="D289" s="46">
        <v>0.99380000000000002</v>
      </c>
      <c r="E289" s="44">
        <v>0</v>
      </c>
      <c r="F289" s="42">
        <v>143.9125962</v>
      </c>
      <c r="G289" s="42">
        <f t="shared" si="4"/>
        <v>134022.54894873072</v>
      </c>
    </row>
    <row r="290" spans="1:7" x14ac:dyDescent="0.4">
      <c r="A290" s="42">
        <v>269</v>
      </c>
      <c r="B290" s="42" t="s">
        <v>608</v>
      </c>
      <c r="C290" s="42">
        <v>61</v>
      </c>
      <c r="D290" s="46">
        <v>17.7</v>
      </c>
      <c r="E290" s="44">
        <v>0</v>
      </c>
      <c r="F290" s="42">
        <v>144.91275569999999</v>
      </c>
      <c r="G290" s="42">
        <f t="shared" si="4"/>
        <v>134954.1915220237</v>
      </c>
    </row>
    <row r="291" spans="1:7" x14ac:dyDescent="0.4">
      <c r="A291" s="42">
        <v>270</v>
      </c>
      <c r="B291" s="42" t="s">
        <v>609</v>
      </c>
      <c r="C291" s="42">
        <v>61</v>
      </c>
      <c r="D291" s="46">
        <v>5.53</v>
      </c>
      <c r="E291" s="44">
        <v>0</v>
      </c>
      <c r="F291" s="42">
        <v>145.91470219999999</v>
      </c>
      <c r="G291" s="42">
        <f t="shared" si="4"/>
        <v>135887.49867509471</v>
      </c>
    </row>
    <row r="292" spans="1:7" x14ac:dyDescent="0.4">
      <c r="A292" s="42">
        <v>271</v>
      </c>
      <c r="B292" s="51" t="s">
        <v>610</v>
      </c>
      <c r="C292" s="42">
        <v>61</v>
      </c>
      <c r="D292" s="46">
        <v>2.6234000000000002</v>
      </c>
      <c r="E292" s="44">
        <v>0</v>
      </c>
      <c r="F292" s="42">
        <v>146.9151449</v>
      </c>
      <c r="G292" s="42">
        <f t="shared" si="4"/>
        <v>136819.40504748852</v>
      </c>
    </row>
    <row r="293" spans="1:7" x14ac:dyDescent="0.4">
      <c r="A293" s="43">
        <v>272</v>
      </c>
      <c r="B293" s="43" t="s">
        <v>611</v>
      </c>
      <c r="C293" s="43">
        <v>62</v>
      </c>
      <c r="D293" s="47" t="s">
        <v>730</v>
      </c>
      <c r="E293" s="45">
        <v>3.0800000000000001E-2</v>
      </c>
      <c r="F293" s="43">
        <v>143.9120063</v>
      </c>
      <c r="G293" s="43">
        <f t="shared" si="4"/>
        <v>134021.48846146942</v>
      </c>
    </row>
    <row r="294" spans="1:7" x14ac:dyDescent="0.4">
      <c r="A294" s="43">
        <v>273</v>
      </c>
      <c r="B294" s="43" t="s">
        <v>807</v>
      </c>
      <c r="C294" s="43">
        <v>62</v>
      </c>
      <c r="D294" s="47">
        <v>0.93089999999999995</v>
      </c>
      <c r="E294" s="45">
        <v>0</v>
      </c>
      <c r="F294" s="43">
        <v>144.9134172</v>
      </c>
      <c r="G294" s="43">
        <f t="shared" si="4"/>
        <v>134954.29670635401</v>
      </c>
    </row>
    <row r="295" spans="1:7" x14ac:dyDescent="0.4">
      <c r="A295" s="43">
        <v>274</v>
      </c>
      <c r="B295" s="43" t="s">
        <v>808</v>
      </c>
      <c r="C295" s="43">
        <v>62</v>
      </c>
      <c r="D295" s="47">
        <v>92000000</v>
      </c>
      <c r="E295" s="45">
        <v>0</v>
      </c>
      <c r="F295" s="43">
        <v>145.91304679999999</v>
      </c>
      <c r="G295" s="43">
        <f t="shared" si="4"/>
        <v>135885.44568097641</v>
      </c>
    </row>
    <row r="296" spans="1:7" x14ac:dyDescent="0.4">
      <c r="A296" s="43">
        <v>275</v>
      </c>
      <c r="B296" s="43" t="s">
        <v>612</v>
      </c>
      <c r="C296" s="43">
        <v>62</v>
      </c>
      <c r="D296" s="47">
        <v>106600000000</v>
      </c>
      <c r="E296" s="45">
        <v>0.15</v>
      </c>
      <c r="F296" s="43">
        <v>146.91490440000001</v>
      </c>
      <c r="G296" s="43">
        <f t="shared" si="4"/>
        <v>136818.67002423084</v>
      </c>
    </row>
    <row r="297" spans="1:7" x14ac:dyDescent="0.4">
      <c r="A297" s="43">
        <v>276</v>
      </c>
      <c r="B297" s="43" t="s">
        <v>613</v>
      </c>
      <c r="C297" s="43">
        <v>62</v>
      </c>
      <c r="D297" s="47">
        <v>6300000000000000</v>
      </c>
      <c r="E297" s="45">
        <v>0.113</v>
      </c>
      <c r="F297" s="43">
        <v>147.91482920000001</v>
      </c>
      <c r="G297" s="43">
        <f t="shared" si="4"/>
        <v>137750.09397588205</v>
      </c>
    </row>
    <row r="298" spans="1:7" x14ac:dyDescent="0.4">
      <c r="A298" s="43">
        <v>277</v>
      </c>
      <c r="B298" s="43" t="s">
        <v>614</v>
      </c>
      <c r="C298" s="43">
        <v>62</v>
      </c>
      <c r="D298" s="47" t="s">
        <v>730</v>
      </c>
      <c r="E298" s="45">
        <v>0.13800000000000001</v>
      </c>
      <c r="F298" s="43">
        <v>148.91719119999999</v>
      </c>
      <c r="G298" s="43">
        <f t="shared" si="4"/>
        <v>138683.78816471001</v>
      </c>
    </row>
    <row r="299" spans="1:7" x14ac:dyDescent="0.4">
      <c r="A299" s="43">
        <v>278</v>
      </c>
      <c r="B299" s="43" t="s">
        <v>615</v>
      </c>
      <c r="C299" s="43">
        <v>62</v>
      </c>
      <c r="D299" s="47" t="s">
        <v>730</v>
      </c>
      <c r="E299" s="45">
        <v>7.3700000000000002E-2</v>
      </c>
      <c r="F299" s="43">
        <v>149.917282</v>
      </c>
      <c r="G299" s="43">
        <f t="shared" si="4"/>
        <v>139615.36674436522</v>
      </c>
    </row>
    <row r="300" spans="1:7" x14ac:dyDescent="0.4">
      <c r="A300" s="43">
        <v>279</v>
      </c>
      <c r="B300" s="43" t="s">
        <v>809</v>
      </c>
      <c r="C300" s="43">
        <v>62</v>
      </c>
      <c r="D300" s="47">
        <v>94.6</v>
      </c>
      <c r="E300" s="45">
        <v>0</v>
      </c>
      <c r="F300" s="43">
        <v>150.91993890000001</v>
      </c>
      <c r="G300" s="43">
        <f t="shared" si="4"/>
        <v>140549.33563077383</v>
      </c>
    </row>
    <row r="301" spans="1:7" x14ac:dyDescent="0.4">
      <c r="A301" s="43">
        <v>280</v>
      </c>
      <c r="B301" s="54" t="s">
        <v>616</v>
      </c>
      <c r="C301" s="43">
        <v>62</v>
      </c>
      <c r="D301" s="47" t="s">
        <v>730</v>
      </c>
      <c r="E301" s="45">
        <v>0.26700000000000002</v>
      </c>
      <c r="F301" s="43">
        <v>151.91973239999999</v>
      </c>
      <c r="G301" s="43">
        <f t="shared" si="4"/>
        <v>141480.63727726281</v>
      </c>
    </row>
    <row r="302" spans="1:7" x14ac:dyDescent="0.4">
      <c r="A302" s="43">
        <v>281</v>
      </c>
      <c r="B302" s="43" t="s">
        <v>617</v>
      </c>
      <c r="C302" s="43">
        <v>62</v>
      </c>
      <c r="D302" s="47" t="s">
        <v>730</v>
      </c>
      <c r="E302" s="45">
        <v>0.22700000000000001</v>
      </c>
      <c r="F302" s="43">
        <v>153.92221499999999</v>
      </c>
      <c r="G302" s="43">
        <f t="shared" si="4"/>
        <v>143345.93780426722</v>
      </c>
    </row>
    <row r="303" spans="1:7" x14ac:dyDescent="0.4">
      <c r="A303" s="42">
        <v>282</v>
      </c>
      <c r="B303" s="42" t="s">
        <v>811</v>
      </c>
      <c r="C303" s="42">
        <v>63</v>
      </c>
      <c r="D303" s="46">
        <v>0.1492</v>
      </c>
      <c r="E303" s="44">
        <v>0</v>
      </c>
      <c r="F303" s="42">
        <v>147.918091</v>
      </c>
      <c r="G303" s="42">
        <f t="shared" si="4"/>
        <v>137752.62132406054</v>
      </c>
    </row>
    <row r="304" spans="1:7" x14ac:dyDescent="0.4">
      <c r="A304" s="42">
        <v>283</v>
      </c>
      <c r="B304" s="42" t="s">
        <v>812</v>
      </c>
      <c r="C304" s="42">
        <v>63</v>
      </c>
      <c r="D304" s="46">
        <v>0.25490000000000002</v>
      </c>
      <c r="E304" s="44">
        <v>0</v>
      </c>
      <c r="F304" s="42">
        <v>148.9179369</v>
      </c>
      <c r="G304" s="42">
        <f t="shared" si="4"/>
        <v>138683.97178083513</v>
      </c>
    </row>
    <row r="305" spans="1:7" x14ac:dyDescent="0.4">
      <c r="A305" s="42">
        <v>284</v>
      </c>
      <c r="B305" s="42" t="s">
        <v>810</v>
      </c>
      <c r="C305" s="42">
        <v>63</v>
      </c>
      <c r="D305" s="46">
        <v>36.9</v>
      </c>
      <c r="E305" s="44">
        <v>0</v>
      </c>
      <c r="F305" s="42">
        <v>149.91970710000001</v>
      </c>
      <c r="G305" s="42">
        <f t="shared" si="4"/>
        <v>139617.11471151395</v>
      </c>
    </row>
    <row r="306" spans="1:7" x14ac:dyDescent="0.4">
      <c r="A306" s="42">
        <v>285</v>
      </c>
      <c r="B306" s="42" t="s">
        <v>618</v>
      </c>
      <c r="C306" s="42">
        <v>63</v>
      </c>
      <c r="D306" s="46">
        <v>4.6E+18</v>
      </c>
      <c r="E306" s="44">
        <v>0.47799999999999998</v>
      </c>
      <c r="F306" s="42">
        <v>150.9198566</v>
      </c>
      <c r="G306" s="42">
        <f t="shared" si="4"/>
        <v>140548.74796986693</v>
      </c>
    </row>
    <row r="307" spans="1:7" x14ac:dyDescent="0.4">
      <c r="A307" s="42">
        <v>286</v>
      </c>
      <c r="B307" s="42" t="s">
        <v>813</v>
      </c>
      <c r="C307" s="42">
        <v>63</v>
      </c>
      <c r="D307" s="46">
        <v>13.516999999999999</v>
      </c>
      <c r="E307" s="44">
        <v>0</v>
      </c>
      <c r="F307" s="42">
        <v>151.921751</v>
      </c>
      <c r="G307" s="42">
        <f t="shared" si="4"/>
        <v>141482.00659210054</v>
      </c>
    </row>
    <row r="308" spans="1:7" x14ac:dyDescent="0.4">
      <c r="A308" s="42">
        <v>287</v>
      </c>
      <c r="B308" s="49" t="s">
        <v>619</v>
      </c>
      <c r="C308" s="42">
        <v>63</v>
      </c>
      <c r="D308" s="46" t="s">
        <v>730</v>
      </c>
      <c r="E308" s="44">
        <v>0.52200000000000002</v>
      </c>
      <c r="F308" s="42">
        <v>152.9212368</v>
      </c>
      <c r="G308" s="42">
        <f t="shared" si="4"/>
        <v>142413.02161788574</v>
      </c>
    </row>
    <row r="309" spans="1:7" x14ac:dyDescent="0.4">
      <c r="A309" s="42">
        <v>288</v>
      </c>
      <c r="B309" s="42" t="s">
        <v>814</v>
      </c>
      <c r="C309" s="42">
        <v>63</v>
      </c>
      <c r="D309" s="46">
        <v>8.593</v>
      </c>
      <c r="E309" s="44">
        <v>0</v>
      </c>
      <c r="F309" s="42">
        <v>153.9229857</v>
      </c>
      <c r="G309" s="42">
        <f t="shared" si="4"/>
        <v>143346.14470774232</v>
      </c>
    </row>
    <row r="310" spans="1:7" x14ac:dyDescent="0.4">
      <c r="A310" s="42">
        <v>289</v>
      </c>
      <c r="B310" s="51" t="s">
        <v>620</v>
      </c>
      <c r="C310" s="42">
        <v>63</v>
      </c>
      <c r="D310" s="46">
        <v>4.742</v>
      </c>
      <c r="E310" s="44">
        <v>0</v>
      </c>
      <c r="F310" s="42">
        <v>154.9228933</v>
      </c>
      <c r="G310" s="42">
        <f t="shared" si="4"/>
        <v>144277.55263769673</v>
      </c>
    </row>
    <row r="311" spans="1:7" x14ac:dyDescent="0.4">
      <c r="A311" s="43">
        <v>290</v>
      </c>
      <c r="B311" s="43" t="s">
        <v>817</v>
      </c>
      <c r="C311" s="43">
        <v>64</v>
      </c>
      <c r="D311" s="47">
        <v>86.9</v>
      </c>
      <c r="E311" s="45">
        <v>0</v>
      </c>
      <c r="F311" s="43">
        <v>147.91812139999999</v>
      </c>
      <c r="G311" s="43">
        <f t="shared" si="4"/>
        <v>137752.13864252742</v>
      </c>
    </row>
    <row r="312" spans="1:7" x14ac:dyDescent="0.4">
      <c r="A312" s="43">
        <v>291</v>
      </c>
      <c r="B312" s="43" t="s">
        <v>815</v>
      </c>
      <c r="C312" s="43">
        <v>64</v>
      </c>
      <c r="D312" s="47">
        <v>1790000</v>
      </c>
      <c r="E312" s="45">
        <v>0</v>
      </c>
      <c r="F312" s="43">
        <v>149.91866390000001</v>
      </c>
      <c r="G312" s="43">
        <f t="shared" si="4"/>
        <v>139615.63197802246</v>
      </c>
    </row>
    <row r="313" spans="1:7" x14ac:dyDescent="0.4">
      <c r="A313" s="43">
        <v>292</v>
      </c>
      <c r="B313" s="43" t="s">
        <v>816</v>
      </c>
      <c r="C313" s="43">
        <v>64</v>
      </c>
      <c r="D313" s="47">
        <v>0.3392</v>
      </c>
      <c r="E313" s="45">
        <v>0</v>
      </c>
      <c r="F313" s="43">
        <v>150.92035490000001</v>
      </c>
      <c r="G313" s="43">
        <f t="shared" si="4"/>
        <v>140548.70113437646</v>
      </c>
    </row>
    <row r="314" spans="1:7" x14ac:dyDescent="0.4">
      <c r="A314" s="43">
        <v>293</v>
      </c>
      <c r="B314" s="43" t="s">
        <v>621</v>
      </c>
      <c r="C314" s="43">
        <v>64</v>
      </c>
      <c r="D314" s="47">
        <v>108000000000000</v>
      </c>
      <c r="E314" s="45">
        <v>2E-3</v>
      </c>
      <c r="F314" s="43">
        <v>151.91979839999999</v>
      </c>
      <c r="G314" s="43">
        <f t="shared" si="4"/>
        <v>141479.67675796544</v>
      </c>
    </row>
    <row r="315" spans="1:7" x14ac:dyDescent="0.4">
      <c r="A315" s="43">
        <v>294</v>
      </c>
      <c r="B315" s="43" t="s">
        <v>818</v>
      </c>
      <c r="C315" s="43">
        <v>64</v>
      </c>
      <c r="D315" s="47">
        <v>0.65869999999999995</v>
      </c>
      <c r="E315" s="45">
        <v>0</v>
      </c>
      <c r="F315" s="43">
        <v>152.92175689999999</v>
      </c>
      <c r="G315" s="43">
        <f t="shared" si="4"/>
        <v>142412.99508896444</v>
      </c>
    </row>
    <row r="316" spans="1:7" x14ac:dyDescent="0.4">
      <c r="A316" s="43">
        <v>295</v>
      </c>
      <c r="B316" s="43" t="s">
        <v>622</v>
      </c>
      <c r="C316" s="43">
        <v>64</v>
      </c>
      <c r="D316" s="47" t="s">
        <v>730</v>
      </c>
      <c r="E316" s="45">
        <v>2.18E-2</v>
      </c>
      <c r="F316" s="43">
        <v>153.920873</v>
      </c>
      <c r="G316" s="43">
        <f t="shared" si="4"/>
        <v>143343.66574141785</v>
      </c>
    </row>
    <row r="317" spans="1:7" x14ac:dyDescent="0.4">
      <c r="A317" s="43">
        <v>296</v>
      </c>
      <c r="B317" s="43" t="s">
        <v>623</v>
      </c>
      <c r="C317" s="43">
        <v>64</v>
      </c>
      <c r="D317" s="47" t="s">
        <v>730</v>
      </c>
      <c r="E317" s="45">
        <v>0.14799999999999999</v>
      </c>
      <c r="F317" s="43">
        <v>154.92262940000001</v>
      </c>
      <c r="G317" s="43">
        <f t="shared" si="4"/>
        <v>144276.79581747946</v>
      </c>
    </row>
    <row r="318" spans="1:7" x14ac:dyDescent="0.4">
      <c r="A318" s="43">
        <v>297</v>
      </c>
      <c r="B318" s="43" t="s">
        <v>624</v>
      </c>
      <c r="C318" s="43">
        <v>64</v>
      </c>
      <c r="D318" s="47" t="s">
        <v>730</v>
      </c>
      <c r="E318" s="45">
        <v>0.20499999999999999</v>
      </c>
      <c r="F318" s="43">
        <v>155.9221301</v>
      </c>
      <c r="G318" s="43">
        <f t="shared" si="4"/>
        <v>145207.82472252526</v>
      </c>
    </row>
    <row r="319" spans="1:7" x14ac:dyDescent="0.4">
      <c r="A319" s="43">
        <v>298</v>
      </c>
      <c r="B319" s="43" t="s">
        <v>625</v>
      </c>
      <c r="C319" s="43">
        <v>64</v>
      </c>
      <c r="D319" s="47" t="s">
        <v>730</v>
      </c>
      <c r="E319" s="45">
        <v>0.157</v>
      </c>
      <c r="F319" s="43">
        <v>156.92396740000001</v>
      </c>
      <c r="G319" s="43">
        <f t="shared" si="4"/>
        <v>146141.03015645145</v>
      </c>
    </row>
    <row r="320" spans="1:7" x14ac:dyDescent="0.4">
      <c r="A320" s="43">
        <v>299</v>
      </c>
      <c r="B320" s="54" t="s">
        <v>626</v>
      </c>
      <c r="C320" s="43">
        <v>64</v>
      </c>
      <c r="D320" s="47" t="s">
        <v>730</v>
      </c>
      <c r="E320" s="45">
        <v>0.248</v>
      </c>
      <c r="F320" s="43">
        <v>157.9241112</v>
      </c>
      <c r="G320" s="43">
        <f t="shared" si="4"/>
        <v>147072.65810528863</v>
      </c>
    </row>
    <row r="321" spans="1:7" x14ac:dyDescent="0.4">
      <c r="A321" s="43">
        <v>300</v>
      </c>
      <c r="B321" s="43" t="s">
        <v>627</v>
      </c>
      <c r="C321" s="43">
        <v>64</v>
      </c>
      <c r="D321" s="47" t="s">
        <v>730</v>
      </c>
      <c r="E321" s="45">
        <v>0.219</v>
      </c>
      <c r="F321" s="43">
        <v>159.9270612</v>
      </c>
      <c r="G321" s="43">
        <f t="shared" si="4"/>
        <v>148938.39401258863</v>
      </c>
    </row>
    <row r="322" spans="1:7" x14ac:dyDescent="0.4">
      <c r="A322" s="42">
        <v>301</v>
      </c>
      <c r="B322" s="42" t="s">
        <v>819</v>
      </c>
      <c r="C322" s="42">
        <v>65</v>
      </c>
      <c r="D322" s="46">
        <v>71</v>
      </c>
      <c r="E322" s="44">
        <v>0</v>
      </c>
      <c r="F322" s="42">
        <v>156.92403189999999</v>
      </c>
      <c r="G322" s="42">
        <f t="shared" si="4"/>
        <v>146140.57923886375</v>
      </c>
    </row>
    <row r="323" spans="1:7" x14ac:dyDescent="0.4">
      <c r="A323" s="42">
        <v>302</v>
      </c>
      <c r="B323" s="42" t="s">
        <v>820</v>
      </c>
      <c r="C323" s="42">
        <v>65</v>
      </c>
      <c r="D323" s="46">
        <v>180</v>
      </c>
      <c r="E323" s="44">
        <v>0</v>
      </c>
      <c r="F323" s="42">
        <v>157.92541990000001</v>
      </c>
      <c r="G323" s="42">
        <f t="shared" si="4"/>
        <v>147073.36615253577</v>
      </c>
    </row>
    <row r="324" spans="1:7" x14ac:dyDescent="0.4">
      <c r="A324" s="42">
        <v>303</v>
      </c>
      <c r="B324" s="49" t="s">
        <v>628</v>
      </c>
      <c r="C324" s="42">
        <v>65</v>
      </c>
      <c r="D324" s="46" t="s">
        <v>730</v>
      </c>
      <c r="E324" s="44">
        <v>1</v>
      </c>
      <c r="F324" s="42">
        <v>158.9253468</v>
      </c>
      <c r="G324" s="42">
        <f t="shared" si="4"/>
        <v>148004.79206032434</v>
      </c>
    </row>
    <row r="325" spans="1:7" x14ac:dyDescent="0.4">
      <c r="A325" s="42">
        <v>304</v>
      </c>
      <c r="B325" s="42" t="s">
        <v>821</v>
      </c>
      <c r="C325" s="42">
        <v>65</v>
      </c>
      <c r="D325" s="46">
        <v>0.20069999999999999</v>
      </c>
      <c r="E325" s="44">
        <v>0</v>
      </c>
      <c r="F325" s="42">
        <v>159.9271746</v>
      </c>
      <c r="G325" s="42">
        <f t="shared" si="4"/>
        <v>148937.98864505754</v>
      </c>
    </row>
    <row r="326" spans="1:7" x14ac:dyDescent="0.4">
      <c r="A326" s="43">
        <v>305</v>
      </c>
      <c r="B326" s="43" t="s">
        <v>822</v>
      </c>
      <c r="C326" s="43">
        <v>66</v>
      </c>
      <c r="D326" s="47">
        <v>1400000</v>
      </c>
      <c r="E326" s="45">
        <v>0</v>
      </c>
      <c r="F326" s="43">
        <v>153.92442890000001</v>
      </c>
      <c r="G326" s="43">
        <f t="shared" si="4"/>
        <v>143345.95604303107</v>
      </c>
    </row>
    <row r="327" spans="1:7" x14ac:dyDescent="0.4">
      <c r="A327" s="43">
        <v>306</v>
      </c>
      <c r="B327" s="43" t="s">
        <v>629</v>
      </c>
      <c r="C327" s="43">
        <v>66</v>
      </c>
      <c r="D327" s="47" t="s">
        <v>730</v>
      </c>
      <c r="E327" s="45">
        <v>5.5999999999999995E-4</v>
      </c>
      <c r="F327" s="43">
        <v>155.9242836</v>
      </c>
      <c r="G327" s="43">
        <f t="shared" si="4"/>
        <v>145208.80869695285</v>
      </c>
    </row>
    <row r="328" spans="1:7" x14ac:dyDescent="0.4">
      <c r="A328" s="43">
        <v>307</v>
      </c>
      <c r="B328" s="43" t="s">
        <v>630</v>
      </c>
      <c r="C328" s="43">
        <v>66</v>
      </c>
      <c r="D328" s="47" t="s">
        <v>730</v>
      </c>
      <c r="E328" s="45">
        <v>9.5E-4</v>
      </c>
      <c r="F328" s="43">
        <v>157.92441479999999</v>
      </c>
      <c r="G328" s="43">
        <f t="shared" si="4"/>
        <v>147071.91890896566</v>
      </c>
    </row>
    <row r="329" spans="1:7" x14ac:dyDescent="0.4">
      <c r="A329" s="43">
        <v>308</v>
      </c>
      <c r="B329" s="43" t="s">
        <v>823</v>
      </c>
      <c r="C329" s="43">
        <v>66</v>
      </c>
      <c r="D329" s="47">
        <v>0.36530000000000001</v>
      </c>
      <c r="E329" s="45">
        <v>0</v>
      </c>
      <c r="F329" s="43">
        <v>158.92574590000001</v>
      </c>
      <c r="G329" s="43">
        <f t="shared" si="4"/>
        <v>148004.65282062907</v>
      </c>
    </row>
    <row r="330" spans="1:7" x14ac:dyDescent="0.4">
      <c r="A330" s="43">
        <v>309</v>
      </c>
      <c r="B330" s="43" t="s">
        <v>631</v>
      </c>
      <c r="C330" s="43">
        <v>66</v>
      </c>
      <c r="D330" s="47" t="s">
        <v>730</v>
      </c>
      <c r="E330" s="45">
        <v>2.3300000000000001E-2</v>
      </c>
      <c r="F330" s="43">
        <v>159.92520357999999</v>
      </c>
      <c r="G330" s="43">
        <f t="shared" si="4"/>
        <v>148935.64165280297</v>
      </c>
    </row>
    <row r="331" spans="1:7" x14ac:dyDescent="0.4">
      <c r="A331" s="43">
        <v>310</v>
      </c>
      <c r="B331" s="43" t="s">
        <v>632</v>
      </c>
      <c r="C331" s="43">
        <v>66</v>
      </c>
      <c r="D331" s="47" t="s">
        <v>730</v>
      </c>
      <c r="E331" s="45">
        <v>0.189</v>
      </c>
      <c r="F331" s="43">
        <v>160.92693943</v>
      </c>
      <c r="G331" s="43">
        <f t="shared" si="4"/>
        <v>149868.75258666289</v>
      </c>
    </row>
    <row r="332" spans="1:7" x14ac:dyDescent="0.4">
      <c r="A332" s="43">
        <v>311</v>
      </c>
      <c r="B332" s="43" t="s">
        <v>633</v>
      </c>
      <c r="C332" s="43">
        <v>66</v>
      </c>
      <c r="D332" s="47" t="s">
        <v>730</v>
      </c>
      <c r="E332" s="45">
        <v>0.255</v>
      </c>
      <c r="F332" s="43">
        <v>161.92680451000001</v>
      </c>
      <c r="G332" s="43">
        <f t="shared" si="4"/>
        <v>150800.12090949243</v>
      </c>
    </row>
    <row r="333" spans="1:7" x14ac:dyDescent="0.4">
      <c r="A333" s="43">
        <v>312</v>
      </c>
      <c r="B333" s="43" t="s">
        <v>634</v>
      </c>
      <c r="C333" s="43">
        <v>66</v>
      </c>
      <c r="D333" s="47" t="s">
        <v>730</v>
      </c>
      <c r="E333" s="45">
        <v>0.249</v>
      </c>
      <c r="F333" s="43">
        <v>162.92873721999999</v>
      </c>
      <c r="G333" s="43">
        <f t="shared" si="4"/>
        <v>151733.41521726112</v>
      </c>
    </row>
    <row r="334" spans="1:7" x14ac:dyDescent="0.4">
      <c r="A334" s="43">
        <v>313</v>
      </c>
      <c r="B334" s="54" t="s">
        <v>635</v>
      </c>
      <c r="C334" s="43">
        <v>66</v>
      </c>
      <c r="D334" s="47" t="s">
        <v>730</v>
      </c>
      <c r="E334" s="45">
        <v>0.28299999999999997</v>
      </c>
      <c r="F334" s="43">
        <v>163.92918082</v>
      </c>
      <c r="G334" s="43">
        <f t="shared" si="4"/>
        <v>152665.32242799955</v>
      </c>
    </row>
    <row r="335" spans="1:7" x14ac:dyDescent="0.4">
      <c r="A335" s="42">
        <v>314</v>
      </c>
      <c r="B335" s="42" t="s">
        <v>824</v>
      </c>
      <c r="C335" s="42">
        <v>67</v>
      </c>
      <c r="D335" s="46">
        <v>4570</v>
      </c>
      <c r="E335" s="44">
        <v>0</v>
      </c>
      <c r="F335" s="42">
        <v>162.92874026000001</v>
      </c>
      <c r="G335" s="42">
        <f t="shared" si="4"/>
        <v>151732.90705005222</v>
      </c>
    </row>
    <row r="336" spans="1:7" x14ac:dyDescent="0.4">
      <c r="A336" s="42">
        <v>315</v>
      </c>
      <c r="B336" s="50" t="s">
        <v>636</v>
      </c>
      <c r="C336" s="42">
        <v>67</v>
      </c>
      <c r="D336" s="46" t="s">
        <v>730</v>
      </c>
      <c r="E336" s="44">
        <v>1</v>
      </c>
      <c r="F336" s="42">
        <v>164.93032912000001</v>
      </c>
      <c r="G336" s="42">
        <f t="shared" si="4"/>
        <v>153597.37506360907</v>
      </c>
    </row>
    <row r="337" spans="1:7" x14ac:dyDescent="0.4">
      <c r="A337" s="43">
        <v>316</v>
      </c>
      <c r="B337" s="43" t="s">
        <v>826</v>
      </c>
      <c r="C337" s="43">
        <v>68</v>
      </c>
      <c r="D337" s="47" t="s">
        <v>730</v>
      </c>
      <c r="E337" s="45">
        <v>1.39E-3</v>
      </c>
      <c r="F337" s="43">
        <v>161.92878730000001</v>
      </c>
      <c r="G337" s="43">
        <f t="shared" si="4"/>
        <v>150800.94586857929</v>
      </c>
    </row>
    <row r="338" spans="1:7" x14ac:dyDescent="0.4">
      <c r="A338" s="43">
        <v>317</v>
      </c>
      <c r="B338" s="43" t="s">
        <v>825</v>
      </c>
      <c r="C338" s="43">
        <v>68</v>
      </c>
      <c r="D338" s="47" t="s">
        <v>730</v>
      </c>
      <c r="E338" s="45">
        <v>1.6E-2</v>
      </c>
      <c r="F338" s="43">
        <v>163.92920770000001</v>
      </c>
      <c r="G338" s="43">
        <f t="shared" si="4"/>
        <v>152664.3254686569</v>
      </c>
    </row>
    <row r="339" spans="1:7" x14ac:dyDescent="0.4">
      <c r="A339" s="43">
        <v>318</v>
      </c>
      <c r="B339" s="54" t="s">
        <v>637</v>
      </c>
      <c r="C339" s="43">
        <v>68</v>
      </c>
      <c r="D339" s="47" t="s">
        <v>730</v>
      </c>
      <c r="E339" s="45">
        <v>0.33500000000000002</v>
      </c>
      <c r="F339" s="43">
        <v>165.93030110000001</v>
      </c>
      <c r="G339" s="43">
        <f t="shared" si="4"/>
        <v>154528.33196419649</v>
      </c>
    </row>
    <row r="340" spans="1:7" x14ac:dyDescent="0.4">
      <c r="A340" s="43">
        <v>319</v>
      </c>
      <c r="B340" s="43" t="s">
        <v>638</v>
      </c>
      <c r="C340" s="43">
        <v>68</v>
      </c>
      <c r="D340" s="47" t="s">
        <v>730</v>
      </c>
      <c r="E340" s="45">
        <v>0.22900000000000001</v>
      </c>
      <c r="F340" s="43">
        <v>166.93205620000001</v>
      </c>
      <c r="G340" s="43">
        <f t="shared" si="4"/>
        <v>155461.46082931588</v>
      </c>
    </row>
    <row r="341" spans="1:7" x14ac:dyDescent="0.4">
      <c r="A341" s="43">
        <v>320</v>
      </c>
      <c r="B341" s="43" t="s">
        <v>639</v>
      </c>
      <c r="C341" s="43">
        <v>68</v>
      </c>
      <c r="D341" s="47" t="s">
        <v>730</v>
      </c>
      <c r="E341" s="45">
        <v>0.27</v>
      </c>
      <c r="F341" s="43">
        <v>167.93237020000001</v>
      </c>
      <c r="G341" s="43">
        <f t="shared" ref="G341:G404" si="5">F341*amu-C341*m_e</f>
        <v>156393.24731843191</v>
      </c>
    </row>
    <row r="342" spans="1:7" x14ac:dyDescent="0.4">
      <c r="A342" s="43">
        <v>321</v>
      </c>
      <c r="B342" s="43" t="s">
        <v>640</v>
      </c>
      <c r="C342" s="43">
        <v>68</v>
      </c>
      <c r="D342" s="47" t="s">
        <v>730</v>
      </c>
      <c r="E342" s="45">
        <v>0.14899999999999999</v>
      </c>
      <c r="F342" s="43">
        <v>169.93547190000001</v>
      </c>
      <c r="G342" s="43">
        <f t="shared" si="5"/>
        <v>158259.12453337171</v>
      </c>
    </row>
    <row r="343" spans="1:7" x14ac:dyDescent="0.4">
      <c r="A343" s="42">
        <v>322</v>
      </c>
      <c r="B343" s="42" t="s">
        <v>827</v>
      </c>
      <c r="C343" s="42">
        <v>69</v>
      </c>
      <c r="D343" s="46">
        <v>0.25490000000000002</v>
      </c>
      <c r="E343" s="44">
        <v>0</v>
      </c>
      <c r="F343" s="42">
        <v>167.9341785</v>
      </c>
      <c r="G343" s="42">
        <f t="shared" si="5"/>
        <v>156394.4207400814</v>
      </c>
    </row>
    <row r="344" spans="1:7" x14ac:dyDescent="0.4">
      <c r="A344" s="42">
        <v>323</v>
      </c>
      <c r="B344" s="49" t="s">
        <v>641</v>
      </c>
      <c r="C344" s="42">
        <v>69</v>
      </c>
      <c r="D344" s="46" t="s">
        <v>730</v>
      </c>
      <c r="E344" s="44">
        <v>1</v>
      </c>
      <c r="F344" s="42">
        <v>168.93421896000001</v>
      </c>
      <c r="G344" s="42">
        <f t="shared" si="5"/>
        <v>157325.95242832866</v>
      </c>
    </row>
    <row r="345" spans="1:7" x14ac:dyDescent="0.4">
      <c r="A345" s="42">
        <v>324</v>
      </c>
      <c r="B345" s="42" t="s">
        <v>828</v>
      </c>
      <c r="C345" s="42">
        <v>69</v>
      </c>
      <c r="D345" s="46">
        <v>0.35210000000000002</v>
      </c>
      <c r="E345" s="44">
        <v>0</v>
      </c>
      <c r="F345" s="42">
        <v>169.93580709</v>
      </c>
      <c r="G345" s="42">
        <f t="shared" si="5"/>
        <v>158258.92576189485</v>
      </c>
    </row>
    <row r="346" spans="1:7" x14ac:dyDescent="0.4">
      <c r="A346" s="42">
        <v>325</v>
      </c>
      <c r="B346" s="42" t="s">
        <v>829</v>
      </c>
      <c r="C346" s="42">
        <v>69</v>
      </c>
      <c r="D346" s="46">
        <v>1.92</v>
      </c>
      <c r="E346" s="44">
        <v>0</v>
      </c>
      <c r="F346" s="42">
        <v>170.93643520000001</v>
      </c>
      <c r="G346" s="42">
        <f t="shared" si="5"/>
        <v>159191.00484259121</v>
      </c>
    </row>
    <row r="347" spans="1:7" x14ac:dyDescent="0.4">
      <c r="A347" s="43">
        <v>326</v>
      </c>
      <c r="B347" s="43" t="s">
        <v>642</v>
      </c>
      <c r="C347" s="43">
        <v>70</v>
      </c>
      <c r="D347" s="47" t="s">
        <v>730</v>
      </c>
      <c r="E347" s="45">
        <v>1.2600000000000001E-3</v>
      </c>
      <c r="F347" s="43">
        <v>167.9338913</v>
      </c>
      <c r="G347" s="43">
        <f t="shared" si="5"/>
        <v>156393.64221605391</v>
      </c>
    </row>
    <row r="348" spans="1:7" x14ac:dyDescent="0.4">
      <c r="A348" s="43">
        <v>327</v>
      </c>
      <c r="B348" s="43" t="s">
        <v>643</v>
      </c>
      <c r="C348" s="43">
        <v>70</v>
      </c>
      <c r="D348" s="47" t="s">
        <v>730</v>
      </c>
      <c r="E348" s="45">
        <v>3.0200000000000001E-2</v>
      </c>
      <c r="F348" s="43">
        <v>169.93476724300001</v>
      </c>
      <c r="G348" s="43">
        <f t="shared" si="5"/>
        <v>158257.44615170275</v>
      </c>
    </row>
    <row r="349" spans="1:7" x14ac:dyDescent="0.4">
      <c r="A349" s="43">
        <v>328</v>
      </c>
      <c r="B349" s="43" t="s">
        <v>644</v>
      </c>
      <c r="C349" s="43">
        <v>70</v>
      </c>
      <c r="D349" s="47" t="s">
        <v>730</v>
      </c>
      <c r="E349" s="45">
        <v>0.14199999999999999</v>
      </c>
      <c r="F349" s="43">
        <v>170.93633151500001</v>
      </c>
      <c r="G349" s="43">
        <f t="shared" si="5"/>
        <v>159190.39726168514</v>
      </c>
    </row>
    <row r="350" spans="1:7" x14ac:dyDescent="0.4">
      <c r="A350" s="43">
        <v>329</v>
      </c>
      <c r="B350" s="43" t="s">
        <v>645</v>
      </c>
      <c r="C350" s="43">
        <v>70</v>
      </c>
      <c r="D350" s="47" t="s">
        <v>730</v>
      </c>
      <c r="E350" s="45">
        <v>0.218</v>
      </c>
      <c r="F350" s="43">
        <v>171.93638665399999</v>
      </c>
      <c r="G350" s="43">
        <f t="shared" si="5"/>
        <v>160121.94262333278</v>
      </c>
    </row>
    <row r="351" spans="1:7" x14ac:dyDescent="0.4">
      <c r="A351" s="43">
        <v>330</v>
      </c>
      <c r="B351" s="43" t="s">
        <v>646</v>
      </c>
      <c r="C351" s="43">
        <v>70</v>
      </c>
      <c r="D351" s="47" t="s">
        <v>730</v>
      </c>
      <c r="E351" s="45">
        <v>0.161</v>
      </c>
      <c r="F351" s="43">
        <v>172.93821621199999</v>
      </c>
      <c r="G351" s="43">
        <f t="shared" si="5"/>
        <v>161055.14084563241</v>
      </c>
    </row>
    <row r="352" spans="1:7" x14ac:dyDescent="0.4">
      <c r="A352" s="43">
        <v>331</v>
      </c>
      <c r="B352" s="54" t="s">
        <v>647</v>
      </c>
      <c r="C352" s="43">
        <v>70</v>
      </c>
      <c r="D352" s="47" t="s">
        <v>730</v>
      </c>
      <c r="E352" s="45">
        <v>0.31900000000000001</v>
      </c>
      <c r="F352" s="43">
        <v>173.93886209999999</v>
      </c>
      <c r="G352" s="43">
        <f t="shared" si="5"/>
        <v>161987.23648642912</v>
      </c>
    </row>
    <row r="353" spans="1:7" x14ac:dyDescent="0.4">
      <c r="A353" s="43">
        <v>332</v>
      </c>
      <c r="B353" s="43" t="s">
        <v>648</v>
      </c>
      <c r="C353" s="43">
        <v>70</v>
      </c>
      <c r="D353" s="47" t="s">
        <v>730</v>
      </c>
      <c r="E353" s="45">
        <v>0.129</v>
      </c>
      <c r="F353" s="43">
        <v>175.9425717</v>
      </c>
      <c r="G353" s="43">
        <f t="shared" si="5"/>
        <v>163853.67995657152</v>
      </c>
    </row>
    <row r="354" spans="1:7" x14ac:dyDescent="0.4">
      <c r="A354" s="42">
        <v>333</v>
      </c>
      <c r="B354" s="42" t="s">
        <v>830</v>
      </c>
      <c r="C354" s="42">
        <v>71</v>
      </c>
      <c r="D354" s="46">
        <v>1.37</v>
      </c>
      <c r="E354" s="44">
        <v>0</v>
      </c>
      <c r="F354" s="42">
        <v>172.9389357</v>
      </c>
      <c r="G354" s="42">
        <f t="shared" si="5"/>
        <v>161055.30004543683</v>
      </c>
    </row>
    <row r="355" spans="1:7" x14ac:dyDescent="0.4">
      <c r="A355" s="42">
        <v>334</v>
      </c>
      <c r="B355" s="42" t="s">
        <v>831</v>
      </c>
      <c r="C355" s="42">
        <v>71</v>
      </c>
      <c r="D355" s="46">
        <v>3.31</v>
      </c>
      <c r="E355" s="44">
        <v>0</v>
      </c>
      <c r="F355" s="42">
        <v>173.9403428</v>
      </c>
      <c r="G355" s="42">
        <f t="shared" si="5"/>
        <v>161988.10475064421</v>
      </c>
    </row>
    <row r="356" spans="1:7" x14ac:dyDescent="0.4">
      <c r="A356" s="42">
        <v>335</v>
      </c>
      <c r="B356" s="49" t="s">
        <v>649</v>
      </c>
      <c r="C356" s="42">
        <v>71</v>
      </c>
      <c r="D356" s="46" t="s">
        <v>730</v>
      </c>
      <c r="E356" s="44">
        <v>0.97399999999999998</v>
      </c>
      <c r="F356" s="42">
        <v>174.94077720000001</v>
      </c>
      <c r="G356" s="42">
        <f t="shared" si="5"/>
        <v>162920.00339163785</v>
      </c>
    </row>
    <row r="357" spans="1:7" x14ac:dyDescent="0.4">
      <c r="A357" s="42">
        <v>336</v>
      </c>
      <c r="B357" s="42" t="s">
        <v>650</v>
      </c>
      <c r="C357" s="42">
        <v>71</v>
      </c>
      <c r="D357" s="46">
        <v>37010000000</v>
      </c>
      <c r="E357" s="44">
        <v>2.5999999999999999E-2</v>
      </c>
      <c r="F357" s="42">
        <v>175.94269170000001</v>
      </c>
      <c r="G357" s="42">
        <f t="shared" si="5"/>
        <v>163853.28073690084</v>
      </c>
    </row>
    <row r="358" spans="1:7" x14ac:dyDescent="0.4">
      <c r="A358" s="43">
        <v>337</v>
      </c>
      <c r="B358" s="43" t="s">
        <v>832</v>
      </c>
      <c r="C358" s="43">
        <v>72</v>
      </c>
      <c r="D358" s="47">
        <v>1.87</v>
      </c>
      <c r="E358" s="45">
        <v>0</v>
      </c>
      <c r="F358" s="43">
        <v>171.93944999999999</v>
      </c>
      <c r="G358" s="43">
        <f t="shared" si="5"/>
        <v>160123.77411385032</v>
      </c>
    </row>
    <row r="359" spans="1:7" x14ac:dyDescent="0.4">
      <c r="A359" s="43">
        <v>338</v>
      </c>
      <c r="B359" s="43" t="s">
        <v>651</v>
      </c>
      <c r="C359" s="43">
        <v>72</v>
      </c>
      <c r="D359" s="47">
        <v>3.8E+16</v>
      </c>
      <c r="E359" s="45">
        <v>1.6000000000000001E-3</v>
      </c>
      <c r="F359" s="43">
        <v>173.94004839999999</v>
      </c>
      <c r="G359" s="43">
        <f t="shared" si="5"/>
        <v>161987.31951985991</v>
      </c>
    </row>
    <row r="360" spans="1:7" x14ac:dyDescent="0.4">
      <c r="A360" s="43">
        <v>339</v>
      </c>
      <c r="B360" s="43" t="s">
        <v>833</v>
      </c>
      <c r="C360" s="43">
        <v>72</v>
      </c>
      <c r="D360" s="47">
        <v>0.19109999999999999</v>
      </c>
      <c r="E360" s="45">
        <v>0</v>
      </c>
      <c r="F360" s="43">
        <v>174.9415114</v>
      </c>
      <c r="G360" s="43">
        <f t="shared" si="5"/>
        <v>162920.17629558191</v>
      </c>
    </row>
    <row r="361" spans="1:7" x14ac:dyDescent="0.4">
      <c r="A361" s="43">
        <v>340</v>
      </c>
      <c r="B361" s="43" t="s">
        <v>652</v>
      </c>
      <c r="C361" s="43">
        <v>72</v>
      </c>
      <c r="D361" s="47" t="s">
        <v>730</v>
      </c>
      <c r="E361" s="45">
        <v>5.2600000000000001E-2</v>
      </c>
      <c r="F361" s="43">
        <v>175.94140859999999</v>
      </c>
      <c r="G361" s="43">
        <f t="shared" si="5"/>
        <v>163851.57453799873</v>
      </c>
    </row>
    <row r="362" spans="1:7" x14ac:dyDescent="0.4">
      <c r="A362" s="43">
        <v>341</v>
      </c>
      <c r="B362" s="43" t="s">
        <v>653</v>
      </c>
      <c r="C362" s="43">
        <v>72</v>
      </c>
      <c r="D362" s="47" t="s">
        <v>730</v>
      </c>
      <c r="E362" s="45">
        <v>0.186</v>
      </c>
      <c r="F362" s="43">
        <v>176.94322070000001</v>
      </c>
      <c r="G362" s="43">
        <f t="shared" si="5"/>
        <v>164784.75649827614</v>
      </c>
    </row>
    <row r="363" spans="1:7" x14ac:dyDescent="0.4">
      <c r="A363" s="43">
        <v>342</v>
      </c>
      <c r="B363" s="43" t="s">
        <v>1532</v>
      </c>
      <c r="C363" s="43">
        <v>72</v>
      </c>
      <c r="D363" s="47" t="s">
        <v>730</v>
      </c>
      <c r="E363" s="45">
        <v>0.27300000000000002</v>
      </c>
      <c r="F363" s="43">
        <v>177.94369879999999</v>
      </c>
      <c r="G363" s="43">
        <f t="shared" si="5"/>
        <v>165716.69584555752</v>
      </c>
    </row>
    <row r="364" spans="1:7" x14ac:dyDescent="0.4">
      <c r="A364" s="43">
        <v>343</v>
      </c>
      <c r="B364" s="43" t="s">
        <v>654</v>
      </c>
      <c r="C364" s="43">
        <v>72</v>
      </c>
      <c r="D364" s="47" t="s">
        <v>730</v>
      </c>
      <c r="E364" s="45">
        <v>0.13600000000000001</v>
      </c>
      <c r="F364" s="43">
        <v>178.9458161</v>
      </c>
      <c r="G364" s="43">
        <f t="shared" si="5"/>
        <v>166650.16209780372</v>
      </c>
    </row>
    <row r="365" spans="1:7" x14ac:dyDescent="0.4">
      <c r="A365" s="43">
        <v>344</v>
      </c>
      <c r="B365" s="54" t="s">
        <v>655</v>
      </c>
      <c r="C365" s="43">
        <v>72</v>
      </c>
      <c r="D365" s="47" t="s">
        <v>730</v>
      </c>
      <c r="E365" s="45">
        <v>0.35099999999999998</v>
      </c>
      <c r="F365" s="43">
        <v>179.94655</v>
      </c>
      <c r="G365" s="43">
        <f t="shared" si="5"/>
        <v>167582.33972125035</v>
      </c>
    </row>
    <row r="366" spans="1:7" x14ac:dyDescent="0.4">
      <c r="A366" s="43">
        <v>345</v>
      </c>
      <c r="B366" s="43" t="s">
        <v>656</v>
      </c>
      <c r="C366" s="43">
        <v>72</v>
      </c>
      <c r="D366" s="47">
        <v>8900000</v>
      </c>
      <c r="E366" s="45">
        <v>0</v>
      </c>
      <c r="F366" s="43">
        <v>181.9505637</v>
      </c>
      <c r="G366" s="43">
        <f t="shared" si="5"/>
        <v>169449.06645871812</v>
      </c>
    </row>
    <row r="367" spans="1:7" x14ac:dyDescent="0.4">
      <c r="A367" s="42">
        <v>346</v>
      </c>
      <c r="B367" s="42" t="s">
        <v>835</v>
      </c>
      <c r="C367" s="42">
        <v>73</v>
      </c>
      <c r="D367" s="46">
        <v>1.82</v>
      </c>
      <c r="E367" s="44">
        <v>0</v>
      </c>
      <c r="F367" s="42">
        <v>178.9459391</v>
      </c>
      <c r="G367" s="42">
        <f t="shared" si="5"/>
        <v>166649.76567261506</v>
      </c>
    </row>
    <row r="368" spans="1:7" x14ac:dyDescent="0.4">
      <c r="A368" s="42">
        <v>347</v>
      </c>
      <c r="B368" s="42" t="s">
        <v>834</v>
      </c>
      <c r="C368" s="42">
        <v>73</v>
      </c>
      <c r="D368" s="46" t="s">
        <v>730</v>
      </c>
      <c r="E368" s="44">
        <v>1.2E-4</v>
      </c>
      <c r="F368" s="42">
        <v>179.94746760000001</v>
      </c>
      <c r="G368" s="42">
        <f t="shared" si="5"/>
        <v>167582.68346119404</v>
      </c>
    </row>
    <row r="369" spans="1:7" x14ac:dyDescent="0.4">
      <c r="A369" s="42">
        <v>348</v>
      </c>
      <c r="B369" s="49" t="s">
        <v>657</v>
      </c>
      <c r="C369" s="42">
        <v>73</v>
      </c>
      <c r="D369" s="46" t="s">
        <v>730</v>
      </c>
      <c r="E369" s="44">
        <v>0.99987999999999999</v>
      </c>
      <c r="F369" s="42">
        <v>180.94799850000001</v>
      </c>
      <c r="G369" s="42">
        <f t="shared" si="5"/>
        <v>168514.67199135866</v>
      </c>
    </row>
    <row r="370" spans="1:7" x14ac:dyDescent="0.4">
      <c r="A370" s="42">
        <v>349</v>
      </c>
      <c r="B370" s="42" t="s">
        <v>836</v>
      </c>
      <c r="C370" s="42">
        <v>73</v>
      </c>
      <c r="D370" s="46">
        <v>0.31409999999999999</v>
      </c>
      <c r="E370" s="44">
        <v>0</v>
      </c>
      <c r="F370" s="42">
        <v>181.95015459999999</v>
      </c>
      <c r="G370" s="42">
        <f t="shared" si="5"/>
        <v>169448.17438557203</v>
      </c>
    </row>
    <row r="371" spans="1:7" x14ac:dyDescent="0.4">
      <c r="A371" s="43">
        <v>350</v>
      </c>
      <c r="B371" s="43" t="s">
        <v>658</v>
      </c>
      <c r="C371" s="43">
        <v>74</v>
      </c>
      <c r="D371" s="47">
        <v>1.59E+18</v>
      </c>
      <c r="E371" s="45">
        <v>1.1999999999999999E-3</v>
      </c>
      <c r="F371" s="43">
        <v>179.9467133</v>
      </c>
      <c r="G371" s="43">
        <f t="shared" si="5"/>
        <v>167581.46983631916</v>
      </c>
    </row>
    <row r="372" spans="1:7" x14ac:dyDescent="0.4">
      <c r="A372" s="43">
        <v>351</v>
      </c>
      <c r="B372" s="43" t="s">
        <v>659</v>
      </c>
      <c r="C372" s="43">
        <v>74</v>
      </c>
      <c r="D372" s="47">
        <v>0.33119999999999999</v>
      </c>
      <c r="E372" s="45">
        <v>0</v>
      </c>
      <c r="F372" s="43">
        <v>180.94821870000001</v>
      </c>
      <c r="G372" s="43">
        <f t="shared" si="5"/>
        <v>168514.36610738677</v>
      </c>
    </row>
    <row r="373" spans="1:7" x14ac:dyDescent="0.4">
      <c r="A373" s="43">
        <v>352</v>
      </c>
      <c r="B373" s="43" t="s">
        <v>660</v>
      </c>
      <c r="C373" s="43">
        <v>74</v>
      </c>
      <c r="D373" s="47" t="s">
        <v>730</v>
      </c>
      <c r="E373" s="45">
        <v>0.26500000000000001</v>
      </c>
      <c r="F373" s="43">
        <v>181.94820564</v>
      </c>
      <c r="G373" s="43">
        <f t="shared" si="5"/>
        <v>169445.84794207511</v>
      </c>
    </row>
    <row r="374" spans="1:7" x14ac:dyDescent="0.4">
      <c r="A374" s="43">
        <v>353</v>
      </c>
      <c r="B374" s="43" t="s">
        <v>661</v>
      </c>
      <c r="C374" s="43">
        <v>74</v>
      </c>
      <c r="D374" s="47" t="s">
        <v>730</v>
      </c>
      <c r="E374" s="45">
        <v>0.14299999999999999</v>
      </c>
      <c r="F374" s="43">
        <v>182.95022442000001</v>
      </c>
      <c r="G374" s="43">
        <f t="shared" si="5"/>
        <v>170379.22242353245</v>
      </c>
    </row>
    <row r="375" spans="1:7" x14ac:dyDescent="0.4">
      <c r="A375" s="43">
        <v>354</v>
      </c>
      <c r="B375" s="54" t="s">
        <v>662</v>
      </c>
      <c r="C375" s="43">
        <v>74</v>
      </c>
      <c r="D375" s="47" t="s">
        <v>730</v>
      </c>
      <c r="E375" s="45" t="s">
        <v>838</v>
      </c>
      <c r="F375" s="43">
        <v>183.95093120000001</v>
      </c>
      <c r="G375" s="43">
        <f t="shared" si="5"/>
        <v>171311.37478486178</v>
      </c>
    </row>
    <row r="376" spans="1:7" x14ac:dyDescent="0.4">
      <c r="A376" s="43">
        <v>355</v>
      </c>
      <c r="B376" s="43" t="s">
        <v>663</v>
      </c>
      <c r="C376" s="43">
        <v>74</v>
      </c>
      <c r="D376" s="47">
        <v>0.2056</v>
      </c>
      <c r="E376" s="45">
        <v>0</v>
      </c>
      <c r="F376" s="43">
        <v>184.95342120999999</v>
      </c>
      <c r="G376" s="43">
        <f t="shared" si="5"/>
        <v>172245.1882142367</v>
      </c>
    </row>
    <row r="377" spans="1:7" x14ac:dyDescent="0.4">
      <c r="A377" s="43">
        <v>356</v>
      </c>
      <c r="B377" s="43" t="s">
        <v>664</v>
      </c>
      <c r="C377" s="43">
        <v>74</v>
      </c>
      <c r="D377" s="47" t="s">
        <v>730</v>
      </c>
      <c r="E377" s="45" t="s">
        <v>839</v>
      </c>
      <c r="F377" s="43">
        <v>185.95436509999999</v>
      </c>
      <c r="G377" s="43">
        <f t="shared" si="5"/>
        <v>173177.56144210833</v>
      </c>
    </row>
    <row r="378" spans="1:7" x14ac:dyDescent="0.4">
      <c r="A378" s="43">
        <v>357</v>
      </c>
      <c r="B378" s="43" t="s">
        <v>837</v>
      </c>
      <c r="C378" s="43">
        <v>74</v>
      </c>
      <c r="D378" s="47">
        <v>0.191</v>
      </c>
      <c r="E378" s="45">
        <v>0</v>
      </c>
      <c r="F378" s="43">
        <v>187.9584883</v>
      </c>
      <c r="G378" s="43">
        <f t="shared" si="5"/>
        <v>175044.39017816915</v>
      </c>
    </row>
    <row r="379" spans="1:7" x14ac:dyDescent="0.4">
      <c r="A379" s="42">
        <v>358</v>
      </c>
      <c r="B379" s="42" t="s">
        <v>840</v>
      </c>
      <c r="C379" s="42">
        <v>75</v>
      </c>
      <c r="D379" s="46">
        <v>0.19159999999999999</v>
      </c>
      <c r="E379" s="44">
        <v>0</v>
      </c>
      <c r="F379" s="42">
        <v>182.9508213</v>
      </c>
      <c r="G379" s="42">
        <f t="shared" si="5"/>
        <v>170379.26741472047</v>
      </c>
    </row>
    <row r="380" spans="1:7" x14ac:dyDescent="0.4">
      <c r="A380" s="42">
        <v>359</v>
      </c>
      <c r="B380" s="49" t="s">
        <v>665</v>
      </c>
      <c r="C380" s="42">
        <v>75</v>
      </c>
      <c r="D380" s="46" t="s">
        <v>730</v>
      </c>
      <c r="E380" s="44">
        <v>0.374</v>
      </c>
      <c r="F380" s="42">
        <v>184.952955</v>
      </c>
      <c r="G380" s="42">
        <f t="shared" si="5"/>
        <v>172244.24294346827</v>
      </c>
    </row>
    <row r="381" spans="1:7" x14ac:dyDescent="0.4">
      <c r="A381" s="42">
        <v>360</v>
      </c>
      <c r="B381" s="42" t="s">
        <v>666</v>
      </c>
      <c r="C381" s="42">
        <v>75</v>
      </c>
      <c r="D381" s="46">
        <v>41600000000</v>
      </c>
      <c r="E381" s="44">
        <v>0.626</v>
      </c>
      <c r="F381" s="42">
        <v>186.95575310000001</v>
      </c>
      <c r="G381" s="42">
        <f t="shared" si="5"/>
        <v>174109.83735682967</v>
      </c>
    </row>
    <row r="382" spans="1:7" x14ac:dyDescent="0.4">
      <c r="A382" s="43">
        <v>361</v>
      </c>
      <c r="B382" s="43" t="s">
        <v>667</v>
      </c>
      <c r="C382" s="43">
        <v>76</v>
      </c>
      <c r="D382" s="47">
        <v>11200000000000</v>
      </c>
      <c r="E382" s="45">
        <v>2.0000000000000001E-4</v>
      </c>
      <c r="F382" s="43">
        <v>183.95249292</v>
      </c>
      <c r="G382" s="43">
        <f t="shared" si="5"/>
        <v>171311.80751977005</v>
      </c>
    </row>
    <row r="383" spans="1:7" x14ac:dyDescent="0.4">
      <c r="A383" s="43">
        <v>362</v>
      </c>
      <c r="B383" s="43" t="s">
        <v>841</v>
      </c>
      <c r="C383" s="43">
        <v>76</v>
      </c>
      <c r="D383" s="47">
        <v>0.2545</v>
      </c>
      <c r="E383" s="45">
        <v>0</v>
      </c>
      <c r="F383" s="43">
        <v>184.95404597000001</v>
      </c>
      <c r="G383" s="43">
        <f t="shared" si="5"/>
        <v>172244.74817652677</v>
      </c>
    </row>
    <row r="384" spans="1:7" x14ac:dyDescent="0.4">
      <c r="A384" s="43">
        <v>363</v>
      </c>
      <c r="B384" s="43" t="s">
        <v>668</v>
      </c>
      <c r="C384" s="43">
        <v>76</v>
      </c>
      <c r="D384" s="47">
        <v>2000000000000000</v>
      </c>
      <c r="E384" s="45">
        <v>1.5900000000000001E-2</v>
      </c>
      <c r="F384" s="43">
        <v>185.95383756999999</v>
      </c>
      <c r="G384" s="43">
        <f t="shared" si="5"/>
        <v>173176.04805317716</v>
      </c>
    </row>
    <row r="385" spans="1:7" x14ac:dyDescent="0.4">
      <c r="A385" s="43">
        <v>364</v>
      </c>
      <c r="B385" s="43" t="s">
        <v>669</v>
      </c>
      <c r="C385" s="43">
        <v>76</v>
      </c>
      <c r="D385" s="47" t="s">
        <v>730</v>
      </c>
      <c r="E385" s="45">
        <v>1.9599999999999999E-2</v>
      </c>
      <c r="F385" s="43">
        <v>186.95574956999999</v>
      </c>
      <c r="G385" s="43">
        <f t="shared" si="5"/>
        <v>174109.32306970516</v>
      </c>
    </row>
    <row r="386" spans="1:7" x14ac:dyDescent="0.4">
      <c r="A386" s="43">
        <v>365</v>
      </c>
      <c r="B386" s="43" t="s">
        <v>670</v>
      </c>
      <c r="C386" s="43">
        <v>76</v>
      </c>
      <c r="D386" s="47" t="s">
        <v>730</v>
      </c>
      <c r="E386" s="45">
        <v>0.13200000000000001</v>
      </c>
      <c r="F386" s="43">
        <v>187.95583729000001</v>
      </c>
      <c r="G386" s="43">
        <f t="shared" si="5"/>
        <v>175040.89878035884</v>
      </c>
    </row>
    <row r="387" spans="1:7" x14ac:dyDescent="0.4">
      <c r="A387" s="43">
        <v>366</v>
      </c>
      <c r="B387" s="43" t="s">
        <v>671</v>
      </c>
      <c r="C387" s="43">
        <v>76</v>
      </c>
      <c r="D387" s="47" t="s">
        <v>730</v>
      </c>
      <c r="E387" s="45">
        <v>0.161</v>
      </c>
      <c r="F387" s="43">
        <v>188.95814594999999</v>
      </c>
      <c r="G387" s="43">
        <f t="shared" si="5"/>
        <v>175974.54328329687</v>
      </c>
    </row>
    <row r="388" spans="1:7" x14ac:dyDescent="0.4">
      <c r="A388" s="43">
        <v>367</v>
      </c>
      <c r="B388" s="43" t="s">
        <v>672</v>
      </c>
      <c r="C388" s="43">
        <v>76</v>
      </c>
      <c r="D388" s="47" t="s">
        <v>730</v>
      </c>
      <c r="E388" s="45">
        <v>0.26300000000000001</v>
      </c>
      <c r="F388" s="43">
        <v>189.95844543999999</v>
      </c>
      <c r="G388" s="43">
        <f t="shared" si="5"/>
        <v>176906.31625643492</v>
      </c>
    </row>
    <row r="389" spans="1:7" x14ac:dyDescent="0.4">
      <c r="A389" s="43">
        <v>368</v>
      </c>
      <c r="B389" s="54" t="s">
        <v>673</v>
      </c>
      <c r="C389" s="43">
        <v>76</v>
      </c>
      <c r="D389" s="47" t="s">
        <v>730</v>
      </c>
      <c r="E389" s="45">
        <v>0.40799999999999997</v>
      </c>
      <c r="F389" s="43">
        <v>191.96148070000001</v>
      </c>
      <c r="G389" s="43">
        <f t="shared" si="5"/>
        <v>178772.1315829134</v>
      </c>
    </row>
    <row r="390" spans="1:7" x14ac:dyDescent="0.4">
      <c r="A390" s="43">
        <v>369</v>
      </c>
      <c r="B390" s="43" t="s">
        <v>842</v>
      </c>
      <c r="C390" s="43">
        <v>76</v>
      </c>
      <c r="D390" s="47">
        <v>6</v>
      </c>
      <c r="E390" s="45">
        <v>0</v>
      </c>
      <c r="F390" s="43">
        <v>193.96517940000001</v>
      </c>
      <c r="G390" s="43">
        <f t="shared" si="5"/>
        <v>180638.56489977118</v>
      </c>
    </row>
    <row r="391" spans="1:7" x14ac:dyDescent="0.4">
      <c r="A391" s="42">
        <v>370</v>
      </c>
      <c r="B391" s="42" t="s">
        <v>674</v>
      </c>
      <c r="C391" s="42">
        <v>77</v>
      </c>
      <c r="D391" s="46" t="s">
        <v>730</v>
      </c>
      <c r="E391" s="44">
        <v>0.373</v>
      </c>
      <c r="F391" s="42">
        <v>190.96059149999999</v>
      </c>
      <c r="G391" s="42">
        <f t="shared" si="5"/>
        <v>177839.29829949787</v>
      </c>
    </row>
    <row r="392" spans="1:7" x14ac:dyDescent="0.4">
      <c r="A392" s="42">
        <v>371</v>
      </c>
      <c r="B392" s="51" t="s">
        <v>675</v>
      </c>
      <c r="C392" s="42">
        <v>77</v>
      </c>
      <c r="D392" s="46">
        <v>0.2021</v>
      </c>
      <c r="E392" s="44">
        <v>0</v>
      </c>
      <c r="F392" s="42">
        <v>191.962605</v>
      </c>
      <c r="G392" s="42">
        <f t="shared" si="5"/>
        <v>178772.66786266689</v>
      </c>
    </row>
    <row r="393" spans="1:7" x14ac:dyDescent="0.4">
      <c r="A393" s="42">
        <v>372</v>
      </c>
      <c r="B393" s="50" t="s">
        <v>676</v>
      </c>
      <c r="C393" s="42">
        <v>77</v>
      </c>
      <c r="D393" s="46" t="s">
        <v>730</v>
      </c>
      <c r="E393" s="44">
        <v>0.627</v>
      </c>
      <c r="F393" s="42">
        <v>192.96292639999999</v>
      </c>
      <c r="G393" s="42">
        <f t="shared" si="5"/>
        <v>179704.46124483849</v>
      </c>
    </row>
    <row r="394" spans="1:7" x14ac:dyDescent="0.4">
      <c r="A394" s="43">
        <v>373</v>
      </c>
      <c r="B394" s="43" t="s">
        <v>843</v>
      </c>
      <c r="C394" s="43">
        <v>78</v>
      </c>
      <c r="D394" s="47">
        <v>483000000000</v>
      </c>
      <c r="E394" s="45">
        <v>1.2E-4</v>
      </c>
      <c r="F394" s="43">
        <v>189.95994981999999</v>
      </c>
      <c r="G394" s="43">
        <f t="shared" si="5"/>
        <v>176906.69557947727</v>
      </c>
    </row>
    <row r="395" spans="1:7" x14ac:dyDescent="0.4">
      <c r="A395" s="43">
        <v>374</v>
      </c>
      <c r="B395" s="43" t="s">
        <v>677</v>
      </c>
      <c r="C395" s="43">
        <v>78</v>
      </c>
      <c r="D395" s="47" t="s">
        <v>730</v>
      </c>
      <c r="E395" s="45">
        <v>7.8200000000000006E-3</v>
      </c>
      <c r="F395" s="43">
        <v>191.96104270000001</v>
      </c>
      <c r="G395" s="43">
        <f t="shared" si="5"/>
        <v>178770.70159064</v>
      </c>
    </row>
    <row r="396" spans="1:7" x14ac:dyDescent="0.4">
      <c r="A396" s="43">
        <v>375</v>
      </c>
      <c r="B396" s="43" t="s">
        <v>883</v>
      </c>
      <c r="C396" s="43">
        <v>78</v>
      </c>
      <c r="D396" s="47">
        <v>50</v>
      </c>
      <c r="E396" s="45">
        <v>0</v>
      </c>
      <c r="F396" s="43">
        <v>192.9629845</v>
      </c>
      <c r="G396" s="43">
        <f t="shared" si="5"/>
        <v>179704.00436568921</v>
      </c>
    </row>
    <row r="397" spans="1:7" x14ac:dyDescent="0.4">
      <c r="A397" s="43">
        <v>376</v>
      </c>
      <c r="B397" s="43" t="s">
        <v>884</v>
      </c>
      <c r="C397" s="43">
        <v>78</v>
      </c>
      <c r="D397" s="47" t="s">
        <v>730</v>
      </c>
      <c r="E397" s="45">
        <v>0.32900000000000001</v>
      </c>
      <c r="F397" s="43">
        <v>193.96268029999999</v>
      </c>
      <c r="G397" s="43">
        <f t="shared" si="5"/>
        <v>180635.21500521438</v>
      </c>
    </row>
    <row r="398" spans="1:7" x14ac:dyDescent="0.4">
      <c r="A398" s="43">
        <v>377</v>
      </c>
      <c r="B398" s="54" t="s">
        <v>678</v>
      </c>
      <c r="C398" s="43">
        <v>78</v>
      </c>
      <c r="D398" s="47" t="s">
        <v>730</v>
      </c>
      <c r="E398" s="45">
        <v>0.33800000000000002</v>
      </c>
      <c r="F398" s="43">
        <v>194.96479110000001</v>
      </c>
      <c r="G398" s="43">
        <f t="shared" si="5"/>
        <v>181568.67520274961</v>
      </c>
    </row>
    <row r="399" spans="1:7" x14ac:dyDescent="0.4">
      <c r="A399" s="43">
        <v>378</v>
      </c>
      <c r="B399" s="43" t="s">
        <v>679</v>
      </c>
      <c r="C399" s="43">
        <v>78</v>
      </c>
      <c r="D399" s="47" t="s">
        <v>730</v>
      </c>
      <c r="E399" s="45">
        <v>0.252</v>
      </c>
      <c r="F399" s="43">
        <v>195.96495465000001</v>
      </c>
      <c r="G399" s="43">
        <f t="shared" si="5"/>
        <v>182500.32154859332</v>
      </c>
    </row>
    <row r="400" spans="1:7" x14ac:dyDescent="0.4">
      <c r="A400" s="43">
        <v>379</v>
      </c>
      <c r="B400" s="43" t="s">
        <v>680</v>
      </c>
      <c r="C400" s="43">
        <v>78</v>
      </c>
      <c r="D400" s="47" t="s">
        <v>730</v>
      </c>
      <c r="E400" s="45">
        <v>7.3599999999999999E-2</v>
      </c>
      <c r="F400" s="43">
        <v>197.96789670000001</v>
      </c>
      <c r="G400" s="43">
        <f t="shared" si="5"/>
        <v>184366.050050516</v>
      </c>
    </row>
    <row r="401" spans="1:7" x14ac:dyDescent="0.4">
      <c r="A401" s="42">
        <v>380</v>
      </c>
      <c r="B401" s="42" t="s">
        <v>844</v>
      </c>
      <c r="C401" s="42">
        <v>79</v>
      </c>
      <c r="D401" s="46">
        <v>0.50929999999999997</v>
      </c>
      <c r="E401" s="44">
        <v>0</v>
      </c>
      <c r="F401" s="42">
        <v>194.9650378</v>
      </c>
      <c r="G401" s="42">
        <f t="shared" si="5"/>
        <v>181568.39400336871</v>
      </c>
    </row>
    <row r="402" spans="1:7" x14ac:dyDescent="0.4">
      <c r="A402" s="42">
        <v>381</v>
      </c>
      <c r="B402" s="50" t="s">
        <v>875</v>
      </c>
      <c r="C402" s="42">
        <v>79</v>
      </c>
      <c r="D402" s="46" t="s">
        <v>730</v>
      </c>
      <c r="E402" s="44">
        <v>1</v>
      </c>
      <c r="F402" s="42">
        <v>196.96656870000001</v>
      </c>
      <c r="G402" s="42">
        <f t="shared" si="5"/>
        <v>183432.80802753332</v>
      </c>
    </row>
    <row r="403" spans="1:7" x14ac:dyDescent="0.4">
      <c r="A403" s="43">
        <v>382</v>
      </c>
      <c r="B403" s="43" t="s">
        <v>845</v>
      </c>
      <c r="C403" s="43">
        <v>80</v>
      </c>
      <c r="D403" s="47">
        <v>447</v>
      </c>
      <c r="E403" s="45">
        <v>0</v>
      </c>
      <c r="F403" s="43">
        <v>193.96544900000001</v>
      </c>
      <c r="G403" s="43">
        <f t="shared" si="5"/>
        <v>180636.77203475081</v>
      </c>
    </row>
    <row r="404" spans="1:7" x14ac:dyDescent="0.4">
      <c r="A404" s="43">
        <v>383</v>
      </c>
      <c r="B404" s="43" t="s">
        <v>681</v>
      </c>
      <c r="C404" s="43">
        <v>80</v>
      </c>
      <c r="D404" s="47" t="s">
        <v>730</v>
      </c>
      <c r="E404" s="45">
        <v>1.5E-3</v>
      </c>
      <c r="F404" s="43">
        <v>195.965833</v>
      </c>
      <c r="G404" s="43">
        <f t="shared" si="5"/>
        <v>182500.11772844681</v>
      </c>
    </row>
    <row r="405" spans="1:7" x14ac:dyDescent="0.4">
      <c r="A405" s="43">
        <v>384</v>
      </c>
      <c r="B405" s="43" t="s">
        <v>682</v>
      </c>
      <c r="C405" s="43">
        <v>80</v>
      </c>
      <c r="D405" s="47" t="s">
        <v>730</v>
      </c>
      <c r="E405" s="45">
        <v>0.1</v>
      </c>
      <c r="F405" s="43">
        <v>197.966769</v>
      </c>
      <c r="G405" s="43">
        <f t="shared" ref="G405:G468" si="6">F405*amu-C405*m_e</f>
        <v>184363.97760683083</v>
      </c>
    </row>
    <row r="406" spans="1:7" x14ac:dyDescent="0.4">
      <c r="A406" s="43">
        <v>385</v>
      </c>
      <c r="B406" s="43" t="s">
        <v>683</v>
      </c>
      <c r="C406" s="43">
        <v>80</v>
      </c>
      <c r="D406" s="47" t="s">
        <v>730</v>
      </c>
      <c r="E406" s="45">
        <v>0.16900000000000001</v>
      </c>
      <c r="F406" s="43">
        <v>198.9682799</v>
      </c>
      <c r="G406" s="43">
        <f t="shared" si="6"/>
        <v>185296.87900111542</v>
      </c>
    </row>
    <row r="407" spans="1:7" x14ac:dyDescent="0.4">
      <c r="A407" s="43">
        <v>386</v>
      </c>
      <c r="B407" s="43" t="s">
        <v>885</v>
      </c>
      <c r="C407" s="43">
        <v>80</v>
      </c>
      <c r="D407" s="47" t="s">
        <v>730</v>
      </c>
      <c r="E407" s="45">
        <v>0.23100000000000001</v>
      </c>
      <c r="F407" s="43">
        <v>199.96832599999999</v>
      </c>
      <c r="G407" s="43">
        <f t="shared" si="6"/>
        <v>186228.41594298882</v>
      </c>
    </row>
    <row r="408" spans="1:7" x14ac:dyDescent="0.4">
      <c r="A408" s="43">
        <v>387</v>
      </c>
      <c r="B408" s="43" t="s">
        <v>886</v>
      </c>
      <c r="C408" s="43">
        <v>80</v>
      </c>
      <c r="D408" s="47" t="s">
        <v>730</v>
      </c>
      <c r="E408" s="45">
        <v>0.13200000000000001</v>
      </c>
      <c r="F408" s="43">
        <v>200.97030229999999</v>
      </c>
      <c r="G408" s="43">
        <f t="shared" si="6"/>
        <v>187161.75085458101</v>
      </c>
    </row>
    <row r="409" spans="1:7" x14ac:dyDescent="0.4">
      <c r="A409" s="43">
        <v>388</v>
      </c>
      <c r="B409" s="54" t="s">
        <v>684</v>
      </c>
      <c r="C409" s="43">
        <v>80</v>
      </c>
      <c r="D409" s="47" t="s">
        <v>730</v>
      </c>
      <c r="E409" s="45">
        <v>0.29699999999999999</v>
      </c>
      <c r="F409" s="43">
        <v>201.970643</v>
      </c>
      <c r="G409" s="43">
        <f t="shared" si="6"/>
        <v>188093.56221458683</v>
      </c>
    </row>
    <row r="410" spans="1:7" x14ac:dyDescent="0.4">
      <c r="A410" s="43">
        <v>389</v>
      </c>
      <c r="B410" s="43" t="s">
        <v>887</v>
      </c>
      <c r="C410" s="43">
        <v>80</v>
      </c>
      <c r="D410" s="47" t="s">
        <v>730</v>
      </c>
      <c r="E410" s="45">
        <v>6.8199999999999997E-2</v>
      </c>
      <c r="F410" s="43">
        <v>203.97349389999999</v>
      </c>
      <c r="G410" s="43">
        <f t="shared" si="6"/>
        <v>189959.20581083142</v>
      </c>
    </row>
    <row r="411" spans="1:7" x14ac:dyDescent="0.4">
      <c r="A411" s="42">
        <v>390</v>
      </c>
      <c r="B411" s="42" t="s">
        <v>685</v>
      </c>
      <c r="C411" s="42">
        <v>81</v>
      </c>
      <c r="D411" s="46" t="s">
        <v>730</v>
      </c>
      <c r="E411" s="44">
        <v>0.29499999999999998</v>
      </c>
      <c r="F411" s="42">
        <v>202.97234409999999</v>
      </c>
      <c r="G411" s="42">
        <f t="shared" si="6"/>
        <v>189026.1297800795</v>
      </c>
    </row>
    <row r="412" spans="1:7" x14ac:dyDescent="0.4">
      <c r="A412" s="42">
        <v>391</v>
      </c>
      <c r="B412" s="42" t="s">
        <v>846</v>
      </c>
      <c r="C412" s="42">
        <v>81</v>
      </c>
      <c r="D412" s="46">
        <v>3.78</v>
      </c>
      <c r="E412" s="44">
        <v>0</v>
      </c>
      <c r="F412" s="42">
        <v>203.9738634</v>
      </c>
      <c r="G412" s="42">
        <f t="shared" si="6"/>
        <v>189959.03899891369</v>
      </c>
    </row>
    <row r="413" spans="1:7" x14ac:dyDescent="0.4">
      <c r="A413" s="42">
        <v>392</v>
      </c>
      <c r="B413" s="49" t="s">
        <v>686</v>
      </c>
      <c r="C413" s="42">
        <v>81</v>
      </c>
      <c r="D413" s="46" t="s">
        <v>730</v>
      </c>
      <c r="E413" s="44">
        <v>0.70499999999999996</v>
      </c>
      <c r="F413" s="42">
        <v>204.9744273</v>
      </c>
      <c r="G413" s="42">
        <f t="shared" si="6"/>
        <v>190891.05826838029</v>
      </c>
    </row>
    <row r="414" spans="1:7" x14ac:dyDescent="0.4">
      <c r="A414" s="43">
        <v>393</v>
      </c>
      <c r="B414" s="43" t="s">
        <v>847</v>
      </c>
      <c r="C414" s="43">
        <v>82</v>
      </c>
      <c r="D414" s="47">
        <v>52500</v>
      </c>
      <c r="E414" s="45">
        <v>0</v>
      </c>
      <c r="F414" s="43"/>
      <c r="G414" s="43">
        <f t="shared" si="6"/>
        <v>-41.901913956580003</v>
      </c>
    </row>
    <row r="415" spans="1:7" x14ac:dyDescent="0.4">
      <c r="A415" s="43">
        <v>394</v>
      </c>
      <c r="B415" s="43" t="s">
        <v>687</v>
      </c>
      <c r="C415" s="43">
        <v>82</v>
      </c>
      <c r="D415" s="47" t="s">
        <v>730</v>
      </c>
      <c r="E415" s="45">
        <v>1.4E-2</v>
      </c>
      <c r="F415" s="43">
        <v>203.97304360000001</v>
      </c>
      <c r="G415" s="43">
        <f t="shared" si="6"/>
        <v>189957.76436118182</v>
      </c>
    </row>
    <row r="416" spans="1:7" x14ac:dyDescent="0.4">
      <c r="A416" s="43">
        <v>395</v>
      </c>
      <c r="B416" s="43" t="s">
        <v>848</v>
      </c>
      <c r="C416" s="43">
        <v>82</v>
      </c>
      <c r="D416" s="47">
        <v>17000000</v>
      </c>
      <c r="E416" s="45">
        <v>0</v>
      </c>
      <c r="F416" s="43"/>
      <c r="G416" s="43">
        <f t="shared" si="6"/>
        <v>-41.901913956580003</v>
      </c>
    </row>
    <row r="417" spans="1:7" x14ac:dyDescent="0.4">
      <c r="A417" s="43">
        <v>396</v>
      </c>
      <c r="B417" s="43" t="s">
        <v>688</v>
      </c>
      <c r="C417" s="43">
        <v>82</v>
      </c>
      <c r="D417" s="47" t="s">
        <v>730</v>
      </c>
      <c r="E417" s="45">
        <v>0.24099999999999999</v>
      </c>
      <c r="F417" s="43">
        <v>205.97446529999999</v>
      </c>
      <c r="G417" s="43">
        <f t="shared" si="6"/>
        <v>191822.07666620161</v>
      </c>
    </row>
    <row r="418" spans="1:7" x14ac:dyDescent="0.4">
      <c r="A418" s="43">
        <v>397</v>
      </c>
      <c r="B418" s="43" t="s">
        <v>689</v>
      </c>
      <c r="C418" s="43">
        <v>82</v>
      </c>
      <c r="D418" s="47" t="s">
        <v>730</v>
      </c>
      <c r="E418" s="45">
        <v>0.221</v>
      </c>
      <c r="F418" s="43">
        <v>206.97589690000001</v>
      </c>
      <c r="G418" s="43">
        <f t="shared" si="6"/>
        <v>192754.90419301201</v>
      </c>
    </row>
    <row r="419" spans="1:7" x14ac:dyDescent="0.4">
      <c r="A419" s="43">
        <v>398</v>
      </c>
      <c r="B419" s="54" t="s">
        <v>690</v>
      </c>
      <c r="C419" s="43">
        <v>82</v>
      </c>
      <c r="D419" s="47" t="s">
        <v>730</v>
      </c>
      <c r="E419" s="45">
        <v>0.52400000000000002</v>
      </c>
      <c r="F419" s="43">
        <v>207.9766521</v>
      </c>
      <c r="G419" s="43">
        <f t="shared" si="6"/>
        <v>193687.10165728081</v>
      </c>
    </row>
    <row r="420" spans="1:7" x14ac:dyDescent="0.4">
      <c r="A420" s="43">
        <v>399</v>
      </c>
      <c r="B420" s="43" t="s">
        <v>691</v>
      </c>
      <c r="C420" s="43">
        <v>82</v>
      </c>
      <c r="D420" s="47">
        <v>22.2</v>
      </c>
      <c r="E420" s="45">
        <v>0</v>
      </c>
      <c r="F420" s="43">
        <v>209.98418849999999</v>
      </c>
      <c r="G420" s="43">
        <f t="shared" si="6"/>
        <v>195557.1097686624</v>
      </c>
    </row>
    <row r="421" spans="1:7" x14ac:dyDescent="0.4">
      <c r="A421" s="42">
        <v>400</v>
      </c>
      <c r="B421" s="42" t="s">
        <v>849</v>
      </c>
      <c r="C421" s="42">
        <v>83</v>
      </c>
      <c r="D421" s="46">
        <v>31.22</v>
      </c>
      <c r="E421" s="44">
        <v>0</v>
      </c>
      <c r="F421" s="42">
        <v>206.97847060000001</v>
      </c>
      <c r="G421" s="42">
        <f t="shared" si="6"/>
        <v>192756.79058016912</v>
      </c>
    </row>
    <row r="422" spans="1:7" x14ac:dyDescent="0.4">
      <c r="A422" s="42">
        <v>401</v>
      </c>
      <c r="B422" s="42" t="s">
        <v>850</v>
      </c>
      <c r="C422" s="42">
        <v>83</v>
      </c>
      <c r="D422" s="46">
        <v>368000</v>
      </c>
      <c r="E422" s="44">
        <v>0</v>
      </c>
      <c r="F422" s="42">
        <v>207.97974210000001</v>
      </c>
      <c r="G422" s="42">
        <f t="shared" si="6"/>
        <v>193689.46897479013</v>
      </c>
    </row>
    <row r="423" spans="1:7" x14ac:dyDescent="0.4">
      <c r="A423" s="42">
        <v>402</v>
      </c>
      <c r="B423" s="50" t="s">
        <v>692</v>
      </c>
      <c r="C423" s="42">
        <v>83</v>
      </c>
      <c r="D423" s="46">
        <v>2.01E+19</v>
      </c>
      <c r="E423" s="44">
        <v>1</v>
      </c>
      <c r="F423" s="42">
        <v>208.98039869999999</v>
      </c>
      <c r="G423" s="42">
        <f t="shared" si="6"/>
        <v>194621.57459375053</v>
      </c>
    </row>
    <row r="424" spans="1:7" x14ac:dyDescent="0.4">
      <c r="A424" s="43">
        <v>403</v>
      </c>
      <c r="B424" s="43" t="s">
        <v>851</v>
      </c>
      <c r="C424" s="43">
        <v>84</v>
      </c>
      <c r="D424" s="47">
        <v>2.8980000000000001</v>
      </c>
      <c r="E424" s="45">
        <v>0</v>
      </c>
      <c r="F424" s="43">
        <v>207.981246</v>
      </c>
      <c r="G424" s="43">
        <f t="shared" si="6"/>
        <v>193690.35884966602</v>
      </c>
    </row>
    <row r="425" spans="1:7" x14ac:dyDescent="0.4">
      <c r="A425" s="43">
        <v>404</v>
      </c>
      <c r="B425" s="43" t="s">
        <v>693</v>
      </c>
      <c r="C425" s="43">
        <v>84</v>
      </c>
      <c r="D425" s="47">
        <v>124</v>
      </c>
      <c r="E425" s="45">
        <v>0</v>
      </c>
      <c r="F425" s="43">
        <v>208.9824304</v>
      </c>
      <c r="G425" s="43">
        <f t="shared" si="6"/>
        <v>194622.95611115964</v>
      </c>
    </row>
    <row r="426" spans="1:7" x14ac:dyDescent="0.4">
      <c r="A426" s="43">
        <v>405</v>
      </c>
      <c r="B426" s="52" t="s">
        <v>694</v>
      </c>
      <c r="C426" s="43">
        <v>84</v>
      </c>
      <c r="D426" s="47">
        <v>0.37890000000000001</v>
      </c>
      <c r="E426" s="45">
        <v>0</v>
      </c>
      <c r="F426" s="43">
        <v>209.9828737</v>
      </c>
      <c r="G426" s="43">
        <f t="shared" si="6"/>
        <v>195554.86304244984</v>
      </c>
    </row>
    <row r="427" spans="1:7" x14ac:dyDescent="0.4">
      <c r="A427" s="42">
        <v>406</v>
      </c>
      <c r="B427" s="42" t="s">
        <v>852</v>
      </c>
      <c r="C427" s="42">
        <v>85</v>
      </c>
      <c r="D427" s="46">
        <v>8.2299999999999995E-4</v>
      </c>
      <c r="E427" s="44">
        <v>0</v>
      </c>
      <c r="F427" s="42">
        <v>210.98749620000001</v>
      </c>
      <c r="G427" s="42">
        <f t="shared" si="6"/>
        <v>196490.15187451415</v>
      </c>
    </row>
    <row r="428" spans="1:7" x14ac:dyDescent="0.4">
      <c r="A428" s="43">
        <v>407</v>
      </c>
      <c r="B428" s="43" t="s">
        <v>695</v>
      </c>
      <c r="C428" s="43">
        <v>89</v>
      </c>
      <c r="D428" s="47">
        <v>1.0460000000000001E-2</v>
      </c>
      <c r="E428" s="45">
        <v>0</v>
      </c>
      <c r="F428" s="43">
        <v>222.01757599999999</v>
      </c>
      <c r="G428" s="43">
        <f t="shared" si="6"/>
        <v>206762.56103193259</v>
      </c>
    </row>
    <row r="429" spans="1:7" x14ac:dyDescent="0.4">
      <c r="A429" s="42">
        <v>408</v>
      </c>
      <c r="B429" s="42" t="s">
        <v>696</v>
      </c>
      <c r="C429" s="42">
        <v>87</v>
      </c>
      <c r="D429" s="46">
        <v>4.1820000000000003E-5</v>
      </c>
      <c r="E429" s="44">
        <v>0</v>
      </c>
      <c r="F429" s="42">
        <v>223.01973419999999</v>
      </c>
      <c r="G429" s="42">
        <f t="shared" si="6"/>
        <v>207697.08738018476</v>
      </c>
    </row>
    <row r="430" spans="1:7" x14ac:dyDescent="0.4">
      <c r="A430" s="43">
        <v>409</v>
      </c>
      <c r="B430" s="52" t="s">
        <v>697</v>
      </c>
      <c r="C430" s="43">
        <v>88</v>
      </c>
      <c r="D430" s="47">
        <v>1600</v>
      </c>
      <c r="E430" s="45">
        <v>0</v>
      </c>
      <c r="F430" s="43">
        <v>226.02540980000001</v>
      </c>
      <c r="G430" s="43">
        <f t="shared" si="6"/>
        <v>210496.34516858048</v>
      </c>
    </row>
    <row r="431" spans="1:7" x14ac:dyDescent="0.4">
      <c r="A431" s="43">
        <v>410</v>
      </c>
      <c r="B431" s="43" t="s">
        <v>853</v>
      </c>
      <c r="C431" s="43">
        <v>88</v>
      </c>
      <c r="D431" s="47">
        <v>5.75</v>
      </c>
      <c r="E431" s="45">
        <v>0</v>
      </c>
      <c r="F431" s="43">
        <v>228.0310686</v>
      </c>
      <c r="G431" s="43">
        <f t="shared" si="6"/>
        <v>212364.60430682768</v>
      </c>
    </row>
    <row r="432" spans="1:7" x14ac:dyDescent="0.4">
      <c r="A432" s="42">
        <v>411</v>
      </c>
      <c r="B432" s="42" t="s">
        <v>698</v>
      </c>
      <c r="C432" s="42">
        <v>89</v>
      </c>
      <c r="D432" s="46">
        <v>21.771999999999998</v>
      </c>
      <c r="E432" s="44">
        <v>0</v>
      </c>
      <c r="F432" s="42">
        <v>227.02775059999999</v>
      </c>
      <c r="G432" s="42">
        <f t="shared" si="6"/>
        <v>211429.50861078498</v>
      </c>
    </row>
    <row r="433" spans="1:7" x14ac:dyDescent="0.4">
      <c r="A433" s="43">
        <v>412</v>
      </c>
      <c r="B433" s="43" t="s">
        <v>854</v>
      </c>
      <c r="C433" s="43">
        <v>90</v>
      </c>
      <c r="D433" s="47">
        <v>1.9125000000000001</v>
      </c>
      <c r="E433" s="45">
        <v>0</v>
      </c>
      <c r="F433" s="43">
        <v>228.02873969999999</v>
      </c>
      <c r="G433" s="43">
        <f t="shared" si="6"/>
        <v>212361.4129525497</v>
      </c>
    </row>
    <row r="434" spans="1:7" x14ac:dyDescent="0.4">
      <c r="A434" s="43">
        <v>413</v>
      </c>
      <c r="B434" s="43" t="s">
        <v>855</v>
      </c>
      <c r="C434" s="43">
        <v>90</v>
      </c>
      <c r="D434" s="47">
        <v>7916</v>
      </c>
      <c r="E434" s="45">
        <v>0</v>
      </c>
      <c r="F434" s="43">
        <v>229.03176139999999</v>
      </c>
      <c r="G434" s="43">
        <f t="shared" si="6"/>
        <v>213295.72164796951</v>
      </c>
    </row>
    <row r="435" spans="1:7" x14ac:dyDescent="0.4">
      <c r="A435" s="43">
        <v>414</v>
      </c>
      <c r="B435" s="43" t="s">
        <v>699</v>
      </c>
      <c r="C435" s="43">
        <v>90</v>
      </c>
      <c r="D435" s="47">
        <v>75400</v>
      </c>
      <c r="E435" s="45">
        <v>0</v>
      </c>
      <c r="F435" s="43">
        <v>230.03313230000001</v>
      </c>
      <c r="G435" s="43">
        <f t="shared" si="6"/>
        <v>214228.49263309411</v>
      </c>
    </row>
    <row r="436" spans="1:7" x14ac:dyDescent="0.4">
      <c r="A436" s="43">
        <v>415</v>
      </c>
      <c r="B436" s="54" t="s">
        <v>700</v>
      </c>
      <c r="C436" s="43">
        <v>90</v>
      </c>
      <c r="D436" s="47">
        <v>14000000000</v>
      </c>
      <c r="E436" s="45">
        <v>1</v>
      </c>
      <c r="F436" s="43">
        <v>232.0380553</v>
      </c>
      <c r="G436" s="43">
        <f t="shared" si="6"/>
        <v>216096.0663780561</v>
      </c>
    </row>
    <row r="437" spans="1:7" x14ac:dyDescent="0.4">
      <c r="A437" s="42">
        <v>416</v>
      </c>
      <c r="B437" s="49" t="s">
        <v>701</v>
      </c>
      <c r="C437" s="42">
        <v>91</v>
      </c>
      <c r="D437" s="46">
        <v>32650</v>
      </c>
      <c r="E437" s="44">
        <v>1</v>
      </c>
      <c r="F437" s="42">
        <v>231.03588400000001</v>
      </c>
      <c r="G437" s="42">
        <f t="shared" si="6"/>
        <v>215162.03882618321</v>
      </c>
    </row>
    <row r="438" spans="1:7" x14ac:dyDescent="0.4">
      <c r="A438" s="42">
        <v>417</v>
      </c>
      <c r="B438" s="51" t="s">
        <v>702</v>
      </c>
      <c r="C438" s="42">
        <v>91</v>
      </c>
      <c r="D438" s="46">
        <v>7.3849999999999999E-2</v>
      </c>
      <c r="E438" s="44">
        <v>0</v>
      </c>
      <c r="F438" s="42">
        <v>233.0402473</v>
      </c>
      <c r="G438" s="42">
        <f t="shared" si="6"/>
        <v>217029.09121395342</v>
      </c>
    </row>
    <row r="439" spans="1:7" x14ac:dyDescent="0.4">
      <c r="A439" s="43">
        <v>418</v>
      </c>
      <c r="B439" s="43" t="s">
        <v>856</v>
      </c>
      <c r="C439" s="43">
        <v>92</v>
      </c>
      <c r="D439" s="47">
        <v>68.900000000000006</v>
      </c>
      <c r="E439" s="45">
        <v>0</v>
      </c>
      <c r="F439" s="43">
        <v>232.0371548</v>
      </c>
      <c r="G439" s="43">
        <f t="shared" si="6"/>
        <v>216094.20556980773</v>
      </c>
    </row>
    <row r="440" spans="1:7" x14ac:dyDescent="0.4">
      <c r="A440" s="43">
        <v>419</v>
      </c>
      <c r="B440" s="52" t="s">
        <v>703</v>
      </c>
      <c r="C440" s="43">
        <v>92</v>
      </c>
      <c r="D440" s="47">
        <v>159200</v>
      </c>
      <c r="E440" s="45">
        <v>0</v>
      </c>
      <c r="F440" s="43">
        <v>233.03963519999999</v>
      </c>
      <c r="G440" s="43">
        <f t="shared" si="6"/>
        <v>217028.01004752531</v>
      </c>
    </row>
    <row r="441" spans="1:7" x14ac:dyDescent="0.4">
      <c r="A441" s="43">
        <v>420</v>
      </c>
      <c r="B441" s="43" t="s">
        <v>704</v>
      </c>
      <c r="C441" s="43">
        <v>92</v>
      </c>
      <c r="D441" s="47">
        <v>245500</v>
      </c>
      <c r="E441" s="45">
        <v>5.0000000000000002E-5</v>
      </c>
      <c r="F441" s="43">
        <v>234.0409521</v>
      </c>
      <c r="G441" s="43">
        <f t="shared" si="6"/>
        <v>217960.73073197392</v>
      </c>
    </row>
    <row r="442" spans="1:7" x14ac:dyDescent="0.4">
      <c r="A442" s="43">
        <v>421</v>
      </c>
      <c r="B442" s="52" t="s">
        <v>705</v>
      </c>
      <c r="C442" s="43">
        <v>92</v>
      </c>
      <c r="D442" s="47">
        <v>704000000</v>
      </c>
      <c r="E442" s="45">
        <v>7.1999999999999998E-3</v>
      </c>
      <c r="F442" s="43">
        <v>235.04392989999999</v>
      </c>
      <c r="G442" s="43">
        <f t="shared" si="6"/>
        <v>218894.99853480712</v>
      </c>
    </row>
    <row r="443" spans="1:7" x14ac:dyDescent="0.4">
      <c r="A443" s="43">
        <v>422</v>
      </c>
      <c r="B443" s="43" t="s">
        <v>857</v>
      </c>
      <c r="C443" s="43">
        <v>92</v>
      </c>
      <c r="D443" s="47">
        <v>23420000</v>
      </c>
      <c r="E443" s="45">
        <v>0</v>
      </c>
      <c r="F443" s="43">
        <v>236.0455661</v>
      </c>
      <c r="G443" s="43">
        <f t="shared" si="6"/>
        <v>219828.01664528993</v>
      </c>
    </row>
    <row r="444" spans="1:7" x14ac:dyDescent="0.4">
      <c r="A444" s="43">
        <v>423</v>
      </c>
      <c r="B444" s="54" t="s">
        <v>706</v>
      </c>
      <c r="C444" s="43">
        <v>92</v>
      </c>
      <c r="D444" s="47">
        <v>4463000000</v>
      </c>
      <c r="E444" s="45">
        <v>0.99270000000000003</v>
      </c>
      <c r="F444" s="43">
        <v>238.0507882</v>
      </c>
      <c r="G444" s="43">
        <f t="shared" si="6"/>
        <v>221695.86900010731</v>
      </c>
    </row>
    <row r="445" spans="1:7" x14ac:dyDescent="0.4">
      <c r="A445" s="42">
        <v>424</v>
      </c>
      <c r="B445" s="42" t="s">
        <v>858</v>
      </c>
      <c r="C445" s="42">
        <v>93</v>
      </c>
      <c r="D445" s="46">
        <v>1.0844</v>
      </c>
      <c r="E445" s="44">
        <v>0</v>
      </c>
      <c r="F445" s="42">
        <v>235.0440615</v>
      </c>
      <c r="G445" s="42">
        <f t="shared" si="6"/>
        <v>218894.61012046682</v>
      </c>
    </row>
    <row r="446" spans="1:7" x14ac:dyDescent="0.4">
      <c r="A446" s="42">
        <v>425</v>
      </c>
      <c r="B446" s="51" t="s">
        <v>707</v>
      </c>
      <c r="C446" s="42">
        <v>93</v>
      </c>
      <c r="D446" s="46">
        <v>153000</v>
      </c>
      <c r="E446" s="44">
        <v>0</v>
      </c>
      <c r="F446" s="42">
        <v>236.04657</v>
      </c>
      <c r="G446" s="42">
        <f t="shared" si="6"/>
        <v>219828.44077316584</v>
      </c>
    </row>
    <row r="447" spans="1:7" x14ac:dyDescent="0.4">
      <c r="A447" s="42">
        <v>426</v>
      </c>
      <c r="B447" s="51" t="s">
        <v>708</v>
      </c>
      <c r="C447" s="42">
        <v>93</v>
      </c>
      <c r="D447" s="46">
        <v>2144000</v>
      </c>
      <c r="E447" s="44">
        <v>0</v>
      </c>
      <c r="F447" s="42">
        <v>237.0481734</v>
      </c>
      <c r="G447" s="42">
        <f t="shared" si="6"/>
        <v>220761.42833064543</v>
      </c>
    </row>
    <row r="448" spans="1:7" x14ac:dyDescent="0.4">
      <c r="A448" s="43">
        <v>427</v>
      </c>
      <c r="B448" s="43" t="s">
        <v>859</v>
      </c>
      <c r="C448" s="43">
        <v>94</v>
      </c>
      <c r="D448" s="47">
        <v>2.8580000000000001</v>
      </c>
      <c r="E448" s="45">
        <v>0</v>
      </c>
      <c r="F448" s="43">
        <v>236.04605670000001</v>
      </c>
      <c r="G448" s="43">
        <f t="shared" si="6"/>
        <v>219827.45163834494</v>
      </c>
    </row>
    <row r="449" spans="1:7" x14ac:dyDescent="0.4">
      <c r="A449" s="43">
        <v>428</v>
      </c>
      <c r="B449" s="52" t="s">
        <v>709</v>
      </c>
      <c r="C449" s="43">
        <v>94</v>
      </c>
      <c r="D449" s="47">
        <v>87.7</v>
      </c>
      <c r="E449" s="45">
        <v>0</v>
      </c>
      <c r="F449" s="43">
        <v>238.04955989999999</v>
      </c>
      <c r="G449" s="43">
        <f t="shared" si="6"/>
        <v>221693.70284812574</v>
      </c>
    </row>
    <row r="450" spans="1:7" x14ac:dyDescent="0.4">
      <c r="A450" s="43">
        <v>429</v>
      </c>
      <c r="B450" s="52" t="s">
        <v>710</v>
      </c>
      <c r="C450" s="43">
        <v>94</v>
      </c>
      <c r="D450" s="47">
        <v>24110</v>
      </c>
      <c r="E450" s="45">
        <v>0</v>
      </c>
      <c r="F450" s="43">
        <v>239.05216340000001</v>
      </c>
      <c r="G450" s="43">
        <f t="shared" si="6"/>
        <v>222627.62199275475</v>
      </c>
    </row>
    <row r="451" spans="1:7" x14ac:dyDescent="0.4">
      <c r="A451" s="43">
        <v>430</v>
      </c>
      <c r="B451" s="43" t="s">
        <v>860</v>
      </c>
      <c r="C451" s="43">
        <v>94</v>
      </c>
      <c r="D451" s="47">
        <v>6561</v>
      </c>
      <c r="E451" s="45">
        <v>0</v>
      </c>
      <c r="F451" s="43">
        <v>240.05381170000001</v>
      </c>
      <c r="G451" s="43">
        <f t="shared" si="6"/>
        <v>223560.65137431494</v>
      </c>
    </row>
    <row r="452" spans="1:7" x14ac:dyDescent="0.4">
      <c r="A452" s="43">
        <v>431</v>
      </c>
      <c r="B452" s="52" t="s">
        <v>711</v>
      </c>
      <c r="C452" s="43">
        <v>94</v>
      </c>
      <c r="D452" s="47">
        <v>14.33</v>
      </c>
      <c r="E452" s="45">
        <v>0</v>
      </c>
      <c r="F452" s="43">
        <v>241.05685149999999</v>
      </c>
      <c r="G452" s="43">
        <f t="shared" si="6"/>
        <v>224494.97692977614</v>
      </c>
    </row>
    <row r="453" spans="1:7" x14ac:dyDescent="0.4">
      <c r="A453" s="43">
        <v>432</v>
      </c>
      <c r="B453" s="52" t="s">
        <v>712</v>
      </c>
      <c r="C453" s="43">
        <v>94</v>
      </c>
      <c r="D453" s="47">
        <v>375000</v>
      </c>
      <c r="E453" s="45">
        <v>0</v>
      </c>
      <c r="F453" s="43">
        <v>242.05874259999999</v>
      </c>
      <c r="G453" s="43">
        <f t="shared" si="6"/>
        <v>225428.23247807953</v>
      </c>
    </row>
    <row r="454" spans="1:7" x14ac:dyDescent="0.4">
      <c r="A454" s="43">
        <v>433</v>
      </c>
      <c r="B454" s="43" t="s">
        <v>861</v>
      </c>
      <c r="C454" s="43">
        <v>94</v>
      </c>
      <c r="D454" s="47">
        <v>81300000</v>
      </c>
      <c r="E454" s="45">
        <v>0</v>
      </c>
      <c r="F454" s="43">
        <v>244.06420439999999</v>
      </c>
      <c r="G454" s="43">
        <f t="shared" si="6"/>
        <v>227296.30811200873</v>
      </c>
    </row>
    <row r="455" spans="1:7" x14ac:dyDescent="0.4">
      <c r="A455" s="42">
        <v>434</v>
      </c>
      <c r="B455" s="51" t="s">
        <v>713</v>
      </c>
      <c r="C455" s="42">
        <v>95</v>
      </c>
      <c r="D455" s="46">
        <v>432.6</v>
      </c>
      <c r="E455" s="44">
        <v>0</v>
      </c>
      <c r="F455" s="42">
        <v>241.05682909999999</v>
      </c>
      <c r="G455" s="42">
        <f t="shared" si="6"/>
        <v>224494.44506535985</v>
      </c>
    </row>
    <row r="456" spans="1:7" x14ac:dyDescent="0.4">
      <c r="A456" s="42">
        <v>435</v>
      </c>
      <c r="B456" s="51" t="s">
        <v>862</v>
      </c>
      <c r="C456" s="42">
        <v>95</v>
      </c>
      <c r="D456" s="46">
        <v>141</v>
      </c>
      <c r="E456" s="44">
        <v>0</v>
      </c>
      <c r="F456" s="42">
        <v>242.05954919999999</v>
      </c>
      <c r="G456" s="42">
        <f t="shared" si="6"/>
        <v>225428.47282218924</v>
      </c>
    </row>
    <row r="457" spans="1:7" x14ac:dyDescent="0.4">
      <c r="A457" s="42">
        <v>436</v>
      </c>
      <c r="B457" s="51" t="s">
        <v>714</v>
      </c>
      <c r="C457" s="42">
        <v>95</v>
      </c>
      <c r="D457" s="46">
        <v>7350</v>
      </c>
      <c r="E457" s="44">
        <v>0</v>
      </c>
      <c r="F457" s="42">
        <v>243.06138100000001</v>
      </c>
      <c r="G457" s="42">
        <f t="shared" si="6"/>
        <v>226361.67313289846</v>
      </c>
    </row>
    <row r="458" spans="1:7" x14ac:dyDescent="0.4">
      <c r="A458" s="43">
        <v>437</v>
      </c>
      <c r="B458" s="43" t="s">
        <v>863</v>
      </c>
      <c r="C458" s="43">
        <v>96</v>
      </c>
      <c r="D458" s="47">
        <v>0.44569999999999999</v>
      </c>
      <c r="E458" s="45">
        <v>0</v>
      </c>
      <c r="F458" s="43">
        <v>242.05883420000001</v>
      </c>
      <c r="G458" s="43">
        <f t="shared" si="6"/>
        <v>225427.29580502858</v>
      </c>
    </row>
    <row r="459" spans="1:7" x14ac:dyDescent="0.4">
      <c r="A459" s="43">
        <v>438</v>
      </c>
      <c r="B459" s="52" t="s">
        <v>715</v>
      </c>
      <c r="C459" s="43">
        <v>96</v>
      </c>
      <c r="D459" s="47">
        <v>29.1</v>
      </c>
      <c r="E459" s="45">
        <v>0</v>
      </c>
      <c r="F459" s="43">
        <v>243.06138910000001</v>
      </c>
      <c r="G459" s="43">
        <f t="shared" si="6"/>
        <v>226361.16967904917</v>
      </c>
    </row>
    <row r="460" spans="1:7" x14ac:dyDescent="0.4">
      <c r="A460" s="43">
        <v>439</v>
      </c>
      <c r="B460" s="43" t="s">
        <v>864</v>
      </c>
      <c r="C460" s="43">
        <v>96</v>
      </c>
      <c r="D460" s="47">
        <v>18.11</v>
      </c>
      <c r="E460" s="45">
        <v>0</v>
      </c>
      <c r="F460" s="43">
        <v>244.06275059999999</v>
      </c>
      <c r="G460" s="43">
        <f t="shared" si="6"/>
        <v>227293.93190813015</v>
      </c>
    </row>
    <row r="461" spans="1:7" x14ac:dyDescent="0.4">
      <c r="A461" s="43">
        <v>440</v>
      </c>
      <c r="B461" s="52" t="s">
        <v>716</v>
      </c>
      <c r="C461" s="43">
        <v>96</v>
      </c>
      <c r="D461" s="47">
        <v>8250</v>
      </c>
      <c r="E461" s="45">
        <v>0</v>
      </c>
      <c r="F461" s="43">
        <v>245.0654912</v>
      </c>
      <c r="G461" s="43">
        <f t="shared" si="6"/>
        <v>228227.97876058656</v>
      </c>
    </row>
    <row r="462" spans="1:7" x14ac:dyDescent="0.4">
      <c r="A462" s="43">
        <v>441</v>
      </c>
      <c r="B462" s="52" t="s">
        <v>717</v>
      </c>
      <c r="C462" s="43">
        <v>96</v>
      </c>
      <c r="D462" s="47">
        <v>4706</v>
      </c>
      <c r="E462" s="45">
        <v>0</v>
      </c>
      <c r="F462" s="43">
        <v>246.0672237</v>
      </c>
      <c r="G462" s="43">
        <f t="shared" si="6"/>
        <v>229161.08657394157</v>
      </c>
    </row>
    <row r="463" spans="1:7" x14ac:dyDescent="0.4">
      <c r="A463" s="43">
        <v>442</v>
      </c>
      <c r="B463" s="52" t="s">
        <v>718</v>
      </c>
      <c r="C463" s="43">
        <v>96</v>
      </c>
      <c r="D463" s="47">
        <v>15600000</v>
      </c>
      <c r="E463" s="45">
        <v>0</v>
      </c>
      <c r="F463" s="43">
        <v>247.07035400000001</v>
      </c>
      <c r="G463" s="43">
        <f t="shared" si="6"/>
        <v>230095.49642960978</v>
      </c>
    </row>
    <row r="464" spans="1:7" x14ac:dyDescent="0.4">
      <c r="A464" s="43">
        <v>443</v>
      </c>
      <c r="B464" s="43" t="s">
        <v>865</v>
      </c>
      <c r="C464" s="43">
        <v>96</v>
      </c>
      <c r="D464" s="47">
        <v>348000</v>
      </c>
      <c r="E464" s="45">
        <v>0</v>
      </c>
      <c r="F464" s="43">
        <v>248.0723491</v>
      </c>
      <c r="G464" s="43">
        <f t="shared" si="6"/>
        <v>231028.84885328915</v>
      </c>
    </row>
    <row r="465" spans="1:7" x14ac:dyDescent="0.4">
      <c r="A465" s="43">
        <v>444</v>
      </c>
      <c r="B465" s="43" t="s">
        <v>866</v>
      </c>
      <c r="C465" s="43">
        <v>96</v>
      </c>
      <c r="D465" s="47">
        <v>8300</v>
      </c>
      <c r="E465" s="45">
        <v>0</v>
      </c>
      <c r="F465" s="43">
        <v>250.07835800000001</v>
      </c>
      <c r="G465" s="43">
        <f t="shared" si="6"/>
        <v>232897.43410758578</v>
      </c>
    </row>
    <row r="466" spans="1:7" x14ac:dyDescent="0.4">
      <c r="A466" s="42">
        <v>445</v>
      </c>
      <c r="B466" s="51" t="s">
        <v>719</v>
      </c>
      <c r="C466" s="42">
        <v>97</v>
      </c>
      <c r="D466" s="46">
        <v>1380</v>
      </c>
      <c r="E466" s="44">
        <v>0</v>
      </c>
      <c r="F466" s="42">
        <v>247.07030700000001</v>
      </c>
      <c r="G466" s="42">
        <f t="shared" si="6"/>
        <v>230094.94165044109</v>
      </c>
    </row>
    <row r="467" spans="1:7" x14ac:dyDescent="0.4">
      <c r="A467" s="42">
        <v>446</v>
      </c>
      <c r="B467" s="51" t="s">
        <v>720</v>
      </c>
      <c r="C467" s="42">
        <v>97</v>
      </c>
      <c r="D467" s="46">
        <v>9</v>
      </c>
      <c r="E467" s="44">
        <v>0</v>
      </c>
      <c r="F467" s="42">
        <v>248.07309000000001</v>
      </c>
      <c r="G467" s="42">
        <f t="shared" si="6"/>
        <v>231029.02799824308</v>
      </c>
    </row>
    <row r="468" spans="1:7" x14ac:dyDescent="0.4">
      <c r="A468" s="42">
        <v>447</v>
      </c>
      <c r="B468" s="42" t="s">
        <v>867</v>
      </c>
      <c r="C468" s="42">
        <v>97</v>
      </c>
      <c r="D468" s="46">
        <v>0.89580000000000004</v>
      </c>
      <c r="E468" s="44">
        <v>0</v>
      </c>
      <c r="F468" s="42">
        <v>249.0749831</v>
      </c>
      <c r="G468" s="42">
        <f t="shared" si="6"/>
        <v>231962.28540953447</v>
      </c>
    </row>
    <row r="469" spans="1:7" x14ac:dyDescent="0.4">
      <c r="A469" s="43">
        <v>448</v>
      </c>
      <c r="B469" s="43" t="s">
        <v>888</v>
      </c>
      <c r="C469" s="43">
        <v>98</v>
      </c>
      <c r="D469" s="47">
        <v>0.91300000000000003</v>
      </c>
      <c r="E469" s="45">
        <v>0</v>
      </c>
      <c r="F469" s="43">
        <v>248.072183</v>
      </c>
      <c r="G469" s="43">
        <f t="shared" ref="G469:G478" si="7">F469*amu-C469*m_e</f>
        <v>231027.6721342344</v>
      </c>
    </row>
    <row r="470" spans="1:7" x14ac:dyDescent="0.4">
      <c r="A470" s="43">
        <v>449</v>
      </c>
      <c r="B470" s="52" t="s">
        <v>889</v>
      </c>
      <c r="C470" s="43">
        <v>98</v>
      </c>
      <c r="D470" s="47">
        <v>351</v>
      </c>
      <c r="E470" s="45">
        <v>0</v>
      </c>
      <c r="F470" s="43">
        <v>249.07485349999999</v>
      </c>
      <c r="G470" s="43">
        <f t="shared" si="7"/>
        <v>231961.65368896138</v>
      </c>
    </row>
    <row r="471" spans="1:7" x14ac:dyDescent="0.4">
      <c r="A471" s="43">
        <v>450</v>
      </c>
      <c r="B471" s="52" t="s">
        <v>890</v>
      </c>
      <c r="C471" s="43">
        <v>98</v>
      </c>
      <c r="D471" s="47">
        <v>13.08</v>
      </c>
      <c r="E471" s="45">
        <v>0</v>
      </c>
      <c r="F471" s="43">
        <v>250.07640610000001</v>
      </c>
      <c r="G471" s="43">
        <f t="shared" si="7"/>
        <v>232894.59392654581</v>
      </c>
    </row>
    <row r="472" spans="1:7" x14ac:dyDescent="0.4">
      <c r="A472" s="43">
        <v>451</v>
      </c>
      <c r="B472" s="52" t="s">
        <v>891</v>
      </c>
      <c r="C472" s="43">
        <v>98</v>
      </c>
      <c r="D472" s="47">
        <v>898</v>
      </c>
      <c r="E472" s="45">
        <v>0</v>
      </c>
      <c r="F472" s="43">
        <v>251.079587</v>
      </c>
      <c r="G472" s="43">
        <f t="shared" si="7"/>
        <v>233829.0509158104</v>
      </c>
    </row>
    <row r="473" spans="1:7" x14ac:dyDescent="0.4">
      <c r="A473" s="43">
        <v>452</v>
      </c>
      <c r="B473" s="52" t="s">
        <v>892</v>
      </c>
      <c r="C473" s="43">
        <v>98</v>
      </c>
      <c r="D473" s="47">
        <v>2.645</v>
      </c>
      <c r="E473" s="45">
        <v>0</v>
      </c>
      <c r="F473" s="43">
        <v>252.081626</v>
      </c>
      <c r="G473" s="43">
        <f t="shared" si="7"/>
        <v>234762.44423207638</v>
      </c>
    </row>
    <row r="474" spans="1:7" x14ac:dyDescent="0.4">
      <c r="A474" s="43">
        <v>453</v>
      </c>
      <c r="B474" s="43" t="s">
        <v>893</v>
      </c>
      <c r="C474" s="43">
        <v>98</v>
      </c>
      <c r="D474" s="47">
        <v>0.1656</v>
      </c>
      <c r="E474" s="45">
        <v>0</v>
      </c>
      <c r="F474" s="43">
        <v>254.087324</v>
      </c>
      <c r="G474" s="43">
        <f t="shared" si="7"/>
        <v>236630.73988488837</v>
      </c>
    </row>
    <row r="475" spans="1:7" x14ac:dyDescent="0.4">
      <c r="A475" s="42">
        <v>454</v>
      </c>
      <c r="B475" s="42" t="s">
        <v>868</v>
      </c>
      <c r="C475" s="42">
        <v>99</v>
      </c>
      <c r="D475" s="46">
        <v>1.2909999999999999</v>
      </c>
      <c r="E475" s="44">
        <v>0</v>
      </c>
      <c r="F475" s="42">
        <v>252.08297999999999</v>
      </c>
      <c r="G475" s="42">
        <f t="shared" si="7"/>
        <v>234763.19447600169</v>
      </c>
    </row>
    <row r="476" spans="1:7" x14ac:dyDescent="0.4">
      <c r="A476" s="42">
        <v>455</v>
      </c>
      <c r="B476" s="42" t="s">
        <v>869</v>
      </c>
      <c r="C476" s="42">
        <v>99</v>
      </c>
      <c r="D476" s="46">
        <v>0.75480000000000003</v>
      </c>
      <c r="E476" s="44">
        <v>0</v>
      </c>
      <c r="F476" s="42">
        <v>254.08802399999999</v>
      </c>
      <c r="G476" s="42">
        <f t="shared" si="7"/>
        <v>236630.88093173769</v>
      </c>
    </row>
    <row r="477" spans="1:7" x14ac:dyDescent="0.4">
      <c r="A477" s="43">
        <v>456</v>
      </c>
      <c r="B477" s="43" t="s">
        <v>870</v>
      </c>
      <c r="C477" s="43">
        <v>100</v>
      </c>
      <c r="D477" s="47">
        <v>0.2752</v>
      </c>
      <c r="E477" s="45">
        <v>0</v>
      </c>
      <c r="F477" s="43">
        <v>257.09510499999999</v>
      </c>
      <c r="G477" s="43">
        <f t="shared" si="7"/>
        <v>239431.44784180101</v>
      </c>
    </row>
    <row r="478" spans="1:7" x14ac:dyDescent="0.4">
      <c r="A478" s="42">
        <v>457</v>
      </c>
      <c r="B478" s="42" t="s">
        <v>871</v>
      </c>
      <c r="C478" s="42">
        <v>101</v>
      </c>
      <c r="D478" s="46">
        <v>0.14130000000000001</v>
      </c>
      <c r="E478" s="44">
        <v>0</v>
      </c>
      <c r="F478" s="42">
        <v>258.09843360000002</v>
      </c>
      <c r="G478" s="42">
        <f t="shared" si="7"/>
        <v>240365.53141377875</v>
      </c>
    </row>
  </sheetData>
  <mergeCells count="4">
    <mergeCell ref="K16:Q17"/>
    <mergeCell ref="A3:G9"/>
    <mergeCell ref="A1:Q2"/>
    <mergeCell ref="A11:G15"/>
  </mergeCells>
  <phoneticPr fontId="13" type="noConversion"/>
  <dataValidations count="2">
    <dataValidation type="list" allowBlank="1" showInputMessage="1" showErrorMessage="1" sqref="L21:L24 N21:N24" xr:uid="{2B984136-BEAB-4A78-9852-D0AC58675823}">
      <formula1>INDIRECT("IsotopeTable[Isotope]")</formula1>
    </dataValidation>
    <dataValidation type="list" allowBlank="1" showInputMessage="1" showErrorMessage="1" sqref="L25:L28 N25:N28" xr:uid="{F9A41445-4AE3-452A-9ED8-9DAE391E8009}">
      <formula1>INDIRECT("ParticleTable[Name]")</formula1>
    </dataValidation>
  </dataValidations>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4EBB-16BC-4854-AC0B-22F66DF99D5D}">
  <dimension ref="A1:T554"/>
  <sheetViews>
    <sheetView topLeftCell="A346" workbookViewId="0">
      <selection activeCell="I377" sqref="I377"/>
    </sheetView>
  </sheetViews>
  <sheetFormatPr defaultRowHeight="14.6" x14ac:dyDescent="0.4"/>
  <cols>
    <col min="1" max="1" width="34.4609375" bestFit="1" customWidth="1"/>
    <col min="2" max="2" width="13.3046875" customWidth="1"/>
    <col min="3" max="3" width="11.15234375" customWidth="1"/>
    <col min="4" max="4" width="16.84375" customWidth="1"/>
    <col min="5" max="5" width="17.23046875" customWidth="1"/>
    <col min="6" max="6" width="13.61328125" customWidth="1"/>
    <col min="7" max="7" width="21" customWidth="1"/>
    <col min="8" max="8" width="21" hidden="1" customWidth="1"/>
    <col min="12" max="12" width="15.07421875" bestFit="1" customWidth="1"/>
    <col min="13" max="13" width="21.23046875" bestFit="1" customWidth="1"/>
    <col min="14" max="14" width="23.07421875" bestFit="1" customWidth="1"/>
    <col min="15" max="15" width="15.53515625" bestFit="1" customWidth="1"/>
    <col min="16" max="16" width="11.3046875" bestFit="1" customWidth="1"/>
    <col min="17" max="17" width="13.765625" bestFit="1" customWidth="1"/>
    <col min="18" max="18" width="15.53515625" bestFit="1" customWidth="1"/>
  </cols>
  <sheetData>
    <row r="1" spans="1:20" x14ac:dyDescent="0.4">
      <c r="A1" s="95" t="s">
        <v>183</v>
      </c>
      <c r="B1" s="95"/>
      <c r="C1" s="95"/>
      <c r="D1" s="95"/>
      <c r="E1" s="95"/>
      <c r="F1" s="95"/>
      <c r="G1" s="95"/>
      <c r="H1" s="95"/>
      <c r="M1" s="95" t="s">
        <v>176</v>
      </c>
      <c r="N1" s="95"/>
      <c r="O1" s="95"/>
      <c r="P1" s="95"/>
      <c r="Q1" s="95"/>
      <c r="R1" s="95"/>
      <c r="S1" s="95"/>
      <c r="T1" s="95"/>
    </row>
    <row r="2" spans="1:20" x14ac:dyDescent="0.4">
      <c r="A2" s="95"/>
      <c r="B2" s="95"/>
      <c r="C2" s="95"/>
      <c r="D2" s="95"/>
      <c r="E2" s="95"/>
      <c r="F2" s="95"/>
      <c r="G2" s="95"/>
      <c r="H2" s="95"/>
      <c r="M2" s="95"/>
      <c r="N2" s="95"/>
      <c r="O2" s="95"/>
      <c r="P2" s="95"/>
      <c r="Q2" s="95"/>
      <c r="R2" s="95"/>
      <c r="S2" s="95"/>
      <c r="T2" s="95"/>
    </row>
    <row r="4" spans="1:20" ht="14.6" customHeight="1" x14ac:dyDescent="0.4">
      <c r="A4" s="3" t="s">
        <v>0</v>
      </c>
      <c r="B4" s="3"/>
      <c r="C4" s="3"/>
      <c r="D4" s="3"/>
      <c r="E4" s="3"/>
      <c r="F4" s="3"/>
      <c r="G4" s="3"/>
      <c r="H4" s="1"/>
      <c r="M4" s="118" t="s">
        <v>1437</v>
      </c>
      <c r="N4" s="119"/>
      <c r="O4" s="119"/>
      <c r="P4" s="119"/>
      <c r="Q4" s="119"/>
      <c r="R4" s="119"/>
      <c r="S4" s="119"/>
      <c r="T4" s="120"/>
    </row>
    <row r="5" spans="1:20" x14ac:dyDescent="0.4">
      <c r="A5" s="1" t="s">
        <v>1</v>
      </c>
      <c r="B5" s="1" t="s">
        <v>2</v>
      </c>
      <c r="C5" s="1" t="s">
        <v>3</v>
      </c>
      <c r="D5" s="1" t="s">
        <v>4</v>
      </c>
      <c r="E5" s="1" t="s">
        <v>5</v>
      </c>
      <c r="F5" s="1" t="s">
        <v>6</v>
      </c>
      <c r="G5" s="1" t="s">
        <v>7</v>
      </c>
      <c r="H5" s="1" t="s">
        <v>187</v>
      </c>
      <c r="M5" s="121"/>
      <c r="N5" s="122"/>
      <c r="O5" s="122"/>
      <c r="P5" s="122"/>
      <c r="Q5" s="122"/>
      <c r="R5" s="122"/>
      <c r="S5" s="122"/>
      <c r="T5" s="123"/>
    </row>
    <row r="6" spans="1:20" x14ac:dyDescent="0.4">
      <c r="A6" t="s">
        <v>8</v>
      </c>
      <c r="B6" s="18">
        <f t="shared" ref="B6:B20" si="0">mole/F6*(sf_TC/100)</f>
        <v>5000000</v>
      </c>
      <c r="C6">
        <v>0</v>
      </c>
      <c r="D6" s="18">
        <v>400</v>
      </c>
      <c r="E6" s="18">
        <v>900</v>
      </c>
      <c r="F6" s="7">
        <v>0.2</v>
      </c>
      <c r="G6" s="18">
        <v>8680</v>
      </c>
      <c r="H6">
        <f t="shared" ref="H6:H20" si="1">B6/(I_b*20)</f>
        <v>25</v>
      </c>
      <c r="M6" s="121"/>
      <c r="N6" s="122"/>
      <c r="O6" s="122"/>
      <c r="P6" s="122"/>
      <c r="Q6" s="122"/>
      <c r="R6" s="122"/>
      <c r="S6" s="122"/>
      <c r="T6" s="123"/>
    </row>
    <row r="7" spans="1:20" x14ac:dyDescent="0.4">
      <c r="A7" t="s">
        <v>9</v>
      </c>
      <c r="B7" s="18">
        <f t="shared" si="0"/>
        <v>1600000</v>
      </c>
      <c r="C7">
        <v>0</v>
      </c>
      <c r="D7" s="18">
        <v>1000</v>
      </c>
      <c r="E7" s="18">
        <v>7500</v>
      </c>
      <c r="F7" s="7">
        <v>0.625</v>
      </c>
      <c r="G7" s="18">
        <v>2130</v>
      </c>
      <c r="H7">
        <f t="shared" si="1"/>
        <v>8</v>
      </c>
      <c r="M7" s="121"/>
      <c r="N7" s="122"/>
      <c r="O7" s="122"/>
      <c r="P7" s="122"/>
      <c r="Q7" s="122"/>
      <c r="R7" s="122"/>
      <c r="S7" s="122"/>
      <c r="T7" s="123"/>
    </row>
    <row r="8" spans="1:20" x14ac:dyDescent="0.4">
      <c r="A8" t="s">
        <v>10</v>
      </c>
      <c r="B8" s="18">
        <f t="shared" si="0"/>
        <v>50000000</v>
      </c>
      <c r="C8">
        <v>0</v>
      </c>
      <c r="D8" s="18">
        <v>1500</v>
      </c>
      <c r="E8" s="18">
        <v>2000</v>
      </c>
      <c r="F8" s="7">
        <v>0.02</v>
      </c>
      <c r="G8" s="18">
        <v>11600</v>
      </c>
      <c r="H8">
        <f t="shared" si="1"/>
        <v>250</v>
      </c>
    </row>
    <row r="9" spans="1:20" ht="14.6" customHeight="1" x14ac:dyDescent="0.4">
      <c r="A9" t="s">
        <v>910</v>
      </c>
      <c r="B9" s="18">
        <f t="shared" si="0"/>
        <v>2000000</v>
      </c>
      <c r="C9">
        <v>0</v>
      </c>
      <c r="D9" s="18">
        <v>2400</v>
      </c>
      <c r="E9" s="18">
        <v>3600</v>
      </c>
      <c r="F9" s="7">
        <v>0.5</v>
      </c>
      <c r="G9" s="18">
        <v>-764</v>
      </c>
      <c r="H9">
        <f t="shared" si="1"/>
        <v>10</v>
      </c>
      <c r="M9" s="119" t="s">
        <v>185</v>
      </c>
      <c r="N9" s="119"/>
      <c r="O9" s="119"/>
      <c r="P9" s="119"/>
      <c r="Q9" s="119"/>
      <c r="R9" s="119"/>
      <c r="S9" s="119"/>
      <c r="T9" s="119"/>
    </row>
    <row r="10" spans="1:20" ht="14.6" customHeight="1" x14ac:dyDescent="0.4">
      <c r="A10" t="s">
        <v>11</v>
      </c>
      <c r="B10" s="18">
        <f t="shared" si="0"/>
        <v>1250000</v>
      </c>
      <c r="C10">
        <v>0</v>
      </c>
      <c r="D10" s="18">
        <v>4000</v>
      </c>
      <c r="E10" s="18">
        <v>6000</v>
      </c>
      <c r="F10" s="7">
        <v>0.8</v>
      </c>
      <c r="G10" s="18">
        <v>1150</v>
      </c>
      <c r="H10">
        <f t="shared" si="1"/>
        <v>6.25</v>
      </c>
      <c r="M10" s="122"/>
      <c r="N10" s="122"/>
      <c r="O10" s="122"/>
      <c r="P10" s="122"/>
      <c r="Q10" s="122"/>
      <c r="R10" s="122"/>
      <c r="S10" s="122"/>
      <c r="T10" s="122"/>
    </row>
    <row r="11" spans="1:20" x14ac:dyDescent="0.4">
      <c r="A11" t="s">
        <v>12</v>
      </c>
      <c r="B11" s="18">
        <f t="shared" si="0"/>
        <v>2000000</v>
      </c>
      <c r="C11">
        <v>0</v>
      </c>
      <c r="D11" s="18">
        <v>4000</v>
      </c>
      <c r="E11" s="18">
        <v>11000</v>
      </c>
      <c r="F11" s="7">
        <v>0.5</v>
      </c>
      <c r="G11" s="18">
        <v>8110</v>
      </c>
      <c r="H11">
        <f t="shared" si="1"/>
        <v>10</v>
      </c>
      <c r="M11" s="122"/>
      <c r="N11" s="122"/>
      <c r="O11" s="122"/>
      <c r="P11" s="122"/>
      <c r="Q11" s="122"/>
      <c r="R11" s="122"/>
      <c r="S11" s="122"/>
      <c r="T11" s="122"/>
    </row>
    <row r="12" spans="1:20" ht="15.9" customHeight="1" x14ac:dyDescent="0.4">
      <c r="A12" t="s">
        <v>1506</v>
      </c>
      <c r="B12" s="18">
        <f>mole/F12*(sf_TC/100)</f>
        <v>4000000</v>
      </c>
      <c r="C12">
        <v>0</v>
      </c>
      <c r="D12" s="18">
        <v>4500</v>
      </c>
      <c r="E12" s="18">
        <v>14500</v>
      </c>
      <c r="F12" s="7">
        <v>0.25</v>
      </c>
      <c r="G12" s="18">
        <v>1600</v>
      </c>
      <c r="H12">
        <f>B12/(I_b*20)</f>
        <v>20</v>
      </c>
    </row>
    <row r="13" spans="1:20" ht="14.6" customHeight="1" x14ac:dyDescent="0.4">
      <c r="A13" t="s">
        <v>13</v>
      </c>
      <c r="B13" s="18">
        <f t="shared" si="0"/>
        <v>25000000</v>
      </c>
      <c r="C13">
        <v>0</v>
      </c>
      <c r="D13" s="18">
        <v>4500</v>
      </c>
      <c r="E13" s="18">
        <v>5900</v>
      </c>
      <c r="F13" s="7">
        <v>0.04</v>
      </c>
      <c r="G13" s="18">
        <v>7710</v>
      </c>
      <c r="H13">
        <f t="shared" si="1"/>
        <v>125</v>
      </c>
      <c r="M13" s="122" t="s">
        <v>1438</v>
      </c>
      <c r="N13" s="122"/>
      <c r="O13" s="122"/>
      <c r="P13" s="122"/>
      <c r="Q13" s="122"/>
      <c r="R13" s="122"/>
      <c r="S13" s="122"/>
      <c r="T13" s="122"/>
    </row>
    <row r="14" spans="1:20" ht="14.6" customHeight="1" x14ac:dyDescent="0.4">
      <c r="A14" t="s">
        <v>14</v>
      </c>
      <c r="B14" s="18">
        <f t="shared" si="0"/>
        <v>5000000</v>
      </c>
      <c r="C14">
        <v>0</v>
      </c>
      <c r="D14" s="18">
        <v>4600</v>
      </c>
      <c r="E14" s="18">
        <v>5600</v>
      </c>
      <c r="F14" s="7">
        <v>0.2</v>
      </c>
      <c r="G14" s="18">
        <v>9530</v>
      </c>
      <c r="H14">
        <f t="shared" si="1"/>
        <v>25</v>
      </c>
      <c r="M14" s="122"/>
      <c r="N14" s="122"/>
      <c r="O14" s="122"/>
      <c r="P14" s="122"/>
      <c r="Q14" s="122"/>
      <c r="R14" s="122"/>
      <c r="S14" s="122"/>
      <c r="T14" s="122"/>
    </row>
    <row r="15" spans="1:20" x14ac:dyDescent="0.4">
      <c r="A15" t="s">
        <v>911</v>
      </c>
      <c r="B15" s="18">
        <f t="shared" si="0"/>
        <v>50000000</v>
      </c>
      <c r="C15">
        <v>0</v>
      </c>
      <c r="D15" s="18">
        <v>6000</v>
      </c>
      <c r="E15" s="18">
        <v>10000</v>
      </c>
      <c r="F15" s="7">
        <v>0.02</v>
      </c>
      <c r="G15" s="18">
        <v>5490</v>
      </c>
      <c r="H15">
        <f t="shared" si="1"/>
        <v>250</v>
      </c>
      <c r="M15" s="122"/>
      <c r="N15" s="122"/>
      <c r="O15" s="122"/>
      <c r="P15" s="122"/>
      <c r="Q15" s="122"/>
      <c r="R15" s="122"/>
      <c r="S15" s="122"/>
      <c r="T15" s="122"/>
    </row>
    <row r="16" spans="1:20" x14ac:dyDescent="0.4">
      <c r="A16" t="s">
        <v>15</v>
      </c>
      <c r="B16" s="18">
        <f t="shared" si="0"/>
        <v>6250000</v>
      </c>
      <c r="C16">
        <v>0</v>
      </c>
      <c r="D16" s="18">
        <v>8300</v>
      </c>
      <c r="E16" s="18">
        <v>10300</v>
      </c>
      <c r="F16" s="7">
        <v>0.16</v>
      </c>
      <c r="G16" s="18">
        <v>-1830</v>
      </c>
      <c r="H16">
        <f t="shared" si="1"/>
        <v>31.25</v>
      </c>
    </row>
    <row r="17" spans="1:17" x14ac:dyDescent="0.4">
      <c r="A17" t="s">
        <v>1510</v>
      </c>
      <c r="B17" s="18">
        <f>mole/F17*(sf_TC/100)</f>
        <v>6250000</v>
      </c>
      <c r="C17">
        <v>0</v>
      </c>
      <c r="D17" s="18">
        <v>10000</v>
      </c>
      <c r="E17" s="18">
        <v>16000</v>
      </c>
      <c r="F17" s="7">
        <v>0.16</v>
      </c>
      <c r="G17" s="18">
        <v>1590</v>
      </c>
      <c r="H17">
        <f>B17/(I_b*20)</f>
        <v>31.25</v>
      </c>
      <c r="M17" s="1" t="s">
        <v>179</v>
      </c>
      <c r="N17" s="1" t="s">
        <v>186</v>
      </c>
      <c r="O17" s="1" t="s">
        <v>180</v>
      </c>
      <c r="P17" s="1" t="s">
        <v>181</v>
      </c>
      <c r="Q17" s="1" t="s">
        <v>182</v>
      </c>
    </row>
    <row r="18" spans="1:17" ht="14.6" customHeight="1" x14ac:dyDescent="0.4">
      <c r="A18" t="s">
        <v>16</v>
      </c>
      <c r="B18" s="18">
        <f t="shared" si="0"/>
        <v>50000000</v>
      </c>
      <c r="C18">
        <v>0</v>
      </c>
      <c r="D18" s="18">
        <v>10000</v>
      </c>
      <c r="E18" s="18">
        <v>19500</v>
      </c>
      <c r="F18" s="7">
        <v>0.02</v>
      </c>
      <c r="G18" s="18">
        <v>10200</v>
      </c>
      <c r="H18">
        <f t="shared" si="1"/>
        <v>250</v>
      </c>
      <c r="M18" s="7">
        <v>1E-3</v>
      </c>
      <c r="N18" s="18">
        <f t="shared" ref="N18:N45" si="2">mole*(sf_TC/100)/M18</f>
        <v>1000000000</v>
      </c>
      <c r="O18">
        <f t="shared" ref="O18:O45" si="3">N18/I_b</f>
        <v>100000</v>
      </c>
      <c r="P18">
        <f>O18/20</f>
        <v>5000</v>
      </c>
      <c r="Q18">
        <f>P18/60</f>
        <v>83.333333333333329</v>
      </c>
    </row>
    <row r="19" spans="1:17" x14ac:dyDescent="0.4">
      <c r="A19" t="s">
        <v>1497</v>
      </c>
      <c r="B19" s="18">
        <f>mole/F19*(sf_TC/100)</f>
        <v>1000000</v>
      </c>
      <c r="C19">
        <v>0</v>
      </c>
      <c r="D19" s="18">
        <v>10000</v>
      </c>
      <c r="E19" s="18">
        <v>22000</v>
      </c>
      <c r="F19" s="7">
        <v>1</v>
      </c>
      <c r="G19" s="18">
        <v>-7090</v>
      </c>
      <c r="H19">
        <f>B19/(I_b*20)</f>
        <v>5</v>
      </c>
      <c r="M19" s="7">
        <v>2E-3</v>
      </c>
      <c r="N19" s="18">
        <f t="shared" si="2"/>
        <v>500000000</v>
      </c>
      <c r="O19">
        <f t="shared" si="3"/>
        <v>50000</v>
      </c>
      <c r="P19">
        <f t="shared" ref="P19:P45" si="4">O19/20</f>
        <v>2500</v>
      </c>
      <c r="Q19">
        <f t="shared" ref="Q19:Q45" si="5">P19/60</f>
        <v>41.666666666666664</v>
      </c>
    </row>
    <row r="20" spans="1:17" x14ac:dyDescent="0.4">
      <c r="A20" t="s">
        <v>17</v>
      </c>
      <c r="B20" s="18">
        <f t="shared" si="0"/>
        <v>6250000</v>
      </c>
      <c r="C20">
        <v>0</v>
      </c>
      <c r="D20" s="18">
        <v>11000</v>
      </c>
      <c r="E20" s="18">
        <v>20500</v>
      </c>
      <c r="F20" s="7">
        <v>0.16</v>
      </c>
      <c r="G20" s="18">
        <v>-2230</v>
      </c>
      <c r="H20">
        <f t="shared" si="1"/>
        <v>31.25</v>
      </c>
      <c r="M20" s="7">
        <v>4.0000000000000001E-3</v>
      </c>
      <c r="N20" s="18">
        <f t="shared" si="2"/>
        <v>250000000</v>
      </c>
      <c r="O20">
        <f t="shared" si="3"/>
        <v>25000</v>
      </c>
      <c r="P20">
        <f t="shared" si="4"/>
        <v>1250</v>
      </c>
      <c r="Q20">
        <f t="shared" si="5"/>
        <v>20.833333333333332</v>
      </c>
    </row>
    <row r="21" spans="1:17" x14ac:dyDescent="0.4">
      <c r="A21" t="s">
        <v>18</v>
      </c>
      <c r="B21" s="18">
        <f t="shared" ref="B21:B47" si="6">mole/F21*(sf_TC/100)</f>
        <v>3125000</v>
      </c>
      <c r="C21">
        <v>0</v>
      </c>
      <c r="D21" s="18">
        <v>12000</v>
      </c>
      <c r="E21" s="18">
        <v>16500</v>
      </c>
      <c r="F21" s="7">
        <v>0.32</v>
      </c>
      <c r="G21" s="18">
        <v>-6420</v>
      </c>
      <c r="H21">
        <f t="shared" ref="H21:H47" si="7">B21/(I_b*20)</f>
        <v>15.625</v>
      </c>
      <c r="M21" s="7">
        <v>5.0000000000000001E-3</v>
      </c>
      <c r="N21" s="18">
        <f t="shared" si="2"/>
        <v>200000000</v>
      </c>
      <c r="O21">
        <f t="shared" si="3"/>
        <v>20000</v>
      </c>
      <c r="P21">
        <f t="shared" si="4"/>
        <v>1000</v>
      </c>
      <c r="Q21">
        <f t="shared" si="5"/>
        <v>16.666666666666668</v>
      </c>
    </row>
    <row r="22" spans="1:17" x14ac:dyDescent="0.4">
      <c r="A22" t="s">
        <v>19</v>
      </c>
      <c r="B22" s="18">
        <f t="shared" si="6"/>
        <v>2000000</v>
      </c>
      <c r="C22">
        <v>0</v>
      </c>
      <c r="D22" s="18">
        <v>12500</v>
      </c>
      <c r="E22" s="18">
        <v>14000</v>
      </c>
      <c r="F22" s="7">
        <v>0.5</v>
      </c>
      <c r="G22" s="18">
        <v>-8170</v>
      </c>
      <c r="H22">
        <f t="shared" si="7"/>
        <v>10</v>
      </c>
      <c r="M22" s="7">
        <v>8.0000000000000002E-3</v>
      </c>
      <c r="N22" s="18">
        <f t="shared" si="2"/>
        <v>125000000</v>
      </c>
      <c r="O22">
        <f t="shared" si="3"/>
        <v>12500</v>
      </c>
      <c r="P22">
        <f t="shared" si="4"/>
        <v>625</v>
      </c>
      <c r="Q22">
        <f t="shared" si="5"/>
        <v>10.416666666666666</v>
      </c>
    </row>
    <row r="23" spans="1:17" x14ac:dyDescent="0.4">
      <c r="A23" t="s">
        <v>20</v>
      </c>
      <c r="B23" s="18">
        <f t="shared" si="6"/>
        <v>2500000</v>
      </c>
      <c r="C23">
        <v>0</v>
      </c>
      <c r="D23" s="18">
        <v>12500</v>
      </c>
      <c r="E23" s="18">
        <v>16500</v>
      </c>
      <c r="F23" s="7">
        <v>0.4</v>
      </c>
      <c r="G23" s="18">
        <v>-7070</v>
      </c>
      <c r="H23">
        <f t="shared" si="7"/>
        <v>12.5</v>
      </c>
      <c r="M23" s="7">
        <v>0.01</v>
      </c>
      <c r="N23" s="18">
        <f t="shared" si="2"/>
        <v>100000000</v>
      </c>
      <c r="O23">
        <f t="shared" si="3"/>
        <v>10000</v>
      </c>
      <c r="P23">
        <f t="shared" si="4"/>
        <v>500</v>
      </c>
      <c r="Q23">
        <f t="shared" si="5"/>
        <v>8.3333333333333339</v>
      </c>
    </row>
    <row r="24" spans="1:17" x14ac:dyDescent="0.4">
      <c r="A24" t="s">
        <v>1509</v>
      </c>
      <c r="B24" s="18">
        <f>mole/F24*(sf_TC/100)</f>
        <v>1250000</v>
      </c>
      <c r="C24">
        <v>0</v>
      </c>
      <c r="D24" s="18">
        <v>14000</v>
      </c>
      <c r="E24" s="18">
        <v>24000</v>
      </c>
      <c r="F24" s="7">
        <v>0.8</v>
      </c>
      <c r="G24" s="18">
        <v>-6370</v>
      </c>
      <c r="H24">
        <f>B24/(I_b*20)</f>
        <v>6.25</v>
      </c>
      <c r="M24" s="7">
        <v>1.6E-2</v>
      </c>
      <c r="N24" s="18">
        <f t="shared" si="2"/>
        <v>62500000</v>
      </c>
      <c r="O24">
        <f t="shared" si="3"/>
        <v>6250</v>
      </c>
      <c r="P24">
        <f t="shared" si="4"/>
        <v>312.5</v>
      </c>
      <c r="Q24">
        <f t="shared" si="5"/>
        <v>5.208333333333333</v>
      </c>
    </row>
    <row r="25" spans="1:17" x14ac:dyDescent="0.4">
      <c r="A25" t="s">
        <v>21</v>
      </c>
      <c r="B25" s="18">
        <f t="shared" si="6"/>
        <v>50000000</v>
      </c>
      <c r="C25">
        <v>0</v>
      </c>
      <c r="D25" s="18">
        <v>14000</v>
      </c>
      <c r="E25" s="18">
        <v>19000</v>
      </c>
      <c r="F25" s="7">
        <v>0.02</v>
      </c>
      <c r="G25" s="18">
        <v>4980</v>
      </c>
      <c r="H25">
        <f t="shared" si="7"/>
        <v>250</v>
      </c>
      <c r="M25" s="7">
        <v>0.02</v>
      </c>
      <c r="N25" s="18">
        <f t="shared" si="2"/>
        <v>50000000</v>
      </c>
      <c r="O25">
        <f t="shared" si="3"/>
        <v>5000</v>
      </c>
      <c r="P25">
        <f t="shared" si="4"/>
        <v>250</v>
      </c>
      <c r="Q25">
        <f t="shared" si="5"/>
        <v>4.166666666666667</v>
      </c>
    </row>
    <row r="26" spans="1:17" x14ac:dyDescent="0.4">
      <c r="A26" t="s">
        <v>22</v>
      </c>
      <c r="B26" s="18">
        <f t="shared" si="6"/>
        <v>50000000</v>
      </c>
      <c r="C26">
        <v>0</v>
      </c>
      <c r="D26" s="18">
        <v>15500</v>
      </c>
      <c r="E26" s="18">
        <v>26000</v>
      </c>
      <c r="F26" s="7">
        <v>0.02</v>
      </c>
      <c r="G26" s="18">
        <v>16000</v>
      </c>
      <c r="H26">
        <f t="shared" si="7"/>
        <v>250</v>
      </c>
      <c r="M26" s="7">
        <v>2.5000000000000001E-2</v>
      </c>
      <c r="N26" s="18">
        <f t="shared" si="2"/>
        <v>40000000</v>
      </c>
      <c r="O26">
        <f t="shared" si="3"/>
        <v>4000</v>
      </c>
      <c r="P26">
        <f t="shared" si="4"/>
        <v>200</v>
      </c>
      <c r="Q26">
        <f t="shared" si="5"/>
        <v>3.3333333333333335</v>
      </c>
    </row>
    <row r="27" spans="1:17" x14ac:dyDescent="0.4">
      <c r="A27" t="s">
        <v>1508</v>
      </c>
      <c r="B27" s="18">
        <f>mole/F27*(sf_TC/100)</f>
        <v>2500000</v>
      </c>
      <c r="C27">
        <v>0</v>
      </c>
      <c r="D27" s="18">
        <v>16000</v>
      </c>
      <c r="E27" s="18">
        <v>23500</v>
      </c>
      <c r="F27" s="7">
        <v>0.4</v>
      </c>
      <c r="G27" s="18">
        <v>-6950</v>
      </c>
      <c r="H27">
        <f>B27/(I_b*20)</f>
        <v>12.5</v>
      </c>
      <c r="M27" s="7">
        <v>3.2000000000000001E-2</v>
      </c>
      <c r="N27" s="18">
        <f t="shared" si="2"/>
        <v>31250000</v>
      </c>
      <c r="O27">
        <f t="shared" si="3"/>
        <v>3125</v>
      </c>
      <c r="P27">
        <f t="shared" si="4"/>
        <v>156.25</v>
      </c>
      <c r="Q27">
        <f t="shared" si="5"/>
        <v>2.6041666666666665</v>
      </c>
    </row>
    <row r="28" spans="1:17" x14ac:dyDescent="0.4">
      <c r="A28" t="s">
        <v>1526</v>
      </c>
      <c r="B28" s="18">
        <f>mole/F28*(sf_TC/100)</f>
        <v>40000000</v>
      </c>
      <c r="C28">
        <v>0</v>
      </c>
      <c r="D28" s="18">
        <v>16000</v>
      </c>
      <c r="E28" s="18">
        <v>29500</v>
      </c>
      <c r="F28" s="7">
        <v>2.5000000000000001E-2</v>
      </c>
      <c r="G28" s="18">
        <v>-6800</v>
      </c>
      <c r="H28">
        <f>B28/(I_b*20)</f>
        <v>200</v>
      </c>
      <c r="M28" s="7">
        <v>0.04</v>
      </c>
      <c r="N28" s="18">
        <f t="shared" si="2"/>
        <v>25000000</v>
      </c>
      <c r="O28">
        <f t="shared" si="3"/>
        <v>2500</v>
      </c>
      <c r="P28">
        <f t="shared" si="4"/>
        <v>125</v>
      </c>
      <c r="Q28">
        <f t="shared" si="5"/>
        <v>2.0833333333333335</v>
      </c>
    </row>
    <row r="29" spans="1:17" x14ac:dyDescent="0.4">
      <c r="A29" t="s">
        <v>23</v>
      </c>
      <c r="B29" s="18">
        <f t="shared" si="6"/>
        <v>1000000</v>
      </c>
      <c r="C29">
        <v>0</v>
      </c>
      <c r="D29" s="18">
        <v>16500</v>
      </c>
      <c r="E29" s="18">
        <v>25000</v>
      </c>
      <c r="F29" s="7">
        <v>1</v>
      </c>
      <c r="G29" s="18">
        <v>-8330</v>
      </c>
      <c r="H29">
        <f t="shared" si="7"/>
        <v>5</v>
      </c>
      <c r="M29" s="7">
        <v>0.05</v>
      </c>
      <c r="N29" s="18">
        <f t="shared" si="2"/>
        <v>20000000</v>
      </c>
      <c r="O29">
        <f t="shared" si="3"/>
        <v>2000</v>
      </c>
      <c r="P29">
        <f t="shared" si="4"/>
        <v>100</v>
      </c>
      <c r="Q29">
        <f t="shared" si="5"/>
        <v>1.6666666666666667</v>
      </c>
    </row>
    <row r="30" spans="1:17" x14ac:dyDescent="0.4">
      <c r="A30" t="s">
        <v>24</v>
      </c>
      <c r="B30" s="18">
        <f t="shared" si="6"/>
        <v>31250000</v>
      </c>
      <c r="C30">
        <v>0</v>
      </c>
      <c r="D30" s="18">
        <v>17000</v>
      </c>
      <c r="E30" s="18">
        <v>26000</v>
      </c>
      <c r="F30" s="7">
        <v>3.2000000000000001E-2</v>
      </c>
      <c r="G30" s="18">
        <v>-10500</v>
      </c>
      <c r="H30">
        <f t="shared" si="7"/>
        <v>156.25</v>
      </c>
      <c r="M30" s="7">
        <v>6.4000000000000001E-2</v>
      </c>
      <c r="N30" s="18">
        <f t="shared" si="2"/>
        <v>15625000</v>
      </c>
      <c r="O30">
        <f t="shared" si="3"/>
        <v>1562.5</v>
      </c>
      <c r="P30">
        <f t="shared" si="4"/>
        <v>78.125</v>
      </c>
      <c r="Q30">
        <f t="shared" si="5"/>
        <v>1.3020833333333333</v>
      </c>
    </row>
    <row r="31" spans="1:17" x14ac:dyDescent="0.4">
      <c r="A31" t="s">
        <v>25</v>
      </c>
      <c r="B31" s="18">
        <f t="shared" si="6"/>
        <v>4000000</v>
      </c>
      <c r="C31">
        <v>0</v>
      </c>
      <c r="D31" s="18">
        <v>19000</v>
      </c>
      <c r="E31" s="18">
        <v>25500</v>
      </c>
      <c r="F31" s="7">
        <v>0.25</v>
      </c>
      <c r="G31" s="18">
        <v>-7160</v>
      </c>
      <c r="H31">
        <f t="shared" si="7"/>
        <v>20</v>
      </c>
      <c r="M31" s="7">
        <v>0.08</v>
      </c>
      <c r="N31" s="18">
        <f t="shared" si="2"/>
        <v>12500000</v>
      </c>
      <c r="O31">
        <f t="shared" si="3"/>
        <v>1250</v>
      </c>
      <c r="P31">
        <f t="shared" si="4"/>
        <v>62.5</v>
      </c>
      <c r="Q31">
        <f t="shared" si="5"/>
        <v>1.0416666666666667</v>
      </c>
    </row>
    <row r="32" spans="1:17" x14ac:dyDescent="0.4">
      <c r="A32" t="s">
        <v>26</v>
      </c>
      <c r="B32" s="18">
        <f t="shared" si="6"/>
        <v>1000000</v>
      </c>
      <c r="C32">
        <v>0</v>
      </c>
      <c r="D32" s="18">
        <v>19000</v>
      </c>
      <c r="E32" s="18">
        <v>28000</v>
      </c>
      <c r="F32" s="7">
        <v>1</v>
      </c>
      <c r="G32" s="18">
        <v>-11600</v>
      </c>
      <c r="H32">
        <f t="shared" si="7"/>
        <v>5</v>
      </c>
      <c r="M32" s="7">
        <v>0.1</v>
      </c>
      <c r="N32" s="18">
        <f t="shared" si="2"/>
        <v>10000000</v>
      </c>
      <c r="O32">
        <f t="shared" si="3"/>
        <v>1000</v>
      </c>
      <c r="P32">
        <f t="shared" si="4"/>
        <v>50</v>
      </c>
      <c r="Q32">
        <f t="shared" si="5"/>
        <v>0.83333333333333337</v>
      </c>
    </row>
    <row r="33" spans="1:17" x14ac:dyDescent="0.4">
      <c r="A33" t="s">
        <v>27</v>
      </c>
      <c r="B33" s="18">
        <f t="shared" si="6"/>
        <v>1000000</v>
      </c>
      <c r="C33">
        <v>0</v>
      </c>
      <c r="D33" s="18">
        <v>19000</v>
      </c>
      <c r="E33" s="18">
        <v>23000</v>
      </c>
      <c r="F33" s="7">
        <v>1</v>
      </c>
      <c r="G33" s="18">
        <v>-13000</v>
      </c>
      <c r="H33">
        <f t="shared" si="7"/>
        <v>5</v>
      </c>
      <c r="M33" s="7">
        <v>0.125</v>
      </c>
      <c r="N33" s="18">
        <f t="shared" si="2"/>
        <v>8000000</v>
      </c>
      <c r="O33">
        <f t="shared" si="3"/>
        <v>800</v>
      </c>
      <c r="P33">
        <f t="shared" si="4"/>
        <v>40</v>
      </c>
      <c r="Q33">
        <f t="shared" si="5"/>
        <v>0.66666666666666663</v>
      </c>
    </row>
    <row r="34" spans="1:17" x14ac:dyDescent="0.4">
      <c r="A34" t="s">
        <v>28</v>
      </c>
      <c r="B34" s="18">
        <f t="shared" si="6"/>
        <v>2000000</v>
      </c>
      <c r="C34">
        <v>0</v>
      </c>
      <c r="D34" s="18">
        <v>20000</v>
      </c>
      <c r="E34" s="18">
        <v>28000</v>
      </c>
      <c r="F34" s="7">
        <v>0.5</v>
      </c>
      <c r="G34" s="18">
        <v>-12400</v>
      </c>
      <c r="H34">
        <f t="shared" si="7"/>
        <v>10</v>
      </c>
      <c r="M34" s="7">
        <v>0.128</v>
      </c>
      <c r="N34" s="18">
        <f t="shared" si="2"/>
        <v>7812500</v>
      </c>
      <c r="O34">
        <f t="shared" si="3"/>
        <v>781.25</v>
      </c>
      <c r="P34">
        <f t="shared" si="4"/>
        <v>39.0625</v>
      </c>
      <c r="Q34">
        <f t="shared" si="5"/>
        <v>0.65104166666666663</v>
      </c>
    </row>
    <row r="35" spans="1:17" x14ac:dyDescent="0.4">
      <c r="A35" t="s">
        <v>1527</v>
      </c>
      <c r="B35" s="18">
        <f>mole/F35*(sf_TC/100)</f>
        <v>40000000</v>
      </c>
      <c r="C35">
        <v>0</v>
      </c>
      <c r="D35" s="18">
        <v>20000</v>
      </c>
      <c r="E35" s="18">
        <v>26000</v>
      </c>
      <c r="F35" s="7">
        <v>2.5000000000000001E-2</v>
      </c>
      <c r="G35" s="18">
        <v>-9440</v>
      </c>
      <c r="H35">
        <f>B35/(I_b*20)</f>
        <v>200</v>
      </c>
      <c r="M35" s="7">
        <v>0.16</v>
      </c>
      <c r="N35" s="18">
        <f t="shared" si="2"/>
        <v>6250000</v>
      </c>
      <c r="O35">
        <f t="shared" si="3"/>
        <v>625</v>
      </c>
      <c r="P35">
        <f t="shared" si="4"/>
        <v>31.25</v>
      </c>
      <c r="Q35">
        <f t="shared" si="5"/>
        <v>0.52083333333333337</v>
      </c>
    </row>
    <row r="36" spans="1:17" x14ac:dyDescent="0.4">
      <c r="A36" t="s">
        <v>29</v>
      </c>
      <c r="B36" s="18">
        <f t="shared" si="6"/>
        <v>25000000</v>
      </c>
      <c r="C36">
        <v>0</v>
      </c>
      <c r="D36" s="18">
        <v>20000</v>
      </c>
      <c r="E36" s="18">
        <v>24000</v>
      </c>
      <c r="F36" s="7">
        <v>0.04</v>
      </c>
      <c r="G36" s="18">
        <v>10400</v>
      </c>
      <c r="H36">
        <f t="shared" si="7"/>
        <v>125</v>
      </c>
      <c r="M36" s="7">
        <v>0.2</v>
      </c>
      <c r="N36" s="18">
        <f t="shared" si="2"/>
        <v>5000000</v>
      </c>
      <c r="O36">
        <f t="shared" si="3"/>
        <v>500</v>
      </c>
      <c r="P36">
        <f t="shared" si="4"/>
        <v>25</v>
      </c>
      <c r="Q36">
        <f t="shared" si="5"/>
        <v>0.41666666666666669</v>
      </c>
    </row>
    <row r="37" spans="1:17" x14ac:dyDescent="0.4">
      <c r="A37" t="s">
        <v>30</v>
      </c>
      <c r="B37" s="18">
        <f t="shared" si="6"/>
        <v>50000000</v>
      </c>
      <c r="C37">
        <v>0</v>
      </c>
      <c r="D37" s="18">
        <v>20500</v>
      </c>
      <c r="E37" s="18">
        <v>30000</v>
      </c>
      <c r="F37" s="7">
        <v>0.02</v>
      </c>
      <c r="G37" s="18">
        <v>4830</v>
      </c>
      <c r="H37">
        <f t="shared" si="7"/>
        <v>250</v>
      </c>
      <c r="M37" s="7">
        <v>0.25</v>
      </c>
      <c r="N37" s="18">
        <f t="shared" si="2"/>
        <v>4000000</v>
      </c>
      <c r="O37">
        <f t="shared" si="3"/>
        <v>400</v>
      </c>
      <c r="P37">
        <f t="shared" si="4"/>
        <v>20</v>
      </c>
      <c r="Q37">
        <f t="shared" si="5"/>
        <v>0.33333333333333331</v>
      </c>
    </row>
    <row r="38" spans="1:17" x14ac:dyDescent="0.4">
      <c r="A38" t="s">
        <v>1503</v>
      </c>
      <c r="B38" s="18">
        <f>mole/F38*(sf_TC/100)</f>
        <v>5000000</v>
      </c>
      <c r="C38">
        <v>0</v>
      </c>
      <c r="D38" s="18">
        <v>21000</v>
      </c>
      <c r="E38" s="18">
        <v>28500</v>
      </c>
      <c r="F38" s="7">
        <v>0.2</v>
      </c>
      <c r="G38" s="18">
        <v>-12800</v>
      </c>
      <c r="H38">
        <f>B38/(I_b*20)</f>
        <v>25</v>
      </c>
      <c r="M38" s="7">
        <v>0.25600000000000001</v>
      </c>
      <c r="N38" s="18">
        <f t="shared" si="2"/>
        <v>3906250</v>
      </c>
      <c r="O38">
        <f t="shared" si="3"/>
        <v>390.625</v>
      </c>
      <c r="P38">
        <f t="shared" si="4"/>
        <v>19.53125</v>
      </c>
      <c r="Q38">
        <f t="shared" si="5"/>
        <v>0.32552083333333331</v>
      </c>
    </row>
    <row r="39" spans="1:17" x14ac:dyDescent="0.4">
      <c r="A39" t="s">
        <v>1513</v>
      </c>
      <c r="B39" s="18">
        <f t="shared" ref="B39" si="8">mole/F39*(sf_TC/100)</f>
        <v>31250000</v>
      </c>
      <c r="C39">
        <v>0</v>
      </c>
      <c r="D39" s="18">
        <v>21000</v>
      </c>
      <c r="E39" s="18">
        <v>30000</v>
      </c>
      <c r="F39" s="7">
        <v>3.2000000000000001E-2</v>
      </c>
      <c r="G39" s="18">
        <v>-9350</v>
      </c>
      <c r="H39">
        <f t="shared" ref="H39" si="9">B39/(I_b*20)</f>
        <v>156.25</v>
      </c>
      <c r="M39" s="7">
        <v>0.32</v>
      </c>
      <c r="N39" s="18">
        <f t="shared" si="2"/>
        <v>3125000</v>
      </c>
      <c r="O39">
        <f t="shared" si="3"/>
        <v>312.5</v>
      </c>
      <c r="P39">
        <f t="shared" si="4"/>
        <v>15.625</v>
      </c>
      <c r="Q39">
        <f t="shared" si="5"/>
        <v>0.26041666666666669</v>
      </c>
    </row>
    <row r="40" spans="1:17" x14ac:dyDescent="0.4">
      <c r="A40" t="s">
        <v>31</v>
      </c>
      <c r="B40" s="18">
        <f t="shared" si="6"/>
        <v>15625000</v>
      </c>
      <c r="C40">
        <v>0</v>
      </c>
      <c r="D40" s="18">
        <v>21000</v>
      </c>
      <c r="E40" s="18">
        <v>25000</v>
      </c>
      <c r="F40" s="7">
        <v>6.4000000000000001E-2</v>
      </c>
      <c r="G40" s="18">
        <v>8490</v>
      </c>
      <c r="H40">
        <f t="shared" si="7"/>
        <v>78.125</v>
      </c>
      <c r="M40" s="7">
        <v>0.4</v>
      </c>
      <c r="N40" s="18">
        <f t="shared" si="2"/>
        <v>2500000</v>
      </c>
      <c r="O40">
        <f t="shared" si="3"/>
        <v>250</v>
      </c>
      <c r="P40">
        <f t="shared" si="4"/>
        <v>12.5</v>
      </c>
      <c r="Q40">
        <f t="shared" si="5"/>
        <v>0.20833333333333334</v>
      </c>
    </row>
    <row r="41" spans="1:17" x14ac:dyDescent="0.4">
      <c r="A41" t="s">
        <v>1528</v>
      </c>
      <c r="B41" s="18">
        <f>mole/F41*(sf_TC/100)</f>
        <v>6250000</v>
      </c>
      <c r="C41">
        <v>0</v>
      </c>
      <c r="D41" s="18">
        <v>25000</v>
      </c>
      <c r="E41" s="18">
        <v>30000</v>
      </c>
      <c r="F41" s="7">
        <v>0.16</v>
      </c>
      <c r="G41" s="18">
        <v>-14200</v>
      </c>
      <c r="H41">
        <f>B41/(I_b*20)</f>
        <v>31.25</v>
      </c>
      <c r="M41" s="7">
        <v>0.5</v>
      </c>
      <c r="N41" s="18">
        <f t="shared" si="2"/>
        <v>2000000</v>
      </c>
      <c r="O41">
        <f t="shared" si="3"/>
        <v>200</v>
      </c>
      <c r="P41">
        <f t="shared" si="4"/>
        <v>10</v>
      </c>
      <c r="Q41">
        <f t="shared" si="5"/>
        <v>0.16666666666666666</v>
      </c>
    </row>
    <row r="42" spans="1:17" x14ac:dyDescent="0.4">
      <c r="A42" t="s">
        <v>32</v>
      </c>
      <c r="B42" s="18">
        <f t="shared" si="6"/>
        <v>12500000</v>
      </c>
      <c r="C42">
        <v>0</v>
      </c>
      <c r="D42" s="18">
        <v>27000</v>
      </c>
      <c r="E42" s="18">
        <v>35000</v>
      </c>
      <c r="F42" s="7">
        <v>0.08</v>
      </c>
      <c r="G42" s="18">
        <v>-26300</v>
      </c>
      <c r="H42">
        <f t="shared" si="7"/>
        <v>62.5</v>
      </c>
      <c r="M42" s="7">
        <v>0.625</v>
      </c>
      <c r="N42" s="18">
        <f t="shared" si="2"/>
        <v>1600000</v>
      </c>
      <c r="O42">
        <f t="shared" si="3"/>
        <v>160</v>
      </c>
      <c r="P42">
        <f t="shared" si="4"/>
        <v>8</v>
      </c>
      <c r="Q42">
        <f t="shared" si="5"/>
        <v>0.13333333333333333</v>
      </c>
    </row>
    <row r="43" spans="1:17" x14ac:dyDescent="0.4">
      <c r="A43" t="s">
        <v>1529</v>
      </c>
      <c r="B43" s="18">
        <f>mole/F43*(sf_TC/100)</f>
        <v>50000000</v>
      </c>
      <c r="C43">
        <v>0</v>
      </c>
      <c r="D43" s="18">
        <v>28000</v>
      </c>
      <c r="E43" s="18">
        <v>38000</v>
      </c>
      <c r="F43" s="7">
        <v>0.02</v>
      </c>
      <c r="G43" s="18">
        <v>-12200</v>
      </c>
      <c r="H43">
        <f>B43/(I_b*20)</f>
        <v>250</v>
      </c>
      <c r="M43" s="7">
        <v>0.64</v>
      </c>
      <c r="N43" s="18">
        <f t="shared" si="2"/>
        <v>1562500</v>
      </c>
      <c r="O43">
        <f t="shared" si="3"/>
        <v>156.25</v>
      </c>
      <c r="P43">
        <f t="shared" si="4"/>
        <v>7.8125</v>
      </c>
      <c r="Q43">
        <f t="shared" si="5"/>
        <v>0.13020833333333334</v>
      </c>
    </row>
    <row r="44" spans="1:17" x14ac:dyDescent="0.4">
      <c r="A44" t="s">
        <v>33</v>
      </c>
      <c r="B44" s="18">
        <f t="shared" si="6"/>
        <v>20000000</v>
      </c>
      <c r="C44">
        <v>0</v>
      </c>
      <c r="D44" s="18">
        <v>30000</v>
      </c>
      <c r="E44" s="18">
        <v>33000</v>
      </c>
      <c r="F44" s="7">
        <v>0.05</v>
      </c>
      <c r="G44" s="18">
        <v>-31400</v>
      </c>
      <c r="H44">
        <f t="shared" si="7"/>
        <v>100</v>
      </c>
      <c r="M44" s="7">
        <v>0.8</v>
      </c>
      <c r="N44" s="18">
        <f t="shared" si="2"/>
        <v>1250000</v>
      </c>
      <c r="O44">
        <f t="shared" si="3"/>
        <v>125</v>
      </c>
      <c r="P44">
        <f t="shared" si="4"/>
        <v>6.25</v>
      </c>
      <c r="Q44">
        <f t="shared" si="5"/>
        <v>0.10416666666666667</v>
      </c>
    </row>
    <row r="45" spans="1:17" x14ac:dyDescent="0.4">
      <c r="A45" t="s">
        <v>34</v>
      </c>
      <c r="B45" s="18">
        <f t="shared" si="6"/>
        <v>5000000</v>
      </c>
      <c r="C45">
        <v>0</v>
      </c>
      <c r="D45" s="18">
        <v>30000</v>
      </c>
      <c r="E45" s="18">
        <v>43000</v>
      </c>
      <c r="F45" s="7">
        <v>0.2</v>
      </c>
      <c r="G45" s="18">
        <v>-14700</v>
      </c>
      <c r="H45">
        <f t="shared" si="7"/>
        <v>25</v>
      </c>
      <c r="M45" s="7">
        <v>1</v>
      </c>
      <c r="N45" s="18">
        <f t="shared" si="2"/>
        <v>1000000</v>
      </c>
      <c r="O45">
        <f t="shared" si="3"/>
        <v>100</v>
      </c>
      <c r="P45">
        <f t="shared" si="4"/>
        <v>5</v>
      </c>
      <c r="Q45">
        <f t="shared" si="5"/>
        <v>8.3333333333333329E-2</v>
      </c>
    </row>
    <row r="46" spans="1:17" x14ac:dyDescent="0.4">
      <c r="A46" t="s">
        <v>35</v>
      </c>
      <c r="B46" s="18">
        <f t="shared" si="6"/>
        <v>5000000</v>
      </c>
      <c r="C46">
        <v>0</v>
      </c>
      <c r="D46" s="18">
        <v>32000</v>
      </c>
      <c r="E46" s="18">
        <v>50000</v>
      </c>
      <c r="F46" s="7">
        <v>0.2</v>
      </c>
      <c r="G46" s="18">
        <v>-19900</v>
      </c>
      <c r="H46">
        <f t="shared" si="7"/>
        <v>25</v>
      </c>
    </row>
    <row r="47" spans="1:17" x14ac:dyDescent="0.4">
      <c r="A47" t="s">
        <v>36</v>
      </c>
      <c r="B47" s="18">
        <f t="shared" si="6"/>
        <v>8000000</v>
      </c>
      <c r="C47">
        <v>0</v>
      </c>
      <c r="D47" s="18">
        <v>33000</v>
      </c>
      <c r="E47" s="18">
        <v>46000</v>
      </c>
      <c r="F47" s="7">
        <v>0.125</v>
      </c>
      <c r="G47" s="18">
        <v>-10300</v>
      </c>
      <c r="H47">
        <f t="shared" si="7"/>
        <v>40</v>
      </c>
      <c r="M47" s="124" t="s">
        <v>184</v>
      </c>
      <c r="N47" s="125"/>
      <c r="O47" s="125"/>
      <c r="P47" s="125"/>
      <c r="Q47" s="125"/>
    </row>
    <row r="48" spans="1:17" x14ac:dyDescent="0.4">
      <c r="A48" t="s">
        <v>37</v>
      </c>
      <c r="B48" s="18">
        <f t="shared" ref="B48:B80" si="10">mole/F48*(sf_TC/100)</f>
        <v>3125000</v>
      </c>
      <c r="C48">
        <v>0</v>
      </c>
      <c r="D48" s="18">
        <v>38000</v>
      </c>
      <c r="E48" s="18">
        <v>56000</v>
      </c>
      <c r="F48" s="7">
        <v>0.32</v>
      </c>
      <c r="G48" s="18">
        <v>-24100</v>
      </c>
      <c r="H48">
        <f t="shared" ref="H48:H80" si="11">B48/(I_b*20)</f>
        <v>15.625</v>
      </c>
    </row>
    <row r="49" spans="1:17" x14ac:dyDescent="0.4">
      <c r="A49" t="s">
        <v>1173</v>
      </c>
      <c r="B49" s="18">
        <f t="shared" si="10"/>
        <v>15625000</v>
      </c>
      <c r="C49">
        <v>0</v>
      </c>
      <c r="D49" s="18">
        <v>40000</v>
      </c>
      <c r="E49" s="18">
        <v>50000</v>
      </c>
      <c r="F49" s="7">
        <v>6.4000000000000001E-2</v>
      </c>
      <c r="G49" s="18">
        <v>-16000</v>
      </c>
      <c r="H49">
        <f t="shared" si="11"/>
        <v>78.125</v>
      </c>
      <c r="M49" s="1" t="s">
        <v>177</v>
      </c>
      <c r="N49" s="1" t="s">
        <v>178</v>
      </c>
    </row>
    <row r="50" spans="1:17" x14ac:dyDescent="0.4">
      <c r="A50" t="s">
        <v>38</v>
      </c>
      <c r="B50" s="18">
        <f t="shared" si="10"/>
        <v>20000000</v>
      </c>
      <c r="C50">
        <v>0</v>
      </c>
      <c r="D50" s="18">
        <v>40000</v>
      </c>
      <c r="E50" s="18">
        <v>65000</v>
      </c>
      <c r="F50" s="7">
        <v>0.05</v>
      </c>
      <c r="G50" s="18">
        <v>-20700</v>
      </c>
      <c r="H50">
        <f t="shared" si="11"/>
        <v>100</v>
      </c>
      <c r="M50" s="4">
        <v>0.08</v>
      </c>
      <c r="N50" s="6" cm="1">
        <f t="array" ref="N50">INDEX(M18:M45,MATCH(MIN(ABS(2*M50-M18:M45)),ABS(2*M50-M18:M45),0))</f>
        <v>0.16</v>
      </c>
    </row>
    <row r="51" spans="1:17" x14ac:dyDescent="0.4">
      <c r="A51" t="s">
        <v>39</v>
      </c>
      <c r="B51" s="18">
        <f t="shared" si="10"/>
        <v>12500000</v>
      </c>
      <c r="C51">
        <v>0</v>
      </c>
      <c r="D51" s="18">
        <v>40000</v>
      </c>
      <c r="E51" s="18">
        <v>50000</v>
      </c>
      <c r="F51" s="7">
        <v>0.08</v>
      </c>
      <c r="G51" s="18">
        <v>-22500</v>
      </c>
      <c r="H51">
        <f t="shared" si="11"/>
        <v>62.5</v>
      </c>
    </row>
    <row r="52" spans="1:17" ht="14.6" customHeight="1" x14ac:dyDescent="0.4">
      <c r="A52" t="s">
        <v>40</v>
      </c>
      <c r="B52" s="18">
        <f t="shared" si="10"/>
        <v>1600000</v>
      </c>
      <c r="C52">
        <v>0</v>
      </c>
      <c r="D52" s="18">
        <v>45000</v>
      </c>
      <c r="E52" s="18">
        <v>56000</v>
      </c>
      <c r="F52" s="7">
        <v>0.625</v>
      </c>
      <c r="G52" s="18">
        <v>3760</v>
      </c>
      <c r="H52">
        <f t="shared" si="11"/>
        <v>8</v>
      </c>
      <c r="M52" s="98" t="s">
        <v>895</v>
      </c>
      <c r="N52" s="99"/>
      <c r="O52" s="99"/>
      <c r="P52" s="99"/>
      <c r="Q52" s="100"/>
    </row>
    <row r="53" spans="1:17" x14ac:dyDescent="0.4">
      <c r="A53" t="s">
        <v>1409</v>
      </c>
      <c r="B53" s="18">
        <f t="shared" si="10"/>
        <v>1000000</v>
      </c>
      <c r="C53">
        <v>0</v>
      </c>
      <c r="D53" s="18">
        <v>50000</v>
      </c>
      <c r="E53" s="18">
        <v>600000</v>
      </c>
      <c r="F53" s="7">
        <v>1</v>
      </c>
      <c r="G53" s="18">
        <v>0</v>
      </c>
      <c r="H53">
        <f t="shared" si="11"/>
        <v>5</v>
      </c>
      <c r="M53" s="101"/>
      <c r="N53" s="102"/>
      <c r="O53" s="102"/>
      <c r="P53" s="102"/>
      <c r="Q53" s="103"/>
    </row>
    <row r="54" spans="1:17" ht="14.6" customHeight="1" x14ac:dyDescent="0.4">
      <c r="A54" t="s">
        <v>1413</v>
      </c>
      <c r="B54" s="18">
        <f t="shared" si="10"/>
        <v>1000000</v>
      </c>
      <c r="C54">
        <v>0</v>
      </c>
      <c r="D54" s="18">
        <v>50000</v>
      </c>
      <c r="E54" s="18">
        <v>600000</v>
      </c>
      <c r="F54" s="7">
        <v>1</v>
      </c>
      <c r="G54" s="18">
        <v>0</v>
      </c>
      <c r="H54">
        <f t="shared" si="11"/>
        <v>5</v>
      </c>
      <c r="M54" s="101"/>
      <c r="N54" s="102"/>
      <c r="O54" s="102"/>
      <c r="P54" s="102"/>
      <c r="Q54" s="103"/>
    </row>
    <row r="55" spans="1:17" x14ac:dyDescent="0.4">
      <c r="A55" t="s">
        <v>1410</v>
      </c>
      <c r="B55" s="18">
        <f t="shared" si="10"/>
        <v>1000000</v>
      </c>
      <c r="C55">
        <v>0</v>
      </c>
      <c r="D55" s="18">
        <v>50000</v>
      </c>
      <c r="E55" s="18">
        <v>600000</v>
      </c>
      <c r="F55" s="7">
        <v>1</v>
      </c>
      <c r="G55" s="18">
        <v>0</v>
      </c>
      <c r="H55">
        <f t="shared" si="11"/>
        <v>5</v>
      </c>
      <c r="M55" s="104"/>
      <c r="N55" s="105"/>
      <c r="O55" s="105"/>
      <c r="P55" s="105"/>
      <c r="Q55" s="106"/>
    </row>
    <row r="56" spans="1:17" x14ac:dyDescent="0.4">
      <c r="A56" t="s">
        <v>1411</v>
      </c>
      <c r="B56" s="18">
        <f t="shared" si="10"/>
        <v>1000000</v>
      </c>
      <c r="C56">
        <v>0</v>
      </c>
      <c r="D56" s="18">
        <v>50000</v>
      </c>
      <c r="E56" s="18">
        <v>600000</v>
      </c>
      <c r="F56" s="7">
        <v>1</v>
      </c>
      <c r="G56" s="18">
        <v>0</v>
      </c>
      <c r="H56">
        <f t="shared" si="11"/>
        <v>5</v>
      </c>
    </row>
    <row r="57" spans="1:17" ht="14.6" customHeight="1" x14ac:dyDescent="0.4">
      <c r="A57" t="s">
        <v>1436</v>
      </c>
      <c r="B57" s="18">
        <f>mole/F57*(sf_TC/100)</f>
        <v>1000000</v>
      </c>
      <c r="C57">
        <v>0</v>
      </c>
      <c r="D57" s="18">
        <v>50000</v>
      </c>
      <c r="E57" s="18">
        <v>600000</v>
      </c>
      <c r="F57" s="7">
        <v>1</v>
      </c>
      <c r="G57" s="18">
        <v>0</v>
      </c>
      <c r="H57">
        <f>B57/(I_b*20)</f>
        <v>5</v>
      </c>
      <c r="M57" s="98" t="s">
        <v>896</v>
      </c>
      <c r="N57" s="99"/>
      <c r="O57" s="99"/>
      <c r="P57" s="99"/>
      <c r="Q57" s="100"/>
    </row>
    <row r="58" spans="1:17" x14ac:dyDescent="0.4">
      <c r="A58" t="s">
        <v>1414</v>
      </c>
      <c r="B58" s="18">
        <f t="shared" si="10"/>
        <v>1000000</v>
      </c>
      <c r="C58">
        <v>0</v>
      </c>
      <c r="D58" s="18">
        <v>60000</v>
      </c>
      <c r="E58" s="18">
        <v>600000</v>
      </c>
      <c r="F58" s="7">
        <v>1</v>
      </c>
      <c r="G58" s="18">
        <v>0</v>
      </c>
      <c r="H58">
        <f t="shared" si="11"/>
        <v>5</v>
      </c>
      <c r="M58" s="101"/>
      <c r="N58" s="102"/>
      <c r="O58" s="102"/>
      <c r="P58" s="102"/>
      <c r="Q58" s="103"/>
    </row>
    <row r="59" spans="1:17" ht="14.6" customHeight="1" x14ac:dyDescent="0.4">
      <c r="A59" t="s">
        <v>1415</v>
      </c>
      <c r="B59" s="18">
        <f t="shared" si="10"/>
        <v>1000000</v>
      </c>
      <c r="C59">
        <v>0</v>
      </c>
      <c r="D59" s="18">
        <v>50000</v>
      </c>
      <c r="E59" s="18">
        <v>600000</v>
      </c>
      <c r="F59" s="7">
        <v>1</v>
      </c>
      <c r="G59" s="18">
        <v>0</v>
      </c>
      <c r="H59">
        <f t="shared" si="11"/>
        <v>5</v>
      </c>
      <c r="M59" s="104"/>
      <c r="N59" s="105"/>
      <c r="O59" s="105"/>
      <c r="P59" s="105"/>
      <c r="Q59" s="106"/>
    </row>
    <row r="60" spans="1:17" x14ac:dyDescent="0.4">
      <c r="A60" t="s">
        <v>1416</v>
      </c>
      <c r="B60" s="18">
        <f t="shared" si="10"/>
        <v>1000000</v>
      </c>
      <c r="C60">
        <v>0</v>
      </c>
      <c r="D60" s="18">
        <v>50000</v>
      </c>
      <c r="E60" s="18">
        <v>600000</v>
      </c>
      <c r="F60" s="7">
        <v>1</v>
      </c>
      <c r="G60" s="18">
        <v>0</v>
      </c>
      <c r="H60">
        <f t="shared" si="11"/>
        <v>5</v>
      </c>
    </row>
    <row r="61" spans="1:17" x14ac:dyDescent="0.4">
      <c r="A61" t="s">
        <v>1417</v>
      </c>
      <c r="B61" s="18">
        <f t="shared" si="10"/>
        <v>1000000</v>
      </c>
      <c r="C61">
        <v>0</v>
      </c>
      <c r="D61" s="18">
        <v>50000</v>
      </c>
      <c r="E61" s="18">
        <v>600000</v>
      </c>
      <c r="F61" s="7">
        <v>1</v>
      </c>
      <c r="G61" s="18">
        <v>0</v>
      </c>
      <c r="H61">
        <f t="shared" si="11"/>
        <v>5</v>
      </c>
    </row>
    <row r="62" spans="1:17" x14ac:dyDescent="0.4">
      <c r="A62" t="s">
        <v>1418</v>
      </c>
      <c r="B62" s="18">
        <f t="shared" si="10"/>
        <v>1000000</v>
      </c>
      <c r="C62">
        <v>0</v>
      </c>
      <c r="D62" s="18">
        <v>50000</v>
      </c>
      <c r="E62" s="18">
        <v>600000</v>
      </c>
      <c r="F62" s="7">
        <v>1</v>
      </c>
      <c r="G62" s="18">
        <v>0</v>
      </c>
      <c r="H62">
        <f t="shared" si="11"/>
        <v>5</v>
      </c>
    </row>
    <row r="63" spans="1:17" x14ac:dyDescent="0.4">
      <c r="A63" t="s">
        <v>1431</v>
      </c>
      <c r="B63" s="18">
        <f t="shared" si="10"/>
        <v>1000000</v>
      </c>
      <c r="C63">
        <v>0</v>
      </c>
      <c r="D63" s="18">
        <v>50000</v>
      </c>
      <c r="E63" s="18">
        <v>600000</v>
      </c>
      <c r="F63" s="7">
        <v>1</v>
      </c>
      <c r="G63" s="18">
        <v>0</v>
      </c>
      <c r="H63">
        <f t="shared" si="11"/>
        <v>5</v>
      </c>
    </row>
    <row r="64" spans="1:17" x14ac:dyDescent="0.4">
      <c r="A64" t="s">
        <v>1419</v>
      </c>
      <c r="B64" s="18">
        <f t="shared" si="10"/>
        <v>1000000</v>
      </c>
      <c r="C64">
        <v>0</v>
      </c>
      <c r="D64" s="18">
        <v>50000</v>
      </c>
      <c r="E64" s="18">
        <v>600000</v>
      </c>
      <c r="F64" s="7">
        <v>1</v>
      </c>
      <c r="G64" s="18">
        <v>0</v>
      </c>
      <c r="H64">
        <f t="shared" si="11"/>
        <v>5</v>
      </c>
    </row>
    <row r="65" spans="1:8" x14ac:dyDescent="0.4">
      <c r="A65" t="s">
        <v>1421</v>
      </c>
      <c r="B65" s="18">
        <f t="shared" si="10"/>
        <v>1000000</v>
      </c>
      <c r="C65">
        <v>0</v>
      </c>
      <c r="D65" s="18">
        <v>50000</v>
      </c>
      <c r="E65" s="18">
        <v>600000</v>
      </c>
      <c r="F65" s="7">
        <v>1</v>
      </c>
      <c r="G65" s="18">
        <v>0</v>
      </c>
      <c r="H65">
        <f t="shared" si="11"/>
        <v>5</v>
      </c>
    </row>
    <row r="66" spans="1:8" x14ac:dyDescent="0.4">
      <c r="A66" t="s">
        <v>1422</v>
      </c>
      <c r="B66" s="18">
        <f t="shared" si="10"/>
        <v>1000000</v>
      </c>
      <c r="C66">
        <v>0</v>
      </c>
      <c r="D66" s="18">
        <v>50000</v>
      </c>
      <c r="E66" s="18">
        <v>600000</v>
      </c>
      <c r="F66" s="7">
        <v>1</v>
      </c>
      <c r="G66" s="18">
        <v>0</v>
      </c>
      <c r="H66">
        <f t="shared" si="11"/>
        <v>5</v>
      </c>
    </row>
    <row r="67" spans="1:8" x14ac:dyDescent="0.4">
      <c r="A67" t="s">
        <v>1423</v>
      </c>
      <c r="B67" s="18">
        <f t="shared" si="10"/>
        <v>1000000</v>
      </c>
      <c r="C67">
        <v>0</v>
      </c>
      <c r="D67" s="18">
        <v>50000</v>
      </c>
      <c r="E67" s="18">
        <v>600000</v>
      </c>
      <c r="F67" s="7">
        <v>1</v>
      </c>
      <c r="G67" s="18">
        <v>0</v>
      </c>
      <c r="H67">
        <f t="shared" si="11"/>
        <v>5</v>
      </c>
    </row>
    <row r="68" spans="1:8" x14ac:dyDescent="0.4">
      <c r="A68" t="s">
        <v>1424</v>
      </c>
      <c r="B68" s="18">
        <f t="shared" si="10"/>
        <v>1000000</v>
      </c>
      <c r="C68">
        <v>0</v>
      </c>
      <c r="D68" s="18">
        <v>50000</v>
      </c>
      <c r="E68" s="18">
        <v>600000</v>
      </c>
      <c r="F68" s="7">
        <v>1</v>
      </c>
      <c r="G68" s="18">
        <v>0</v>
      </c>
      <c r="H68">
        <f t="shared" si="11"/>
        <v>5</v>
      </c>
    </row>
    <row r="69" spans="1:8" x14ac:dyDescent="0.4">
      <c r="A69" t="s">
        <v>1425</v>
      </c>
      <c r="B69" s="18">
        <f t="shared" si="10"/>
        <v>1000000</v>
      </c>
      <c r="C69">
        <v>0</v>
      </c>
      <c r="D69" s="18">
        <v>50000</v>
      </c>
      <c r="E69" s="18">
        <v>600000</v>
      </c>
      <c r="F69" s="7">
        <v>1</v>
      </c>
      <c r="G69" s="18">
        <v>0</v>
      </c>
      <c r="H69">
        <f t="shared" si="11"/>
        <v>5</v>
      </c>
    </row>
    <row r="70" spans="1:8" x14ac:dyDescent="0.4">
      <c r="A70" t="s">
        <v>1426</v>
      </c>
      <c r="B70" s="18">
        <f t="shared" si="10"/>
        <v>1000000</v>
      </c>
      <c r="C70">
        <v>0</v>
      </c>
      <c r="D70" s="18">
        <v>50000</v>
      </c>
      <c r="E70" s="18">
        <v>600000</v>
      </c>
      <c r="F70" s="7">
        <v>1</v>
      </c>
      <c r="G70" s="18">
        <v>0</v>
      </c>
      <c r="H70">
        <f t="shared" si="11"/>
        <v>5</v>
      </c>
    </row>
    <row r="71" spans="1:8" x14ac:dyDescent="0.4">
      <c r="A71" t="s">
        <v>1427</v>
      </c>
      <c r="B71" s="18">
        <f t="shared" si="10"/>
        <v>1000000</v>
      </c>
      <c r="C71">
        <v>0</v>
      </c>
      <c r="D71" s="18">
        <v>50000</v>
      </c>
      <c r="E71" s="18">
        <v>600000</v>
      </c>
      <c r="F71" s="7">
        <v>1</v>
      </c>
      <c r="G71" s="18">
        <v>0</v>
      </c>
      <c r="H71">
        <f t="shared" si="11"/>
        <v>5</v>
      </c>
    </row>
    <row r="72" spans="1:8" x14ac:dyDescent="0.4">
      <c r="A72" t="s">
        <v>1428</v>
      </c>
      <c r="B72" s="18">
        <f t="shared" si="10"/>
        <v>1000000</v>
      </c>
      <c r="C72">
        <v>0</v>
      </c>
      <c r="D72" s="18">
        <v>50000</v>
      </c>
      <c r="E72" s="18">
        <v>600000</v>
      </c>
      <c r="F72" s="7">
        <v>1</v>
      </c>
      <c r="G72" s="18">
        <v>0</v>
      </c>
      <c r="H72">
        <f t="shared" si="11"/>
        <v>5</v>
      </c>
    </row>
    <row r="73" spans="1:8" x14ac:dyDescent="0.4">
      <c r="A73" t="s">
        <v>1429</v>
      </c>
      <c r="B73" s="18">
        <f t="shared" si="10"/>
        <v>1000000</v>
      </c>
      <c r="C73">
        <v>0</v>
      </c>
      <c r="D73" s="18">
        <v>50000</v>
      </c>
      <c r="E73" s="18">
        <v>600000</v>
      </c>
      <c r="F73" s="7">
        <v>1</v>
      </c>
      <c r="G73" s="18">
        <v>0</v>
      </c>
      <c r="H73">
        <f t="shared" si="11"/>
        <v>5</v>
      </c>
    </row>
    <row r="74" spans="1:8" x14ac:dyDescent="0.4">
      <c r="A74" t="s">
        <v>1430</v>
      </c>
      <c r="B74" s="18">
        <f t="shared" si="10"/>
        <v>1000000</v>
      </c>
      <c r="C74">
        <v>0</v>
      </c>
      <c r="D74" s="18">
        <v>50000</v>
      </c>
      <c r="E74" s="18">
        <v>600000</v>
      </c>
      <c r="F74" s="7">
        <v>1</v>
      </c>
      <c r="G74" s="18">
        <v>0</v>
      </c>
      <c r="H74">
        <f t="shared" si="11"/>
        <v>5</v>
      </c>
    </row>
    <row r="75" spans="1:8" x14ac:dyDescent="0.4">
      <c r="A75" t="s">
        <v>1420</v>
      </c>
      <c r="B75" s="18">
        <f t="shared" si="10"/>
        <v>1000000</v>
      </c>
      <c r="C75">
        <v>0</v>
      </c>
      <c r="D75" s="18">
        <v>50000</v>
      </c>
      <c r="E75" s="18">
        <v>600000</v>
      </c>
      <c r="F75" s="7">
        <v>1</v>
      </c>
      <c r="G75" s="18">
        <v>0</v>
      </c>
      <c r="H75">
        <f t="shared" si="11"/>
        <v>5</v>
      </c>
    </row>
    <row r="76" spans="1:8" x14ac:dyDescent="0.4">
      <c r="A76" t="s">
        <v>912</v>
      </c>
      <c r="B76" s="18">
        <f t="shared" si="10"/>
        <v>6250000</v>
      </c>
      <c r="C76">
        <v>0</v>
      </c>
      <c r="D76" s="18">
        <v>51000</v>
      </c>
      <c r="E76" s="18">
        <v>67000</v>
      </c>
      <c r="F76" s="7">
        <v>0.16</v>
      </c>
      <c r="G76" s="18">
        <v>-18500</v>
      </c>
      <c r="H76">
        <f t="shared" si="11"/>
        <v>31.25</v>
      </c>
    </row>
    <row r="77" spans="1:8" x14ac:dyDescent="0.4">
      <c r="A77" t="s">
        <v>1174</v>
      </c>
      <c r="B77" s="18">
        <f t="shared" si="10"/>
        <v>12500000</v>
      </c>
      <c r="C77">
        <v>0</v>
      </c>
      <c r="D77" s="18">
        <v>60000</v>
      </c>
      <c r="E77" s="18">
        <v>85000</v>
      </c>
      <c r="F77" s="7">
        <v>0.08</v>
      </c>
      <c r="G77" s="18">
        <v>-25200</v>
      </c>
      <c r="H77">
        <f t="shared" si="11"/>
        <v>62.5</v>
      </c>
    </row>
    <row r="78" spans="1:8" x14ac:dyDescent="0.4">
      <c r="A78" t="s">
        <v>913</v>
      </c>
      <c r="B78" s="18">
        <f t="shared" si="10"/>
        <v>50000000</v>
      </c>
      <c r="C78">
        <v>0</v>
      </c>
      <c r="D78" s="18">
        <v>65000</v>
      </c>
      <c r="E78" s="18">
        <v>150000</v>
      </c>
      <c r="F78" s="7">
        <v>0.02</v>
      </c>
      <c r="G78" s="18">
        <v>-26900</v>
      </c>
      <c r="H78">
        <f t="shared" si="11"/>
        <v>250</v>
      </c>
    </row>
    <row r="79" spans="1:8" x14ac:dyDescent="0.4">
      <c r="A79" t="s">
        <v>1412</v>
      </c>
      <c r="B79" s="18">
        <f t="shared" si="10"/>
        <v>10000000</v>
      </c>
      <c r="C79">
        <v>0</v>
      </c>
      <c r="D79" s="18">
        <v>100000</v>
      </c>
      <c r="E79" s="18">
        <v>600000</v>
      </c>
      <c r="F79" s="7">
        <v>0.1</v>
      </c>
      <c r="G79" s="18">
        <v>0</v>
      </c>
      <c r="H79">
        <f t="shared" si="11"/>
        <v>50</v>
      </c>
    </row>
    <row r="80" spans="1:8" x14ac:dyDescent="0.4">
      <c r="A80" t="s">
        <v>1406</v>
      </c>
      <c r="B80" s="18">
        <f t="shared" si="10"/>
        <v>6250000</v>
      </c>
      <c r="C80">
        <v>0</v>
      </c>
      <c r="D80" s="18">
        <v>100000</v>
      </c>
      <c r="E80" s="18">
        <v>600000</v>
      </c>
      <c r="F80" s="7">
        <v>0.16</v>
      </c>
      <c r="G80" s="18">
        <v>0</v>
      </c>
      <c r="H80">
        <f t="shared" si="11"/>
        <v>31.25</v>
      </c>
    </row>
    <row r="81" spans="1:8" x14ac:dyDescent="0.4">
      <c r="A81" t="s">
        <v>1407</v>
      </c>
      <c r="B81" s="18">
        <f t="shared" ref="B81:B111" si="12">mole/F81*(sf_TC/100)</f>
        <v>3125000</v>
      </c>
      <c r="C81">
        <v>0</v>
      </c>
      <c r="D81" s="18">
        <v>100000</v>
      </c>
      <c r="E81" s="18">
        <v>600000</v>
      </c>
      <c r="F81" s="7">
        <v>0.32</v>
      </c>
      <c r="G81" s="18">
        <v>0</v>
      </c>
      <c r="H81">
        <f t="shared" ref="H81:H111" si="13">B81/(I_b*20)</f>
        <v>15.625</v>
      </c>
    </row>
    <row r="82" spans="1:8" x14ac:dyDescent="0.4">
      <c r="A82" t="s">
        <v>41</v>
      </c>
      <c r="B82" s="18">
        <f t="shared" si="12"/>
        <v>50000000</v>
      </c>
      <c r="C82">
        <v>0</v>
      </c>
      <c r="D82" s="18">
        <v>150000</v>
      </c>
      <c r="E82" s="18">
        <v>1000000</v>
      </c>
      <c r="F82" s="7">
        <v>0.02</v>
      </c>
      <c r="G82" s="18">
        <v>-26800</v>
      </c>
      <c r="H82">
        <f t="shared" si="13"/>
        <v>250</v>
      </c>
    </row>
    <row r="83" spans="1:8" x14ac:dyDescent="0.4">
      <c r="A83" t="s">
        <v>1408</v>
      </c>
      <c r="B83" s="18">
        <f t="shared" si="12"/>
        <v>10000000</v>
      </c>
      <c r="C83">
        <v>0</v>
      </c>
      <c r="D83" s="18">
        <v>150000</v>
      </c>
      <c r="E83" s="18">
        <v>600000</v>
      </c>
      <c r="F83" s="7">
        <v>0.1</v>
      </c>
      <c r="G83" s="18">
        <v>0</v>
      </c>
      <c r="H83">
        <f t="shared" si="13"/>
        <v>50</v>
      </c>
    </row>
    <row r="84" spans="1:8" x14ac:dyDescent="0.4">
      <c r="A84" t="s">
        <v>42</v>
      </c>
      <c r="B84" s="18">
        <f t="shared" si="12"/>
        <v>50000000</v>
      </c>
      <c r="C84">
        <v>0</v>
      </c>
      <c r="D84" s="18">
        <v>155000</v>
      </c>
      <c r="E84" s="18">
        <v>170000</v>
      </c>
      <c r="F84" s="7">
        <v>0.02</v>
      </c>
      <c r="G84" s="18">
        <v>-38400</v>
      </c>
      <c r="H84">
        <f t="shared" si="13"/>
        <v>250</v>
      </c>
    </row>
    <row r="85" spans="1:8" x14ac:dyDescent="0.4">
      <c r="A85" t="s">
        <v>996</v>
      </c>
      <c r="B85" s="18">
        <f t="shared" si="12"/>
        <v>5000000</v>
      </c>
      <c r="C85">
        <v>0</v>
      </c>
      <c r="D85" s="18">
        <v>600000</v>
      </c>
      <c r="E85" s="18">
        <v>5000000</v>
      </c>
      <c r="F85" s="7">
        <v>0.2</v>
      </c>
      <c r="G85" s="18">
        <v>-279000</v>
      </c>
      <c r="H85">
        <f t="shared" si="13"/>
        <v>25</v>
      </c>
    </row>
    <row r="86" spans="1:8" x14ac:dyDescent="0.4">
      <c r="A86" t="s">
        <v>995</v>
      </c>
      <c r="B86" s="18">
        <f t="shared" si="12"/>
        <v>5000000</v>
      </c>
      <c r="C86">
        <v>0</v>
      </c>
      <c r="D86" s="18">
        <v>600000</v>
      </c>
      <c r="E86" s="18">
        <v>5000000</v>
      </c>
      <c r="F86" s="7">
        <v>0.2</v>
      </c>
      <c r="G86" s="18">
        <v>-279000</v>
      </c>
      <c r="H86">
        <f t="shared" si="13"/>
        <v>25</v>
      </c>
    </row>
    <row r="87" spans="1:8" x14ac:dyDescent="0.4">
      <c r="A87" t="s">
        <v>994</v>
      </c>
      <c r="B87" s="18">
        <f t="shared" si="12"/>
        <v>5000000</v>
      </c>
      <c r="C87">
        <v>0</v>
      </c>
      <c r="D87" s="18">
        <v>600000</v>
      </c>
      <c r="E87" s="18">
        <v>5000000</v>
      </c>
      <c r="F87" s="7">
        <v>0.2</v>
      </c>
      <c r="G87" s="18">
        <v>-279000</v>
      </c>
      <c r="H87">
        <f t="shared" si="13"/>
        <v>25</v>
      </c>
    </row>
    <row r="88" spans="1:8" x14ac:dyDescent="0.4">
      <c r="A88" t="s">
        <v>993</v>
      </c>
      <c r="B88" s="18">
        <f t="shared" si="12"/>
        <v>5000000</v>
      </c>
      <c r="C88">
        <v>0</v>
      </c>
      <c r="D88" s="18">
        <v>600000</v>
      </c>
      <c r="E88" s="18">
        <v>5000000</v>
      </c>
      <c r="F88" s="7">
        <v>0.2</v>
      </c>
      <c r="G88" s="18">
        <v>-279000</v>
      </c>
      <c r="H88">
        <f t="shared" si="13"/>
        <v>25</v>
      </c>
    </row>
    <row r="89" spans="1:8" x14ac:dyDescent="0.4">
      <c r="A89" t="s">
        <v>992</v>
      </c>
      <c r="B89" s="18">
        <f t="shared" si="12"/>
        <v>5000000</v>
      </c>
      <c r="C89">
        <v>0</v>
      </c>
      <c r="D89" s="18">
        <v>600000</v>
      </c>
      <c r="E89" s="18">
        <v>5000000</v>
      </c>
      <c r="F89" s="7">
        <v>0.2</v>
      </c>
      <c r="G89" s="18">
        <v>-279000</v>
      </c>
      <c r="H89">
        <f t="shared" si="13"/>
        <v>25</v>
      </c>
    </row>
    <row r="90" spans="1:8" x14ac:dyDescent="0.4">
      <c r="A90" t="s">
        <v>991</v>
      </c>
      <c r="B90" s="18">
        <f t="shared" si="12"/>
        <v>5000000</v>
      </c>
      <c r="C90">
        <v>0</v>
      </c>
      <c r="D90" s="18">
        <v>600000</v>
      </c>
      <c r="E90" s="18">
        <v>5000000</v>
      </c>
      <c r="F90" s="7">
        <v>0.2</v>
      </c>
      <c r="G90" s="18">
        <v>-279000</v>
      </c>
      <c r="H90">
        <f t="shared" si="13"/>
        <v>25</v>
      </c>
    </row>
    <row r="91" spans="1:8" x14ac:dyDescent="0.4">
      <c r="A91" t="s">
        <v>990</v>
      </c>
      <c r="B91" s="18">
        <f t="shared" si="12"/>
        <v>5000000</v>
      </c>
      <c r="C91">
        <v>0</v>
      </c>
      <c r="D91" s="18">
        <v>600000</v>
      </c>
      <c r="E91" s="18">
        <v>5000000</v>
      </c>
      <c r="F91" s="7">
        <v>0.2</v>
      </c>
      <c r="G91" s="18">
        <v>-279000</v>
      </c>
      <c r="H91">
        <f t="shared" si="13"/>
        <v>25</v>
      </c>
    </row>
    <row r="92" spans="1:8" x14ac:dyDescent="0.4">
      <c r="A92" t="s">
        <v>997</v>
      </c>
      <c r="B92" s="18">
        <f t="shared" si="12"/>
        <v>5000000</v>
      </c>
      <c r="C92">
        <v>0</v>
      </c>
      <c r="D92" s="18">
        <v>600000</v>
      </c>
      <c r="E92" s="18">
        <v>5000000</v>
      </c>
      <c r="F92" s="7">
        <v>0.2</v>
      </c>
      <c r="G92" s="18">
        <v>-279000</v>
      </c>
      <c r="H92">
        <f t="shared" si="13"/>
        <v>25</v>
      </c>
    </row>
    <row r="93" spans="1:8" x14ac:dyDescent="0.4">
      <c r="A93" t="s">
        <v>989</v>
      </c>
      <c r="B93" s="18">
        <f t="shared" si="12"/>
        <v>5000000</v>
      </c>
      <c r="C93">
        <v>0</v>
      </c>
      <c r="D93" s="18">
        <v>600000</v>
      </c>
      <c r="E93" s="18">
        <v>5000000</v>
      </c>
      <c r="F93" s="7">
        <v>0.2</v>
      </c>
      <c r="G93" s="18">
        <v>-279000</v>
      </c>
      <c r="H93">
        <f t="shared" si="13"/>
        <v>25</v>
      </c>
    </row>
    <row r="94" spans="1:8" x14ac:dyDescent="0.4">
      <c r="A94" t="s">
        <v>988</v>
      </c>
      <c r="B94" s="18">
        <f t="shared" si="12"/>
        <v>5000000</v>
      </c>
      <c r="C94">
        <v>0</v>
      </c>
      <c r="D94" s="18">
        <v>600000</v>
      </c>
      <c r="E94" s="18">
        <v>5000000</v>
      </c>
      <c r="F94" s="7">
        <v>0.2</v>
      </c>
      <c r="G94" s="18">
        <v>-279000</v>
      </c>
      <c r="H94">
        <f t="shared" si="13"/>
        <v>25</v>
      </c>
    </row>
    <row r="95" spans="1:8" x14ac:dyDescent="0.4">
      <c r="A95" t="s">
        <v>987</v>
      </c>
      <c r="B95" s="18">
        <f t="shared" si="12"/>
        <v>5000000</v>
      </c>
      <c r="C95">
        <v>0</v>
      </c>
      <c r="D95" s="18">
        <v>600000</v>
      </c>
      <c r="E95" s="18">
        <v>5000000</v>
      </c>
      <c r="F95" s="7">
        <v>0.2</v>
      </c>
      <c r="G95" s="18">
        <v>-279000</v>
      </c>
      <c r="H95">
        <f t="shared" si="13"/>
        <v>25</v>
      </c>
    </row>
    <row r="96" spans="1:8" x14ac:dyDescent="0.4">
      <c r="A96" t="s">
        <v>986</v>
      </c>
      <c r="B96" s="18">
        <f t="shared" si="12"/>
        <v>5000000</v>
      </c>
      <c r="C96">
        <v>0</v>
      </c>
      <c r="D96" s="18">
        <v>600000</v>
      </c>
      <c r="E96" s="18">
        <v>5000000</v>
      </c>
      <c r="F96" s="7">
        <v>0.2</v>
      </c>
      <c r="G96" s="18">
        <v>-279000</v>
      </c>
      <c r="H96">
        <f t="shared" si="13"/>
        <v>25</v>
      </c>
    </row>
    <row r="97" spans="1:8" x14ac:dyDescent="0.4">
      <c r="A97" t="s">
        <v>985</v>
      </c>
      <c r="B97" s="18">
        <f t="shared" si="12"/>
        <v>5000000</v>
      </c>
      <c r="C97">
        <v>0</v>
      </c>
      <c r="D97" s="18">
        <v>600000</v>
      </c>
      <c r="E97" s="18">
        <v>5000000</v>
      </c>
      <c r="F97" s="7">
        <v>0.2</v>
      </c>
      <c r="G97" s="18">
        <v>-279000</v>
      </c>
      <c r="H97">
        <f t="shared" si="13"/>
        <v>25</v>
      </c>
    </row>
    <row r="98" spans="1:8" x14ac:dyDescent="0.4">
      <c r="A98" t="s">
        <v>984</v>
      </c>
      <c r="B98" s="18">
        <f t="shared" si="12"/>
        <v>5000000</v>
      </c>
      <c r="C98">
        <v>0</v>
      </c>
      <c r="D98" s="18">
        <v>600000</v>
      </c>
      <c r="E98" s="18">
        <v>5000000</v>
      </c>
      <c r="F98" s="7">
        <v>0.2</v>
      </c>
      <c r="G98" s="18">
        <v>-279000</v>
      </c>
      <c r="H98">
        <f t="shared" si="13"/>
        <v>25</v>
      </c>
    </row>
    <row r="99" spans="1:8" x14ac:dyDescent="0.4">
      <c r="A99" t="s">
        <v>983</v>
      </c>
      <c r="B99" s="18">
        <f t="shared" si="12"/>
        <v>5000000</v>
      </c>
      <c r="C99">
        <v>0</v>
      </c>
      <c r="D99" s="18">
        <v>600000</v>
      </c>
      <c r="E99" s="18">
        <v>5000000</v>
      </c>
      <c r="F99" s="7">
        <v>0.2</v>
      </c>
      <c r="G99" s="18">
        <v>-279000</v>
      </c>
      <c r="H99">
        <f t="shared" si="13"/>
        <v>25</v>
      </c>
    </row>
    <row r="100" spans="1:8" x14ac:dyDescent="0.4">
      <c r="A100" t="s">
        <v>982</v>
      </c>
      <c r="B100" s="18">
        <f t="shared" si="12"/>
        <v>5000000</v>
      </c>
      <c r="C100">
        <v>0</v>
      </c>
      <c r="D100" s="18">
        <v>600000</v>
      </c>
      <c r="E100" s="18">
        <v>5000000</v>
      </c>
      <c r="F100" s="7">
        <v>0.2</v>
      </c>
      <c r="G100" s="18">
        <v>-279000</v>
      </c>
      <c r="H100">
        <f t="shared" si="13"/>
        <v>25</v>
      </c>
    </row>
    <row r="101" spans="1:8" x14ac:dyDescent="0.4">
      <c r="A101" t="s">
        <v>981</v>
      </c>
      <c r="B101" s="18">
        <f t="shared" si="12"/>
        <v>5000000</v>
      </c>
      <c r="C101">
        <v>0</v>
      </c>
      <c r="D101" s="18">
        <v>600000</v>
      </c>
      <c r="E101" s="18">
        <v>5000000</v>
      </c>
      <c r="F101" s="7">
        <v>0.2</v>
      </c>
      <c r="G101" s="18">
        <v>-279000</v>
      </c>
      <c r="H101">
        <f t="shared" si="13"/>
        <v>25</v>
      </c>
    </row>
    <row r="102" spans="1:8" x14ac:dyDescent="0.4">
      <c r="A102" t="s">
        <v>980</v>
      </c>
      <c r="B102" s="18">
        <f t="shared" si="12"/>
        <v>5000000</v>
      </c>
      <c r="C102">
        <v>0</v>
      </c>
      <c r="D102" s="18">
        <v>600000</v>
      </c>
      <c r="E102" s="18">
        <v>5000000</v>
      </c>
      <c r="F102" s="7">
        <v>0.2</v>
      </c>
      <c r="G102" s="18">
        <v>-279000</v>
      </c>
      <c r="H102">
        <f t="shared" si="13"/>
        <v>25</v>
      </c>
    </row>
    <row r="103" spans="1:8" x14ac:dyDescent="0.4">
      <c r="A103" t="s">
        <v>979</v>
      </c>
      <c r="B103" s="18">
        <f t="shared" si="12"/>
        <v>5000000</v>
      </c>
      <c r="C103">
        <v>0</v>
      </c>
      <c r="D103" s="18">
        <v>600000</v>
      </c>
      <c r="E103" s="18">
        <v>5000000</v>
      </c>
      <c r="F103" s="7">
        <v>0.2</v>
      </c>
      <c r="G103" s="18">
        <v>-279000</v>
      </c>
      <c r="H103">
        <f t="shared" si="13"/>
        <v>25</v>
      </c>
    </row>
    <row r="104" spans="1:8" x14ac:dyDescent="0.4">
      <c r="A104" t="s">
        <v>978</v>
      </c>
      <c r="B104" s="18">
        <f t="shared" si="12"/>
        <v>5000000</v>
      </c>
      <c r="C104">
        <v>0</v>
      </c>
      <c r="D104" s="18">
        <v>600000</v>
      </c>
      <c r="E104" s="18">
        <v>5000000</v>
      </c>
      <c r="F104" s="7">
        <v>0.2</v>
      </c>
      <c r="G104" s="18">
        <v>-279000</v>
      </c>
      <c r="H104">
        <f t="shared" si="13"/>
        <v>25</v>
      </c>
    </row>
    <row r="105" spans="1:8" x14ac:dyDescent="0.4">
      <c r="A105" t="s">
        <v>977</v>
      </c>
      <c r="B105" s="18">
        <f t="shared" si="12"/>
        <v>5000000</v>
      </c>
      <c r="C105">
        <v>0</v>
      </c>
      <c r="D105" s="18">
        <v>600000</v>
      </c>
      <c r="E105" s="18">
        <v>5000000</v>
      </c>
      <c r="F105" s="7">
        <v>0.2</v>
      </c>
      <c r="G105" s="18">
        <v>-279000</v>
      </c>
      <c r="H105">
        <f t="shared" si="13"/>
        <v>25</v>
      </c>
    </row>
    <row r="106" spans="1:8" x14ac:dyDescent="0.4">
      <c r="A106" t="s">
        <v>976</v>
      </c>
      <c r="B106" s="18">
        <f t="shared" si="12"/>
        <v>5000000</v>
      </c>
      <c r="C106">
        <v>0</v>
      </c>
      <c r="D106" s="18">
        <v>600000</v>
      </c>
      <c r="E106" s="18">
        <v>5000000</v>
      </c>
      <c r="F106" s="7">
        <v>0.2</v>
      </c>
      <c r="G106" s="18">
        <v>-279000</v>
      </c>
      <c r="H106">
        <f t="shared" si="13"/>
        <v>25</v>
      </c>
    </row>
    <row r="107" spans="1:8" x14ac:dyDescent="0.4">
      <c r="A107" t="s">
        <v>975</v>
      </c>
      <c r="B107" s="18">
        <f t="shared" si="12"/>
        <v>5000000</v>
      </c>
      <c r="C107">
        <v>0</v>
      </c>
      <c r="D107" s="18">
        <v>600000</v>
      </c>
      <c r="E107" s="18">
        <v>5000000</v>
      </c>
      <c r="F107" s="7">
        <v>0.2</v>
      </c>
      <c r="G107" s="18">
        <v>-279000</v>
      </c>
      <c r="H107">
        <f t="shared" si="13"/>
        <v>25</v>
      </c>
    </row>
    <row r="108" spans="1:8" x14ac:dyDescent="0.4">
      <c r="A108" t="s">
        <v>974</v>
      </c>
      <c r="B108" s="18">
        <f t="shared" si="12"/>
        <v>5000000</v>
      </c>
      <c r="C108">
        <v>0</v>
      </c>
      <c r="D108" s="18">
        <v>600000</v>
      </c>
      <c r="E108" s="18">
        <v>5000000</v>
      </c>
      <c r="F108" s="7">
        <v>0.2</v>
      </c>
      <c r="G108" s="18">
        <v>-279000</v>
      </c>
      <c r="H108">
        <f t="shared" si="13"/>
        <v>25</v>
      </c>
    </row>
    <row r="109" spans="1:8" x14ac:dyDescent="0.4">
      <c r="A109" t="s">
        <v>973</v>
      </c>
      <c r="B109" s="18">
        <f t="shared" si="12"/>
        <v>5000000</v>
      </c>
      <c r="C109">
        <v>0</v>
      </c>
      <c r="D109" s="18">
        <v>600000</v>
      </c>
      <c r="E109" s="18">
        <v>5000000</v>
      </c>
      <c r="F109" s="7">
        <v>0.2</v>
      </c>
      <c r="G109" s="18">
        <v>-279000</v>
      </c>
      <c r="H109">
        <f t="shared" si="13"/>
        <v>25</v>
      </c>
    </row>
    <row r="110" spans="1:8" x14ac:dyDescent="0.4">
      <c r="A110" t="s">
        <v>972</v>
      </c>
      <c r="B110" s="18">
        <f t="shared" si="12"/>
        <v>5000000</v>
      </c>
      <c r="C110">
        <v>0</v>
      </c>
      <c r="D110" s="18">
        <v>600000</v>
      </c>
      <c r="E110" s="18">
        <v>5000000</v>
      </c>
      <c r="F110" s="7">
        <v>0.2</v>
      </c>
      <c r="G110" s="18">
        <v>-279000</v>
      </c>
      <c r="H110">
        <f t="shared" si="13"/>
        <v>25</v>
      </c>
    </row>
    <row r="111" spans="1:8" x14ac:dyDescent="0.4">
      <c r="A111" t="s">
        <v>971</v>
      </c>
      <c r="B111" s="18">
        <f t="shared" si="12"/>
        <v>5000000</v>
      </c>
      <c r="C111">
        <v>0</v>
      </c>
      <c r="D111" s="18">
        <v>600000</v>
      </c>
      <c r="E111" s="18">
        <v>5000000</v>
      </c>
      <c r="F111" s="7">
        <v>0.2</v>
      </c>
      <c r="G111" s="18">
        <v>-279000</v>
      </c>
      <c r="H111">
        <f t="shared" si="13"/>
        <v>25</v>
      </c>
    </row>
    <row r="112" spans="1:8" x14ac:dyDescent="0.4">
      <c r="A112" t="s">
        <v>970</v>
      </c>
      <c r="B112" s="18">
        <f t="shared" ref="B112:B142" si="14">mole/F112*(sf_TC/100)</f>
        <v>5000000</v>
      </c>
      <c r="C112">
        <v>0</v>
      </c>
      <c r="D112" s="18">
        <v>600000</v>
      </c>
      <c r="E112" s="18">
        <v>5000000</v>
      </c>
      <c r="F112" s="7">
        <v>0.2</v>
      </c>
      <c r="G112" s="18">
        <v>-279000</v>
      </c>
      <c r="H112">
        <f t="shared" ref="H112:H142" si="15">B112/(I_b*20)</f>
        <v>25</v>
      </c>
    </row>
    <row r="113" spans="1:8" x14ac:dyDescent="0.4">
      <c r="A113" t="s">
        <v>969</v>
      </c>
      <c r="B113" s="18">
        <f t="shared" si="14"/>
        <v>5000000</v>
      </c>
      <c r="C113">
        <v>0</v>
      </c>
      <c r="D113" s="18">
        <v>600000</v>
      </c>
      <c r="E113" s="18">
        <v>5000000</v>
      </c>
      <c r="F113" s="7">
        <v>0.2</v>
      </c>
      <c r="G113" s="18">
        <v>-279000</v>
      </c>
      <c r="H113">
        <f t="shared" si="15"/>
        <v>25</v>
      </c>
    </row>
    <row r="114" spans="1:8" x14ac:dyDescent="0.4">
      <c r="A114" t="s">
        <v>968</v>
      </c>
      <c r="B114" s="18">
        <f t="shared" si="14"/>
        <v>5000000</v>
      </c>
      <c r="C114">
        <v>0</v>
      </c>
      <c r="D114" s="18">
        <v>600000</v>
      </c>
      <c r="E114" s="18">
        <v>5000000</v>
      </c>
      <c r="F114" s="7">
        <v>0.2</v>
      </c>
      <c r="G114" s="18">
        <v>-279000</v>
      </c>
      <c r="H114">
        <f t="shared" si="15"/>
        <v>25</v>
      </c>
    </row>
    <row r="115" spans="1:8" x14ac:dyDescent="0.4">
      <c r="A115" t="s">
        <v>967</v>
      </c>
      <c r="B115" s="18">
        <f t="shared" si="14"/>
        <v>5000000</v>
      </c>
      <c r="C115">
        <v>0</v>
      </c>
      <c r="D115" s="18">
        <v>600000</v>
      </c>
      <c r="E115" s="18">
        <v>5000000</v>
      </c>
      <c r="F115" s="7">
        <v>0.2</v>
      </c>
      <c r="G115" s="18">
        <v>-279000</v>
      </c>
      <c r="H115">
        <f t="shared" si="15"/>
        <v>25</v>
      </c>
    </row>
    <row r="116" spans="1:8" x14ac:dyDescent="0.4">
      <c r="A116" t="s">
        <v>966</v>
      </c>
      <c r="B116" s="18">
        <f t="shared" si="14"/>
        <v>5000000</v>
      </c>
      <c r="C116">
        <v>0</v>
      </c>
      <c r="D116" s="18">
        <v>600000</v>
      </c>
      <c r="E116" s="18">
        <v>5000000</v>
      </c>
      <c r="F116" s="7">
        <v>0.2</v>
      </c>
      <c r="G116" s="18">
        <v>-279000</v>
      </c>
      <c r="H116">
        <f t="shared" si="15"/>
        <v>25</v>
      </c>
    </row>
    <row r="117" spans="1:8" x14ac:dyDescent="0.4">
      <c r="A117" t="s">
        <v>965</v>
      </c>
      <c r="B117" s="18">
        <f t="shared" si="14"/>
        <v>5000000</v>
      </c>
      <c r="C117">
        <v>0</v>
      </c>
      <c r="D117" s="18">
        <v>600000</v>
      </c>
      <c r="E117" s="18">
        <v>5000000</v>
      </c>
      <c r="F117" s="7">
        <v>0.2</v>
      </c>
      <c r="G117" s="18">
        <v>-279000</v>
      </c>
      <c r="H117">
        <f t="shared" si="15"/>
        <v>25</v>
      </c>
    </row>
    <row r="118" spans="1:8" x14ac:dyDescent="0.4">
      <c r="A118" t="s">
        <v>964</v>
      </c>
      <c r="B118" s="18">
        <f t="shared" si="14"/>
        <v>5000000</v>
      </c>
      <c r="C118">
        <v>0</v>
      </c>
      <c r="D118" s="18">
        <v>600000</v>
      </c>
      <c r="E118" s="18">
        <v>5000000</v>
      </c>
      <c r="F118" s="7">
        <v>0.2</v>
      </c>
      <c r="G118" s="18">
        <v>-279000</v>
      </c>
      <c r="H118">
        <f t="shared" si="15"/>
        <v>25</v>
      </c>
    </row>
    <row r="119" spans="1:8" x14ac:dyDescent="0.4">
      <c r="A119" t="s">
        <v>963</v>
      </c>
      <c r="B119" s="18">
        <f t="shared" si="14"/>
        <v>5000000</v>
      </c>
      <c r="C119">
        <v>0</v>
      </c>
      <c r="D119" s="18">
        <v>600000</v>
      </c>
      <c r="E119" s="18">
        <v>5000000</v>
      </c>
      <c r="F119" s="7">
        <v>0.2</v>
      </c>
      <c r="G119" s="18">
        <v>-279000</v>
      </c>
      <c r="H119">
        <f t="shared" si="15"/>
        <v>25</v>
      </c>
    </row>
    <row r="120" spans="1:8" x14ac:dyDescent="0.4">
      <c r="A120" t="s">
        <v>962</v>
      </c>
      <c r="B120" s="18">
        <f t="shared" si="14"/>
        <v>5000000</v>
      </c>
      <c r="C120">
        <v>0</v>
      </c>
      <c r="D120" s="18">
        <v>600000</v>
      </c>
      <c r="E120" s="18">
        <v>5000000</v>
      </c>
      <c r="F120" s="7">
        <v>0.2</v>
      </c>
      <c r="G120" s="18">
        <v>-279000</v>
      </c>
      <c r="H120">
        <f t="shared" si="15"/>
        <v>25</v>
      </c>
    </row>
    <row r="121" spans="1:8" x14ac:dyDescent="0.4">
      <c r="A121" t="s">
        <v>374</v>
      </c>
      <c r="B121" s="18">
        <f t="shared" si="14"/>
        <v>5000000</v>
      </c>
      <c r="C121">
        <v>0</v>
      </c>
      <c r="D121" s="18">
        <v>5630000</v>
      </c>
      <c r="E121" s="18">
        <v>20000000</v>
      </c>
      <c r="F121" s="7">
        <v>0.2</v>
      </c>
      <c r="G121" s="18">
        <v>-1880000</v>
      </c>
      <c r="H121">
        <f t="shared" si="15"/>
        <v>25</v>
      </c>
    </row>
    <row r="122" spans="1:8" x14ac:dyDescent="0.4">
      <c r="A122" t="s">
        <v>373</v>
      </c>
      <c r="B122" s="18">
        <f t="shared" si="14"/>
        <v>5000000</v>
      </c>
      <c r="C122">
        <v>0</v>
      </c>
      <c r="D122" s="18">
        <v>5630000</v>
      </c>
      <c r="E122" s="18">
        <v>20000000</v>
      </c>
      <c r="F122" s="7">
        <v>0.2</v>
      </c>
      <c r="G122" s="18">
        <v>-1880000</v>
      </c>
      <c r="H122">
        <f t="shared" si="15"/>
        <v>25</v>
      </c>
    </row>
    <row r="123" spans="1:8" x14ac:dyDescent="0.4">
      <c r="A123" t="s">
        <v>372</v>
      </c>
      <c r="B123" s="18">
        <f t="shared" si="14"/>
        <v>5000000</v>
      </c>
      <c r="C123">
        <v>0</v>
      </c>
      <c r="D123" s="18">
        <v>5630000</v>
      </c>
      <c r="E123" s="18">
        <v>20000000</v>
      </c>
      <c r="F123" s="7">
        <v>0.2</v>
      </c>
      <c r="G123" s="18">
        <v>-1880000</v>
      </c>
      <c r="H123">
        <f t="shared" si="15"/>
        <v>25</v>
      </c>
    </row>
    <row r="124" spans="1:8" x14ac:dyDescent="0.4">
      <c r="A124" t="s">
        <v>371</v>
      </c>
      <c r="B124" s="18">
        <f t="shared" si="14"/>
        <v>5000000</v>
      </c>
      <c r="C124">
        <v>0</v>
      </c>
      <c r="D124" s="18">
        <v>5630000</v>
      </c>
      <c r="E124" s="18">
        <v>20000000</v>
      </c>
      <c r="F124" s="7">
        <v>0.2</v>
      </c>
      <c r="G124" s="18">
        <v>-1880000</v>
      </c>
      <c r="H124">
        <f t="shared" si="15"/>
        <v>25</v>
      </c>
    </row>
    <row r="125" spans="1:8" x14ac:dyDescent="0.4">
      <c r="A125" t="s">
        <v>370</v>
      </c>
      <c r="B125" s="18">
        <f t="shared" si="14"/>
        <v>5000000</v>
      </c>
      <c r="C125">
        <v>0</v>
      </c>
      <c r="D125" s="18">
        <v>5630000</v>
      </c>
      <c r="E125" s="18">
        <v>20000000</v>
      </c>
      <c r="F125" s="7">
        <v>0.2</v>
      </c>
      <c r="G125" s="18">
        <v>-1880000</v>
      </c>
      <c r="H125">
        <f t="shared" si="15"/>
        <v>25</v>
      </c>
    </row>
    <row r="126" spans="1:8" x14ac:dyDescent="0.4">
      <c r="A126" t="s">
        <v>369</v>
      </c>
      <c r="B126" s="18">
        <f t="shared" si="14"/>
        <v>5000000</v>
      </c>
      <c r="C126">
        <v>0</v>
      </c>
      <c r="D126" s="18">
        <v>5630000</v>
      </c>
      <c r="E126" s="18">
        <v>20000000</v>
      </c>
      <c r="F126" s="7">
        <v>0.2</v>
      </c>
      <c r="G126" s="18">
        <v>-1880000</v>
      </c>
      <c r="H126">
        <f t="shared" si="15"/>
        <v>25</v>
      </c>
    </row>
    <row r="127" spans="1:8" x14ac:dyDescent="0.4">
      <c r="A127" t="s">
        <v>368</v>
      </c>
      <c r="B127" s="18">
        <f t="shared" si="14"/>
        <v>5000000</v>
      </c>
      <c r="C127">
        <v>0</v>
      </c>
      <c r="D127" s="18">
        <v>5630000</v>
      </c>
      <c r="E127" s="18">
        <v>20000000</v>
      </c>
      <c r="F127" s="7">
        <v>0.2</v>
      </c>
      <c r="G127" s="18">
        <v>-1880000</v>
      </c>
      <c r="H127">
        <f t="shared" si="15"/>
        <v>25</v>
      </c>
    </row>
    <row r="128" spans="1:8" x14ac:dyDescent="0.4">
      <c r="A128" t="s">
        <v>375</v>
      </c>
      <c r="B128" s="18">
        <f t="shared" si="14"/>
        <v>5000000</v>
      </c>
      <c r="C128">
        <v>0</v>
      </c>
      <c r="D128" s="18">
        <v>5630000</v>
      </c>
      <c r="E128" s="18">
        <v>20000000</v>
      </c>
      <c r="F128" s="7">
        <v>0.2</v>
      </c>
      <c r="G128" s="18">
        <v>-1880000</v>
      </c>
      <c r="H128">
        <f t="shared" si="15"/>
        <v>25</v>
      </c>
    </row>
    <row r="129" spans="1:8" x14ac:dyDescent="0.4">
      <c r="A129" t="s">
        <v>367</v>
      </c>
      <c r="B129" s="18">
        <f t="shared" si="14"/>
        <v>5000000</v>
      </c>
      <c r="C129">
        <v>0</v>
      </c>
      <c r="D129" s="18">
        <v>5630000</v>
      </c>
      <c r="E129" s="18">
        <v>20000000</v>
      </c>
      <c r="F129" s="7">
        <v>0.2</v>
      </c>
      <c r="G129" s="18">
        <v>-1880000</v>
      </c>
      <c r="H129">
        <f t="shared" si="15"/>
        <v>25</v>
      </c>
    </row>
    <row r="130" spans="1:8" x14ac:dyDescent="0.4">
      <c r="A130" t="s">
        <v>366</v>
      </c>
      <c r="B130" s="18">
        <f t="shared" si="14"/>
        <v>5000000</v>
      </c>
      <c r="C130">
        <v>0</v>
      </c>
      <c r="D130" s="18">
        <v>5630000</v>
      </c>
      <c r="E130" s="18">
        <v>20000000</v>
      </c>
      <c r="F130" s="7">
        <v>0.2</v>
      </c>
      <c r="G130" s="18">
        <v>-1880000</v>
      </c>
      <c r="H130">
        <f t="shared" si="15"/>
        <v>25</v>
      </c>
    </row>
    <row r="131" spans="1:8" x14ac:dyDescent="0.4">
      <c r="A131" t="s">
        <v>365</v>
      </c>
      <c r="B131" s="18">
        <f t="shared" si="14"/>
        <v>5000000</v>
      </c>
      <c r="C131">
        <v>0</v>
      </c>
      <c r="D131" s="18">
        <v>5630000</v>
      </c>
      <c r="E131" s="18">
        <v>20000000</v>
      </c>
      <c r="F131" s="7">
        <v>0.2</v>
      </c>
      <c r="G131" s="18">
        <v>-1880000</v>
      </c>
      <c r="H131">
        <f t="shared" si="15"/>
        <v>25</v>
      </c>
    </row>
    <row r="132" spans="1:8" x14ac:dyDescent="0.4">
      <c r="A132" t="s">
        <v>364</v>
      </c>
      <c r="B132" s="18">
        <f t="shared" si="14"/>
        <v>5000000</v>
      </c>
      <c r="C132">
        <v>0</v>
      </c>
      <c r="D132" s="18">
        <v>5630000</v>
      </c>
      <c r="E132" s="18">
        <v>20000000</v>
      </c>
      <c r="F132" s="7">
        <v>0.2</v>
      </c>
      <c r="G132" s="18">
        <v>-1880000</v>
      </c>
      <c r="H132">
        <f t="shared" si="15"/>
        <v>25</v>
      </c>
    </row>
    <row r="133" spans="1:8" x14ac:dyDescent="0.4">
      <c r="A133" t="s">
        <v>363</v>
      </c>
      <c r="B133" s="18">
        <f t="shared" si="14"/>
        <v>5000000</v>
      </c>
      <c r="C133">
        <v>0</v>
      </c>
      <c r="D133" s="18">
        <v>5630000</v>
      </c>
      <c r="E133" s="18">
        <v>20000000</v>
      </c>
      <c r="F133" s="7">
        <v>0.2</v>
      </c>
      <c r="G133" s="18">
        <v>-1880000</v>
      </c>
      <c r="H133">
        <f t="shared" si="15"/>
        <v>25</v>
      </c>
    </row>
    <row r="134" spans="1:8" x14ac:dyDescent="0.4">
      <c r="A134" t="s">
        <v>362</v>
      </c>
      <c r="B134" s="18">
        <f t="shared" si="14"/>
        <v>5000000</v>
      </c>
      <c r="C134">
        <v>0</v>
      </c>
      <c r="D134" s="18">
        <v>5630000</v>
      </c>
      <c r="E134" s="18">
        <v>20000000</v>
      </c>
      <c r="F134" s="7">
        <v>0.2</v>
      </c>
      <c r="G134" s="18">
        <v>-1880000</v>
      </c>
      <c r="H134">
        <f t="shared" si="15"/>
        <v>25</v>
      </c>
    </row>
    <row r="135" spans="1:8" x14ac:dyDescent="0.4">
      <c r="A135" t="s">
        <v>361</v>
      </c>
      <c r="B135" s="18">
        <f t="shared" si="14"/>
        <v>5000000</v>
      </c>
      <c r="C135">
        <v>0</v>
      </c>
      <c r="D135" s="18">
        <v>5630000</v>
      </c>
      <c r="E135" s="18">
        <v>20000000</v>
      </c>
      <c r="F135" s="7">
        <v>0.2</v>
      </c>
      <c r="G135" s="18">
        <v>-1880000</v>
      </c>
      <c r="H135">
        <f t="shared" si="15"/>
        <v>25</v>
      </c>
    </row>
    <row r="136" spans="1:8" x14ac:dyDescent="0.4">
      <c r="A136" t="s">
        <v>360</v>
      </c>
      <c r="B136" s="18">
        <f t="shared" si="14"/>
        <v>5000000</v>
      </c>
      <c r="C136">
        <v>0</v>
      </c>
      <c r="D136" s="18">
        <v>5630000</v>
      </c>
      <c r="E136" s="18">
        <v>20000000</v>
      </c>
      <c r="F136" s="7">
        <v>0.2</v>
      </c>
      <c r="G136" s="18">
        <v>-1880000</v>
      </c>
      <c r="H136">
        <f t="shared" si="15"/>
        <v>25</v>
      </c>
    </row>
    <row r="137" spans="1:8" x14ac:dyDescent="0.4">
      <c r="A137" t="s">
        <v>359</v>
      </c>
      <c r="B137" s="18">
        <f t="shared" si="14"/>
        <v>5000000</v>
      </c>
      <c r="C137">
        <v>0</v>
      </c>
      <c r="D137" s="18">
        <v>5630000</v>
      </c>
      <c r="E137" s="18">
        <v>20000000</v>
      </c>
      <c r="F137" s="7">
        <v>0.2</v>
      </c>
      <c r="G137" s="18">
        <v>-1880000</v>
      </c>
      <c r="H137">
        <f t="shared" si="15"/>
        <v>25</v>
      </c>
    </row>
    <row r="138" spans="1:8" x14ac:dyDescent="0.4">
      <c r="A138" t="s">
        <v>358</v>
      </c>
      <c r="B138" s="18">
        <f t="shared" si="14"/>
        <v>5000000</v>
      </c>
      <c r="C138">
        <v>0</v>
      </c>
      <c r="D138" s="18">
        <v>5630000</v>
      </c>
      <c r="E138" s="18">
        <v>20000000</v>
      </c>
      <c r="F138" s="7">
        <v>0.2</v>
      </c>
      <c r="G138" s="18">
        <v>-1880000</v>
      </c>
      <c r="H138">
        <f t="shared" si="15"/>
        <v>25</v>
      </c>
    </row>
    <row r="139" spans="1:8" x14ac:dyDescent="0.4">
      <c r="A139" t="s">
        <v>357</v>
      </c>
      <c r="B139" s="18">
        <f t="shared" si="14"/>
        <v>5000000</v>
      </c>
      <c r="C139">
        <v>0</v>
      </c>
      <c r="D139" s="18">
        <v>5630000</v>
      </c>
      <c r="E139" s="18">
        <v>20000000</v>
      </c>
      <c r="F139" s="7">
        <v>0.2</v>
      </c>
      <c r="G139" s="18">
        <v>-1880000</v>
      </c>
      <c r="H139">
        <f t="shared" si="15"/>
        <v>25</v>
      </c>
    </row>
    <row r="140" spans="1:8" x14ac:dyDescent="0.4">
      <c r="A140" t="s">
        <v>356</v>
      </c>
      <c r="B140" s="18">
        <f t="shared" si="14"/>
        <v>5000000</v>
      </c>
      <c r="C140">
        <v>0</v>
      </c>
      <c r="D140" s="18">
        <v>5630000</v>
      </c>
      <c r="E140" s="18">
        <v>20000000</v>
      </c>
      <c r="F140" s="7">
        <v>0.2</v>
      </c>
      <c r="G140" s="18">
        <v>-1880000</v>
      </c>
      <c r="H140">
        <f t="shared" si="15"/>
        <v>25</v>
      </c>
    </row>
    <row r="141" spans="1:8" x14ac:dyDescent="0.4">
      <c r="A141" t="s">
        <v>355</v>
      </c>
      <c r="B141" s="18">
        <f t="shared" si="14"/>
        <v>5000000</v>
      </c>
      <c r="C141">
        <v>0</v>
      </c>
      <c r="D141" s="18">
        <v>5630000</v>
      </c>
      <c r="E141" s="18">
        <v>20000000</v>
      </c>
      <c r="F141" s="7">
        <v>0.2</v>
      </c>
      <c r="G141" s="18">
        <v>-1880000</v>
      </c>
      <c r="H141">
        <f t="shared" si="15"/>
        <v>25</v>
      </c>
    </row>
    <row r="142" spans="1:8" x14ac:dyDescent="0.4">
      <c r="A142" t="s">
        <v>354</v>
      </c>
      <c r="B142" s="18">
        <f t="shared" si="14"/>
        <v>5000000</v>
      </c>
      <c r="C142">
        <v>0</v>
      </c>
      <c r="D142" s="18">
        <v>5630000</v>
      </c>
      <c r="E142" s="18">
        <v>20000000</v>
      </c>
      <c r="F142" s="7">
        <v>0.2</v>
      </c>
      <c r="G142" s="18">
        <v>-1880000</v>
      </c>
      <c r="H142">
        <f t="shared" si="15"/>
        <v>25</v>
      </c>
    </row>
    <row r="143" spans="1:8" x14ac:dyDescent="0.4">
      <c r="A143" t="s">
        <v>353</v>
      </c>
      <c r="B143" s="18">
        <f t="shared" ref="B143:B156" si="16">mole/F143*(sf_TC/100)</f>
        <v>5000000</v>
      </c>
      <c r="C143">
        <v>0</v>
      </c>
      <c r="D143" s="18">
        <v>5630000</v>
      </c>
      <c r="E143" s="18">
        <v>20000000</v>
      </c>
      <c r="F143" s="7">
        <v>0.2</v>
      </c>
      <c r="G143" s="18">
        <v>-1880000</v>
      </c>
      <c r="H143">
        <f t="shared" ref="H143:H156" si="17">B143/(I_b*20)</f>
        <v>25</v>
      </c>
    </row>
    <row r="144" spans="1:8" x14ac:dyDescent="0.4">
      <c r="A144" t="s">
        <v>352</v>
      </c>
      <c r="B144" s="18">
        <f t="shared" si="16"/>
        <v>5000000</v>
      </c>
      <c r="C144">
        <v>0</v>
      </c>
      <c r="D144" s="18">
        <v>5630000</v>
      </c>
      <c r="E144" s="18">
        <v>20000000</v>
      </c>
      <c r="F144" s="7">
        <v>0.2</v>
      </c>
      <c r="G144" s="18">
        <v>-1880000</v>
      </c>
      <c r="H144">
        <f t="shared" si="17"/>
        <v>25</v>
      </c>
    </row>
    <row r="145" spans="1:8" x14ac:dyDescent="0.4">
      <c r="A145" t="s">
        <v>351</v>
      </c>
      <c r="B145" s="18">
        <f t="shared" si="16"/>
        <v>5000000</v>
      </c>
      <c r="C145">
        <v>0</v>
      </c>
      <c r="D145" s="18">
        <v>5630000</v>
      </c>
      <c r="E145" s="18">
        <v>20000000</v>
      </c>
      <c r="F145" s="7">
        <v>0.2</v>
      </c>
      <c r="G145" s="18">
        <v>-1880000</v>
      </c>
      <c r="H145">
        <f t="shared" si="17"/>
        <v>25</v>
      </c>
    </row>
    <row r="146" spans="1:8" x14ac:dyDescent="0.4">
      <c r="A146" t="s">
        <v>350</v>
      </c>
      <c r="B146" s="18">
        <f t="shared" si="16"/>
        <v>5000000</v>
      </c>
      <c r="C146">
        <v>0</v>
      </c>
      <c r="D146" s="18">
        <v>5630000</v>
      </c>
      <c r="E146" s="18">
        <v>20000000</v>
      </c>
      <c r="F146" s="7">
        <v>0.2</v>
      </c>
      <c r="G146" s="18">
        <v>-1880000</v>
      </c>
      <c r="H146">
        <f t="shared" si="17"/>
        <v>25</v>
      </c>
    </row>
    <row r="147" spans="1:8" x14ac:dyDescent="0.4">
      <c r="A147" t="s">
        <v>349</v>
      </c>
      <c r="B147" s="18">
        <f t="shared" si="16"/>
        <v>5000000</v>
      </c>
      <c r="C147">
        <v>0</v>
      </c>
      <c r="D147" s="18">
        <v>5630000</v>
      </c>
      <c r="E147" s="18">
        <v>20000000</v>
      </c>
      <c r="F147" s="7">
        <v>0.2</v>
      </c>
      <c r="G147" s="18">
        <v>-1880000</v>
      </c>
      <c r="H147">
        <f t="shared" si="17"/>
        <v>25</v>
      </c>
    </row>
    <row r="148" spans="1:8" x14ac:dyDescent="0.4">
      <c r="A148" t="s">
        <v>348</v>
      </c>
      <c r="B148" s="18">
        <f t="shared" si="16"/>
        <v>5000000</v>
      </c>
      <c r="C148">
        <v>0</v>
      </c>
      <c r="D148" s="18">
        <v>5630000</v>
      </c>
      <c r="E148" s="18">
        <v>20000000</v>
      </c>
      <c r="F148" s="7">
        <v>0.2</v>
      </c>
      <c r="G148" s="18">
        <v>-1880000</v>
      </c>
      <c r="H148">
        <f t="shared" si="17"/>
        <v>25</v>
      </c>
    </row>
    <row r="149" spans="1:8" x14ac:dyDescent="0.4">
      <c r="A149" t="s">
        <v>347</v>
      </c>
      <c r="B149" s="18">
        <f t="shared" si="16"/>
        <v>5000000</v>
      </c>
      <c r="C149">
        <v>0</v>
      </c>
      <c r="D149" s="18">
        <v>5630000</v>
      </c>
      <c r="E149" s="18">
        <v>20000000</v>
      </c>
      <c r="F149" s="7">
        <v>0.2</v>
      </c>
      <c r="G149" s="18">
        <v>-1880000</v>
      </c>
      <c r="H149">
        <f t="shared" si="17"/>
        <v>25</v>
      </c>
    </row>
    <row r="150" spans="1:8" x14ac:dyDescent="0.4">
      <c r="A150" t="s">
        <v>346</v>
      </c>
      <c r="B150" s="18">
        <f t="shared" si="16"/>
        <v>5000000</v>
      </c>
      <c r="C150">
        <v>0</v>
      </c>
      <c r="D150" s="18">
        <v>5630000</v>
      </c>
      <c r="E150" s="18">
        <v>20000000</v>
      </c>
      <c r="F150" s="7">
        <v>0.2</v>
      </c>
      <c r="G150" s="18">
        <v>-1880000</v>
      </c>
      <c r="H150">
        <f t="shared" si="17"/>
        <v>25</v>
      </c>
    </row>
    <row r="151" spans="1:8" x14ac:dyDescent="0.4">
      <c r="A151" t="s">
        <v>345</v>
      </c>
      <c r="B151" s="18">
        <f t="shared" si="16"/>
        <v>5000000</v>
      </c>
      <c r="C151">
        <v>0</v>
      </c>
      <c r="D151" s="18">
        <v>5630000</v>
      </c>
      <c r="E151" s="18">
        <v>20000000</v>
      </c>
      <c r="F151" s="7">
        <v>0.2</v>
      </c>
      <c r="G151" s="18">
        <v>-1880000</v>
      </c>
      <c r="H151">
        <f t="shared" si="17"/>
        <v>25</v>
      </c>
    </row>
    <row r="152" spans="1:8" x14ac:dyDescent="0.4">
      <c r="A152" t="s">
        <v>344</v>
      </c>
      <c r="B152" s="18">
        <f t="shared" si="16"/>
        <v>5000000</v>
      </c>
      <c r="C152">
        <v>0</v>
      </c>
      <c r="D152" s="18">
        <v>5630000</v>
      </c>
      <c r="E152" s="18">
        <v>20000000</v>
      </c>
      <c r="F152" s="7">
        <v>0.2</v>
      </c>
      <c r="G152" s="18">
        <v>-1880000</v>
      </c>
      <c r="H152">
        <f t="shared" si="17"/>
        <v>25</v>
      </c>
    </row>
    <row r="153" spans="1:8" x14ac:dyDescent="0.4">
      <c r="A153" t="s">
        <v>343</v>
      </c>
      <c r="B153" s="18">
        <f t="shared" si="16"/>
        <v>5000000</v>
      </c>
      <c r="C153">
        <v>0</v>
      </c>
      <c r="D153" s="18">
        <v>5630000</v>
      </c>
      <c r="E153" s="18">
        <v>20000000</v>
      </c>
      <c r="F153" s="7">
        <v>0.2</v>
      </c>
      <c r="G153" s="18">
        <v>-1880000</v>
      </c>
      <c r="H153">
        <f t="shared" si="17"/>
        <v>25</v>
      </c>
    </row>
    <row r="154" spans="1:8" x14ac:dyDescent="0.4">
      <c r="A154" t="s">
        <v>342</v>
      </c>
      <c r="B154" s="18">
        <f t="shared" si="16"/>
        <v>5000000</v>
      </c>
      <c r="C154">
        <v>0</v>
      </c>
      <c r="D154" s="18">
        <v>5630000</v>
      </c>
      <c r="E154" s="18">
        <v>20000000</v>
      </c>
      <c r="F154" s="7">
        <v>0.2</v>
      </c>
      <c r="G154" s="18">
        <v>-1880000</v>
      </c>
      <c r="H154">
        <f t="shared" si="17"/>
        <v>25</v>
      </c>
    </row>
    <row r="155" spans="1:8" x14ac:dyDescent="0.4">
      <c r="A155" t="s">
        <v>341</v>
      </c>
      <c r="B155" s="18">
        <f t="shared" si="16"/>
        <v>5000000</v>
      </c>
      <c r="C155">
        <v>0</v>
      </c>
      <c r="D155" s="18">
        <v>5630000</v>
      </c>
      <c r="E155" s="18">
        <v>20000000</v>
      </c>
      <c r="F155" s="7">
        <v>0.2</v>
      </c>
      <c r="G155" s="18">
        <v>-1880000</v>
      </c>
      <c r="H155">
        <f t="shared" si="17"/>
        <v>25</v>
      </c>
    </row>
    <row r="156" spans="1:8" x14ac:dyDescent="0.4">
      <c r="A156" t="s">
        <v>340</v>
      </c>
      <c r="B156" s="18">
        <f t="shared" si="16"/>
        <v>5000000</v>
      </c>
      <c r="C156">
        <v>0</v>
      </c>
      <c r="D156" s="18">
        <v>5630000</v>
      </c>
      <c r="E156" s="18">
        <v>20000000</v>
      </c>
      <c r="F156" s="7">
        <v>0.2</v>
      </c>
      <c r="G156" s="18">
        <v>-1880000</v>
      </c>
      <c r="H156">
        <f t="shared" si="17"/>
        <v>25</v>
      </c>
    </row>
    <row r="157" spans="1:8" x14ac:dyDescent="0.4">
      <c r="B157" s="18"/>
      <c r="D157" s="18"/>
      <c r="E157" s="18"/>
      <c r="F157" s="7"/>
      <c r="G157" s="18"/>
    </row>
    <row r="158" spans="1:8" x14ac:dyDescent="0.4">
      <c r="F158" s="7"/>
    </row>
    <row r="159" spans="1:8" x14ac:dyDescent="0.4">
      <c r="A159" s="3" t="s">
        <v>43</v>
      </c>
      <c r="B159" s="3"/>
      <c r="C159" s="3"/>
      <c r="D159" s="3"/>
      <c r="E159" s="3"/>
      <c r="F159" s="3"/>
      <c r="G159" s="3"/>
      <c r="H159" s="1"/>
    </row>
    <row r="160" spans="1:8" x14ac:dyDescent="0.4">
      <c r="A160" s="1" t="s">
        <v>1</v>
      </c>
      <c r="B160" s="1" t="s">
        <v>2</v>
      </c>
      <c r="C160" s="1" t="s">
        <v>3</v>
      </c>
      <c r="D160" s="1" t="s">
        <v>4</v>
      </c>
      <c r="E160" s="1" t="s">
        <v>5</v>
      </c>
      <c r="F160" s="1" t="s">
        <v>6</v>
      </c>
      <c r="G160" s="1" t="s">
        <v>7</v>
      </c>
      <c r="H160" s="1" t="s">
        <v>187</v>
      </c>
    </row>
    <row r="161" spans="1:8" x14ac:dyDescent="0.4">
      <c r="A161" t="s">
        <v>44</v>
      </c>
      <c r="B161" s="18">
        <f t="shared" ref="B161:B183" si="18">mole/F161*(sf_TC/100)</f>
        <v>10000000</v>
      </c>
      <c r="C161">
        <v>0</v>
      </c>
      <c r="D161" s="18">
        <v>0</v>
      </c>
      <c r="E161" s="18">
        <v>18000</v>
      </c>
      <c r="F161" s="7">
        <v>0.1</v>
      </c>
      <c r="G161" s="18">
        <v>764</v>
      </c>
      <c r="H161">
        <f t="shared" ref="H161:H183" si="19">B161/(I_b*20)</f>
        <v>50</v>
      </c>
    </row>
    <row r="162" spans="1:8" x14ac:dyDescent="0.4">
      <c r="A162" t="s">
        <v>45</v>
      </c>
      <c r="B162" s="18">
        <f t="shared" si="18"/>
        <v>1000000</v>
      </c>
      <c r="C162">
        <v>0</v>
      </c>
      <c r="D162" s="18">
        <v>0</v>
      </c>
      <c r="E162" s="18">
        <v>10000</v>
      </c>
      <c r="F162" s="7">
        <v>1</v>
      </c>
      <c r="G162" s="18">
        <v>1640</v>
      </c>
      <c r="H162">
        <f t="shared" si="19"/>
        <v>5</v>
      </c>
    </row>
    <row r="163" spans="1:8" x14ac:dyDescent="0.4">
      <c r="A163" t="s">
        <v>46</v>
      </c>
      <c r="B163" s="18">
        <f t="shared" si="18"/>
        <v>4000000</v>
      </c>
      <c r="C163">
        <v>0</v>
      </c>
      <c r="D163" s="18">
        <v>0</v>
      </c>
      <c r="E163" s="18">
        <v>11000</v>
      </c>
      <c r="F163" s="7">
        <v>0.25</v>
      </c>
      <c r="G163" s="18">
        <v>3630</v>
      </c>
      <c r="H163">
        <f t="shared" si="19"/>
        <v>20</v>
      </c>
    </row>
    <row r="164" spans="1:8" x14ac:dyDescent="0.4">
      <c r="A164" t="s">
        <v>47</v>
      </c>
      <c r="B164" s="18">
        <f t="shared" si="18"/>
        <v>5000000</v>
      </c>
      <c r="C164">
        <v>0</v>
      </c>
      <c r="D164" s="18">
        <v>2800</v>
      </c>
      <c r="E164" s="18">
        <v>4000</v>
      </c>
      <c r="F164" s="7">
        <v>0.2</v>
      </c>
      <c r="G164" s="18">
        <v>1530</v>
      </c>
      <c r="H164">
        <f t="shared" si="19"/>
        <v>25</v>
      </c>
    </row>
    <row r="165" spans="1:8" x14ac:dyDescent="0.4">
      <c r="A165" t="s">
        <v>48</v>
      </c>
      <c r="B165" s="18">
        <f t="shared" si="18"/>
        <v>5000000</v>
      </c>
      <c r="C165">
        <v>0</v>
      </c>
      <c r="D165" s="18">
        <v>3000</v>
      </c>
      <c r="E165" s="18">
        <v>21000</v>
      </c>
      <c r="F165" s="7">
        <v>0.2</v>
      </c>
      <c r="G165" s="18">
        <v>-1470</v>
      </c>
      <c r="H165">
        <f t="shared" si="19"/>
        <v>25</v>
      </c>
    </row>
    <row r="166" spans="1:8" x14ac:dyDescent="0.4">
      <c r="A166" t="s">
        <v>49</v>
      </c>
      <c r="B166" s="18">
        <f t="shared" si="18"/>
        <v>5000000</v>
      </c>
      <c r="C166">
        <v>0</v>
      </c>
      <c r="D166" s="18">
        <v>3000</v>
      </c>
      <c r="E166" s="18">
        <v>13500</v>
      </c>
      <c r="F166" s="7">
        <v>0.2</v>
      </c>
      <c r="G166" s="18">
        <v>2650</v>
      </c>
      <c r="H166">
        <f t="shared" si="19"/>
        <v>25</v>
      </c>
    </row>
    <row r="167" spans="1:8" x14ac:dyDescent="0.4">
      <c r="A167" t="s">
        <v>50</v>
      </c>
      <c r="B167" s="18">
        <f t="shared" si="18"/>
        <v>10000000</v>
      </c>
      <c r="C167">
        <v>0</v>
      </c>
      <c r="D167" s="18">
        <v>3000</v>
      </c>
      <c r="E167" s="18">
        <v>15500</v>
      </c>
      <c r="F167" s="7">
        <v>0.1</v>
      </c>
      <c r="G167" s="18">
        <v>2050</v>
      </c>
      <c r="H167">
        <f t="shared" si="19"/>
        <v>50</v>
      </c>
    </row>
    <row r="168" spans="1:8" x14ac:dyDescent="0.4">
      <c r="A168" t="s">
        <v>51</v>
      </c>
      <c r="B168" s="18">
        <f t="shared" si="18"/>
        <v>2000000</v>
      </c>
      <c r="C168">
        <v>0</v>
      </c>
      <c r="D168" s="18">
        <v>4000</v>
      </c>
      <c r="E168" s="18">
        <v>14000</v>
      </c>
      <c r="F168" s="7">
        <v>0.5</v>
      </c>
      <c r="G168" s="18">
        <v>-1570</v>
      </c>
      <c r="H168">
        <f t="shared" si="19"/>
        <v>10</v>
      </c>
    </row>
    <row r="169" spans="1:8" x14ac:dyDescent="0.4">
      <c r="A169" t="s">
        <v>52</v>
      </c>
      <c r="B169" s="18">
        <f t="shared" si="18"/>
        <v>4000000</v>
      </c>
      <c r="C169">
        <v>0</v>
      </c>
      <c r="D169" s="18">
        <v>5000</v>
      </c>
      <c r="E169" s="18">
        <v>17000</v>
      </c>
      <c r="F169" s="7">
        <v>0.25</v>
      </c>
      <c r="G169" s="18">
        <v>-2470</v>
      </c>
      <c r="H169">
        <f t="shared" si="19"/>
        <v>20</v>
      </c>
    </row>
    <row r="170" spans="1:8" x14ac:dyDescent="0.4">
      <c r="A170" t="s">
        <v>53</v>
      </c>
      <c r="B170" s="18">
        <f t="shared" si="18"/>
        <v>4000000</v>
      </c>
      <c r="C170">
        <v>0</v>
      </c>
      <c r="D170" s="18">
        <v>5500</v>
      </c>
      <c r="E170" s="18">
        <v>13000</v>
      </c>
      <c r="F170" s="7">
        <v>0.25</v>
      </c>
      <c r="G170" s="18">
        <v>3860</v>
      </c>
      <c r="H170">
        <f t="shared" si="19"/>
        <v>20</v>
      </c>
    </row>
    <row r="171" spans="1:8" x14ac:dyDescent="0.4">
      <c r="A171" t="s">
        <v>54</v>
      </c>
      <c r="B171" s="18">
        <f t="shared" si="18"/>
        <v>50000000</v>
      </c>
      <c r="C171">
        <v>0</v>
      </c>
      <c r="D171" s="18">
        <v>6000</v>
      </c>
      <c r="E171" s="18">
        <v>16000</v>
      </c>
      <c r="F171" s="7">
        <v>0.02</v>
      </c>
      <c r="G171" s="18">
        <v>-4010</v>
      </c>
      <c r="H171">
        <f t="shared" si="19"/>
        <v>250</v>
      </c>
    </row>
    <row r="172" spans="1:8" x14ac:dyDescent="0.4">
      <c r="A172" t="s">
        <v>55</v>
      </c>
      <c r="B172" s="18">
        <f t="shared" si="18"/>
        <v>1000000</v>
      </c>
      <c r="C172">
        <v>0</v>
      </c>
      <c r="D172" s="18">
        <v>8500</v>
      </c>
      <c r="E172" s="18">
        <v>13000</v>
      </c>
      <c r="F172" s="7">
        <v>1</v>
      </c>
      <c r="G172" s="18">
        <v>-6310</v>
      </c>
      <c r="H172">
        <f t="shared" si="19"/>
        <v>5</v>
      </c>
    </row>
    <row r="173" spans="1:8" x14ac:dyDescent="0.4">
      <c r="A173" t="s">
        <v>1263</v>
      </c>
      <c r="B173" s="18">
        <f>mole/F173*(sf_TC/100)</f>
        <v>1000000</v>
      </c>
      <c r="C173">
        <v>0</v>
      </c>
      <c r="D173" s="18">
        <v>9000</v>
      </c>
      <c r="E173" s="18">
        <v>21500</v>
      </c>
      <c r="F173" s="7">
        <v>1</v>
      </c>
      <c r="G173" s="18">
        <v>-7510</v>
      </c>
      <c r="H173">
        <f>B173/(I_b*20)</f>
        <v>5</v>
      </c>
    </row>
    <row r="174" spans="1:8" x14ac:dyDescent="0.4">
      <c r="A174" t="s">
        <v>1433</v>
      </c>
      <c r="B174" s="18">
        <f>mole/F174*(sf_TC/100)</f>
        <v>1000000</v>
      </c>
      <c r="C174">
        <v>0</v>
      </c>
      <c r="D174" s="18">
        <v>9000</v>
      </c>
      <c r="E174" s="18">
        <v>17500</v>
      </c>
      <c r="F174" s="5">
        <v>1</v>
      </c>
      <c r="G174" s="18">
        <v>-7240</v>
      </c>
      <c r="H174">
        <f>B174/(I_b*20)</f>
        <v>5</v>
      </c>
    </row>
    <row r="175" spans="1:8" x14ac:dyDescent="0.4">
      <c r="A175" t="s">
        <v>56</v>
      </c>
      <c r="B175" s="18">
        <f t="shared" si="18"/>
        <v>1000000</v>
      </c>
      <c r="C175">
        <v>0</v>
      </c>
      <c r="D175" s="18">
        <v>9000</v>
      </c>
      <c r="E175" s="18">
        <v>19500</v>
      </c>
      <c r="F175" s="7">
        <v>1</v>
      </c>
      <c r="G175" s="18">
        <v>-7770</v>
      </c>
      <c r="H175">
        <f t="shared" si="19"/>
        <v>5</v>
      </c>
    </row>
    <row r="176" spans="1:8" x14ac:dyDescent="0.4">
      <c r="A176" t="s">
        <v>57</v>
      </c>
      <c r="B176" s="18">
        <f t="shared" si="18"/>
        <v>3125000</v>
      </c>
      <c r="C176">
        <v>0</v>
      </c>
      <c r="D176" s="18">
        <v>9000</v>
      </c>
      <c r="E176" s="18">
        <v>14000</v>
      </c>
      <c r="F176" s="7">
        <v>0.32</v>
      </c>
      <c r="G176" s="18">
        <v>-5650</v>
      </c>
      <c r="H176">
        <f t="shared" si="19"/>
        <v>15.625</v>
      </c>
    </row>
    <row r="177" spans="1:8" x14ac:dyDescent="0.4">
      <c r="A177" t="s">
        <v>58</v>
      </c>
      <c r="B177" s="18">
        <f t="shared" si="18"/>
        <v>1000000</v>
      </c>
      <c r="C177">
        <v>0</v>
      </c>
      <c r="D177" s="18">
        <v>9000</v>
      </c>
      <c r="E177" s="18">
        <v>14500</v>
      </c>
      <c r="F177" s="7">
        <v>1</v>
      </c>
      <c r="G177" s="18">
        <v>-5540</v>
      </c>
      <c r="H177">
        <f t="shared" si="19"/>
        <v>5</v>
      </c>
    </row>
    <row r="178" spans="1:8" x14ac:dyDescent="0.4">
      <c r="A178" t="s">
        <v>59</v>
      </c>
      <c r="B178" s="18">
        <f t="shared" si="18"/>
        <v>25000000</v>
      </c>
      <c r="C178">
        <v>0</v>
      </c>
      <c r="D178" s="18">
        <v>10000</v>
      </c>
      <c r="E178" s="18">
        <v>18000</v>
      </c>
      <c r="F178" s="7">
        <v>0.04</v>
      </c>
      <c r="G178" s="18">
        <v>-6260</v>
      </c>
      <c r="H178">
        <f t="shared" si="19"/>
        <v>125</v>
      </c>
    </row>
    <row r="179" spans="1:8" x14ac:dyDescent="0.4">
      <c r="A179" t="s">
        <v>60</v>
      </c>
      <c r="B179" s="18">
        <f t="shared" si="18"/>
        <v>1000000</v>
      </c>
      <c r="C179">
        <v>0</v>
      </c>
      <c r="D179" s="18">
        <v>10000</v>
      </c>
      <c r="E179" s="18">
        <v>14000</v>
      </c>
      <c r="F179" s="7">
        <v>1</v>
      </c>
      <c r="G179" s="18">
        <v>-6580</v>
      </c>
      <c r="H179">
        <f t="shared" si="19"/>
        <v>5</v>
      </c>
    </row>
    <row r="180" spans="1:8" x14ac:dyDescent="0.4">
      <c r="A180" t="s">
        <v>61</v>
      </c>
      <c r="B180" s="18">
        <f t="shared" si="18"/>
        <v>6250000</v>
      </c>
      <c r="C180">
        <v>0</v>
      </c>
      <c r="D180" s="18">
        <v>11000</v>
      </c>
      <c r="E180" s="18">
        <v>54000</v>
      </c>
      <c r="F180" s="7">
        <v>0.16</v>
      </c>
      <c r="G180" s="18">
        <v>-2230</v>
      </c>
      <c r="H180">
        <f t="shared" si="19"/>
        <v>31.25</v>
      </c>
    </row>
    <row r="181" spans="1:8" x14ac:dyDescent="0.4">
      <c r="A181" t="s">
        <v>62</v>
      </c>
      <c r="B181" s="18">
        <f t="shared" si="18"/>
        <v>10000000</v>
      </c>
      <c r="C181">
        <v>0</v>
      </c>
      <c r="D181" s="18">
        <v>11000</v>
      </c>
      <c r="E181" s="18">
        <v>22000</v>
      </c>
      <c r="F181" s="7">
        <v>0.1</v>
      </c>
      <c r="G181" s="18">
        <v>324</v>
      </c>
      <c r="H181">
        <f t="shared" si="19"/>
        <v>50</v>
      </c>
    </row>
    <row r="182" spans="1:8" x14ac:dyDescent="0.4">
      <c r="A182" t="s">
        <v>63</v>
      </c>
      <c r="B182" s="18">
        <f t="shared" si="18"/>
        <v>1000000</v>
      </c>
      <c r="C182">
        <v>0</v>
      </c>
      <c r="D182" s="18">
        <v>11000</v>
      </c>
      <c r="E182" s="18">
        <v>15000</v>
      </c>
      <c r="F182" s="7">
        <v>1</v>
      </c>
      <c r="G182" s="18">
        <v>-6120</v>
      </c>
      <c r="H182">
        <f t="shared" si="19"/>
        <v>5</v>
      </c>
    </row>
    <row r="183" spans="1:8" x14ac:dyDescent="0.4">
      <c r="A183" t="s">
        <v>64</v>
      </c>
      <c r="B183" s="18">
        <f t="shared" si="18"/>
        <v>6250000</v>
      </c>
      <c r="C183">
        <v>0</v>
      </c>
      <c r="D183" s="18">
        <v>12000</v>
      </c>
      <c r="E183" s="18">
        <v>20000</v>
      </c>
      <c r="F183" s="7">
        <v>0.16</v>
      </c>
      <c r="G183" s="18">
        <v>-1210</v>
      </c>
      <c r="H183">
        <f t="shared" si="19"/>
        <v>31.25</v>
      </c>
    </row>
    <row r="184" spans="1:8" x14ac:dyDescent="0.4">
      <c r="A184" t="s">
        <v>1404</v>
      </c>
      <c r="B184" s="18">
        <f t="shared" ref="B184:B214" si="20">mole/F184*(sf_TC/100)</f>
        <v>1000000</v>
      </c>
      <c r="C184">
        <v>0</v>
      </c>
      <c r="D184" s="18">
        <v>12000</v>
      </c>
      <c r="E184" s="18">
        <v>20000</v>
      </c>
      <c r="F184" s="7">
        <v>1</v>
      </c>
      <c r="G184" s="18">
        <v>-7590</v>
      </c>
      <c r="H184">
        <f t="shared" ref="H184:H214" si="21">B184/(I_b*20)</f>
        <v>5</v>
      </c>
    </row>
    <row r="185" spans="1:8" x14ac:dyDescent="0.4">
      <c r="A185" t="s">
        <v>65</v>
      </c>
      <c r="B185" s="18">
        <f t="shared" si="20"/>
        <v>25000000</v>
      </c>
      <c r="C185">
        <v>0</v>
      </c>
      <c r="D185" s="18">
        <v>12500</v>
      </c>
      <c r="E185" s="18">
        <v>20000</v>
      </c>
      <c r="F185" s="7">
        <v>0.04</v>
      </c>
      <c r="G185" s="18">
        <v>-9560</v>
      </c>
      <c r="H185">
        <f t="shared" si="21"/>
        <v>125</v>
      </c>
    </row>
    <row r="186" spans="1:8" x14ac:dyDescent="0.4">
      <c r="A186" t="s">
        <v>66</v>
      </c>
      <c r="B186" s="18">
        <f t="shared" si="20"/>
        <v>1250000</v>
      </c>
      <c r="C186">
        <v>0</v>
      </c>
      <c r="D186" s="18">
        <v>13000</v>
      </c>
      <c r="E186" s="18">
        <v>30000</v>
      </c>
      <c r="F186" s="7">
        <v>0.8</v>
      </c>
      <c r="G186" s="18">
        <v>-8270</v>
      </c>
      <c r="H186">
        <f t="shared" si="21"/>
        <v>6.25</v>
      </c>
    </row>
    <row r="187" spans="1:8" x14ac:dyDescent="0.4">
      <c r="A187" t="s">
        <v>67</v>
      </c>
      <c r="B187" s="18">
        <f t="shared" si="20"/>
        <v>10000000</v>
      </c>
      <c r="C187">
        <v>0</v>
      </c>
      <c r="D187" s="18">
        <v>14000</v>
      </c>
      <c r="E187" s="18">
        <v>32000</v>
      </c>
      <c r="F187" s="7">
        <v>0.1</v>
      </c>
      <c r="G187" s="18">
        <v>-9320</v>
      </c>
      <c r="H187">
        <f t="shared" si="21"/>
        <v>50</v>
      </c>
    </row>
    <row r="188" spans="1:8" x14ac:dyDescent="0.4">
      <c r="A188" t="s">
        <v>68</v>
      </c>
      <c r="B188" s="18">
        <f t="shared" si="20"/>
        <v>1000000</v>
      </c>
      <c r="C188">
        <v>0</v>
      </c>
      <c r="D188" s="18">
        <v>14000</v>
      </c>
      <c r="E188" s="18">
        <v>24000</v>
      </c>
      <c r="F188" s="7">
        <v>1</v>
      </c>
      <c r="G188" s="18">
        <v>-8330</v>
      </c>
      <c r="H188">
        <f t="shared" si="21"/>
        <v>5</v>
      </c>
    </row>
    <row r="189" spans="1:8" x14ac:dyDescent="0.4">
      <c r="A189" t="s">
        <v>69</v>
      </c>
      <c r="B189" s="18">
        <f t="shared" si="20"/>
        <v>1000000</v>
      </c>
      <c r="C189">
        <v>0</v>
      </c>
      <c r="D189" s="18">
        <v>14000</v>
      </c>
      <c r="E189" s="18">
        <v>24500</v>
      </c>
      <c r="F189" s="7">
        <v>1</v>
      </c>
      <c r="G189" s="18">
        <v>-7710</v>
      </c>
      <c r="H189">
        <f t="shared" si="21"/>
        <v>5</v>
      </c>
    </row>
    <row r="190" spans="1:8" x14ac:dyDescent="0.4">
      <c r="A190" t="s">
        <v>70</v>
      </c>
      <c r="B190" s="18">
        <f t="shared" si="20"/>
        <v>15625000</v>
      </c>
      <c r="C190">
        <v>0</v>
      </c>
      <c r="D190" s="18">
        <v>15000</v>
      </c>
      <c r="E190" s="18">
        <v>26000</v>
      </c>
      <c r="F190" s="7">
        <v>6.4000000000000001E-2</v>
      </c>
      <c r="G190" s="18">
        <v>-10400</v>
      </c>
      <c r="H190">
        <f t="shared" si="21"/>
        <v>78.125</v>
      </c>
    </row>
    <row r="191" spans="1:8" x14ac:dyDescent="0.4">
      <c r="A191" t="s">
        <v>71</v>
      </c>
      <c r="B191" s="18">
        <f t="shared" si="20"/>
        <v>10000000</v>
      </c>
      <c r="C191">
        <v>0</v>
      </c>
      <c r="D191" s="18">
        <v>15000</v>
      </c>
      <c r="E191" s="18">
        <v>32000</v>
      </c>
      <c r="F191" s="7">
        <v>0.1</v>
      </c>
      <c r="G191" s="18">
        <v>-7220</v>
      </c>
      <c r="H191">
        <f t="shared" si="21"/>
        <v>50</v>
      </c>
    </row>
    <row r="192" spans="1:8" x14ac:dyDescent="0.4">
      <c r="A192" t="s">
        <v>1175</v>
      </c>
      <c r="B192" s="18">
        <f t="shared" si="20"/>
        <v>25000000</v>
      </c>
      <c r="C192">
        <v>0</v>
      </c>
      <c r="D192" s="18">
        <v>15000</v>
      </c>
      <c r="E192" s="18">
        <v>20000</v>
      </c>
      <c r="F192" s="7">
        <v>0.04</v>
      </c>
      <c r="G192" s="18">
        <v>1760</v>
      </c>
      <c r="H192">
        <f t="shared" si="21"/>
        <v>125</v>
      </c>
    </row>
    <row r="193" spans="1:8" x14ac:dyDescent="0.4">
      <c r="A193" t="s">
        <v>72</v>
      </c>
      <c r="B193" s="18">
        <f t="shared" si="20"/>
        <v>20000000</v>
      </c>
      <c r="C193">
        <v>0</v>
      </c>
      <c r="D193" s="18">
        <v>17000</v>
      </c>
      <c r="E193" s="18">
        <v>29000</v>
      </c>
      <c r="F193" s="7">
        <v>0.05</v>
      </c>
      <c r="G193" s="18">
        <v>-11500</v>
      </c>
      <c r="H193">
        <f t="shared" si="21"/>
        <v>100</v>
      </c>
    </row>
    <row r="194" spans="1:8" x14ac:dyDescent="0.4">
      <c r="A194" t="s">
        <v>73</v>
      </c>
      <c r="B194" s="18">
        <f t="shared" si="20"/>
        <v>4000000</v>
      </c>
      <c r="C194">
        <v>0</v>
      </c>
      <c r="D194" s="18">
        <v>17000</v>
      </c>
      <c r="E194" s="18">
        <v>28000</v>
      </c>
      <c r="F194" s="7">
        <v>0.25</v>
      </c>
      <c r="G194" s="18">
        <v>-12400</v>
      </c>
      <c r="H194">
        <f t="shared" si="21"/>
        <v>20</v>
      </c>
    </row>
    <row r="195" spans="1:8" x14ac:dyDescent="0.4">
      <c r="A195" t="s">
        <v>74</v>
      </c>
      <c r="B195" s="18">
        <f t="shared" si="20"/>
        <v>1600000</v>
      </c>
      <c r="C195">
        <v>0</v>
      </c>
      <c r="D195" s="18">
        <v>17000</v>
      </c>
      <c r="E195" s="18">
        <v>23500</v>
      </c>
      <c r="F195" s="7">
        <v>0.625</v>
      </c>
      <c r="G195" s="18">
        <v>-12100</v>
      </c>
      <c r="H195">
        <f t="shared" si="21"/>
        <v>8</v>
      </c>
    </row>
    <row r="196" spans="1:8" x14ac:dyDescent="0.4">
      <c r="A196" t="s">
        <v>75</v>
      </c>
      <c r="B196" s="18">
        <f t="shared" si="20"/>
        <v>1250000</v>
      </c>
      <c r="C196">
        <v>0</v>
      </c>
      <c r="D196" s="18">
        <v>18000</v>
      </c>
      <c r="E196" s="18">
        <v>27000</v>
      </c>
      <c r="F196" s="7">
        <v>0.8</v>
      </c>
      <c r="G196" s="18">
        <v>-11600</v>
      </c>
      <c r="H196">
        <f t="shared" si="21"/>
        <v>6.25</v>
      </c>
    </row>
    <row r="197" spans="1:8" x14ac:dyDescent="0.4">
      <c r="A197" t="s">
        <v>1176</v>
      </c>
      <c r="B197" s="18">
        <f t="shared" si="20"/>
        <v>31250000</v>
      </c>
      <c r="C197">
        <v>0</v>
      </c>
      <c r="D197" s="18">
        <v>18200</v>
      </c>
      <c r="E197" s="18">
        <v>34000</v>
      </c>
      <c r="F197" s="7">
        <v>3.2000000000000001E-2</v>
      </c>
      <c r="G197" s="18">
        <v>-393</v>
      </c>
      <c r="H197">
        <f t="shared" si="21"/>
        <v>156.25</v>
      </c>
    </row>
    <row r="198" spans="1:8" x14ac:dyDescent="0.4">
      <c r="A198" t="s">
        <v>76</v>
      </c>
      <c r="B198" s="18">
        <f t="shared" si="20"/>
        <v>1250000</v>
      </c>
      <c r="C198">
        <v>0</v>
      </c>
      <c r="D198" s="18">
        <v>19000</v>
      </c>
      <c r="E198" s="18">
        <v>30000</v>
      </c>
      <c r="F198" s="7">
        <v>0.8</v>
      </c>
      <c r="G198" s="18">
        <v>-6400</v>
      </c>
      <c r="H198">
        <f t="shared" si="21"/>
        <v>6.25</v>
      </c>
    </row>
    <row r="199" spans="1:8" x14ac:dyDescent="0.4">
      <c r="A199" t="s">
        <v>77</v>
      </c>
      <c r="B199" s="18">
        <f t="shared" si="20"/>
        <v>40000000</v>
      </c>
      <c r="C199">
        <v>0</v>
      </c>
      <c r="D199" s="18">
        <v>19000</v>
      </c>
      <c r="E199" s="18">
        <v>27000</v>
      </c>
      <c r="F199" s="7">
        <v>2.5000000000000001E-2</v>
      </c>
      <c r="G199" s="18">
        <v>8730</v>
      </c>
      <c r="H199">
        <f t="shared" si="21"/>
        <v>200</v>
      </c>
    </row>
    <row r="200" spans="1:8" x14ac:dyDescent="0.4">
      <c r="A200" t="s">
        <v>78</v>
      </c>
      <c r="B200" s="18">
        <f t="shared" si="20"/>
        <v>1600000</v>
      </c>
      <c r="C200">
        <v>0</v>
      </c>
      <c r="D200" s="18">
        <v>21000</v>
      </c>
      <c r="E200" s="18">
        <v>36000</v>
      </c>
      <c r="F200" s="7">
        <v>0.625</v>
      </c>
      <c r="G200" s="18">
        <v>-6130</v>
      </c>
      <c r="H200">
        <f t="shared" si="21"/>
        <v>8</v>
      </c>
    </row>
    <row r="201" spans="1:8" x14ac:dyDescent="0.4">
      <c r="A201" t="s">
        <v>79</v>
      </c>
      <c r="B201" s="18">
        <f t="shared" si="20"/>
        <v>50000000</v>
      </c>
      <c r="C201">
        <v>0</v>
      </c>
      <c r="D201" s="18">
        <v>22000</v>
      </c>
      <c r="E201" s="18">
        <v>35000</v>
      </c>
      <c r="F201" s="7">
        <v>0.02</v>
      </c>
      <c r="G201" s="18">
        <v>-12900</v>
      </c>
      <c r="H201">
        <f t="shared" si="21"/>
        <v>250</v>
      </c>
    </row>
    <row r="202" spans="1:8" x14ac:dyDescent="0.4">
      <c r="A202" t="s">
        <v>80</v>
      </c>
      <c r="B202" s="18">
        <f t="shared" si="20"/>
        <v>8000000</v>
      </c>
      <c r="C202">
        <v>0</v>
      </c>
      <c r="D202" s="18">
        <v>22000</v>
      </c>
      <c r="E202" s="18">
        <v>34000</v>
      </c>
      <c r="F202" s="7">
        <v>0.125</v>
      </c>
      <c r="G202" s="18">
        <v>-1930</v>
      </c>
      <c r="H202">
        <f t="shared" si="21"/>
        <v>40</v>
      </c>
    </row>
    <row r="203" spans="1:8" x14ac:dyDescent="0.4">
      <c r="A203" t="s">
        <v>1516</v>
      </c>
      <c r="B203" s="18">
        <f>mole/F203*(sf_TC/100)</f>
        <v>40000000</v>
      </c>
      <c r="C203">
        <v>0</v>
      </c>
      <c r="D203" s="18">
        <v>22000</v>
      </c>
      <c r="E203" s="18">
        <v>31500</v>
      </c>
      <c r="F203" s="7">
        <v>2.5000000000000001E-2</v>
      </c>
      <c r="G203" s="18">
        <v>214</v>
      </c>
      <c r="H203">
        <f>B203/(I_b*20)</f>
        <v>200</v>
      </c>
    </row>
    <row r="204" spans="1:8" x14ac:dyDescent="0.4">
      <c r="A204" t="s">
        <v>81</v>
      </c>
      <c r="B204" s="18">
        <f t="shared" si="20"/>
        <v>1000000</v>
      </c>
      <c r="C204">
        <v>0</v>
      </c>
      <c r="D204" s="18">
        <v>26000</v>
      </c>
      <c r="E204" s="18">
        <v>34000</v>
      </c>
      <c r="F204" s="7">
        <v>1</v>
      </c>
      <c r="G204" s="18">
        <v>-17800</v>
      </c>
      <c r="H204">
        <f t="shared" si="21"/>
        <v>5</v>
      </c>
    </row>
    <row r="205" spans="1:8" x14ac:dyDescent="0.4">
      <c r="A205" t="s">
        <v>82</v>
      </c>
      <c r="B205" s="18">
        <f t="shared" si="20"/>
        <v>1600000</v>
      </c>
      <c r="C205">
        <v>0</v>
      </c>
      <c r="D205" s="18">
        <v>29000</v>
      </c>
      <c r="E205" s="18">
        <v>46000</v>
      </c>
      <c r="F205" s="7">
        <v>0.625</v>
      </c>
      <c r="G205" s="18">
        <v>-9300</v>
      </c>
      <c r="H205">
        <f t="shared" si="21"/>
        <v>8</v>
      </c>
    </row>
    <row r="206" spans="1:8" x14ac:dyDescent="0.4">
      <c r="A206" t="s">
        <v>83</v>
      </c>
      <c r="B206" s="18">
        <f t="shared" si="20"/>
        <v>5000000</v>
      </c>
      <c r="C206">
        <v>0</v>
      </c>
      <c r="D206" s="18">
        <v>29500</v>
      </c>
      <c r="E206" s="18">
        <v>60000</v>
      </c>
      <c r="F206" s="7">
        <v>0.2</v>
      </c>
      <c r="G206" s="18">
        <v>-13700</v>
      </c>
      <c r="H206">
        <f t="shared" si="21"/>
        <v>25</v>
      </c>
    </row>
    <row r="207" spans="1:8" x14ac:dyDescent="0.4">
      <c r="A207" t="s">
        <v>84</v>
      </c>
      <c r="B207" s="18">
        <f t="shared" si="20"/>
        <v>2500000</v>
      </c>
      <c r="C207">
        <v>0</v>
      </c>
      <c r="D207" s="18">
        <v>30000</v>
      </c>
      <c r="E207" s="18">
        <v>50000</v>
      </c>
      <c r="F207" s="7">
        <v>0.4</v>
      </c>
      <c r="G207" s="18">
        <v>-8930</v>
      </c>
      <c r="H207">
        <f t="shared" si="21"/>
        <v>12.5</v>
      </c>
    </row>
    <row r="208" spans="1:8" x14ac:dyDescent="0.4">
      <c r="A208" t="s">
        <v>85</v>
      </c>
      <c r="B208" s="18">
        <f t="shared" si="20"/>
        <v>3125000</v>
      </c>
      <c r="C208">
        <v>0</v>
      </c>
      <c r="D208" s="18">
        <v>30000</v>
      </c>
      <c r="E208" s="18">
        <v>49000</v>
      </c>
      <c r="F208" s="7">
        <v>0.32</v>
      </c>
      <c r="G208" s="18">
        <v>-4840</v>
      </c>
      <c r="H208">
        <f t="shared" si="21"/>
        <v>15.625</v>
      </c>
    </row>
    <row r="209" spans="1:8" x14ac:dyDescent="0.4">
      <c r="A209" t="s">
        <v>86</v>
      </c>
      <c r="B209" s="18">
        <f t="shared" si="20"/>
        <v>10000000</v>
      </c>
      <c r="C209">
        <v>0</v>
      </c>
      <c r="D209" s="18">
        <v>30000</v>
      </c>
      <c r="E209" s="18">
        <v>60000</v>
      </c>
      <c r="F209" s="7">
        <v>0.1</v>
      </c>
      <c r="G209" s="18">
        <v>-10700</v>
      </c>
      <c r="H209">
        <f t="shared" si="21"/>
        <v>50</v>
      </c>
    </row>
    <row r="210" spans="1:8" x14ac:dyDescent="0.4">
      <c r="A210" t="s">
        <v>87</v>
      </c>
      <c r="B210" s="18">
        <f t="shared" si="20"/>
        <v>20000000</v>
      </c>
      <c r="C210">
        <v>0</v>
      </c>
      <c r="D210" s="18">
        <v>30000</v>
      </c>
      <c r="E210" s="18">
        <v>45000</v>
      </c>
      <c r="F210" s="7">
        <v>0.05</v>
      </c>
      <c r="G210" s="18">
        <v>967</v>
      </c>
      <c r="H210">
        <f t="shared" si="21"/>
        <v>100</v>
      </c>
    </row>
    <row r="211" spans="1:8" x14ac:dyDescent="0.4">
      <c r="A211" t="s">
        <v>1590</v>
      </c>
      <c r="B211" s="18">
        <f>mole/F211*(sf_TC/100)</f>
        <v>6250000</v>
      </c>
      <c r="C211">
        <v>0</v>
      </c>
      <c r="D211" s="18">
        <v>33000</v>
      </c>
      <c r="E211" s="18">
        <v>59000</v>
      </c>
      <c r="F211" s="7">
        <v>0.16</v>
      </c>
      <c r="G211" s="18">
        <v>-7320</v>
      </c>
      <c r="H211">
        <f>B211/(I_b*20)</f>
        <v>31.25</v>
      </c>
    </row>
    <row r="212" spans="1:8" x14ac:dyDescent="0.4">
      <c r="A212" t="s">
        <v>88</v>
      </c>
      <c r="B212" s="18">
        <f t="shared" si="20"/>
        <v>4000000</v>
      </c>
      <c r="C212">
        <v>0</v>
      </c>
      <c r="D212" s="18">
        <v>35000</v>
      </c>
      <c r="E212" s="18">
        <v>60000</v>
      </c>
      <c r="F212" s="7">
        <v>0.25</v>
      </c>
      <c r="G212" s="18">
        <v>-21900</v>
      </c>
      <c r="H212">
        <f t="shared" si="21"/>
        <v>20</v>
      </c>
    </row>
    <row r="213" spans="1:8" x14ac:dyDescent="0.4">
      <c r="A213" t="s">
        <v>914</v>
      </c>
      <c r="B213" s="18">
        <f t="shared" si="20"/>
        <v>50000000</v>
      </c>
      <c r="C213">
        <v>0</v>
      </c>
      <c r="D213" s="18">
        <v>40000</v>
      </c>
      <c r="E213" s="18">
        <v>60000</v>
      </c>
      <c r="F213" s="7">
        <v>0.02</v>
      </c>
      <c r="G213" s="18">
        <v>-20600</v>
      </c>
      <c r="H213">
        <f t="shared" si="21"/>
        <v>250</v>
      </c>
    </row>
    <row r="214" spans="1:8" x14ac:dyDescent="0.4">
      <c r="A214" t="s">
        <v>915</v>
      </c>
      <c r="B214" s="18">
        <f t="shared" si="20"/>
        <v>20000000</v>
      </c>
      <c r="C214">
        <v>0</v>
      </c>
      <c r="D214" s="18">
        <v>44000</v>
      </c>
      <c r="E214" s="18">
        <v>80000</v>
      </c>
      <c r="F214" s="7">
        <v>0.05</v>
      </c>
      <c r="G214" s="18">
        <v>-43100</v>
      </c>
      <c r="H214">
        <f t="shared" si="21"/>
        <v>100</v>
      </c>
    </row>
    <row r="215" spans="1:8" x14ac:dyDescent="0.4">
      <c r="A215" t="s">
        <v>89</v>
      </c>
      <c r="B215" s="18">
        <f>mole/F215*(sf_TC/100)</f>
        <v>5000000</v>
      </c>
      <c r="C215">
        <v>0</v>
      </c>
      <c r="D215" s="18">
        <v>70000</v>
      </c>
      <c r="E215" s="18">
        <v>150000</v>
      </c>
      <c r="F215" s="7">
        <v>0.2</v>
      </c>
      <c r="G215" s="18">
        <v>-2680</v>
      </c>
      <c r="H215">
        <f>B215/(I_b*20)</f>
        <v>25</v>
      </c>
    </row>
    <row r="216" spans="1:8" x14ac:dyDescent="0.4">
      <c r="A216" t="s">
        <v>916</v>
      </c>
      <c r="B216" s="18">
        <f>mole/F216*(sf_TC/100)</f>
        <v>31250000</v>
      </c>
      <c r="C216">
        <v>0</v>
      </c>
      <c r="D216" s="18">
        <v>105000</v>
      </c>
      <c r="E216" s="18">
        <v>150000</v>
      </c>
      <c r="F216" s="7">
        <v>3.2000000000000001E-2</v>
      </c>
      <c r="G216" s="18">
        <v>-46800</v>
      </c>
      <c r="H216">
        <f>B216/(I_b*20)</f>
        <v>156.25</v>
      </c>
    </row>
    <row r="219" spans="1:8" x14ac:dyDescent="0.4">
      <c r="A219" s="3" t="s">
        <v>90</v>
      </c>
      <c r="B219" s="3"/>
      <c r="C219" s="3"/>
      <c r="D219" s="3"/>
      <c r="E219" s="3"/>
      <c r="F219" s="3"/>
      <c r="G219" s="3"/>
      <c r="H219" s="1"/>
    </row>
    <row r="220" spans="1:8" x14ac:dyDescent="0.4">
      <c r="A220" s="1" t="s">
        <v>1</v>
      </c>
      <c r="B220" s="1" t="s">
        <v>2</v>
      </c>
      <c r="C220" s="1" t="s">
        <v>3</v>
      </c>
      <c r="D220" s="1" t="s">
        <v>4</v>
      </c>
      <c r="E220" s="1" t="s">
        <v>5</v>
      </c>
      <c r="F220" s="1" t="s">
        <v>6</v>
      </c>
      <c r="G220" s="1" t="s">
        <v>7</v>
      </c>
      <c r="H220" s="1" t="s">
        <v>187</v>
      </c>
    </row>
    <row r="221" spans="1:8" x14ac:dyDescent="0.4">
      <c r="A221" t="s">
        <v>91</v>
      </c>
      <c r="B221" s="18">
        <f t="shared" ref="B221:B248" si="22">mole/F221*(sf_TC/100)</f>
        <v>50000000</v>
      </c>
      <c r="C221">
        <v>0</v>
      </c>
      <c r="D221" s="18">
        <v>2500</v>
      </c>
      <c r="E221" s="18">
        <v>14000</v>
      </c>
      <c r="F221" s="7">
        <v>0.02</v>
      </c>
      <c r="G221" s="18">
        <v>-2230</v>
      </c>
      <c r="H221">
        <f t="shared" ref="H221:H248" si="23">B221/(I_b*20)</f>
        <v>250</v>
      </c>
    </row>
    <row r="222" spans="1:8" x14ac:dyDescent="0.4">
      <c r="A222" t="s">
        <v>92</v>
      </c>
      <c r="B222" s="18">
        <f t="shared" si="22"/>
        <v>50000000</v>
      </c>
      <c r="C222">
        <v>0</v>
      </c>
      <c r="D222" s="18">
        <v>5500</v>
      </c>
      <c r="E222" s="18">
        <v>17000</v>
      </c>
      <c r="F222" s="7">
        <v>0.02</v>
      </c>
      <c r="G222" s="18">
        <v>-3700</v>
      </c>
      <c r="H222">
        <f t="shared" si="23"/>
        <v>250</v>
      </c>
    </row>
    <row r="223" spans="1:8" x14ac:dyDescent="0.4">
      <c r="A223" t="s">
        <v>93</v>
      </c>
      <c r="B223" s="18">
        <f t="shared" si="22"/>
        <v>50000000</v>
      </c>
      <c r="C223">
        <v>0</v>
      </c>
      <c r="D223" s="18">
        <v>9000</v>
      </c>
      <c r="E223" s="18">
        <v>36000</v>
      </c>
      <c r="F223" s="7">
        <v>0.02</v>
      </c>
      <c r="G223" s="18">
        <v>-7720</v>
      </c>
      <c r="H223">
        <f t="shared" si="23"/>
        <v>250</v>
      </c>
    </row>
    <row r="224" spans="1:8" x14ac:dyDescent="0.4">
      <c r="A224" t="s">
        <v>94</v>
      </c>
      <c r="B224" s="18">
        <f t="shared" si="22"/>
        <v>1000000</v>
      </c>
      <c r="C224">
        <v>0</v>
      </c>
      <c r="D224" s="18">
        <v>9750</v>
      </c>
      <c r="E224" s="18">
        <v>14500</v>
      </c>
      <c r="F224" s="7">
        <v>1</v>
      </c>
      <c r="G224" s="18">
        <v>-6580</v>
      </c>
      <c r="H224">
        <f t="shared" si="23"/>
        <v>5</v>
      </c>
    </row>
    <row r="225" spans="1:8" x14ac:dyDescent="0.4">
      <c r="A225" t="s">
        <v>95</v>
      </c>
      <c r="B225" s="18">
        <f t="shared" si="22"/>
        <v>2500000</v>
      </c>
      <c r="C225">
        <v>0</v>
      </c>
      <c r="D225" s="18">
        <v>10000</v>
      </c>
      <c r="E225" s="18">
        <v>13500</v>
      </c>
      <c r="F225" s="7">
        <v>0.4</v>
      </c>
      <c r="G225" s="18">
        <v>-5650</v>
      </c>
      <c r="H225">
        <f t="shared" si="23"/>
        <v>12.5</v>
      </c>
    </row>
    <row r="226" spans="1:8" x14ac:dyDescent="0.4">
      <c r="A226" t="s">
        <v>96</v>
      </c>
      <c r="B226" s="18">
        <f t="shared" si="22"/>
        <v>1000000</v>
      </c>
      <c r="C226">
        <v>0</v>
      </c>
      <c r="D226" s="18">
        <v>10000</v>
      </c>
      <c r="E226" s="18">
        <v>12500</v>
      </c>
      <c r="F226" s="7">
        <v>1</v>
      </c>
      <c r="G226" s="18">
        <v>-6360</v>
      </c>
      <c r="H226">
        <f t="shared" si="23"/>
        <v>5</v>
      </c>
    </row>
    <row r="227" spans="1:8" x14ac:dyDescent="0.4">
      <c r="A227" t="s">
        <v>97</v>
      </c>
      <c r="B227" s="18">
        <f t="shared" si="22"/>
        <v>4000000</v>
      </c>
      <c r="C227">
        <v>0</v>
      </c>
      <c r="D227" s="18">
        <v>11000</v>
      </c>
      <c r="E227" s="18">
        <v>16500</v>
      </c>
      <c r="F227" s="7">
        <v>0.25</v>
      </c>
      <c r="G227" s="18">
        <v>1660</v>
      </c>
      <c r="H227">
        <f t="shared" si="23"/>
        <v>20</v>
      </c>
    </row>
    <row r="228" spans="1:8" x14ac:dyDescent="0.4">
      <c r="A228" t="s">
        <v>1432</v>
      </c>
      <c r="B228" s="18">
        <f>mole/F228*(sf_TC/100)</f>
        <v>2500000</v>
      </c>
      <c r="C228">
        <v>0</v>
      </c>
      <c r="D228" s="18">
        <v>11000</v>
      </c>
      <c r="E228" s="18">
        <v>15000</v>
      </c>
      <c r="F228" s="7">
        <v>0.4</v>
      </c>
      <c r="G228" s="18">
        <v>-7240</v>
      </c>
      <c r="H228">
        <f>B228/(I_b*20)</f>
        <v>12.5</v>
      </c>
    </row>
    <row r="229" spans="1:8" x14ac:dyDescent="0.4">
      <c r="A229" t="s">
        <v>98</v>
      </c>
      <c r="B229" s="18">
        <f t="shared" si="22"/>
        <v>25000000</v>
      </c>
      <c r="C229">
        <v>0</v>
      </c>
      <c r="D229" s="18">
        <v>11500</v>
      </c>
      <c r="E229" s="18">
        <v>19000</v>
      </c>
      <c r="F229" s="7">
        <v>0.04</v>
      </c>
      <c r="G229" s="18">
        <v>-8350</v>
      </c>
      <c r="H229">
        <f t="shared" si="23"/>
        <v>125</v>
      </c>
    </row>
    <row r="230" spans="1:8" x14ac:dyDescent="0.4">
      <c r="A230" t="s">
        <v>99</v>
      </c>
      <c r="B230" s="18">
        <f t="shared" si="22"/>
        <v>2000000</v>
      </c>
      <c r="C230">
        <v>0</v>
      </c>
      <c r="D230" s="18">
        <v>12000</v>
      </c>
      <c r="E230" s="18">
        <v>16000</v>
      </c>
      <c r="F230" s="7">
        <v>0.5</v>
      </c>
      <c r="G230" s="18">
        <v>-7770</v>
      </c>
      <c r="H230">
        <f t="shared" si="23"/>
        <v>10</v>
      </c>
    </row>
    <row r="231" spans="1:8" x14ac:dyDescent="0.4">
      <c r="A231" t="s">
        <v>100</v>
      </c>
      <c r="B231" s="18">
        <f t="shared" si="22"/>
        <v>2000000</v>
      </c>
      <c r="C231">
        <v>0</v>
      </c>
      <c r="D231" s="18">
        <v>12000</v>
      </c>
      <c r="E231" s="18">
        <v>15000</v>
      </c>
      <c r="F231" s="7">
        <v>0.5</v>
      </c>
      <c r="G231" s="18">
        <v>-11200</v>
      </c>
      <c r="H231">
        <f t="shared" si="23"/>
        <v>10</v>
      </c>
    </row>
    <row r="232" spans="1:8" x14ac:dyDescent="0.4">
      <c r="A232" t="s">
        <v>101</v>
      </c>
      <c r="B232" s="18">
        <f t="shared" si="22"/>
        <v>50000000</v>
      </c>
      <c r="C232">
        <v>0</v>
      </c>
      <c r="D232" s="18">
        <v>13000</v>
      </c>
      <c r="E232" s="18">
        <v>21000</v>
      </c>
      <c r="F232" s="7">
        <v>0.02</v>
      </c>
      <c r="G232" s="18">
        <v>-1930</v>
      </c>
      <c r="H232">
        <f t="shared" si="23"/>
        <v>250</v>
      </c>
    </row>
    <row r="233" spans="1:8" x14ac:dyDescent="0.4">
      <c r="A233" t="s">
        <v>102</v>
      </c>
      <c r="B233" s="18">
        <f t="shared" si="22"/>
        <v>3125000</v>
      </c>
      <c r="C233">
        <v>0</v>
      </c>
      <c r="D233" s="18">
        <v>13500</v>
      </c>
      <c r="E233" s="18">
        <v>18000</v>
      </c>
      <c r="F233" s="7">
        <v>0.32</v>
      </c>
      <c r="G233" s="18">
        <v>-12100</v>
      </c>
      <c r="H233">
        <f t="shared" si="23"/>
        <v>15.625</v>
      </c>
    </row>
    <row r="234" spans="1:8" x14ac:dyDescent="0.4">
      <c r="A234" t="s">
        <v>103</v>
      </c>
      <c r="B234" s="18">
        <f t="shared" si="22"/>
        <v>8000000</v>
      </c>
      <c r="C234">
        <v>0</v>
      </c>
      <c r="D234" s="18">
        <v>14500</v>
      </c>
      <c r="E234" s="18">
        <v>21000</v>
      </c>
      <c r="F234" s="7">
        <v>0.125</v>
      </c>
      <c r="G234" s="18">
        <v>-10200</v>
      </c>
      <c r="H234">
        <f t="shared" si="23"/>
        <v>40</v>
      </c>
    </row>
    <row r="235" spans="1:8" x14ac:dyDescent="0.4">
      <c r="A235" t="s">
        <v>104</v>
      </c>
      <c r="B235" s="18">
        <f t="shared" si="22"/>
        <v>31250000</v>
      </c>
      <c r="C235">
        <v>0</v>
      </c>
      <c r="D235" s="18">
        <v>16000</v>
      </c>
      <c r="E235" s="18">
        <v>23000</v>
      </c>
      <c r="F235" s="7">
        <v>3.2000000000000001E-2</v>
      </c>
      <c r="G235" s="18">
        <v>-7070</v>
      </c>
      <c r="H235">
        <f t="shared" si="23"/>
        <v>156.25</v>
      </c>
    </row>
    <row r="236" spans="1:8" x14ac:dyDescent="0.4">
      <c r="A236" t="s">
        <v>105</v>
      </c>
      <c r="B236" s="18">
        <f t="shared" si="22"/>
        <v>31250000</v>
      </c>
      <c r="C236">
        <v>0</v>
      </c>
      <c r="D236" s="18">
        <v>17500</v>
      </c>
      <c r="E236" s="18">
        <v>23000</v>
      </c>
      <c r="F236" s="7">
        <v>3.2000000000000001E-2</v>
      </c>
      <c r="G236" s="18">
        <v>-8270</v>
      </c>
      <c r="H236">
        <f t="shared" si="23"/>
        <v>156.25</v>
      </c>
    </row>
    <row r="237" spans="1:8" x14ac:dyDescent="0.4">
      <c r="A237" t="s">
        <v>106</v>
      </c>
      <c r="B237" s="18">
        <f t="shared" si="22"/>
        <v>12500000</v>
      </c>
      <c r="C237">
        <v>0</v>
      </c>
      <c r="D237" s="18">
        <v>18000</v>
      </c>
      <c r="E237" s="18">
        <v>23000</v>
      </c>
      <c r="F237" s="7">
        <v>0.08</v>
      </c>
      <c r="G237" s="18">
        <v>-11600</v>
      </c>
      <c r="H237">
        <f t="shared" si="23"/>
        <v>62.5</v>
      </c>
    </row>
    <row r="238" spans="1:8" x14ac:dyDescent="0.4">
      <c r="A238" t="s">
        <v>107</v>
      </c>
      <c r="B238" s="18">
        <f t="shared" si="22"/>
        <v>20000000</v>
      </c>
      <c r="C238">
        <v>0</v>
      </c>
      <c r="D238" s="18">
        <v>18000</v>
      </c>
      <c r="E238" s="18">
        <v>22000</v>
      </c>
      <c r="F238" s="7">
        <v>0.05</v>
      </c>
      <c r="G238" s="18">
        <v>-8330</v>
      </c>
      <c r="H238">
        <f t="shared" si="23"/>
        <v>100</v>
      </c>
    </row>
    <row r="239" spans="1:8" x14ac:dyDescent="0.4">
      <c r="A239" t="s">
        <v>917</v>
      </c>
      <c r="B239" s="18">
        <f>mole/F239*(sf_TC/100)</f>
        <v>50000000</v>
      </c>
      <c r="C239">
        <v>0</v>
      </c>
      <c r="D239" s="18">
        <v>18500</v>
      </c>
      <c r="E239" s="18">
        <v>25500</v>
      </c>
      <c r="F239" s="7">
        <v>0.02</v>
      </c>
      <c r="G239" s="18">
        <v>-15800</v>
      </c>
      <c r="H239">
        <f>B239/(I_b*20)</f>
        <v>250</v>
      </c>
    </row>
    <row r="240" spans="1:8" x14ac:dyDescent="0.4">
      <c r="A240" t="s">
        <v>108</v>
      </c>
      <c r="B240" s="18">
        <f t="shared" si="22"/>
        <v>50000000</v>
      </c>
      <c r="C240">
        <v>0</v>
      </c>
      <c r="D240" s="18">
        <v>18500</v>
      </c>
      <c r="E240" s="18">
        <v>24000</v>
      </c>
      <c r="F240" s="7">
        <v>0.02</v>
      </c>
      <c r="G240" s="18">
        <v>-7250</v>
      </c>
      <c r="H240">
        <f t="shared" si="23"/>
        <v>250</v>
      </c>
    </row>
    <row r="241" spans="1:8" x14ac:dyDescent="0.4">
      <c r="A241" t="s">
        <v>1403</v>
      </c>
      <c r="B241" s="18">
        <f t="shared" si="22"/>
        <v>25000000</v>
      </c>
      <c r="C241">
        <v>0</v>
      </c>
      <c r="D241" s="18">
        <v>18500</v>
      </c>
      <c r="E241" s="18">
        <v>24500</v>
      </c>
      <c r="F241" s="7">
        <v>0.04</v>
      </c>
      <c r="G241" s="18">
        <v>-17100</v>
      </c>
      <c r="H241">
        <f t="shared" si="23"/>
        <v>125</v>
      </c>
    </row>
    <row r="242" spans="1:8" x14ac:dyDescent="0.4">
      <c r="A242" t="s">
        <v>109</v>
      </c>
      <c r="B242" s="18">
        <f t="shared" si="22"/>
        <v>20000000</v>
      </c>
      <c r="C242">
        <v>0</v>
      </c>
      <c r="D242" s="18">
        <v>19500</v>
      </c>
      <c r="E242" s="18">
        <v>27000</v>
      </c>
      <c r="F242" s="7">
        <v>0.05</v>
      </c>
      <c r="G242" s="18">
        <v>-16700</v>
      </c>
      <c r="H242">
        <f t="shared" si="23"/>
        <v>100</v>
      </c>
    </row>
    <row r="243" spans="1:8" x14ac:dyDescent="0.4">
      <c r="A243" t="s">
        <v>110</v>
      </c>
      <c r="B243" s="18">
        <f t="shared" si="22"/>
        <v>50000000</v>
      </c>
      <c r="C243">
        <v>0</v>
      </c>
      <c r="D243" s="18">
        <v>20000</v>
      </c>
      <c r="E243" s="18">
        <v>27000</v>
      </c>
      <c r="F243" s="7">
        <v>0.02</v>
      </c>
      <c r="G243" s="18">
        <v>-12500</v>
      </c>
      <c r="H243">
        <f t="shared" si="23"/>
        <v>250</v>
      </c>
    </row>
    <row r="244" spans="1:8" x14ac:dyDescent="0.4">
      <c r="A244" t="s">
        <v>111</v>
      </c>
      <c r="B244" s="18">
        <f t="shared" si="22"/>
        <v>50000000</v>
      </c>
      <c r="C244">
        <v>0</v>
      </c>
      <c r="D244" s="18">
        <v>24500</v>
      </c>
      <c r="E244" s="18">
        <v>30500</v>
      </c>
      <c r="F244" s="7">
        <v>0.02</v>
      </c>
      <c r="G244" s="18">
        <v>-17400</v>
      </c>
      <c r="H244">
        <f t="shared" si="23"/>
        <v>250</v>
      </c>
    </row>
    <row r="245" spans="1:8" x14ac:dyDescent="0.4">
      <c r="A245" t="s">
        <v>112</v>
      </c>
      <c r="B245" s="18">
        <f t="shared" si="22"/>
        <v>50000000</v>
      </c>
      <c r="C245">
        <v>0</v>
      </c>
      <c r="D245" s="18">
        <v>26000</v>
      </c>
      <c r="E245" s="18">
        <v>46000</v>
      </c>
      <c r="F245" s="7">
        <v>0.02</v>
      </c>
      <c r="G245" s="18">
        <v>-1570</v>
      </c>
      <c r="H245">
        <f t="shared" si="23"/>
        <v>250</v>
      </c>
    </row>
    <row r="246" spans="1:8" x14ac:dyDescent="0.4">
      <c r="A246" t="s">
        <v>113</v>
      </c>
      <c r="B246" s="18">
        <f t="shared" si="22"/>
        <v>50000000</v>
      </c>
      <c r="C246">
        <v>0</v>
      </c>
      <c r="D246" s="18">
        <v>29000</v>
      </c>
      <c r="E246" s="18">
        <v>41000</v>
      </c>
      <c r="F246" s="7">
        <v>0.02</v>
      </c>
      <c r="G246" s="18">
        <v>-23000</v>
      </c>
      <c r="H246">
        <f t="shared" si="23"/>
        <v>250</v>
      </c>
    </row>
    <row r="247" spans="1:8" x14ac:dyDescent="0.4">
      <c r="A247" t="s">
        <v>114</v>
      </c>
      <c r="B247" s="18">
        <f t="shared" si="22"/>
        <v>50000000</v>
      </c>
      <c r="C247">
        <v>0</v>
      </c>
      <c r="D247" s="18">
        <v>31500</v>
      </c>
      <c r="E247" s="18">
        <v>42500</v>
      </c>
      <c r="F247" s="7">
        <v>0.02</v>
      </c>
      <c r="G247" s="18">
        <v>-26300</v>
      </c>
      <c r="H247">
        <f t="shared" si="23"/>
        <v>250</v>
      </c>
    </row>
    <row r="248" spans="1:8" x14ac:dyDescent="0.4">
      <c r="A248" t="s">
        <v>115</v>
      </c>
      <c r="B248" s="18">
        <f t="shared" si="22"/>
        <v>50000000</v>
      </c>
      <c r="C248">
        <v>0</v>
      </c>
      <c r="D248" s="18">
        <v>42500</v>
      </c>
      <c r="E248" s="18">
        <v>55000</v>
      </c>
      <c r="F248" s="7">
        <v>0.02</v>
      </c>
      <c r="G248" s="18">
        <v>-31900</v>
      </c>
      <c r="H248">
        <f t="shared" si="23"/>
        <v>250</v>
      </c>
    </row>
    <row r="249" spans="1:8" x14ac:dyDescent="0.4">
      <c r="D249" s="18"/>
      <c r="E249" s="18"/>
      <c r="F249" s="70"/>
    </row>
    <row r="252" spans="1:8" x14ac:dyDescent="0.4">
      <c r="A252" s="3" t="s">
        <v>175</v>
      </c>
      <c r="B252" s="3"/>
      <c r="C252" s="3"/>
      <c r="D252" s="3"/>
      <c r="E252" s="3"/>
      <c r="F252" s="3"/>
      <c r="G252" s="3"/>
      <c r="H252" s="1"/>
    </row>
    <row r="253" spans="1:8" x14ac:dyDescent="0.4">
      <c r="A253" s="1" t="s">
        <v>1</v>
      </c>
      <c r="B253" s="1" t="s">
        <v>2</v>
      </c>
      <c r="C253" s="1" t="s">
        <v>3</v>
      </c>
      <c r="D253" s="1" t="s">
        <v>4</v>
      </c>
      <c r="E253" s="1" t="s">
        <v>5</v>
      </c>
      <c r="F253" s="1" t="s">
        <v>6</v>
      </c>
      <c r="G253" s="1" t="s">
        <v>7</v>
      </c>
      <c r="H253" s="1" t="s">
        <v>187</v>
      </c>
    </row>
    <row r="254" spans="1:8" x14ac:dyDescent="0.4">
      <c r="A254" t="s">
        <v>116</v>
      </c>
      <c r="B254" s="18">
        <f t="shared" ref="B254:B257" si="24">mole/F254*(sf_TC/100)</f>
        <v>50000000</v>
      </c>
      <c r="C254">
        <v>0</v>
      </c>
      <c r="D254" s="18">
        <v>50000</v>
      </c>
      <c r="E254" s="18">
        <v>100000</v>
      </c>
      <c r="F254" s="7">
        <v>0.02</v>
      </c>
      <c r="G254" s="18">
        <v>-7610</v>
      </c>
      <c r="H254">
        <f t="shared" ref="H254:H257" si="25">B254/(I_b*20)</f>
        <v>250</v>
      </c>
    </row>
    <row r="255" spans="1:8" x14ac:dyDescent="0.4">
      <c r="A255" t="s">
        <v>117</v>
      </c>
      <c r="B255" s="18">
        <f t="shared" si="24"/>
        <v>50000000</v>
      </c>
      <c r="C255">
        <v>0</v>
      </c>
      <c r="D255" s="18">
        <v>50000</v>
      </c>
      <c r="E255" s="18">
        <v>100000</v>
      </c>
      <c r="F255" s="7">
        <v>0.02</v>
      </c>
      <c r="G255" s="18">
        <v>-6940</v>
      </c>
      <c r="H255">
        <f t="shared" si="25"/>
        <v>250</v>
      </c>
    </row>
    <row r="256" spans="1:8" x14ac:dyDescent="0.4">
      <c r="A256" t="s">
        <v>118</v>
      </c>
      <c r="B256" s="18">
        <f t="shared" si="24"/>
        <v>50000000</v>
      </c>
      <c r="C256">
        <v>0</v>
      </c>
      <c r="D256" s="18">
        <v>50000</v>
      </c>
      <c r="E256" s="18">
        <v>100000</v>
      </c>
      <c r="F256" s="7">
        <v>0.02</v>
      </c>
      <c r="G256" s="18">
        <v>-3960</v>
      </c>
      <c r="H256">
        <f t="shared" si="25"/>
        <v>250</v>
      </c>
    </row>
    <row r="257" spans="1:8" x14ac:dyDescent="0.4">
      <c r="A257" t="s">
        <v>119</v>
      </c>
      <c r="B257" s="18">
        <f t="shared" si="24"/>
        <v>50000000</v>
      </c>
      <c r="C257">
        <v>0</v>
      </c>
      <c r="D257" s="18">
        <v>60000</v>
      </c>
      <c r="E257" s="18">
        <v>130000</v>
      </c>
      <c r="F257" s="7">
        <v>0.02</v>
      </c>
      <c r="G257" s="18">
        <v>-8350</v>
      </c>
      <c r="H257">
        <f t="shared" si="25"/>
        <v>250</v>
      </c>
    </row>
    <row r="260" spans="1:8" x14ac:dyDescent="0.4">
      <c r="A260" s="3" t="s">
        <v>120</v>
      </c>
      <c r="B260" s="3"/>
      <c r="C260" s="3"/>
      <c r="D260" s="3"/>
      <c r="E260" s="3"/>
      <c r="F260" s="3"/>
      <c r="G260" s="3"/>
      <c r="H260" s="1"/>
    </row>
    <row r="261" spans="1:8" x14ac:dyDescent="0.4">
      <c r="A261" s="32" t="s">
        <v>1</v>
      </c>
      <c r="B261" s="21" t="s">
        <v>2</v>
      </c>
      <c r="C261" s="21" t="s">
        <v>3</v>
      </c>
      <c r="D261" s="21" t="s">
        <v>4</v>
      </c>
      <c r="E261" s="21" t="s">
        <v>5</v>
      </c>
      <c r="F261" s="21" t="s">
        <v>6</v>
      </c>
      <c r="G261" s="21" t="s">
        <v>7</v>
      </c>
      <c r="H261" s="21" t="s">
        <v>187</v>
      </c>
    </row>
    <row r="262" spans="1:8" x14ac:dyDescent="0.4">
      <c r="A262" t="s">
        <v>121</v>
      </c>
      <c r="B262" s="18">
        <f t="shared" ref="B262:B327" si="26">mole/F262*(sf_TC/100)</f>
        <v>2000000</v>
      </c>
      <c r="C262">
        <v>0</v>
      </c>
      <c r="D262" s="18">
        <v>50</v>
      </c>
      <c r="E262" s="18">
        <v>600</v>
      </c>
      <c r="F262" s="7">
        <v>0.5</v>
      </c>
      <c r="G262" s="18">
        <v>17100</v>
      </c>
      <c r="H262">
        <f t="shared" ref="H262:H327" si="27">B262/(I_b*20)</f>
        <v>10</v>
      </c>
    </row>
    <row r="263" spans="1:8" x14ac:dyDescent="0.4">
      <c r="A263" t="s">
        <v>122</v>
      </c>
      <c r="B263" s="18">
        <f t="shared" si="26"/>
        <v>12500000</v>
      </c>
      <c r="C263">
        <v>0</v>
      </c>
      <c r="D263" s="18">
        <v>500</v>
      </c>
      <c r="E263" s="18">
        <v>12000</v>
      </c>
      <c r="F263" s="7">
        <v>0.08</v>
      </c>
      <c r="G263" s="18">
        <v>2740</v>
      </c>
      <c r="H263">
        <f t="shared" si="27"/>
        <v>62.5</v>
      </c>
    </row>
    <row r="264" spans="1:8" x14ac:dyDescent="0.4">
      <c r="A264" t="s">
        <v>123</v>
      </c>
      <c r="B264" s="18">
        <f>mole/F264*(sf_TC/100)</f>
        <v>6250000</v>
      </c>
      <c r="C264">
        <v>0</v>
      </c>
      <c r="D264" s="18">
        <v>500</v>
      </c>
      <c r="E264" s="18">
        <v>3000</v>
      </c>
      <c r="F264" s="7">
        <v>0.16</v>
      </c>
      <c r="G264" s="18">
        <v>3380</v>
      </c>
      <c r="H264">
        <f>B264/(I_b*20)</f>
        <v>31.25</v>
      </c>
    </row>
    <row r="265" spans="1:8" x14ac:dyDescent="0.4">
      <c r="A265" t="s">
        <v>124</v>
      </c>
      <c r="B265" s="18">
        <f t="shared" si="26"/>
        <v>1600000</v>
      </c>
      <c r="C265">
        <v>0</v>
      </c>
      <c r="D265" s="18">
        <v>1500</v>
      </c>
      <c r="E265" s="18">
        <v>5000</v>
      </c>
      <c r="F265" s="7">
        <v>0.625</v>
      </c>
      <c r="G265" s="18">
        <v>7150</v>
      </c>
      <c r="H265">
        <f t="shared" si="27"/>
        <v>8</v>
      </c>
    </row>
    <row r="266" spans="1:8" x14ac:dyDescent="0.4">
      <c r="A266" t="s">
        <v>125</v>
      </c>
      <c r="B266" s="18">
        <f t="shared" si="26"/>
        <v>2000000</v>
      </c>
      <c r="C266">
        <v>0</v>
      </c>
      <c r="D266" s="18">
        <v>1500</v>
      </c>
      <c r="E266" s="18">
        <v>3000</v>
      </c>
      <c r="F266" s="7">
        <v>0.5</v>
      </c>
      <c r="G266" s="18">
        <v>13700</v>
      </c>
      <c r="H266">
        <f t="shared" si="27"/>
        <v>10</v>
      </c>
    </row>
    <row r="267" spans="1:8" x14ac:dyDescent="0.4">
      <c r="A267" t="s">
        <v>1512</v>
      </c>
      <c r="B267" s="18">
        <f>mole/F267*(sf_TC/100)</f>
        <v>2500000</v>
      </c>
      <c r="C267">
        <v>0</v>
      </c>
      <c r="D267" s="18">
        <v>3000</v>
      </c>
      <c r="E267" s="18">
        <v>8000</v>
      </c>
      <c r="F267" s="7">
        <v>0.4</v>
      </c>
      <c r="G267" s="18">
        <v>5580</v>
      </c>
      <c r="H267">
        <f>B267/(I_b*20)</f>
        <v>12.5</v>
      </c>
    </row>
    <row r="268" spans="1:8" x14ac:dyDescent="0.4">
      <c r="A268" t="s">
        <v>126</v>
      </c>
      <c r="B268" s="18">
        <f t="shared" si="26"/>
        <v>1000000</v>
      </c>
      <c r="C268">
        <v>0</v>
      </c>
      <c r="D268" s="18">
        <v>3500</v>
      </c>
      <c r="E268" s="18">
        <v>9000</v>
      </c>
      <c r="F268" s="7">
        <v>1</v>
      </c>
      <c r="G268" s="18">
        <v>15100</v>
      </c>
      <c r="H268">
        <f t="shared" si="27"/>
        <v>5</v>
      </c>
    </row>
    <row r="269" spans="1:8" x14ac:dyDescent="0.4">
      <c r="A269" t="s">
        <v>127</v>
      </c>
      <c r="B269" s="18">
        <f t="shared" si="26"/>
        <v>4000000</v>
      </c>
      <c r="C269">
        <v>0</v>
      </c>
      <c r="D269" s="18">
        <v>3500</v>
      </c>
      <c r="E269" s="18">
        <v>10000</v>
      </c>
      <c r="F269" s="7">
        <v>0.25</v>
      </c>
      <c r="G269" s="18">
        <v>3110</v>
      </c>
      <c r="H269">
        <f t="shared" si="27"/>
        <v>20</v>
      </c>
    </row>
    <row r="270" spans="1:8" x14ac:dyDescent="0.4">
      <c r="A270" t="s">
        <v>128</v>
      </c>
      <c r="B270" s="18">
        <f t="shared" si="26"/>
        <v>4000000</v>
      </c>
      <c r="C270">
        <v>0</v>
      </c>
      <c r="D270" s="18">
        <v>5000</v>
      </c>
      <c r="E270" s="18">
        <v>13000</v>
      </c>
      <c r="F270" s="7">
        <v>0.25</v>
      </c>
      <c r="G270" s="18">
        <v>-1340</v>
      </c>
      <c r="H270">
        <f t="shared" si="27"/>
        <v>20</v>
      </c>
    </row>
    <row r="271" spans="1:8" x14ac:dyDescent="0.4">
      <c r="A271" t="s">
        <v>129</v>
      </c>
      <c r="B271" s="18">
        <f>mole/F271*(sf_TC/100)</f>
        <v>2500000</v>
      </c>
      <c r="C271">
        <v>0</v>
      </c>
      <c r="D271" s="18">
        <v>5000</v>
      </c>
      <c r="E271" s="18">
        <v>10000</v>
      </c>
      <c r="F271" s="7">
        <v>0.4</v>
      </c>
      <c r="G271" s="18">
        <v>5270</v>
      </c>
      <c r="H271">
        <f>B271/(I_b*20)</f>
        <v>12.5</v>
      </c>
    </row>
    <row r="272" spans="1:8" x14ac:dyDescent="0.4">
      <c r="A272" t="s">
        <v>1439</v>
      </c>
      <c r="B272" s="18">
        <f t="shared" si="26"/>
        <v>5000000</v>
      </c>
      <c r="C272">
        <v>0</v>
      </c>
      <c r="D272" s="18">
        <v>5500</v>
      </c>
      <c r="E272" s="18">
        <v>11500</v>
      </c>
      <c r="F272" s="7">
        <v>0.2</v>
      </c>
      <c r="G272" s="18">
        <v>5020</v>
      </c>
      <c r="H272">
        <f t="shared" si="27"/>
        <v>25</v>
      </c>
    </row>
    <row r="273" spans="1:8" x14ac:dyDescent="0.4">
      <c r="A273" t="s">
        <v>130</v>
      </c>
      <c r="B273" s="18">
        <f t="shared" si="26"/>
        <v>2500000</v>
      </c>
      <c r="C273">
        <v>0</v>
      </c>
      <c r="D273" s="18">
        <v>6000</v>
      </c>
      <c r="E273" s="18">
        <v>11000</v>
      </c>
      <c r="F273" s="7">
        <v>0.4</v>
      </c>
      <c r="G273" s="18">
        <v>1960</v>
      </c>
      <c r="H273">
        <f t="shared" si="27"/>
        <v>12.5</v>
      </c>
    </row>
    <row r="274" spans="1:8" x14ac:dyDescent="0.4">
      <c r="A274" t="s">
        <v>1496</v>
      </c>
      <c r="B274" s="18">
        <f>mole/F274*(sf_TC/100)</f>
        <v>5000000</v>
      </c>
      <c r="C274">
        <v>0</v>
      </c>
      <c r="D274" s="18">
        <v>6000</v>
      </c>
      <c r="E274" s="18">
        <v>11500</v>
      </c>
      <c r="F274" s="7">
        <v>0.2</v>
      </c>
      <c r="G274" s="18">
        <v>4840</v>
      </c>
      <c r="H274">
        <f>B274/(I_b*20)</f>
        <v>25</v>
      </c>
    </row>
    <row r="275" spans="1:8" x14ac:dyDescent="0.4">
      <c r="A275" t="s">
        <v>1514</v>
      </c>
      <c r="B275" s="18">
        <f>mole/F275*(sf_TC/100)</f>
        <v>5000000</v>
      </c>
      <c r="C275">
        <v>0</v>
      </c>
      <c r="D275" s="18">
        <v>6000</v>
      </c>
      <c r="E275" s="18">
        <v>12000</v>
      </c>
      <c r="F275" s="7">
        <v>0.2</v>
      </c>
      <c r="G275" s="18">
        <v>3560</v>
      </c>
      <c r="H275">
        <f>B275/(I_b*20)</f>
        <v>25</v>
      </c>
    </row>
    <row r="276" spans="1:8" x14ac:dyDescent="0.4">
      <c r="A276" t="s">
        <v>1434</v>
      </c>
      <c r="B276" s="18">
        <f>mole/F276*(sf_TC/100)</f>
        <v>6250000</v>
      </c>
      <c r="C276">
        <v>0</v>
      </c>
      <c r="D276" s="18">
        <v>9000</v>
      </c>
      <c r="E276" s="18">
        <v>17500</v>
      </c>
      <c r="F276" s="7">
        <v>0.16</v>
      </c>
      <c r="G276" s="18">
        <v>4500</v>
      </c>
      <c r="H276">
        <f>B276/(I_b*20)</f>
        <v>31.25</v>
      </c>
    </row>
    <row r="277" spans="1:8" x14ac:dyDescent="0.4">
      <c r="A277" t="s">
        <v>131</v>
      </c>
      <c r="B277" s="18">
        <f t="shared" si="26"/>
        <v>12500000</v>
      </c>
      <c r="C277">
        <v>0</v>
      </c>
      <c r="D277" s="18">
        <v>10000</v>
      </c>
      <c r="E277" s="18">
        <v>15000</v>
      </c>
      <c r="F277" s="7">
        <v>0.08</v>
      </c>
      <c r="G277" s="18">
        <v>2760</v>
      </c>
      <c r="H277">
        <f t="shared" si="27"/>
        <v>62.5</v>
      </c>
    </row>
    <row r="278" spans="1:8" x14ac:dyDescent="0.4">
      <c r="A278" t="s">
        <v>132</v>
      </c>
      <c r="B278" s="18">
        <f t="shared" si="26"/>
        <v>2000000</v>
      </c>
      <c r="C278">
        <v>0</v>
      </c>
      <c r="D278" s="18">
        <v>10500</v>
      </c>
      <c r="E278" s="18">
        <v>19500</v>
      </c>
      <c r="F278" s="7">
        <v>0.5</v>
      </c>
      <c r="G278" s="18">
        <v>-2990</v>
      </c>
      <c r="H278">
        <f t="shared" si="27"/>
        <v>10</v>
      </c>
    </row>
    <row r="279" spans="1:8" x14ac:dyDescent="0.4">
      <c r="A279" t="s">
        <v>133</v>
      </c>
      <c r="B279" s="18">
        <f t="shared" si="26"/>
        <v>5000000</v>
      </c>
      <c r="C279">
        <v>0</v>
      </c>
      <c r="D279" s="18">
        <v>11000</v>
      </c>
      <c r="E279" s="18">
        <v>17000</v>
      </c>
      <c r="F279" s="7">
        <v>0.2</v>
      </c>
      <c r="G279" s="18">
        <v>3420</v>
      </c>
      <c r="H279">
        <f t="shared" si="27"/>
        <v>25</v>
      </c>
    </row>
    <row r="280" spans="1:8" x14ac:dyDescent="0.4">
      <c r="A280" t="s">
        <v>134</v>
      </c>
      <c r="B280" s="18">
        <f t="shared" si="26"/>
        <v>31250000</v>
      </c>
      <c r="C280">
        <v>0</v>
      </c>
      <c r="D280" s="18">
        <v>11500</v>
      </c>
      <c r="E280" s="18">
        <v>19500</v>
      </c>
      <c r="F280" s="7">
        <v>3.2000000000000001E-2</v>
      </c>
      <c r="G280" s="18">
        <v>2610</v>
      </c>
      <c r="H280">
        <f t="shared" si="27"/>
        <v>156.25</v>
      </c>
    </row>
    <row r="281" spans="1:8" x14ac:dyDescent="0.4">
      <c r="A281" t="s">
        <v>135</v>
      </c>
      <c r="B281" s="18">
        <f t="shared" si="26"/>
        <v>1000000</v>
      </c>
      <c r="C281">
        <v>0</v>
      </c>
      <c r="D281" s="18">
        <v>12000</v>
      </c>
      <c r="E281" s="18">
        <v>14500</v>
      </c>
      <c r="F281" s="7">
        <v>1</v>
      </c>
      <c r="G281" s="18">
        <v>-4050</v>
      </c>
      <c r="H281">
        <f t="shared" si="27"/>
        <v>5</v>
      </c>
    </row>
    <row r="282" spans="1:8" x14ac:dyDescent="0.4">
      <c r="A282" t="s">
        <v>136</v>
      </c>
      <c r="B282" s="18">
        <f t="shared" si="26"/>
        <v>4000000</v>
      </c>
      <c r="C282">
        <v>0</v>
      </c>
      <c r="D282" s="18">
        <v>12000</v>
      </c>
      <c r="E282" s="18">
        <v>16000</v>
      </c>
      <c r="F282" s="7">
        <v>0.25</v>
      </c>
      <c r="G282" s="18">
        <v>-3760</v>
      </c>
      <c r="H282">
        <f t="shared" si="27"/>
        <v>20</v>
      </c>
    </row>
    <row r="283" spans="1:8" x14ac:dyDescent="0.4">
      <c r="A283" t="s">
        <v>137</v>
      </c>
      <c r="B283" s="18">
        <f t="shared" si="26"/>
        <v>5000000</v>
      </c>
      <c r="C283">
        <v>0</v>
      </c>
      <c r="D283" s="18">
        <v>12000</v>
      </c>
      <c r="E283" s="18">
        <v>15000</v>
      </c>
      <c r="F283" s="7">
        <v>0.2</v>
      </c>
      <c r="G283" s="18">
        <v>-3010</v>
      </c>
      <c r="H283">
        <f t="shared" si="27"/>
        <v>25</v>
      </c>
    </row>
    <row r="284" spans="1:8" x14ac:dyDescent="0.4">
      <c r="A284" t="s">
        <v>1530</v>
      </c>
      <c r="B284" s="18">
        <f>mole/F284*(sf_TC/100)</f>
        <v>20000000</v>
      </c>
      <c r="C284">
        <v>0</v>
      </c>
      <c r="D284" s="18">
        <v>13000</v>
      </c>
      <c r="E284" s="18">
        <v>31000</v>
      </c>
      <c r="F284" s="7">
        <v>0.05</v>
      </c>
      <c r="G284" s="18">
        <v>345</v>
      </c>
      <c r="H284">
        <f>B284/(I_b*20)</f>
        <v>100</v>
      </c>
    </row>
    <row r="285" spans="1:8" x14ac:dyDescent="0.4">
      <c r="A285" t="s">
        <v>138</v>
      </c>
      <c r="B285" s="18">
        <f t="shared" si="26"/>
        <v>2000000</v>
      </c>
      <c r="C285">
        <v>0</v>
      </c>
      <c r="D285" s="18">
        <v>18000</v>
      </c>
      <c r="E285" s="18">
        <v>24000</v>
      </c>
      <c r="F285" s="7">
        <v>0.5</v>
      </c>
      <c r="G285" s="18">
        <v>-10400</v>
      </c>
      <c r="H285">
        <f t="shared" si="27"/>
        <v>10</v>
      </c>
    </row>
    <row r="286" spans="1:8" x14ac:dyDescent="0.4">
      <c r="A286" t="s">
        <v>139</v>
      </c>
      <c r="B286" s="18">
        <f t="shared" si="26"/>
        <v>1000000</v>
      </c>
      <c r="C286">
        <v>0</v>
      </c>
      <c r="D286" s="18">
        <v>24000</v>
      </c>
      <c r="E286" s="18">
        <v>30000</v>
      </c>
      <c r="F286" s="7">
        <v>1</v>
      </c>
      <c r="G286" s="18">
        <v>-15200</v>
      </c>
      <c r="H286">
        <f t="shared" si="27"/>
        <v>5</v>
      </c>
    </row>
    <row r="287" spans="1:8" x14ac:dyDescent="0.4">
      <c r="A287" t="s">
        <v>140</v>
      </c>
      <c r="B287" s="18">
        <f t="shared" si="26"/>
        <v>2500000</v>
      </c>
      <c r="C287">
        <v>0</v>
      </c>
      <c r="D287" s="18">
        <v>30000</v>
      </c>
      <c r="E287" s="18">
        <v>55000</v>
      </c>
      <c r="F287" s="7">
        <v>0.4</v>
      </c>
      <c r="G287" s="18">
        <v>-12400</v>
      </c>
      <c r="H287">
        <f t="shared" si="27"/>
        <v>12.5</v>
      </c>
    </row>
    <row r="288" spans="1:8" x14ac:dyDescent="0.4">
      <c r="A288" t="s">
        <v>141</v>
      </c>
      <c r="B288" s="18">
        <f t="shared" si="26"/>
        <v>15625000</v>
      </c>
      <c r="C288">
        <v>0</v>
      </c>
      <c r="D288" s="18">
        <v>34000</v>
      </c>
      <c r="E288" s="18">
        <v>53000</v>
      </c>
      <c r="F288" s="7">
        <v>6.4000000000000001E-2</v>
      </c>
      <c r="G288" s="18">
        <v>-20600</v>
      </c>
      <c r="H288">
        <f t="shared" si="27"/>
        <v>78.125</v>
      </c>
    </row>
    <row r="289" spans="1:8" x14ac:dyDescent="0.4">
      <c r="A289" t="s">
        <v>142</v>
      </c>
      <c r="B289" s="18">
        <f t="shared" si="26"/>
        <v>1000000</v>
      </c>
      <c r="C289">
        <v>0</v>
      </c>
      <c r="D289" s="18">
        <v>55000</v>
      </c>
      <c r="E289" s="18">
        <v>150000</v>
      </c>
      <c r="F289" s="7">
        <v>1</v>
      </c>
      <c r="G289" s="18">
        <v>-1570</v>
      </c>
      <c r="H289">
        <f t="shared" si="27"/>
        <v>5</v>
      </c>
    </row>
    <row r="290" spans="1:8" x14ac:dyDescent="0.4">
      <c r="A290" t="s">
        <v>143</v>
      </c>
      <c r="B290" s="18">
        <f t="shared" si="26"/>
        <v>12500000</v>
      </c>
      <c r="C290">
        <v>0</v>
      </c>
      <c r="D290" s="18">
        <v>56000</v>
      </c>
      <c r="E290" s="18">
        <v>200000</v>
      </c>
      <c r="F290" s="7">
        <v>0.08</v>
      </c>
      <c r="G290" s="18">
        <v>-16300</v>
      </c>
      <c r="H290">
        <f t="shared" si="27"/>
        <v>62.5</v>
      </c>
    </row>
    <row r="291" spans="1:8" x14ac:dyDescent="0.4">
      <c r="A291" t="s">
        <v>144</v>
      </c>
      <c r="B291" s="18">
        <f t="shared" si="26"/>
        <v>15625000</v>
      </c>
      <c r="C291">
        <v>0</v>
      </c>
      <c r="D291" s="18">
        <v>60000</v>
      </c>
      <c r="E291" s="18">
        <v>200000</v>
      </c>
      <c r="F291" s="7">
        <v>6.4000000000000001E-2</v>
      </c>
      <c r="G291" s="18">
        <v>7890</v>
      </c>
      <c r="H291">
        <f t="shared" si="27"/>
        <v>78.125</v>
      </c>
    </row>
    <row r="292" spans="1:8" x14ac:dyDescent="0.4">
      <c r="A292" t="s">
        <v>399</v>
      </c>
      <c r="B292" s="18">
        <f t="shared" ref="B292:B321" si="28">mole/F292*(sf_TC/100)</f>
        <v>10000000</v>
      </c>
      <c r="C292">
        <v>0</v>
      </c>
      <c r="D292" s="18">
        <v>11300000</v>
      </c>
      <c r="E292" s="18">
        <v>20000000</v>
      </c>
      <c r="F292" s="7">
        <v>0.1</v>
      </c>
      <c r="G292" s="18">
        <v>-3750000</v>
      </c>
      <c r="H292">
        <f t="shared" ref="H292:H321" si="29">B292/(I_b*20)</f>
        <v>50</v>
      </c>
    </row>
    <row r="293" spans="1:8" x14ac:dyDescent="0.4">
      <c r="A293" t="s">
        <v>398</v>
      </c>
      <c r="B293" s="18">
        <f t="shared" si="28"/>
        <v>10000000</v>
      </c>
      <c r="C293">
        <v>0</v>
      </c>
      <c r="D293" s="18">
        <v>11300000</v>
      </c>
      <c r="E293" s="18">
        <v>20000000</v>
      </c>
      <c r="F293" s="7">
        <v>0.1</v>
      </c>
      <c r="G293" s="18">
        <v>-3750000</v>
      </c>
      <c r="H293">
        <f t="shared" si="29"/>
        <v>50</v>
      </c>
    </row>
    <row r="294" spans="1:8" x14ac:dyDescent="0.4">
      <c r="A294" t="s">
        <v>397</v>
      </c>
      <c r="B294" s="18">
        <f t="shared" si="28"/>
        <v>10000000</v>
      </c>
      <c r="C294">
        <v>0</v>
      </c>
      <c r="D294" s="18">
        <v>11300000</v>
      </c>
      <c r="E294" s="18">
        <v>20000000</v>
      </c>
      <c r="F294" s="7">
        <v>0.1</v>
      </c>
      <c r="G294" s="18">
        <v>-3750000</v>
      </c>
      <c r="H294">
        <f t="shared" si="29"/>
        <v>50</v>
      </c>
    </row>
    <row r="295" spans="1:8" x14ac:dyDescent="0.4">
      <c r="A295" t="s">
        <v>396</v>
      </c>
      <c r="B295" s="18">
        <f t="shared" si="28"/>
        <v>10000000</v>
      </c>
      <c r="C295">
        <v>0</v>
      </c>
      <c r="D295" s="18">
        <v>11300000</v>
      </c>
      <c r="E295" s="18">
        <v>20000000</v>
      </c>
      <c r="F295" s="7">
        <v>0.1</v>
      </c>
      <c r="G295" s="18">
        <v>-3750000</v>
      </c>
      <c r="H295">
        <f t="shared" si="29"/>
        <v>50</v>
      </c>
    </row>
    <row r="296" spans="1:8" x14ac:dyDescent="0.4">
      <c r="A296" t="s">
        <v>395</v>
      </c>
      <c r="B296" s="18">
        <f t="shared" si="28"/>
        <v>10000000</v>
      </c>
      <c r="C296">
        <v>0</v>
      </c>
      <c r="D296" s="18">
        <v>11300000</v>
      </c>
      <c r="E296" s="18">
        <v>20000000</v>
      </c>
      <c r="F296" s="7">
        <v>0.1</v>
      </c>
      <c r="G296" s="18">
        <v>-3750000</v>
      </c>
      <c r="H296">
        <f t="shared" si="29"/>
        <v>50</v>
      </c>
    </row>
    <row r="297" spans="1:8" x14ac:dyDescent="0.4">
      <c r="A297" t="s">
        <v>401</v>
      </c>
      <c r="B297" s="18">
        <f t="shared" si="28"/>
        <v>10000000</v>
      </c>
      <c r="C297">
        <v>0</v>
      </c>
      <c r="D297" s="18">
        <v>11300000</v>
      </c>
      <c r="E297" s="18">
        <v>20000000</v>
      </c>
      <c r="F297" s="7">
        <v>0.1</v>
      </c>
      <c r="G297" s="18">
        <v>-3750000</v>
      </c>
      <c r="H297">
        <f t="shared" si="29"/>
        <v>50</v>
      </c>
    </row>
    <row r="298" spans="1:8" x14ac:dyDescent="0.4">
      <c r="A298" t="s">
        <v>394</v>
      </c>
      <c r="B298" s="18">
        <f t="shared" si="28"/>
        <v>10000000</v>
      </c>
      <c r="C298">
        <v>0</v>
      </c>
      <c r="D298" s="18">
        <v>11300000</v>
      </c>
      <c r="E298" s="18">
        <v>20000000</v>
      </c>
      <c r="F298" s="7">
        <v>0.1</v>
      </c>
      <c r="G298" s="18">
        <v>-3750000</v>
      </c>
      <c r="H298">
        <f t="shared" si="29"/>
        <v>50</v>
      </c>
    </row>
    <row r="299" spans="1:8" x14ac:dyDescent="0.4">
      <c r="A299" t="s">
        <v>400</v>
      </c>
      <c r="B299" s="18">
        <f t="shared" si="28"/>
        <v>10000000</v>
      </c>
      <c r="C299">
        <v>0</v>
      </c>
      <c r="D299" s="18">
        <v>11300000</v>
      </c>
      <c r="E299" s="18">
        <v>20000000</v>
      </c>
      <c r="F299" s="7">
        <v>0.1</v>
      </c>
      <c r="G299" s="18">
        <v>-3750000</v>
      </c>
      <c r="H299">
        <f t="shared" si="29"/>
        <v>50</v>
      </c>
    </row>
    <row r="300" spans="1:8" x14ac:dyDescent="0.4">
      <c r="A300" t="s">
        <v>402</v>
      </c>
      <c r="B300" s="18">
        <f t="shared" si="28"/>
        <v>10000000</v>
      </c>
      <c r="C300">
        <v>0</v>
      </c>
      <c r="D300" s="18">
        <v>11300000</v>
      </c>
      <c r="E300" s="18">
        <v>20000000</v>
      </c>
      <c r="F300" s="7">
        <v>0.1</v>
      </c>
      <c r="G300" s="18">
        <v>-3750000</v>
      </c>
      <c r="H300">
        <f t="shared" si="29"/>
        <v>50</v>
      </c>
    </row>
    <row r="301" spans="1:8" x14ac:dyDescent="0.4">
      <c r="A301" t="s">
        <v>393</v>
      </c>
      <c r="B301" s="18">
        <f t="shared" si="28"/>
        <v>10000000</v>
      </c>
      <c r="C301">
        <v>0</v>
      </c>
      <c r="D301" s="18">
        <v>11300000</v>
      </c>
      <c r="E301" s="18">
        <v>20000000</v>
      </c>
      <c r="F301" s="7">
        <v>0.1</v>
      </c>
      <c r="G301" s="18">
        <v>-3750000</v>
      </c>
      <c r="H301">
        <f t="shared" si="29"/>
        <v>50</v>
      </c>
    </row>
    <row r="302" spans="1:8" x14ac:dyDescent="0.4">
      <c r="A302" t="s">
        <v>403</v>
      </c>
      <c r="B302" s="18">
        <f t="shared" si="28"/>
        <v>10000000</v>
      </c>
      <c r="C302">
        <v>0</v>
      </c>
      <c r="D302" s="18">
        <v>11300000</v>
      </c>
      <c r="E302" s="18">
        <v>20000000</v>
      </c>
      <c r="F302" s="7">
        <v>0.1</v>
      </c>
      <c r="G302" s="18">
        <v>-3750000</v>
      </c>
      <c r="H302">
        <f t="shared" si="29"/>
        <v>50</v>
      </c>
    </row>
    <row r="303" spans="1:8" x14ac:dyDescent="0.4">
      <c r="A303" t="s">
        <v>392</v>
      </c>
      <c r="B303" s="18">
        <f t="shared" si="28"/>
        <v>10000000</v>
      </c>
      <c r="C303">
        <v>0</v>
      </c>
      <c r="D303" s="18">
        <v>11300000</v>
      </c>
      <c r="E303" s="18">
        <v>20000000</v>
      </c>
      <c r="F303" s="7">
        <v>0.1</v>
      </c>
      <c r="G303" s="18">
        <v>-3750000</v>
      </c>
      <c r="H303">
        <f t="shared" si="29"/>
        <v>50</v>
      </c>
    </row>
    <row r="304" spans="1:8" x14ac:dyDescent="0.4">
      <c r="A304" t="s">
        <v>391</v>
      </c>
      <c r="B304" s="18">
        <f t="shared" si="28"/>
        <v>10000000</v>
      </c>
      <c r="C304">
        <v>0</v>
      </c>
      <c r="D304" s="18">
        <v>11300000</v>
      </c>
      <c r="E304" s="18">
        <v>20000000</v>
      </c>
      <c r="F304" s="7">
        <v>0.1</v>
      </c>
      <c r="G304" s="18">
        <v>-3750000</v>
      </c>
      <c r="H304">
        <f t="shared" si="29"/>
        <v>50</v>
      </c>
    </row>
    <row r="305" spans="1:8" x14ac:dyDescent="0.4">
      <c r="A305" t="s">
        <v>404</v>
      </c>
      <c r="B305" s="18">
        <f t="shared" si="28"/>
        <v>10000000</v>
      </c>
      <c r="C305">
        <v>0</v>
      </c>
      <c r="D305" s="18">
        <v>11300000</v>
      </c>
      <c r="E305" s="18">
        <v>20000000</v>
      </c>
      <c r="F305" s="7">
        <v>0.1</v>
      </c>
      <c r="G305" s="18">
        <v>-3750000</v>
      </c>
      <c r="H305">
        <f t="shared" si="29"/>
        <v>50</v>
      </c>
    </row>
    <row r="306" spans="1:8" x14ac:dyDescent="0.4">
      <c r="A306" t="s">
        <v>390</v>
      </c>
      <c r="B306" s="18">
        <f t="shared" si="28"/>
        <v>10000000</v>
      </c>
      <c r="C306">
        <v>0</v>
      </c>
      <c r="D306" s="18">
        <v>11300000</v>
      </c>
      <c r="E306" s="18">
        <v>20000000</v>
      </c>
      <c r="F306" s="7">
        <v>0.1</v>
      </c>
      <c r="G306" s="18">
        <v>-3750000</v>
      </c>
      <c r="H306">
        <f t="shared" si="29"/>
        <v>50</v>
      </c>
    </row>
    <row r="307" spans="1:8" x14ac:dyDescent="0.4">
      <c r="A307" t="s">
        <v>389</v>
      </c>
      <c r="B307" s="18">
        <f t="shared" si="28"/>
        <v>10000000</v>
      </c>
      <c r="C307">
        <v>0</v>
      </c>
      <c r="D307" s="18">
        <v>11300000</v>
      </c>
      <c r="E307" s="18">
        <v>20000000</v>
      </c>
      <c r="F307" s="7">
        <v>0.1</v>
      </c>
      <c r="G307" s="18">
        <v>-3750000</v>
      </c>
      <c r="H307">
        <f t="shared" si="29"/>
        <v>50</v>
      </c>
    </row>
    <row r="308" spans="1:8" x14ac:dyDescent="0.4">
      <c r="A308" t="s">
        <v>388</v>
      </c>
      <c r="B308" s="18">
        <f t="shared" si="28"/>
        <v>10000000</v>
      </c>
      <c r="C308">
        <v>0</v>
      </c>
      <c r="D308" s="18">
        <v>11300000</v>
      </c>
      <c r="E308" s="18">
        <v>20000000</v>
      </c>
      <c r="F308" s="7">
        <v>0.1</v>
      </c>
      <c r="G308" s="18">
        <v>-3750000</v>
      </c>
      <c r="H308">
        <f t="shared" si="29"/>
        <v>50</v>
      </c>
    </row>
    <row r="309" spans="1:8" x14ac:dyDescent="0.4">
      <c r="A309" t="s">
        <v>405</v>
      </c>
      <c r="B309" s="18">
        <f t="shared" si="28"/>
        <v>10000000</v>
      </c>
      <c r="C309">
        <v>0</v>
      </c>
      <c r="D309" s="18">
        <v>11300000</v>
      </c>
      <c r="E309" s="18">
        <v>20000000</v>
      </c>
      <c r="F309" s="7">
        <v>0.1</v>
      </c>
      <c r="G309" s="18">
        <v>-3750000</v>
      </c>
      <c r="H309">
        <f t="shared" si="29"/>
        <v>50</v>
      </c>
    </row>
    <row r="310" spans="1:8" x14ac:dyDescent="0.4">
      <c r="A310" t="s">
        <v>406</v>
      </c>
      <c r="B310" s="18">
        <f t="shared" si="28"/>
        <v>10000000</v>
      </c>
      <c r="C310">
        <v>0</v>
      </c>
      <c r="D310" s="18">
        <v>11300000</v>
      </c>
      <c r="E310" s="18">
        <v>20000000</v>
      </c>
      <c r="F310" s="7">
        <v>0.1</v>
      </c>
      <c r="G310" s="18">
        <v>-3750000</v>
      </c>
      <c r="H310">
        <f t="shared" si="29"/>
        <v>50</v>
      </c>
    </row>
    <row r="311" spans="1:8" x14ac:dyDescent="0.4">
      <c r="A311" t="s">
        <v>407</v>
      </c>
      <c r="B311" s="18">
        <f t="shared" si="28"/>
        <v>10000000</v>
      </c>
      <c r="C311">
        <v>0</v>
      </c>
      <c r="D311" s="18">
        <v>11300000</v>
      </c>
      <c r="E311" s="18">
        <v>20000000</v>
      </c>
      <c r="F311" s="7">
        <v>0.1</v>
      </c>
      <c r="G311" s="18">
        <v>-3750000</v>
      </c>
      <c r="H311">
        <f t="shared" si="29"/>
        <v>50</v>
      </c>
    </row>
    <row r="312" spans="1:8" x14ac:dyDescent="0.4">
      <c r="A312" t="s">
        <v>408</v>
      </c>
      <c r="B312" s="18">
        <f t="shared" si="28"/>
        <v>10000000</v>
      </c>
      <c r="C312">
        <v>0</v>
      </c>
      <c r="D312" s="18">
        <v>11300000</v>
      </c>
      <c r="E312" s="18">
        <v>20000000</v>
      </c>
      <c r="F312" s="7">
        <v>0.1</v>
      </c>
      <c r="G312" s="18">
        <v>-3750000</v>
      </c>
      <c r="H312">
        <f t="shared" si="29"/>
        <v>50</v>
      </c>
    </row>
    <row r="313" spans="1:8" x14ac:dyDescent="0.4">
      <c r="A313" t="s">
        <v>409</v>
      </c>
      <c r="B313" s="18">
        <f t="shared" si="28"/>
        <v>10000000</v>
      </c>
      <c r="C313">
        <v>0</v>
      </c>
      <c r="D313" s="18">
        <v>11300000</v>
      </c>
      <c r="E313" s="18">
        <v>20000000</v>
      </c>
      <c r="F313" s="7">
        <v>0.1</v>
      </c>
      <c r="G313" s="18">
        <v>-3750000</v>
      </c>
      <c r="H313">
        <f t="shared" si="29"/>
        <v>50</v>
      </c>
    </row>
    <row r="314" spans="1:8" x14ac:dyDescent="0.4">
      <c r="A314" t="s">
        <v>410</v>
      </c>
      <c r="B314" s="18">
        <f t="shared" si="28"/>
        <v>10000000</v>
      </c>
      <c r="C314">
        <v>0</v>
      </c>
      <c r="D314" s="18">
        <v>11300000</v>
      </c>
      <c r="E314" s="18">
        <v>20000000</v>
      </c>
      <c r="F314" s="7">
        <v>0.1</v>
      </c>
      <c r="G314" s="18">
        <v>-3750000</v>
      </c>
      <c r="H314">
        <f t="shared" si="29"/>
        <v>50</v>
      </c>
    </row>
    <row r="315" spans="1:8" x14ac:dyDescent="0.4">
      <c r="A315" t="s">
        <v>387</v>
      </c>
      <c r="B315" s="18">
        <f t="shared" si="28"/>
        <v>10000000</v>
      </c>
      <c r="C315">
        <v>0</v>
      </c>
      <c r="D315" s="18">
        <v>11300000</v>
      </c>
      <c r="E315" s="18">
        <v>20000000</v>
      </c>
      <c r="F315" s="7">
        <v>0.1</v>
      </c>
      <c r="G315" s="18">
        <v>-3750000</v>
      </c>
      <c r="H315">
        <f t="shared" si="29"/>
        <v>50</v>
      </c>
    </row>
    <row r="316" spans="1:8" x14ac:dyDescent="0.4">
      <c r="A316" t="s">
        <v>386</v>
      </c>
      <c r="B316" s="18">
        <f t="shared" si="28"/>
        <v>10000000</v>
      </c>
      <c r="C316">
        <v>0</v>
      </c>
      <c r="D316" s="18">
        <v>11300000</v>
      </c>
      <c r="E316" s="18">
        <v>20000000</v>
      </c>
      <c r="F316" s="7">
        <v>0.1</v>
      </c>
      <c r="G316" s="18">
        <v>-3750000</v>
      </c>
      <c r="H316">
        <f t="shared" si="29"/>
        <v>50</v>
      </c>
    </row>
    <row r="317" spans="1:8" x14ac:dyDescent="0.4">
      <c r="A317" t="s">
        <v>385</v>
      </c>
      <c r="B317" s="18">
        <f t="shared" si="28"/>
        <v>10000000</v>
      </c>
      <c r="C317">
        <v>0</v>
      </c>
      <c r="D317" s="18">
        <v>11300000</v>
      </c>
      <c r="E317" s="18">
        <v>20000000</v>
      </c>
      <c r="F317" s="7">
        <v>0.1</v>
      </c>
      <c r="G317" s="18">
        <v>-3750000</v>
      </c>
      <c r="H317">
        <f t="shared" si="29"/>
        <v>50</v>
      </c>
    </row>
    <row r="318" spans="1:8" x14ac:dyDescent="0.4">
      <c r="A318" t="s">
        <v>384</v>
      </c>
      <c r="B318" s="18">
        <f t="shared" si="28"/>
        <v>10000000</v>
      </c>
      <c r="C318">
        <v>0</v>
      </c>
      <c r="D318" s="18">
        <v>11300000</v>
      </c>
      <c r="E318" s="18">
        <v>20000000</v>
      </c>
      <c r="F318" s="7">
        <v>0.1</v>
      </c>
      <c r="G318" s="18">
        <v>-3750000</v>
      </c>
      <c r="H318">
        <f t="shared" si="29"/>
        <v>50</v>
      </c>
    </row>
    <row r="319" spans="1:8" x14ac:dyDescent="0.4">
      <c r="A319" t="s">
        <v>383</v>
      </c>
      <c r="B319" s="18">
        <f t="shared" si="28"/>
        <v>10000000</v>
      </c>
      <c r="C319">
        <v>0</v>
      </c>
      <c r="D319" s="18">
        <v>11300000</v>
      </c>
      <c r="E319" s="18">
        <v>20000000</v>
      </c>
      <c r="F319" s="7">
        <v>0.1</v>
      </c>
      <c r="G319" s="18">
        <v>-3750000</v>
      </c>
      <c r="H319">
        <f t="shared" si="29"/>
        <v>50</v>
      </c>
    </row>
    <row r="320" spans="1:8" x14ac:dyDescent="0.4">
      <c r="A320" t="s">
        <v>382</v>
      </c>
      <c r="B320" s="18">
        <f t="shared" si="28"/>
        <v>10000000</v>
      </c>
      <c r="C320">
        <v>0</v>
      </c>
      <c r="D320" s="18">
        <v>11300000</v>
      </c>
      <c r="E320" s="18">
        <v>20000000</v>
      </c>
      <c r="F320" s="7">
        <v>0.1</v>
      </c>
      <c r="G320" s="18">
        <v>-3750000</v>
      </c>
      <c r="H320">
        <f t="shared" si="29"/>
        <v>50</v>
      </c>
    </row>
    <row r="321" spans="1:8" x14ac:dyDescent="0.4">
      <c r="A321" t="s">
        <v>381</v>
      </c>
      <c r="B321" s="18">
        <f t="shared" si="28"/>
        <v>10000000</v>
      </c>
      <c r="C321">
        <v>0</v>
      </c>
      <c r="D321" s="18">
        <v>11300000</v>
      </c>
      <c r="E321" s="18">
        <v>20000000</v>
      </c>
      <c r="F321" s="7">
        <v>0.1</v>
      </c>
      <c r="G321" s="18">
        <v>-3750000</v>
      </c>
      <c r="H321">
        <f t="shared" si="29"/>
        <v>50</v>
      </c>
    </row>
    <row r="322" spans="1:8" x14ac:dyDescent="0.4">
      <c r="A322" t="s">
        <v>380</v>
      </c>
      <c r="B322" s="18">
        <f t="shared" ref="B322" si="30">mole/F322*(sf_TC/100)</f>
        <v>10000000</v>
      </c>
      <c r="C322">
        <v>0</v>
      </c>
      <c r="D322" s="18">
        <v>11300000</v>
      </c>
      <c r="E322" s="18">
        <v>20000000</v>
      </c>
      <c r="F322" s="7">
        <v>0.1</v>
      </c>
      <c r="G322" s="18">
        <v>-3750000</v>
      </c>
      <c r="H322">
        <f t="shared" ref="H322" si="31">B322/(I_b*20)</f>
        <v>50</v>
      </c>
    </row>
    <row r="323" spans="1:8" x14ac:dyDescent="0.4">
      <c r="A323" t="s">
        <v>379</v>
      </c>
      <c r="B323" s="18">
        <f>mole/F323*(sf_TC/100)</f>
        <v>10000000</v>
      </c>
      <c r="C323">
        <v>0</v>
      </c>
      <c r="D323" s="18">
        <v>11300000</v>
      </c>
      <c r="E323" s="18">
        <v>20000000</v>
      </c>
      <c r="F323" s="7">
        <v>0.1</v>
      </c>
      <c r="G323" s="18">
        <v>-3750000</v>
      </c>
      <c r="H323">
        <f>B323/(I_b*20)</f>
        <v>50</v>
      </c>
    </row>
    <row r="324" spans="1:8" x14ac:dyDescent="0.4">
      <c r="A324" t="s">
        <v>1177</v>
      </c>
      <c r="B324" s="18">
        <f>mole/F324*(sf_TC/100)</f>
        <v>10000000</v>
      </c>
      <c r="C324">
        <v>0</v>
      </c>
      <c r="D324" s="18">
        <v>11300000</v>
      </c>
      <c r="E324" s="18">
        <v>20000000</v>
      </c>
      <c r="F324" s="7">
        <v>0.1</v>
      </c>
      <c r="G324" s="18">
        <v>-3750000</v>
      </c>
      <c r="H324">
        <f>B324/(I_b*20)</f>
        <v>50</v>
      </c>
    </row>
    <row r="325" spans="1:8" x14ac:dyDescent="0.4">
      <c r="A325" t="s">
        <v>378</v>
      </c>
      <c r="B325" s="18">
        <f>mole/F325*(sf_TC/100)</f>
        <v>10000000</v>
      </c>
      <c r="C325">
        <v>0</v>
      </c>
      <c r="D325" s="18">
        <v>11300000</v>
      </c>
      <c r="E325" s="18">
        <v>20000000</v>
      </c>
      <c r="F325" s="7">
        <v>0.1</v>
      </c>
      <c r="G325" s="18">
        <v>-3750000</v>
      </c>
      <c r="H325">
        <f>B325/(I_b*20)</f>
        <v>50</v>
      </c>
    </row>
    <row r="326" spans="1:8" x14ac:dyDescent="0.4">
      <c r="A326" t="s">
        <v>377</v>
      </c>
      <c r="B326" s="18">
        <f>mole/F326*(sf_TC/100)</f>
        <v>10000000</v>
      </c>
      <c r="C326">
        <v>0</v>
      </c>
      <c r="D326" s="18">
        <v>11300000</v>
      </c>
      <c r="E326" s="18">
        <v>20000000</v>
      </c>
      <c r="F326" s="7">
        <v>0.1</v>
      </c>
      <c r="G326" s="18">
        <v>-3750000</v>
      </c>
      <c r="H326">
        <f>B326/(I_b*20)</f>
        <v>50</v>
      </c>
    </row>
    <row r="327" spans="1:8" x14ac:dyDescent="0.4">
      <c r="A327" t="s">
        <v>376</v>
      </c>
      <c r="B327" s="18">
        <f t="shared" si="26"/>
        <v>10000000</v>
      </c>
      <c r="C327">
        <v>0</v>
      </c>
      <c r="D327" s="18">
        <v>11300000</v>
      </c>
      <c r="E327" s="18">
        <v>20000000</v>
      </c>
      <c r="F327" s="7">
        <v>0.1</v>
      </c>
      <c r="G327" s="18">
        <v>-3750000</v>
      </c>
      <c r="H327">
        <f t="shared" si="27"/>
        <v>50</v>
      </c>
    </row>
    <row r="328" spans="1:8" x14ac:dyDescent="0.4">
      <c r="B328" s="18"/>
      <c r="D328" s="18"/>
      <c r="E328" s="18"/>
      <c r="F328" s="7"/>
      <c r="G328" s="18"/>
    </row>
    <row r="330" spans="1:8" x14ac:dyDescent="0.4">
      <c r="B330" s="18"/>
      <c r="D330" s="18"/>
      <c r="E330" s="18"/>
      <c r="F330" s="7"/>
      <c r="G330" s="18"/>
    </row>
    <row r="331" spans="1:8" x14ac:dyDescent="0.4">
      <c r="A331" s="3" t="s">
        <v>1182</v>
      </c>
      <c r="B331" s="3"/>
      <c r="C331" s="3"/>
      <c r="D331" s="3"/>
      <c r="E331" s="3"/>
      <c r="F331" s="3"/>
      <c r="G331" s="3"/>
      <c r="H331" s="1"/>
    </row>
    <row r="332" spans="1:8" ht="15" thickBot="1" x14ac:dyDescent="0.45">
      <c r="A332" s="1" t="s">
        <v>1</v>
      </c>
      <c r="B332" s="1" t="s">
        <v>2</v>
      </c>
      <c r="C332" s="1" t="s">
        <v>3</v>
      </c>
      <c r="D332" s="1" t="s">
        <v>4</v>
      </c>
      <c r="E332" s="1" t="s">
        <v>5</v>
      </c>
      <c r="F332" s="1" t="s">
        <v>6</v>
      </c>
      <c r="G332" s="1" t="s">
        <v>7</v>
      </c>
      <c r="H332" s="63" t="s">
        <v>187</v>
      </c>
    </row>
    <row r="333" spans="1:8" ht="15" thickTop="1" x14ac:dyDescent="0.4">
      <c r="A333" t="s">
        <v>1183</v>
      </c>
      <c r="B333" s="18">
        <f t="shared" ref="B333:B338" si="32">mole/F333*(sf_TC/100)</f>
        <v>1000000</v>
      </c>
      <c r="C333">
        <v>0</v>
      </c>
      <c r="D333" s="18">
        <v>1000</v>
      </c>
      <c r="E333" s="18">
        <v>7000</v>
      </c>
      <c r="F333" s="7">
        <v>1</v>
      </c>
      <c r="G333" s="18">
        <v>9560</v>
      </c>
      <c r="H333">
        <f t="shared" ref="H333:H338" si="33">B333/(I_b*20)</f>
        <v>5</v>
      </c>
    </row>
    <row r="334" spans="1:8" x14ac:dyDescent="0.4">
      <c r="A334" t="s">
        <v>1184</v>
      </c>
      <c r="B334" s="18">
        <f t="shared" si="32"/>
        <v>10000000</v>
      </c>
      <c r="C334">
        <v>0</v>
      </c>
      <c r="D334" s="18">
        <v>1200</v>
      </c>
      <c r="E334" s="18">
        <v>3000</v>
      </c>
      <c r="F334" s="7">
        <v>0.1</v>
      </c>
      <c r="G334" s="18">
        <v>10800</v>
      </c>
      <c r="H334">
        <f t="shared" si="33"/>
        <v>50</v>
      </c>
    </row>
    <row r="335" spans="1:8" x14ac:dyDescent="0.4">
      <c r="A335" t="s">
        <v>1185</v>
      </c>
      <c r="B335" s="18">
        <f t="shared" si="32"/>
        <v>1600000</v>
      </c>
      <c r="C335">
        <v>0</v>
      </c>
      <c r="D335" s="18">
        <v>2500</v>
      </c>
      <c r="E335" s="18">
        <v>7500</v>
      </c>
      <c r="F335" s="7">
        <v>0.625</v>
      </c>
      <c r="G335" s="18">
        <v>3860</v>
      </c>
      <c r="H335">
        <f t="shared" si="33"/>
        <v>8</v>
      </c>
    </row>
    <row r="336" spans="1:8" x14ac:dyDescent="0.4">
      <c r="A336" t="s">
        <v>1495</v>
      </c>
      <c r="B336" s="18">
        <f>mole/F336*(sf_TC/100)</f>
        <v>1000000</v>
      </c>
      <c r="C336">
        <v>0</v>
      </c>
      <c r="D336" s="18">
        <v>7000</v>
      </c>
      <c r="E336" s="18">
        <v>19000</v>
      </c>
      <c r="F336" s="7">
        <v>1</v>
      </c>
      <c r="G336" s="18">
        <v>-1410</v>
      </c>
      <c r="H336">
        <f>B336/(I_b*20)</f>
        <v>5</v>
      </c>
    </row>
    <row r="337" spans="1:8" x14ac:dyDescent="0.4">
      <c r="A337" t="s">
        <v>1186</v>
      </c>
      <c r="B337" s="18">
        <f t="shared" si="32"/>
        <v>15625000</v>
      </c>
      <c r="C337">
        <v>0</v>
      </c>
      <c r="D337" s="18">
        <v>8000</v>
      </c>
      <c r="E337" s="18">
        <v>12000</v>
      </c>
      <c r="F337" s="7">
        <v>6.4000000000000001E-2</v>
      </c>
      <c r="G337" s="18">
        <v>-2520</v>
      </c>
      <c r="H337">
        <f t="shared" si="33"/>
        <v>78.125</v>
      </c>
    </row>
    <row r="338" spans="1:8" x14ac:dyDescent="0.4">
      <c r="A338" t="s">
        <v>1518</v>
      </c>
      <c r="B338" s="18">
        <f t="shared" si="32"/>
        <v>1600000</v>
      </c>
      <c r="C338">
        <v>0</v>
      </c>
      <c r="D338" s="18">
        <v>9500</v>
      </c>
      <c r="E338" s="18">
        <v>14500</v>
      </c>
      <c r="F338" s="7">
        <v>0.625</v>
      </c>
      <c r="G338" s="18">
        <v>-2260</v>
      </c>
      <c r="H338">
        <f t="shared" si="33"/>
        <v>8</v>
      </c>
    </row>
    <row r="339" spans="1:8" x14ac:dyDescent="0.4">
      <c r="B339" s="18"/>
      <c r="D339" s="18"/>
      <c r="E339" s="18"/>
      <c r="F339" s="7"/>
      <c r="G339" s="18"/>
    </row>
    <row r="341" spans="1:8" x14ac:dyDescent="0.4">
      <c r="A341" s="3" t="s">
        <v>145</v>
      </c>
      <c r="B341" s="3"/>
      <c r="C341" s="3"/>
      <c r="D341" s="3"/>
      <c r="E341" s="3"/>
      <c r="F341" s="3"/>
      <c r="G341" s="3"/>
      <c r="H341" s="1"/>
    </row>
    <row r="342" spans="1:8" x14ac:dyDescent="0.4">
      <c r="A342" s="1" t="s">
        <v>1</v>
      </c>
      <c r="B342" s="1" t="s">
        <v>2</v>
      </c>
      <c r="C342" s="1" t="s">
        <v>3</v>
      </c>
      <c r="D342" s="1" t="s">
        <v>4</v>
      </c>
      <c r="E342" s="1" t="s">
        <v>5</v>
      </c>
      <c r="F342" s="1" t="s">
        <v>6</v>
      </c>
      <c r="G342" s="1" t="s">
        <v>7</v>
      </c>
      <c r="H342" s="1" t="s">
        <v>187</v>
      </c>
    </row>
    <row r="343" spans="1:8" x14ac:dyDescent="0.4">
      <c r="A343" t="s">
        <v>918</v>
      </c>
      <c r="B343" s="18">
        <f t="shared" ref="B343:B354" si="34">mole/F343*(sf_TC/100)</f>
        <v>2000000</v>
      </c>
      <c r="C343">
        <v>0</v>
      </c>
      <c r="D343" s="18">
        <v>11000</v>
      </c>
      <c r="E343" s="18">
        <v>30000</v>
      </c>
      <c r="F343" s="7">
        <v>0.5</v>
      </c>
      <c r="G343" s="18">
        <v>113</v>
      </c>
      <c r="H343">
        <f t="shared" ref="H343:H354" si="35">B343/(I_b*20)</f>
        <v>10</v>
      </c>
    </row>
    <row r="344" spans="1:8" x14ac:dyDescent="0.4">
      <c r="A344" t="s">
        <v>1531</v>
      </c>
      <c r="B344" s="18">
        <f>mole/F344*(sf_TC/100)</f>
        <v>1600000</v>
      </c>
      <c r="C344">
        <v>0</v>
      </c>
      <c r="D344" s="18">
        <v>11500</v>
      </c>
      <c r="E344" s="18">
        <v>18500</v>
      </c>
      <c r="F344" s="7">
        <v>0.625</v>
      </c>
      <c r="G344" s="18">
        <v>2470</v>
      </c>
      <c r="H344">
        <f>B344/(I_b*20)</f>
        <v>8</v>
      </c>
    </row>
    <row r="345" spans="1:8" x14ac:dyDescent="0.4">
      <c r="A345" t="s">
        <v>919</v>
      </c>
      <c r="B345" s="18">
        <f t="shared" si="34"/>
        <v>10000000</v>
      </c>
      <c r="C345">
        <v>0</v>
      </c>
      <c r="D345" s="18">
        <v>14000</v>
      </c>
      <c r="E345" s="18">
        <v>24000</v>
      </c>
      <c r="F345" s="7">
        <v>0.1</v>
      </c>
      <c r="G345" s="18">
        <v>-226</v>
      </c>
      <c r="H345">
        <f t="shared" si="35"/>
        <v>50</v>
      </c>
    </row>
    <row r="346" spans="1:8" x14ac:dyDescent="0.4">
      <c r="A346" t="s">
        <v>920</v>
      </c>
      <c r="B346" s="18">
        <f t="shared" si="34"/>
        <v>8000000</v>
      </c>
      <c r="C346">
        <v>0</v>
      </c>
      <c r="D346" s="18">
        <v>22000</v>
      </c>
      <c r="E346" s="18">
        <v>31000</v>
      </c>
      <c r="F346" s="7">
        <v>0.125</v>
      </c>
      <c r="G346" s="18">
        <v>-5690</v>
      </c>
      <c r="H346">
        <f t="shared" si="35"/>
        <v>40</v>
      </c>
    </row>
    <row r="347" spans="1:8" x14ac:dyDescent="0.4">
      <c r="A347" t="s">
        <v>921</v>
      </c>
      <c r="B347" s="18">
        <f t="shared" si="34"/>
        <v>6250000</v>
      </c>
      <c r="C347">
        <v>0</v>
      </c>
      <c r="D347" s="18">
        <v>23000</v>
      </c>
      <c r="E347" s="18">
        <v>28000</v>
      </c>
      <c r="F347" s="7">
        <v>0.16</v>
      </c>
      <c r="G347" s="18">
        <v>14</v>
      </c>
      <c r="H347">
        <f t="shared" si="35"/>
        <v>31.25</v>
      </c>
    </row>
    <row r="348" spans="1:8" x14ac:dyDescent="0.4">
      <c r="A348" t="s">
        <v>922</v>
      </c>
      <c r="B348" s="18">
        <f t="shared" si="34"/>
        <v>50000000</v>
      </c>
      <c r="C348">
        <v>0</v>
      </c>
      <c r="D348" s="18">
        <v>23000</v>
      </c>
      <c r="E348" s="18">
        <v>30000</v>
      </c>
      <c r="F348" s="7">
        <v>0.02</v>
      </c>
      <c r="G348" s="18">
        <v>1060</v>
      </c>
      <c r="H348">
        <f t="shared" si="35"/>
        <v>250</v>
      </c>
    </row>
    <row r="349" spans="1:8" x14ac:dyDescent="0.4">
      <c r="A349" t="s">
        <v>923</v>
      </c>
      <c r="B349" s="18">
        <f t="shared" si="34"/>
        <v>50000000</v>
      </c>
      <c r="C349">
        <v>0</v>
      </c>
      <c r="D349" s="18">
        <v>23500</v>
      </c>
      <c r="E349" s="18">
        <v>30000</v>
      </c>
      <c r="F349" s="7">
        <v>0.02</v>
      </c>
      <c r="G349" s="18">
        <v>-1720</v>
      </c>
      <c r="H349">
        <f t="shared" si="35"/>
        <v>250</v>
      </c>
    </row>
    <row r="350" spans="1:8" x14ac:dyDescent="0.4">
      <c r="A350" t="s">
        <v>1435</v>
      </c>
      <c r="B350" s="18">
        <f>mole/F350*(sf_TC/100)</f>
        <v>2000000</v>
      </c>
      <c r="C350">
        <v>0</v>
      </c>
      <c r="D350" s="18">
        <v>25000</v>
      </c>
      <c r="E350" s="18">
        <v>35000</v>
      </c>
      <c r="F350" s="7">
        <v>0.5</v>
      </c>
      <c r="G350" s="18">
        <v>-17000</v>
      </c>
      <c r="H350">
        <f>B350/(I_b*20)</f>
        <v>10</v>
      </c>
    </row>
    <row r="351" spans="1:8" x14ac:dyDescent="0.4">
      <c r="A351" t="s">
        <v>924</v>
      </c>
      <c r="B351" s="18">
        <f t="shared" si="34"/>
        <v>1600000</v>
      </c>
      <c r="C351">
        <v>0</v>
      </c>
      <c r="D351" s="18">
        <v>30000</v>
      </c>
      <c r="E351" s="18">
        <v>150000</v>
      </c>
      <c r="F351" s="7">
        <v>0.625</v>
      </c>
      <c r="G351" s="18">
        <v>16900</v>
      </c>
      <c r="H351">
        <f t="shared" si="35"/>
        <v>8</v>
      </c>
    </row>
    <row r="352" spans="1:8" x14ac:dyDescent="0.4">
      <c r="A352" t="s">
        <v>925</v>
      </c>
      <c r="B352" s="18">
        <f t="shared" si="34"/>
        <v>5000000</v>
      </c>
      <c r="C352">
        <v>0</v>
      </c>
      <c r="D352" s="18">
        <v>30000</v>
      </c>
      <c r="E352" s="18">
        <v>47000</v>
      </c>
      <c r="F352" s="7">
        <v>0.2</v>
      </c>
      <c r="G352" s="18">
        <v>-6570</v>
      </c>
      <c r="H352">
        <f t="shared" si="35"/>
        <v>25</v>
      </c>
    </row>
    <row r="353" spans="1:8" x14ac:dyDescent="0.4">
      <c r="A353" t="s">
        <v>926</v>
      </c>
      <c r="B353" s="18">
        <f t="shared" si="34"/>
        <v>5000000</v>
      </c>
      <c r="C353">
        <v>0</v>
      </c>
      <c r="D353" s="18">
        <v>30000</v>
      </c>
      <c r="E353" s="18">
        <v>43000</v>
      </c>
      <c r="F353" s="7">
        <v>0.2</v>
      </c>
      <c r="G353" s="18">
        <v>-2730</v>
      </c>
      <c r="H353">
        <f t="shared" si="35"/>
        <v>25</v>
      </c>
    </row>
    <row r="354" spans="1:8" x14ac:dyDescent="0.4">
      <c r="A354" t="s">
        <v>1178</v>
      </c>
      <c r="B354" s="18">
        <f t="shared" si="34"/>
        <v>6250000</v>
      </c>
      <c r="C354">
        <v>0</v>
      </c>
      <c r="D354" s="18">
        <v>90000</v>
      </c>
      <c r="E354" s="18">
        <v>165000</v>
      </c>
      <c r="F354" s="7">
        <v>0.16</v>
      </c>
      <c r="G354" s="18">
        <v>-1930</v>
      </c>
      <c r="H354">
        <f t="shared" si="35"/>
        <v>31.25</v>
      </c>
    </row>
    <row r="357" spans="1:8" x14ac:dyDescent="0.4">
      <c r="A357" s="3" t="s">
        <v>146</v>
      </c>
      <c r="B357" s="3"/>
      <c r="C357" s="3"/>
      <c r="D357" s="3"/>
      <c r="E357" s="3"/>
      <c r="F357" s="3"/>
      <c r="G357" s="3"/>
      <c r="H357" s="1"/>
    </row>
    <row r="358" spans="1:8" x14ac:dyDescent="0.4">
      <c r="A358" s="1" t="s">
        <v>1</v>
      </c>
      <c r="B358" s="1" t="s">
        <v>2</v>
      </c>
      <c r="C358" s="1" t="s">
        <v>3</v>
      </c>
      <c r="D358" s="1" t="s">
        <v>4</v>
      </c>
      <c r="E358" s="1" t="s">
        <v>5</v>
      </c>
      <c r="F358" s="1" t="s">
        <v>6</v>
      </c>
      <c r="G358" s="1" t="s">
        <v>7</v>
      </c>
      <c r="H358" s="1" t="s">
        <v>187</v>
      </c>
    </row>
    <row r="359" spans="1:8" x14ac:dyDescent="0.4">
      <c r="A359" t="s">
        <v>147</v>
      </c>
      <c r="B359" s="18">
        <f t="shared" ref="B359:B401" si="36">mole/F359*(sf_TC/100)</f>
        <v>1000000</v>
      </c>
      <c r="C359">
        <v>0</v>
      </c>
      <c r="D359" s="18">
        <v>4000</v>
      </c>
      <c r="E359" s="18">
        <v>6500</v>
      </c>
      <c r="F359" s="7">
        <v>1</v>
      </c>
      <c r="G359" s="18">
        <v>5700</v>
      </c>
      <c r="H359">
        <f t="shared" ref="H359:H401" si="37">B359/(I_b*20)</f>
        <v>5</v>
      </c>
    </row>
    <row r="360" spans="1:8" x14ac:dyDescent="0.4">
      <c r="A360" t="s">
        <v>1179</v>
      </c>
      <c r="B360" s="18">
        <f t="shared" si="36"/>
        <v>6250000</v>
      </c>
      <c r="C360">
        <v>0</v>
      </c>
      <c r="D360" s="18">
        <v>4500</v>
      </c>
      <c r="E360" s="18">
        <v>6000</v>
      </c>
      <c r="F360" s="7">
        <v>0.16</v>
      </c>
      <c r="G360" s="18">
        <v>1820</v>
      </c>
      <c r="H360">
        <f t="shared" si="37"/>
        <v>31.25</v>
      </c>
    </row>
    <row r="361" spans="1:8" x14ac:dyDescent="0.4">
      <c r="A361" t="s">
        <v>148</v>
      </c>
      <c r="B361" s="18">
        <f t="shared" si="36"/>
        <v>4000000</v>
      </c>
      <c r="C361">
        <v>0</v>
      </c>
      <c r="D361" s="18">
        <v>6000</v>
      </c>
      <c r="E361" s="18">
        <v>11000</v>
      </c>
      <c r="F361" s="7">
        <v>0.25</v>
      </c>
      <c r="G361" s="18">
        <v>-1950</v>
      </c>
      <c r="H361">
        <f t="shared" si="37"/>
        <v>20</v>
      </c>
    </row>
    <row r="362" spans="1:8" x14ac:dyDescent="0.4">
      <c r="A362" t="s">
        <v>150</v>
      </c>
      <c r="B362" s="18">
        <f>mole/F362*(sf_TC/100)</f>
        <v>2000000</v>
      </c>
      <c r="C362">
        <v>0</v>
      </c>
      <c r="D362" s="18">
        <v>6500</v>
      </c>
      <c r="E362" s="18">
        <v>7600</v>
      </c>
      <c r="F362" s="7">
        <v>0.5</v>
      </c>
      <c r="G362" s="18">
        <v>-2790</v>
      </c>
      <c r="H362">
        <f>B362/(I_b*20)</f>
        <v>10</v>
      </c>
    </row>
    <row r="363" spans="1:8" x14ac:dyDescent="0.4">
      <c r="A363" t="s">
        <v>1504</v>
      </c>
      <c r="B363" s="18">
        <f>mole/F363*(sf_TC/100)</f>
        <v>1600000</v>
      </c>
      <c r="C363">
        <v>0</v>
      </c>
      <c r="D363" s="18">
        <v>8000</v>
      </c>
      <c r="E363" s="18">
        <v>17500</v>
      </c>
      <c r="F363" s="7">
        <v>0.625</v>
      </c>
      <c r="G363" s="18">
        <v>-2380</v>
      </c>
      <c r="H363">
        <f>B363/(I_b*20)</f>
        <v>8</v>
      </c>
    </row>
    <row r="364" spans="1:8" x14ac:dyDescent="0.4">
      <c r="A364" t="s">
        <v>1505</v>
      </c>
      <c r="B364" s="18">
        <f>mole/F364*(sf_TC/100)</f>
        <v>1600000</v>
      </c>
      <c r="C364">
        <v>0</v>
      </c>
      <c r="D364" s="18">
        <v>8000</v>
      </c>
      <c r="E364" s="18">
        <v>19500</v>
      </c>
      <c r="F364" s="7">
        <v>0.625</v>
      </c>
      <c r="G364" s="18">
        <v>-1600</v>
      </c>
      <c r="H364">
        <f>B364/(I_b*20)</f>
        <v>8</v>
      </c>
    </row>
    <row r="365" spans="1:8" x14ac:dyDescent="0.4">
      <c r="A365" t="s">
        <v>1507</v>
      </c>
      <c r="B365" s="18">
        <f>mole/F365*(sf_TC/100)</f>
        <v>1600000</v>
      </c>
      <c r="C365">
        <v>0</v>
      </c>
      <c r="D365" s="18">
        <v>10000</v>
      </c>
      <c r="E365" s="18">
        <v>17000</v>
      </c>
      <c r="F365" s="7">
        <v>0.625</v>
      </c>
      <c r="G365" s="18">
        <v>-1870</v>
      </c>
      <c r="H365">
        <f>B365/(I_b*20)</f>
        <v>8</v>
      </c>
    </row>
    <row r="366" spans="1:8" x14ac:dyDescent="0.4">
      <c r="A366" t="s">
        <v>149</v>
      </c>
      <c r="B366" s="18">
        <f t="shared" si="36"/>
        <v>6250000</v>
      </c>
      <c r="C366">
        <v>0</v>
      </c>
      <c r="D366" s="18">
        <v>11000</v>
      </c>
      <c r="E366" s="18">
        <v>17500</v>
      </c>
      <c r="F366" s="7">
        <v>0.16</v>
      </c>
      <c r="G366" s="18">
        <v>1670</v>
      </c>
      <c r="H366">
        <f t="shared" si="37"/>
        <v>31.25</v>
      </c>
    </row>
    <row r="367" spans="1:8" x14ac:dyDescent="0.4">
      <c r="A367" t="s">
        <v>1499</v>
      </c>
      <c r="B367" s="18">
        <f>mole/F367*(sf_TC/100)</f>
        <v>1000000</v>
      </c>
      <c r="C367">
        <v>0</v>
      </c>
      <c r="D367" s="18">
        <v>11000</v>
      </c>
      <c r="E367" s="18">
        <v>26000</v>
      </c>
      <c r="F367" s="7">
        <v>1</v>
      </c>
      <c r="G367" s="18">
        <v>-6510</v>
      </c>
      <c r="H367">
        <f>B367/(I_b*20)</f>
        <v>5</v>
      </c>
    </row>
    <row r="368" spans="1:8" x14ac:dyDescent="0.4">
      <c r="A368" t="s">
        <v>1440</v>
      </c>
      <c r="B368" s="18">
        <f t="shared" si="36"/>
        <v>2500000</v>
      </c>
      <c r="C368">
        <v>0</v>
      </c>
      <c r="D368" s="18">
        <v>12000</v>
      </c>
      <c r="E368" s="18">
        <v>17500</v>
      </c>
      <c r="F368" s="7">
        <v>0.4</v>
      </c>
      <c r="G368" s="18">
        <v>568</v>
      </c>
      <c r="H368">
        <f t="shared" si="37"/>
        <v>12.5</v>
      </c>
    </row>
    <row r="369" spans="1:8" x14ac:dyDescent="0.4">
      <c r="A369" t="s">
        <v>1502</v>
      </c>
      <c r="B369" s="18">
        <f t="shared" ref="B369" si="38">mole/F369*(sf_TC/100)</f>
        <v>5000000</v>
      </c>
      <c r="C369">
        <v>0</v>
      </c>
      <c r="D369" s="18">
        <v>12500</v>
      </c>
      <c r="E369" s="18">
        <v>21500</v>
      </c>
      <c r="F369" s="7">
        <v>0.2</v>
      </c>
      <c r="G369" s="18">
        <v>-3240</v>
      </c>
      <c r="H369">
        <f t="shared" ref="H369" si="39">B369/(I_b*20)</f>
        <v>25</v>
      </c>
    </row>
    <row r="370" spans="1:8" x14ac:dyDescent="0.4">
      <c r="A370" t="s">
        <v>1501</v>
      </c>
      <c r="B370" s="18">
        <f>mole/F370*(sf_TC/100)</f>
        <v>3125000</v>
      </c>
      <c r="C370">
        <v>0</v>
      </c>
      <c r="D370" s="18">
        <v>13500</v>
      </c>
      <c r="E370" s="18">
        <v>19000</v>
      </c>
      <c r="F370" s="7">
        <v>0.32</v>
      </c>
      <c r="G370" s="18">
        <v>-2570</v>
      </c>
      <c r="H370">
        <f>B370/(I_b*20)</f>
        <v>15.625</v>
      </c>
    </row>
    <row r="371" spans="1:8" x14ac:dyDescent="0.4">
      <c r="A371" t="s">
        <v>151</v>
      </c>
      <c r="B371" s="18">
        <f t="shared" si="36"/>
        <v>10000000</v>
      </c>
      <c r="C371">
        <v>0</v>
      </c>
      <c r="D371" s="18">
        <v>14000</v>
      </c>
      <c r="E371" s="18">
        <v>26000</v>
      </c>
      <c r="F371" s="7">
        <v>0.1</v>
      </c>
      <c r="G371" s="18">
        <v>-5330</v>
      </c>
      <c r="H371">
        <f t="shared" si="37"/>
        <v>50</v>
      </c>
    </row>
    <row r="372" spans="1:8" x14ac:dyDescent="0.4">
      <c r="A372" t="s">
        <v>152</v>
      </c>
      <c r="B372" s="18">
        <f t="shared" si="36"/>
        <v>6250000</v>
      </c>
      <c r="C372">
        <v>0</v>
      </c>
      <c r="D372" s="18">
        <v>16000</v>
      </c>
      <c r="E372" s="18">
        <v>20000</v>
      </c>
      <c r="F372" s="7">
        <v>0.16</v>
      </c>
      <c r="G372" s="18">
        <v>-1540</v>
      </c>
      <c r="H372">
        <f t="shared" si="37"/>
        <v>31.25</v>
      </c>
    </row>
    <row r="373" spans="1:8" x14ac:dyDescent="0.4">
      <c r="A373" t="s">
        <v>1498</v>
      </c>
      <c r="B373" s="18">
        <f>mole/F373*(sf_TC/100)</f>
        <v>1000000</v>
      </c>
      <c r="C373">
        <v>0</v>
      </c>
      <c r="D373" s="18">
        <v>16000</v>
      </c>
      <c r="E373" s="18">
        <v>27000</v>
      </c>
      <c r="F373" s="7">
        <v>1</v>
      </c>
      <c r="G373" s="18">
        <v>-11200</v>
      </c>
      <c r="H373">
        <f>B373/(I_b*20)</f>
        <v>5</v>
      </c>
    </row>
    <row r="374" spans="1:8" x14ac:dyDescent="0.4">
      <c r="A374" t="s">
        <v>1511</v>
      </c>
      <c r="B374" s="18">
        <f>mole/F374*(sf_TC/100)</f>
        <v>1000000</v>
      </c>
      <c r="C374">
        <v>0</v>
      </c>
      <c r="D374" s="18">
        <v>16500</v>
      </c>
      <c r="E374" s="18">
        <v>28000</v>
      </c>
      <c r="F374" s="7">
        <v>1</v>
      </c>
      <c r="G374" s="18">
        <v>-10200</v>
      </c>
      <c r="H374">
        <f>B374/(I_b*20)</f>
        <v>5</v>
      </c>
    </row>
    <row r="375" spans="1:8" x14ac:dyDescent="0.4">
      <c r="A375" t="s">
        <v>1494</v>
      </c>
      <c r="B375" s="18">
        <f>mole/F375*(sf_TC/100)</f>
        <v>25000000</v>
      </c>
      <c r="C375">
        <v>0</v>
      </c>
      <c r="D375" s="18">
        <v>17000</v>
      </c>
      <c r="E375" s="18">
        <v>25000</v>
      </c>
      <c r="F375" s="7">
        <v>0.04</v>
      </c>
      <c r="G375" s="18">
        <v>-6420</v>
      </c>
      <c r="H375">
        <f>B375/(I_b*20)</f>
        <v>125</v>
      </c>
    </row>
    <row r="376" spans="1:8" x14ac:dyDescent="0.4">
      <c r="A376" t="s">
        <v>1441</v>
      </c>
      <c r="B376" s="18">
        <f t="shared" si="36"/>
        <v>31250000</v>
      </c>
      <c r="C376">
        <v>0</v>
      </c>
      <c r="D376" s="18">
        <v>18000</v>
      </c>
      <c r="E376" s="18">
        <v>25000</v>
      </c>
      <c r="F376" s="7">
        <v>3.2000000000000001E-2</v>
      </c>
      <c r="G376" s="18">
        <v>-9920</v>
      </c>
      <c r="H376">
        <f t="shared" si="37"/>
        <v>156.25</v>
      </c>
    </row>
    <row r="377" spans="1:8" x14ac:dyDescent="0.4">
      <c r="A377" t="s">
        <v>1500</v>
      </c>
      <c r="B377" s="18">
        <f>mole/F377*(sf_TC/100)</f>
        <v>1000000</v>
      </c>
      <c r="C377">
        <v>0</v>
      </c>
      <c r="D377" s="18">
        <v>19000</v>
      </c>
      <c r="E377" s="18">
        <v>29500</v>
      </c>
      <c r="F377" s="7">
        <v>1</v>
      </c>
      <c r="G377" s="18">
        <v>-11900</v>
      </c>
      <c r="H377">
        <f>B377/(I_b*20)</f>
        <v>5</v>
      </c>
    </row>
    <row r="378" spans="1:8" x14ac:dyDescent="0.4">
      <c r="A378" t="s">
        <v>153</v>
      </c>
      <c r="B378" s="18">
        <f t="shared" si="36"/>
        <v>40000000</v>
      </c>
      <c r="C378">
        <v>0</v>
      </c>
      <c r="D378" s="18">
        <v>19000</v>
      </c>
      <c r="E378" s="18">
        <v>27500</v>
      </c>
      <c r="F378" s="7">
        <v>2.5000000000000001E-2</v>
      </c>
      <c r="G378" s="18">
        <v>-8730</v>
      </c>
      <c r="H378">
        <f t="shared" si="37"/>
        <v>200</v>
      </c>
    </row>
    <row r="379" spans="1:8" x14ac:dyDescent="0.4">
      <c r="A379" t="s">
        <v>1519</v>
      </c>
      <c r="B379" s="18">
        <f>mole/F379*(sf_TC/100)</f>
        <v>1250000</v>
      </c>
      <c r="C379">
        <v>0</v>
      </c>
      <c r="D379" s="18">
        <v>20500</v>
      </c>
      <c r="E379" s="18">
        <v>27000</v>
      </c>
      <c r="F379" s="7">
        <v>0.8</v>
      </c>
      <c r="G379" s="18">
        <v>-14800</v>
      </c>
      <c r="H379">
        <f>B379/(I_b*20)</f>
        <v>6.25</v>
      </c>
    </row>
    <row r="380" spans="1:8" x14ac:dyDescent="0.4">
      <c r="A380" t="s">
        <v>1517</v>
      </c>
      <c r="B380" s="18">
        <f>mole/F380*(sf_TC/100)</f>
        <v>1000000</v>
      </c>
      <c r="C380">
        <v>0</v>
      </c>
      <c r="D380" s="18">
        <v>21000</v>
      </c>
      <c r="E380" s="18">
        <v>27000</v>
      </c>
      <c r="F380" s="7">
        <v>1</v>
      </c>
      <c r="G380" s="18">
        <v>-14700</v>
      </c>
      <c r="H380">
        <f>B380/(I_b*20)</f>
        <v>5</v>
      </c>
    </row>
    <row r="381" spans="1:8" x14ac:dyDescent="0.4">
      <c r="A381" t="s">
        <v>1521</v>
      </c>
      <c r="B381" s="18">
        <f t="shared" si="36"/>
        <v>1600000</v>
      </c>
      <c r="C381">
        <v>0</v>
      </c>
      <c r="D381" s="18">
        <v>21000</v>
      </c>
      <c r="E381" s="18">
        <v>29500</v>
      </c>
      <c r="F381" s="7">
        <v>0.625</v>
      </c>
      <c r="G381" s="18">
        <v>-16100</v>
      </c>
      <c r="H381">
        <f t="shared" si="37"/>
        <v>8</v>
      </c>
    </row>
    <row r="382" spans="1:8" x14ac:dyDescent="0.4">
      <c r="A382" t="s">
        <v>1522</v>
      </c>
      <c r="B382" s="18">
        <f>mole/F382*(sf_TC/100)</f>
        <v>1600000</v>
      </c>
      <c r="C382">
        <v>0</v>
      </c>
      <c r="D382" s="18">
        <v>21000</v>
      </c>
      <c r="E382" s="18">
        <v>28500</v>
      </c>
      <c r="F382" s="7">
        <v>0.625</v>
      </c>
      <c r="G382" s="18">
        <v>-15300</v>
      </c>
      <c r="H382">
        <f>B382/(I_b*20)</f>
        <v>8</v>
      </c>
    </row>
    <row r="383" spans="1:8" x14ac:dyDescent="0.4">
      <c r="A383" t="s">
        <v>154</v>
      </c>
      <c r="B383" s="18">
        <f>mole/F383*(sf_TC/100)</f>
        <v>50000000</v>
      </c>
      <c r="C383">
        <v>0</v>
      </c>
      <c r="D383" s="18">
        <v>21000</v>
      </c>
      <c r="E383" s="18">
        <v>30000</v>
      </c>
      <c r="F383" s="7">
        <v>0.02</v>
      </c>
      <c r="G383" s="18">
        <v>-10900</v>
      </c>
      <c r="H383">
        <f>B383/(I_b*20)</f>
        <v>250</v>
      </c>
    </row>
    <row r="384" spans="1:8" x14ac:dyDescent="0.4">
      <c r="A384" t="s">
        <v>1589</v>
      </c>
      <c r="B384" s="18">
        <f>mole/F384*(sf_TC/100)</f>
        <v>1000000</v>
      </c>
      <c r="C384">
        <v>0</v>
      </c>
      <c r="D384" s="18">
        <v>22000</v>
      </c>
      <c r="E384" s="18">
        <v>30500</v>
      </c>
      <c r="F384" s="7">
        <v>1</v>
      </c>
      <c r="G384" s="18">
        <v>-17100</v>
      </c>
      <c r="H384">
        <f>B384/(I_b*20)</f>
        <v>5</v>
      </c>
    </row>
    <row r="385" spans="1:8" x14ac:dyDescent="0.4">
      <c r="A385" t="s">
        <v>1523</v>
      </c>
      <c r="B385" s="18">
        <f>mole/F385*(sf_TC/100)</f>
        <v>1600000</v>
      </c>
      <c r="C385">
        <v>0</v>
      </c>
      <c r="D385" s="18">
        <v>22000</v>
      </c>
      <c r="E385" s="18">
        <v>31000</v>
      </c>
      <c r="F385" s="7">
        <v>0.625</v>
      </c>
      <c r="G385" s="18">
        <v>-16400</v>
      </c>
      <c r="H385">
        <f>B385/(I_b*20)</f>
        <v>8</v>
      </c>
    </row>
    <row r="386" spans="1:8" x14ac:dyDescent="0.4">
      <c r="A386" t="s">
        <v>1515</v>
      </c>
      <c r="B386" s="18">
        <f>mole/F386*(sf_TC/100)</f>
        <v>1000000</v>
      </c>
      <c r="C386">
        <v>0</v>
      </c>
      <c r="D386" s="18">
        <v>23000</v>
      </c>
      <c r="E386" s="18">
        <v>38000</v>
      </c>
      <c r="F386" s="7">
        <v>1</v>
      </c>
      <c r="G386" s="18">
        <v>-17700</v>
      </c>
      <c r="H386">
        <f>B386/(I_b*20)</f>
        <v>5</v>
      </c>
    </row>
    <row r="387" spans="1:8" x14ac:dyDescent="0.4">
      <c r="A387" t="s">
        <v>1525</v>
      </c>
      <c r="B387" s="18">
        <f t="shared" ref="B387" si="40">mole/F387*(sf_TC/100)</f>
        <v>1600000</v>
      </c>
      <c r="C387">
        <v>0</v>
      </c>
      <c r="D387" s="18">
        <v>23000</v>
      </c>
      <c r="E387" s="18">
        <v>32000</v>
      </c>
      <c r="F387" s="7">
        <v>0.625</v>
      </c>
      <c r="G387" s="18">
        <v>-16000</v>
      </c>
      <c r="H387">
        <f t="shared" ref="H387" si="41">B387/(I_b*20)</f>
        <v>8</v>
      </c>
    </row>
    <row r="388" spans="1:8" x14ac:dyDescent="0.4">
      <c r="A388" t="s">
        <v>155</v>
      </c>
      <c r="B388" s="18">
        <f t="shared" si="36"/>
        <v>1000000</v>
      </c>
      <c r="C388">
        <v>0</v>
      </c>
      <c r="D388" s="18">
        <v>26000</v>
      </c>
      <c r="E388" s="18">
        <v>32000</v>
      </c>
      <c r="F388" s="7">
        <v>1</v>
      </c>
      <c r="G388" s="18">
        <v>-19500</v>
      </c>
      <c r="H388">
        <f t="shared" si="37"/>
        <v>5</v>
      </c>
    </row>
    <row r="389" spans="1:8" x14ac:dyDescent="0.4">
      <c r="A389" t="s">
        <v>156</v>
      </c>
      <c r="B389" s="18">
        <f t="shared" si="36"/>
        <v>50000000</v>
      </c>
      <c r="C389">
        <v>0</v>
      </c>
      <c r="D389" s="18">
        <v>27000</v>
      </c>
      <c r="E389" s="18">
        <v>45000</v>
      </c>
      <c r="F389" s="7">
        <v>0.02</v>
      </c>
      <c r="G389" s="18">
        <v>4460</v>
      </c>
      <c r="H389">
        <f t="shared" si="37"/>
        <v>250</v>
      </c>
    </row>
    <row r="390" spans="1:8" x14ac:dyDescent="0.4">
      <c r="A390" t="s">
        <v>157</v>
      </c>
      <c r="B390" s="18">
        <f t="shared" si="36"/>
        <v>50000000</v>
      </c>
      <c r="C390">
        <v>0</v>
      </c>
      <c r="D390" s="18">
        <v>27000</v>
      </c>
      <c r="E390" s="18">
        <v>30000</v>
      </c>
      <c r="F390" s="7">
        <v>0.02</v>
      </c>
      <c r="G390" s="18">
        <v>-11300</v>
      </c>
      <c r="H390">
        <f t="shared" si="37"/>
        <v>250</v>
      </c>
    </row>
    <row r="391" spans="1:8" x14ac:dyDescent="0.4">
      <c r="A391" t="s">
        <v>158</v>
      </c>
      <c r="B391" s="18">
        <f t="shared" si="36"/>
        <v>1600000</v>
      </c>
      <c r="C391">
        <v>0</v>
      </c>
      <c r="D391" s="18">
        <v>27000</v>
      </c>
      <c r="E391" s="18">
        <v>30000</v>
      </c>
      <c r="F391" s="7">
        <v>0.625</v>
      </c>
      <c r="G391" s="18">
        <v>-23100</v>
      </c>
      <c r="H391">
        <f t="shared" si="37"/>
        <v>8</v>
      </c>
    </row>
    <row r="392" spans="1:8" x14ac:dyDescent="0.4">
      <c r="A392" t="s">
        <v>159</v>
      </c>
      <c r="B392" s="18">
        <f t="shared" si="36"/>
        <v>50000000</v>
      </c>
      <c r="C392">
        <v>0</v>
      </c>
      <c r="D392" s="18">
        <v>28000</v>
      </c>
      <c r="E392" s="18">
        <v>30000</v>
      </c>
      <c r="F392" s="7">
        <v>0.02</v>
      </c>
      <c r="G392" s="18">
        <v>-11700</v>
      </c>
      <c r="H392">
        <f t="shared" si="37"/>
        <v>250</v>
      </c>
    </row>
    <row r="393" spans="1:8" x14ac:dyDescent="0.4">
      <c r="A393" t="s">
        <v>160</v>
      </c>
      <c r="B393" s="18">
        <f t="shared" si="36"/>
        <v>4000000</v>
      </c>
      <c r="C393">
        <v>0</v>
      </c>
      <c r="D393" s="18">
        <v>30000</v>
      </c>
      <c r="E393" s="18">
        <v>56000</v>
      </c>
      <c r="F393" s="7">
        <v>0.25</v>
      </c>
      <c r="G393" s="18">
        <v>-12500</v>
      </c>
      <c r="H393">
        <f t="shared" si="37"/>
        <v>20</v>
      </c>
    </row>
    <row r="394" spans="1:8" x14ac:dyDescent="0.4">
      <c r="A394" t="s">
        <v>161</v>
      </c>
      <c r="B394" s="18">
        <f t="shared" si="36"/>
        <v>31250000</v>
      </c>
      <c r="C394">
        <v>0</v>
      </c>
      <c r="D394" s="18">
        <v>30000</v>
      </c>
      <c r="E394" s="18">
        <v>35000</v>
      </c>
      <c r="F394" s="7">
        <v>3.2000000000000001E-2</v>
      </c>
      <c r="G394" s="18">
        <v>-15500</v>
      </c>
      <c r="H394">
        <f t="shared" si="37"/>
        <v>156.25</v>
      </c>
    </row>
    <row r="395" spans="1:8" x14ac:dyDescent="0.4">
      <c r="A395" t="s">
        <v>1180</v>
      </c>
      <c r="B395" s="18">
        <f t="shared" si="36"/>
        <v>7812500</v>
      </c>
      <c r="C395">
        <v>0</v>
      </c>
      <c r="D395" s="18">
        <v>34500</v>
      </c>
      <c r="E395" s="18">
        <v>42000</v>
      </c>
      <c r="F395" s="7">
        <v>0.128</v>
      </c>
      <c r="G395" s="18">
        <v>-28700</v>
      </c>
      <c r="H395">
        <f t="shared" si="37"/>
        <v>39.0625</v>
      </c>
    </row>
    <row r="396" spans="1:8" x14ac:dyDescent="0.4">
      <c r="A396" t="s">
        <v>1520</v>
      </c>
      <c r="B396" s="18">
        <f>mole/F396*(sf_TC/100)</f>
        <v>50000000</v>
      </c>
      <c r="C396">
        <v>0</v>
      </c>
      <c r="D396" s="18">
        <v>36000</v>
      </c>
      <c r="E396" s="18">
        <v>50000</v>
      </c>
      <c r="F396" s="7">
        <v>0.02</v>
      </c>
      <c r="G396" s="18">
        <v>-14500</v>
      </c>
      <c r="H396">
        <f>B396/(I_b*20)</f>
        <v>250</v>
      </c>
    </row>
    <row r="397" spans="1:8" x14ac:dyDescent="0.4">
      <c r="A397" t="s">
        <v>162</v>
      </c>
      <c r="B397" s="18">
        <f t="shared" si="36"/>
        <v>4000000</v>
      </c>
      <c r="C397">
        <v>0</v>
      </c>
      <c r="D397" s="18">
        <v>38000</v>
      </c>
      <c r="E397" s="18">
        <v>50000</v>
      </c>
      <c r="F397" s="7">
        <v>0.25</v>
      </c>
      <c r="G397" s="18">
        <v>-16000</v>
      </c>
      <c r="H397">
        <f t="shared" si="37"/>
        <v>20</v>
      </c>
    </row>
    <row r="398" spans="1:8" x14ac:dyDescent="0.4">
      <c r="A398" t="s">
        <v>1181</v>
      </c>
      <c r="B398" s="18">
        <f t="shared" si="36"/>
        <v>6250000</v>
      </c>
      <c r="C398">
        <v>0</v>
      </c>
      <c r="D398" s="18">
        <v>38000</v>
      </c>
      <c r="E398" s="18">
        <v>54000</v>
      </c>
      <c r="F398" s="7">
        <v>0.16</v>
      </c>
      <c r="G398" s="18">
        <v>-20800</v>
      </c>
      <c r="H398">
        <f t="shared" si="37"/>
        <v>31.25</v>
      </c>
    </row>
    <row r="399" spans="1:8" x14ac:dyDescent="0.4">
      <c r="A399" t="s">
        <v>1524</v>
      </c>
      <c r="B399" s="18">
        <f>mole/F399*(sf_TC/100)</f>
        <v>40000000</v>
      </c>
      <c r="C399">
        <v>0</v>
      </c>
      <c r="D399" s="18">
        <v>38000</v>
      </c>
      <c r="E399" s="18">
        <v>54000</v>
      </c>
      <c r="F399" s="7">
        <v>2.5000000000000001E-2</v>
      </c>
      <c r="G399" s="18">
        <v>-14600</v>
      </c>
      <c r="H399">
        <f>B399/(I_b*20)</f>
        <v>200</v>
      </c>
    </row>
    <row r="400" spans="1:8" x14ac:dyDescent="0.4">
      <c r="A400" t="s">
        <v>163</v>
      </c>
      <c r="B400" s="18">
        <f t="shared" si="36"/>
        <v>6250000</v>
      </c>
      <c r="C400">
        <v>0</v>
      </c>
      <c r="D400" s="18">
        <v>53000</v>
      </c>
      <c r="E400" s="18">
        <v>69000</v>
      </c>
      <c r="F400" s="7">
        <v>0.16</v>
      </c>
      <c r="G400" s="18">
        <v>-27400</v>
      </c>
      <c r="H400">
        <f t="shared" si="37"/>
        <v>31.25</v>
      </c>
    </row>
    <row r="401" spans="1:8" x14ac:dyDescent="0.4">
      <c r="A401" t="s">
        <v>164</v>
      </c>
      <c r="B401" s="18">
        <f t="shared" si="36"/>
        <v>15625000</v>
      </c>
      <c r="C401">
        <v>0</v>
      </c>
      <c r="D401" s="18">
        <v>100000</v>
      </c>
      <c r="E401" s="18">
        <v>145000</v>
      </c>
      <c r="F401" s="7">
        <v>6.4000000000000001E-2</v>
      </c>
      <c r="G401" s="18">
        <v>-20500</v>
      </c>
      <c r="H401">
        <f t="shared" si="37"/>
        <v>78.125</v>
      </c>
    </row>
    <row r="402" spans="1:8" x14ac:dyDescent="0.4">
      <c r="B402" s="18"/>
      <c r="D402" s="18"/>
      <c r="E402" s="18"/>
      <c r="F402" s="7"/>
      <c r="G402" s="18"/>
    </row>
    <row r="404" spans="1:8" x14ac:dyDescent="0.4">
      <c r="A404" s="3" t="s">
        <v>318</v>
      </c>
      <c r="B404" s="3"/>
      <c r="C404" s="3"/>
      <c r="D404" s="3"/>
      <c r="E404" s="3"/>
      <c r="F404" s="3"/>
      <c r="G404" s="3"/>
      <c r="H404" s="1"/>
    </row>
    <row r="405" spans="1:8" x14ac:dyDescent="0.4">
      <c r="A405" s="1" t="s">
        <v>1</v>
      </c>
      <c r="B405" s="1" t="s">
        <v>2</v>
      </c>
      <c r="C405" s="1" t="s">
        <v>3</v>
      </c>
      <c r="D405" s="1" t="s">
        <v>4</v>
      </c>
      <c r="E405" s="1" t="s">
        <v>5</v>
      </c>
      <c r="F405" s="1" t="s">
        <v>6</v>
      </c>
      <c r="G405" s="1" t="s">
        <v>7</v>
      </c>
      <c r="H405" s="1" t="s">
        <v>187</v>
      </c>
    </row>
    <row r="406" spans="1:8" x14ac:dyDescent="0.4">
      <c r="A406" t="s">
        <v>1170</v>
      </c>
      <c r="B406" s="18">
        <f>mole/F406*(sf_TC/100)</f>
        <v>1000000</v>
      </c>
      <c r="C406">
        <v>2</v>
      </c>
      <c r="D406" s="18">
        <v>600</v>
      </c>
      <c r="E406" s="18">
        <v>1000</v>
      </c>
      <c r="F406" s="7">
        <v>1</v>
      </c>
      <c r="G406" s="18">
        <v>0</v>
      </c>
      <c r="H406">
        <f>B406/(I_b*20)</f>
        <v>5</v>
      </c>
    </row>
    <row r="407" spans="1:8" x14ac:dyDescent="0.4">
      <c r="A407" t="s">
        <v>165</v>
      </c>
      <c r="B407" s="18">
        <f>mole/F407*(sf_TC/100)</f>
        <v>5000000</v>
      </c>
      <c r="C407">
        <v>0</v>
      </c>
      <c r="D407" s="18">
        <v>6000</v>
      </c>
      <c r="E407" s="18">
        <v>12000</v>
      </c>
      <c r="F407" s="7">
        <v>0.2</v>
      </c>
      <c r="G407" s="18">
        <v>5010</v>
      </c>
      <c r="H407">
        <f>B407/(I_b*20)</f>
        <v>25</v>
      </c>
    </row>
    <row r="408" spans="1:8" x14ac:dyDescent="0.4">
      <c r="B408" s="18"/>
      <c r="D408" s="18"/>
      <c r="E408" s="18"/>
      <c r="F408" s="7"/>
      <c r="G408" s="18"/>
    </row>
    <row r="409" spans="1:8" ht="14.15" customHeight="1" x14ac:dyDescent="0.4"/>
    <row r="410" spans="1:8" x14ac:dyDescent="0.4">
      <c r="A410" s="3" t="s">
        <v>317</v>
      </c>
      <c r="B410" s="3"/>
      <c r="C410" s="3"/>
      <c r="D410" s="3"/>
      <c r="E410" s="3"/>
      <c r="F410" s="3"/>
      <c r="G410" s="3"/>
      <c r="H410" s="1"/>
    </row>
    <row r="411" spans="1:8" x14ac:dyDescent="0.4">
      <c r="A411" s="1" t="s">
        <v>1</v>
      </c>
      <c r="B411" s="1" t="s">
        <v>2</v>
      </c>
      <c r="C411" s="1" t="s">
        <v>3</v>
      </c>
      <c r="D411" s="1" t="s">
        <v>4</v>
      </c>
      <c r="E411" s="1" t="s">
        <v>5</v>
      </c>
      <c r="F411" s="1" t="s">
        <v>6</v>
      </c>
      <c r="G411" s="1" t="s">
        <v>7</v>
      </c>
      <c r="H411" s="1" t="s">
        <v>187</v>
      </c>
    </row>
    <row r="412" spans="1:8" x14ac:dyDescent="0.4">
      <c r="A412" t="s">
        <v>166</v>
      </c>
      <c r="B412" s="18">
        <f>mole/F412*(sf_TC/100)</f>
        <v>50000000</v>
      </c>
      <c r="C412">
        <v>2</v>
      </c>
      <c r="D412" s="18">
        <v>40000</v>
      </c>
      <c r="E412" s="18">
        <v>50000</v>
      </c>
      <c r="F412" s="7">
        <v>0.02</v>
      </c>
      <c r="G412" s="18">
        <v>-24400</v>
      </c>
      <c r="H412">
        <f>B412/(I_b*20)</f>
        <v>250</v>
      </c>
    </row>
    <row r="413" spans="1:8" x14ac:dyDescent="0.4">
      <c r="B413" s="18"/>
      <c r="D413" s="18"/>
      <c r="E413" s="18"/>
      <c r="F413" s="7"/>
      <c r="G413" s="18"/>
    </row>
    <row r="416" spans="1:8" x14ac:dyDescent="0.4">
      <c r="A416" s="3" t="s">
        <v>316</v>
      </c>
      <c r="B416" s="3"/>
      <c r="C416" s="3"/>
      <c r="D416" s="3"/>
      <c r="E416" s="3"/>
      <c r="F416" s="3"/>
      <c r="G416" s="3"/>
      <c r="H416" s="1"/>
    </row>
    <row r="417" spans="1:8" x14ac:dyDescent="0.4">
      <c r="A417" s="1" t="s">
        <v>1</v>
      </c>
      <c r="B417" s="1" t="s">
        <v>2</v>
      </c>
      <c r="C417" s="1" t="s">
        <v>3</v>
      </c>
      <c r="D417" s="1" t="s">
        <v>4</v>
      </c>
      <c r="E417" s="1" t="s">
        <v>5</v>
      </c>
      <c r="F417" s="1" t="s">
        <v>6</v>
      </c>
      <c r="G417" s="1" t="s">
        <v>7</v>
      </c>
      <c r="H417" s="1" t="s">
        <v>187</v>
      </c>
    </row>
    <row r="418" spans="1:8" x14ac:dyDescent="0.4">
      <c r="A418" t="s">
        <v>167</v>
      </c>
      <c r="B418" s="18">
        <f>mole/F418*(sf_TC/100)</f>
        <v>50000000</v>
      </c>
      <c r="C418">
        <v>0</v>
      </c>
      <c r="D418" s="18">
        <v>0</v>
      </c>
      <c r="E418" s="18">
        <v>1000000</v>
      </c>
      <c r="F418" s="7">
        <v>0.02</v>
      </c>
      <c r="G418" s="18">
        <v>25</v>
      </c>
      <c r="H418">
        <f>B418/(I_b*20)</f>
        <v>250</v>
      </c>
    </row>
    <row r="419" spans="1:8" x14ac:dyDescent="0.4">
      <c r="A419" t="s">
        <v>1405</v>
      </c>
      <c r="B419" s="18">
        <f>mole/F419*(sf_TC/100)</f>
        <v>50000000</v>
      </c>
      <c r="C419">
        <v>0</v>
      </c>
      <c r="D419" s="18">
        <v>200</v>
      </c>
      <c r="E419" s="18">
        <v>1000000</v>
      </c>
      <c r="F419" s="7">
        <v>0.02</v>
      </c>
      <c r="G419" s="18">
        <v>-117</v>
      </c>
      <c r="H419">
        <f>B419/(I_b*20)</f>
        <v>250</v>
      </c>
    </row>
    <row r="420" spans="1:8" x14ac:dyDescent="0.4">
      <c r="A420" t="s">
        <v>168</v>
      </c>
      <c r="B420" s="18">
        <f>mole/F420*(sf_TC/100)</f>
        <v>50000000</v>
      </c>
      <c r="C420">
        <v>0</v>
      </c>
      <c r="D420" s="18">
        <v>300</v>
      </c>
      <c r="E420" s="18">
        <v>1000000</v>
      </c>
      <c r="F420" s="7">
        <v>0.02</v>
      </c>
      <c r="G420" s="18">
        <v>-271</v>
      </c>
      <c r="H420">
        <f>B420/(I_b*20)</f>
        <v>250</v>
      </c>
    </row>
    <row r="421" spans="1:8" x14ac:dyDescent="0.4">
      <c r="A421" t="s">
        <v>169</v>
      </c>
      <c r="B421" s="18">
        <f>mole/F421*(sf_TC/100)</f>
        <v>50000000</v>
      </c>
      <c r="C421">
        <v>0</v>
      </c>
      <c r="D421" s="18">
        <v>1100</v>
      </c>
      <c r="E421" s="18">
        <v>1000000</v>
      </c>
      <c r="F421" s="7">
        <v>0.02</v>
      </c>
      <c r="G421" s="18">
        <v>-1010</v>
      </c>
      <c r="H421">
        <f>B421/(I_b*20)</f>
        <v>250</v>
      </c>
    </row>
    <row r="422" spans="1:8" x14ac:dyDescent="0.4">
      <c r="A422" t="s">
        <v>170</v>
      </c>
      <c r="B422" s="18">
        <f>mole/F422*(sf_TC/100)</f>
        <v>50000000</v>
      </c>
      <c r="C422">
        <v>0</v>
      </c>
      <c r="D422" s="18">
        <v>1100</v>
      </c>
      <c r="E422" s="18">
        <v>1000000</v>
      </c>
      <c r="F422" s="7">
        <v>0.02</v>
      </c>
      <c r="G422" s="18">
        <v>-1070</v>
      </c>
      <c r="H422">
        <f>B422/(I_b*20)</f>
        <v>250</v>
      </c>
    </row>
    <row r="425" spans="1:8" x14ac:dyDescent="0.4">
      <c r="A425" s="3" t="s">
        <v>1442</v>
      </c>
      <c r="B425" s="3"/>
      <c r="C425" s="3"/>
      <c r="D425" s="3"/>
      <c r="E425" s="3"/>
      <c r="F425" s="3"/>
      <c r="G425" s="3"/>
      <c r="H425" s="1"/>
    </row>
    <row r="426" spans="1:8" x14ac:dyDescent="0.4">
      <c r="A426" s="1" t="s">
        <v>1</v>
      </c>
      <c r="B426" s="1" t="s">
        <v>2</v>
      </c>
      <c r="C426" s="1" t="s">
        <v>3</v>
      </c>
      <c r="D426" s="1" t="s">
        <v>4</v>
      </c>
      <c r="E426" s="1" t="s">
        <v>5</v>
      </c>
      <c r="F426" s="1" t="s">
        <v>6</v>
      </c>
      <c r="G426" s="1" t="s">
        <v>7</v>
      </c>
      <c r="H426" s="1" t="s">
        <v>187</v>
      </c>
    </row>
    <row r="427" spans="1:8" x14ac:dyDescent="0.4">
      <c r="A427" t="s">
        <v>1443</v>
      </c>
      <c r="B427" s="18">
        <f>mole/F427*(sf_TC/100)</f>
        <v>50000000</v>
      </c>
      <c r="C427">
        <v>0</v>
      </c>
      <c r="D427" s="18">
        <v>110000</v>
      </c>
      <c r="E427" s="18">
        <v>2000000</v>
      </c>
      <c r="F427" s="7">
        <v>0.02</v>
      </c>
      <c r="G427" s="18">
        <v>-105000</v>
      </c>
      <c r="H427">
        <f>B427/(I_b*20)</f>
        <v>250</v>
      </c>
    </row>
    <row r="428" spans="1:8" x14ac:dyDescent="0.4">
      <c r="A428" t="s">
        <v>1444</v>
      </c>
      <c r="B428" s="18">
        <f>mole/F428*(sf_TC/100)</f>
        <v>50000000</v>
      </c>
      <c r="C428">
        <v>0</v>
      </c>
      <c r="D428" s="18">
        <v>110000</v>
      </c>
      <c r="E428" s="18">
        <v>2000000</v>
      </c>
      <c r="F428" s="7">
        <v>0.02</v>
      </c>
      <c r="G428" s="18">
        <v>-105000</v>
      </c>
      <c r="H428">
        <f>B428/(I_b*20)</f>
        <v>250</v>
      </c>
    </row>
    <row r="429" spans="1:8" x14ac:dyDescent="0.4">
      <c r="A429" t="s">
        <v>1445</v>
      </c>
      <c r="B429" s="18">
        <f>mole/F429*(sf_TC/100)</f>
        <v>50000000</v>
      </c>
      <c r="C429">
        <v>0</v>
      </c>
      <c r="D429" s="18">
        <v>110000</v>
      </c>
      <c r="E429" s="18">
        <v>2000000</v>
      </c>
      <c r="F429" s="7">
        <v>0.02</v>
      </c>
      <c r="G429" s="18">
        <v>-105000</v>
      </c>
      <c r="H429">
        <f>B429/(I_b*20)</f>
        <v>250</v>
      </c>
    </row>
    <row r="430" spans="1:8" x14ac:dyDescent="0.4">
      <c r="A430" t="s">
        <v>1446</v>
      </c>
      <c r="B430" s="18">
        <f>mole/F430*(sf_TC/100)</f>
        <v>50000000</v>
      </c>
      <c r="C430">
        <v>0</v>
      </c>
      <c r="D430" s="18">
        <v>110000</v>
      </c>
      <c r="E430" s="18">
        <v>2000000</v>
      </c>
      <c r="F430" s="7">
        <v>0.02</v>
      </c>
      <c r="G430" s="18">
        <v>-106000</v>
      </c>
      <c r="H430">
        <f>B430/(I_b*20)</f>
        <v>250</v>
      </c>
    </row>
    <row r="431" spans="1:8" x14ac:dyDescent="0.4">
      <c r="A431" t="s">
        <v>1447</v>
      </c>
      <c r="B431" s="18">
        <f>mole/F431*(sf_TC/100)</f>
        <v>50000000</v>
      </c>
      <c r="C431">
        <v>0</v>
      </c>
      <c r="D431" s="18">
        <v>110000</v>
      </c>
      <c r="E431" s="18">
        <v>2000000</v>
      </c>
      <c r="F431" s="7">
        <v>0.02</v>
      </c>
      <c r="G431" s="18">
        <v>-106000</v>
      </c>
      <c r="H431">
        <f>B431/(I_b*20)</f>
        <v>250</v>
      </c>
    </row>
    <row r="434" spans="1:8" x14ac:dyDescent="0.4">
      <c r="A434" s="3" t="s">
        <v>1448</v>
      </c>
      <c r="B434" s="3"/>
      <c r="C434" s="3"/>
      <c r="D434" s="3"/>
      <c r="E434" s="3"/>
      <c r="F434" s="3"/>
      <c r="G434" s="3"/>
      <c r="H434" s="1"/>
    </row>
    <row r="435" spans="1:8" x14ac:dyDescent="0.4">
      <c r="A435" s="1" t="s">
        <v>1</v>
      </c>
      <c r="B435" s="1" t="s">
        <v>2</v>
      </c>
      <c r="C435" s="1" t="s">
        <v>3</v>
      </c>
      <c r="D435" s="1" t="s">
        <v>4</v>
      </c>
      <c r="E435" s="1" t="s">
        <v>5</v>
      </c>
      <c r="F435" s="1" t="s">
        <v>6</v>
      </c>
      <c r="G435" s="1" t="s">
        <v>7</v>
      </c>
      <c r="H435" s="1" t="s">
        <v>187</v>
      </c>
    </row>
    <row r="436" spans="1:8" x14ac:dyDescent="0.4">
      <c r="A436" t="s">
        <v>1449</v>
      </c>
      <c r="B436" s="18">
        <f>mole/F436*(sf_TC/100)</f>
        <v>50000000</v>
      </c>
      <c r="C436">
        <v>0</v>
      </c>
      <c r="D436" s="18">
        <v>1800000</v>
      </c>
      <c r="E436" s="18">
        <v>20000000</v>
      </c>
      <c r="F436" s="7">
        <v>0.02</v>
      </c>
      <c r="G436" s="18">
        <v>-1780000</v>
      </c>
      <c r="H436">
        <f>B436/(I_b*20)</f>
        <v>250</v>
      </c>
    </row>
    <row r="437" spans="1:8" x14ac:dyDescent="0.4">
      <c r="A437" t="s">
        <v>1450</v>
      </c>
      <c r="B437" s="18">
        <f>mole/F437*(sf_TC/100)</f>
        <v>50000000</v>
      </c>
      <c r="C437">
        <v>0</v>
      </c>
      <c r="D437" s="18">
        <v>1800000</v>
      </c>
      <c r="E437" s="18">
        <v>20000000</v>
      </c>
      <c r="F437" s="7">
        <v>0.02</v>
      </c>
      <c r="G437" s="18">
        <v>-1780000</v>
      </c>
      <c r="H437">
        <f>B437/(I_b*20)</f>
        <v>250</v>
      </c>
    </row>
    <row r="438" spans="1:8" x14ac:dyDescent="0.4">
      <c r="A438" t="s">
        <v>1451</v>
      </c>
      <c r="B438" s="18">
        <f>mole/F438*(sf_TC/100)</f>
        <v>50000000</v>
      </c>
      <c r="C438">
        <v>0</v>
      </c>
      <c r="D438" s="18">
        <v>1800000</v>
      </c>
      <c r="E438" s="18">
        <v>20000000</v>
      </c>
      <c r="F438" s="7">
        <v>0.02</v>
      </c>
      <c r="G438" s="18">
        <v>-1780000</v>
      </c>
      <c r="H438">
        <f>B438/(I_b*20)</f>
        <v>250</v>
      </c>
    </row>
    <row r="439" spans="1:8" x14ac:dyDescent="0.4">
      <c r="A439" t="s">
        <v>1452</v>
      </c>
      <c r="B439" s="18">
        <f>mole/F439*(sf_TC/100)</f>
        <v>50000000</v>
      </c>
      <c r="C439">
        <v>0</v>
      </c>
      <c r="D439" s="18">
        <v>1800000</v>
      </c>
      <c r="E439" s="18">
        <v>20000000</v>
      </c>
      <c r="F439" s="7">
        <v>0.02</v>
      </c>
      <c r="G439" s="18">
        <v>-1780000</v>
      </c>
      <c r="H439">
        <f>B439/(I_b*20)</f>
        <v>250</v>
      </c>
    </row>
    <row r="440" spans="1:8" x14ac:dyDescent="0.4">
      <c r="A440" t="s">
        <v>1453</v>
      </c>
      <c r="B440" s="18">
        <f>mole/F440*(sf_TC/100)</f>
        <v>50000000</v>
      </c>
      <c r="C440">
        <v>0</v>
      </c>
      <c r="D440" s="18">
        <v>1800000</v>
      </c>
      <c r="E440" s="18">
        <v>20000000</v>
      </c>
      <c r="F440" s="7">
        <v>0.02</v>
      </c>
      <c r="G440" s="18">
        <v>-1780000</v>
      </c>
      <c r="H440">
        <f>B440/(I_b*20)</f>
        <v>250</v>
      </c>
    </row>
    <row r="443" spans="1:8" x14ac:dyDescent="0.4">
      <c r="A443" s="3" t="s">
        <v>897</v>
      </c>
      <c r="B443" s="3"/>
      <c r="C443" s="3"/>
      <c r="D443" s="3"/>
      <c r="E443" s="3"/>
      <c r="F443" s="3"/>
      <c r="G443" s="3"/>
      <c r="H443" s="1"/>
    </row>
    <row r="444" spans="1:8" x14ac:dyDescent="0.4">
      <c r="A444" s="1" t="s">
        <v>1</v>
      </c>
      <c r="B444" s="1" t="s">
        <v>2</v>
      </c>
      <c r="C444" s="1" t="s">
        <v>3</v>
      </c>
      <c r="D444" s="1" t="s">
        <v>4</v>
      </c>
      <c r="E444" s="1" t="s">
        <v>5</v>
      </c>
      <c r="F444" s="1" t="s">
        <v>6</v>
      </c>
      <c r="G444" s="1" t="s">
        <v>7</v>
      </c>
      <c r="H444" s="1" t="s">
        <v>187</v>
      </c>
    </row>
    <row r="445" spans="1:8" x14ac:dyDescent="0.4">
      <c r="A445" t="s">
        <v>171</v>
      </c>
      <c r="B445" s="18">
        <f>mole/F445*(sf_TC/100)</f>
        <v>50000000</v>
      </c>
      <c r="C445">
        <v>0</v>
      </c>
      <c r="D445" s="18">
        <v>0</v>
      </c>
      <c r="E445" s="18">
        <v>1000000</v>
      </c>
      <c r="F445" s="7">
        <v>0.02</v>
      </c>
      <c r="G445" s="18">
        <v>44</v>
      </c>
      <c r="H445">
        <f>B445/(I_b*20)</f>
        <v>250</v>
      </c>
    </row>
    <row r="446" spans="1:8" x14ac:dyDescent="0.4">
      <c r="A446" t="s">
        <v>172</v>
      </c>
      <c r="B446" s="18">
        <f>mole/F446*(sf_TC/100)</f>
        <v>50000000</v>
      </c>
      <c r="C446">
        <v>0</v>
      </c>
      <c r="D446" s="18">
        <v>100</v>
      </c>
      <c r="E446" s="18">
        <v>1000000</v>
      </c>
      <c r="F446" s="7">
        <v>0.02</v>
      </c>
      <c r="G446" s="18">
        <v>-8</v>
      </c>
      <c r="H446">
        <f>B446/(I_b*20)</f>
        <v>250</v>
      </c>
    </row>
    <row r="447" spans="1:8" x14ac:dyDescent="0.4">
      <c r="A447" t="s">
        <v>173</v>
      </c>
      <c r="B447" s="18">
        <f>mole/F447*(sf_TC/100)</f>
        <v>50000000</v>
      </c>
      <c r="C447">
        <v>0</v>
      </c>
      <c r="D447" s="18">
        <v>800</v>
      </c>
      <c r="E447" s="18">
        <v>1000000</v>
      </c>
      <c r="F447" s="7">
        <v>0.02</v>
      </c>
      <c r="G447" s="18">
        <v>-751</v>
      </c>
      <c r="H447">
        <f>B447/(I_b*20)</f>
        <v>250</v>
      </c>
    </row>
    <row r="448" spans="1:8" x14ac:dyDescent="0.4">
      <c r="A448" t="s">
        <v>174</v>
      </c>
      <c r="B448" s="18">
        <f>mole/F448*(sf_TC/100)</f>
        <v>50000000</v>
      </c>
      <c r="C448">
        <v>0</v>
      </c>
      <c r="D448" s="18">
        <v>1100</v>
      </c>
      <c r="E448" s="18">
        <v>1000000</v>
      </c>
      <c r="F448" s="7">
        <v>0.02</v>
      </c>
      <c r="G448" s="18">
        <v>-1050</v>
      </c>
      <c r="H448">
        <f>B448/(I_b*20)</f>
        <v>250</v>
      </c>
    </row>
    <row r="449" spans="1:8" x14ac:dyDescent="0.4">
      <c r="B449" s="18"/>
      <c r="D449" s="18"/>
      <c r="E449" s="18"/>
      <c r="F449" s="7"/>
      <c r="G449" s="18"/>
    </row>
    <row r="450" spans="1:8" x14ac:dyDescent="0.4">
      <c r="B450" s="18"/>
      <c r="D450" s="18"/>
      <c r="E450" s="18"/>
      <c r="F450" s="7"/>
      <c r="G450" s="18"/>
    </row>
    <row r="451" spans="1:8" x14ac:dyDescent="0.4">
      <c r="A451" s="3" t="s">
        <v>1454</v>
      </c>
      <c r="B451" s="3"/>
      <c r="C451" s="3"/>
      <c r="D451" s="3"/>
      <c r="E451" s="3"/>
      <c r="F451" s="3"/>
      <c r="G451" s="3"/>
      <c r="H451" s="1"/>
    </row>
    <row r="452" spans="1:8" x14ac:dyDescent="0.4">
      <c r="A452" s="1" t="s">
        <v>1</v>
      </c>
      <c r="B452" s="1" t="s">
        <v>2</v>
      </c>
      <c r="C452" s="1" t="s">
        <v>3</v>
      </c>
      <c r="D452" s="1" t="s">
        <v>4</v>
      </c>
      <c r="E452" s="1" t="s">
        <v>5</v>
      </c>
      <c r="F452" s="1" t="s">
        <v>6</v>
      </c>
      <c r="G452" s="1" t="s">
        <v>7</v>
      </c>
      <c r="H452" s="1" t="s">
        <v>187</v>
      </c>
    </row>
    <row r="453" spans="1:8" x14ac:dyDescent="0.4">
      <c r="A453" t="s">
        <v>1455</v>
      </c>
      <c r="B453" s="18">
        <f>mole/F453*(sf_TC/100)</f>
        <v>50000000</v>
      </c>
      <c r="C453">
        <v>0</v>
      </c>
      <c r="D453" s="18">
        <v>110000</v>
      </c>
      <c r="E453" s="18">
        <v>2000000</v>
      </c>
      <c r="F453" s="7">
        <v>0.02</v>
      </c>
      <c r="G453" s="18">
        <v>-105000</v>
      </c>
      <c r="H453">
        <f>B453/(I_b*20)</f>
        <v>250</v>
      </c>
    </row>
    <row r="454" spans="1:8" x14ac:dyDescent="0.4">
      <c r="A454" t="s">
        <v>1456</v>
      </c>
      <c r="B454" s="18">
        <f>mole/F454*(sf_TC/100)</f>
        <v>50000000</v>
      </c>
      <c r="C454">
        <v>0</v>
      </c>
      <c r="D454" s="18">
        <v>110000</v>
      </c>
      <c r="E454" s="18">
        <v>2000000</v>
      </c>
      <c r="F454" s="7">
        <v>0.02</v>
      </c>
      <c r="G454" s="18">
        <v>-105000</v>
      </c>
      <c r="H454">
        <f>B454/(I_b*20)</f>
        <v>250</v>
      </c>
    </row>
    <row r="455" spans="1:8" x14ac:dyDescent="0.4">
      <c r="A455" t="s">
        <v>1457</v>
      </c>
      <c r="B455" s="18">
        <f>mole/F455*(sf_TC/100)</f>
        <v>50000000</v>
      </c>
      <c r="C455">
        <v>0</v>
      </c>
      <c r="D455" s="18">
        <v>110000</v>
      </c>
      <c r="E455" s="18">
        <v>2000000</v>
      </c>
      <c r="F455" s="7">
        <v>0.02</v>
      </c>
      <c r="G455" s="18">
        <v>-106000</v>
      </c>
      <c r="H455">
        <f>B455/(I_b*20)</f>
        <v>250</v>
      </c>
    </row>
    <row r="456" spans="1:8" x14ac:dyDescent="0.4">
      <c r="A456" t="s">
        <v>1458</v>
      </c>
      <c r="B456" s="18">
        <f>mole/F456*(sf_TC/100)</f>
        <v>50000000</v>
      </c>
      <c r="C456">
        <v>0</v>
      </c>
      <c r="D456" s="18">
        <v>110000</v>
      </c>
      <c r="E456" s="18">
        <v>2000000</v>
      </c>
      <c r="F456" s="7">
        <v>0.02</v>
      </c>
      <c r="G456" s="18">
        <v>-106000</v>
      </c>
      <c r="H456">
        <f>B456/(I_b*20)</f>
        <v>250</v>
      </c>
    </row>
    <row r="459" spans="1:8" x14ac:dyDescent="0.4">
      <c r="A459" s="3" t="s">
        <v>1459</v>
      </c>
      <c r="B459" s="3"/>
      <c r="C459" s="3"/>
      <c r="D459" s="3"/>
      <c r="E459" s="3"/>
      <c r="F459" s="3"/>
      <c r="G459" s="3"/>
      <c r="H459" s="1"/>
    </row>
    <row r="460" spans="1:8" x14ac:dyDescent="0.4">
      <c r="A460" s="1" t="s">
        <v>1</v>
      </c>
      <c r="B460" s="1" t="s">
        <v>2</v>
      </c>
      <c r="C460" s="1" t="s">
        <v>3</v>
      </c>
      <c r="D460" s="1" t="s">
        <v>4</v>
      </c>
      <c r="E460" s="1" t="s">
        <v>5</v>
      </c>
      <c r="F460" s="1" t="s">
        <v>6</v>
      </c>
      <c r="G460" s="1" t="s">
        <v>7</v>
      </c>
      <c r="H460" s="1" t="s">
        <v>187</v>
      </c>
    </row>
    <row r="461" spans="1:8" x14ac:dyDescent="0.4">
      <c r="A461" t="s">
        <v>1460</v>
      </c>
      <c r="B461" s="18">
        <f>mole/F461*(sf_TC/100)</f>
        <v>50000000</v>
      </c>
      <c r="C461">
        <v>0</v>
      </c>
      <c r="D461" s="18">
        <v>1800000</v>
      </c>
      <c r="E461" s="18">
        <v>20000000</v>
      </c>
      <c r="F461" s="7">
        <v>0.02</v>
      </c>
      <c r="G461" s="18">
        <v>-1780000</v>
      </c>
      <c r="H461">
        <f>B461/(I_b*20)</f>
        <v>250</v>
      </c>
    </row>
    <row r="462" spans="1:8" x14ac:dyDescent="0.4">
      <c r="A462" t="s">
        <v>1461</v>
      </c>
      <c r="B462" s="18">
        <f>mole/F462*(sf_TC/100)</f>
        <v>50000000</v>
      </c>
      <c r="C462">
        <v>0</v>
      </c>
      <c r="D462" s="18">
        <v>1800000</v>
      </c>
      <c r="E462" s="18">
        <v>20000000</v>
      </c>
      <c r="F462" s="7">
        <v>0.02</v>
      </c>
      <c r="G462" s="18">
        <v>-1780000</v>
      </c>
      <c r="H462">
        <f>B462/(I_b*20)</f>
        <v>250</v>
      </c>
    </row>
    <row r="463" spans="1:8" x14ac:dyDescent="0.4">
      <c r="A463" t="s">
        <v>1462</v>
      </c>
      <c r="B463" s="18">
        <f>mole/F463*(sf_TC/100)</f>
        <v>50000000</v>
      </c>
      <c r="C463">
        <v>0</v>
      </c>
      <c r="D463" s="18">
        <v>1800000</v>
      </c>
      <c r="E463" s="18">
        <v>20000000</v>
      </c>
      <c r="F463" s="7">
        <v>0.02</v>
      </c>
      <c r="G463" s="18">
        <v>-1780000</v>
      </c>
      <c r="H463">
        <f>B463/(I_b*20)</f>
        <v>250</v>
      </c>
    </row>
    <row r="464" spans="1:8" x14ac:dyDescent="0.4">
      <c r="A464" t="s">
        <v>1463</v>
      </c>
      <c r="B464" s="18">
        <f>mole/F464*(sf_TC/100)</f>
        <v>50000000</v>
      </c>
      <c r="C464">
        <v>0</v>
      </c>
      <c r="D464" s="18">
        <v>1800000</v>
      </c>
      <c r="E464" s="18">
        <v>20000000</v>
      </c>
      <c r="F464" s="7">
        <v>0.02</v>
      </c>
      <c r="G464" s="18">
        <v>-1780000</v>
      </c>
      <c r="H464">
        <f>B464/(I_b*20)</f>
        <v>250</v>
      </c>
    </row>
    <row r="467" spans="1:8" x14ac:dyDescent="0.4">
      <c r="A467" s="3" t="s">
        <v>320</v>
      </c>
      <c r="B467" s="3"/>
      <c r="C467" s="3"/>
      <c r="D467" s="3"/>
      <c r="E467" s="3"/>
      <c r="F467" s="3"/>
      <c r="G467" s="3"/>
      <c r="H467" s="1"/>
    </row>
    <row r="468" spans="1:8" x14ac:dyDescent="0.4">
      <c r="A468" s="1" t="s">
        <v>1</v>
      </c>
      <c r="B468" s="1" t="s">
        <v>2</v>
      </c>
      <c r="C468" s="1" t="s">
        <v>3</v>
      </c>
      <c r="D468" s="1" t="s">
        <v>4</v>
      </c>
      <c r="E468" s="1" t="s">
        <v>5</v>
      </c>
      <c r="F468" s="1" t="s">
        <v>6</v>
      </c>
      <c r="G468" s="1" t="s">
        <v>7</v>
      </c>
      <c r="H468" s="1" t="s">
        <v>187</v>
      </c>
    </row>
    <row r="469" spans="1:8" x14ac:dyDescent="0.4">
      <c r="A469" t="s">
        <v>961</v>
      </c>
      <c r="B469" s="18">
        <f>mole/F469*(sf_TC/100)</f>
        <v>25000000</v>
      </c>
      <c r="C469">
        <v>0</v>
      </c>
      <c r="D469" s="18">
        <v>70000</v>
      </c>
      <c r="E469" s="18">
        <v>320000</v>
      </c>
      <c r="F469" s="5">
        <v>0.04</v>
      </c>
      <c r="G469" s="18">
        <v>114000</v>
      </c>
      <c r="H469">
        <f>B469/(I_b*20)</f>
        <v>125</v>
      </c>
    </row>
    <row r="470" spans="1:8" x14ac:dyDescent="0.4">
      <c r="F470" s="7"/>
    </row>
    <row r="471" spans="1:8" x14ac:dyDescent="0.4">
      <c r="F471" s="7"/>
    </row>
    <row r="472" spans="1:8" ht="14.15" customHeight="1" x14ac:dyDescent="0.4">
      <c r="A472" s="3" t="s">
        <v>319</v>
      </c>
      <c r="B472" s="3"/>
      <c r="C472" s="3"/>
      <c r="D472" s="3"/>
      <c r="E472" s="3"/>
      <c r="F472" s="3"/>
      <c r="G472" s="3"/>
      <c r="H472" s="1"/>
    </row>
    <row r="473" spans="1:8" ht="14.15" customHeight="1" x14ac:dyDescent="0.4">
      <c r="A473" s="1" t="s">
        <v>1</v>
      </c>
      <c r="B473" s="1" t="s">
        <v>2</v>
      </c>
      <c r="C473" s="1" t="s">
        <v>3</v>
      </c>
      <c r="D473" s="1" t="s">
        <v>4</v>
      </c>
      <c r="E473" s="1" t="s">
        <v>5</v>
      </c>
      <c r="F473" s="1" t="s">
        <v>6</v>
      </c>
      <c r="G473" s="1" t="s">
        <v>7</v>
      </c>
      <c r="H473" s="1" t="s">
        <v>187</v>
      </c>
    </row>
    <row r="474" spans="1:8" x14ac:dyDescent="0.4">
      <c r="A474" t="s">
        <v>998</v>
      </c>
      <c r="B474" s="18">
        <f>mole/F474*(sf_TC/100)</f>
        <v>40000000</v>
      </c>
      <c r="C474">
        <v>0</v>
      </c>
      <c r="D474" s="18">
        <v>150000</v>
      </c>
      <c r="E474" s="18">
        <v>250000</v>
      </c>
      <c r="F474" s="7">
        <v>2.5000000000000001E-2</v>
      </c>
      <c r="G474" s="18">
        <v>87500</v>
      </c>
      <c r="H474">
        <f>B474/(I_b*20)</f>
        <v>200</v>
      </c>
    </row>
    <row r="477" spans="1:8" x14ac:dyDescent="0.4">
      <c r="A477" s="3" t="s">
        <v>315</v>
      </c>
      <c r="B477" s="3"/>
      <c r="C477" s="3"/>
      <c r="D477" s="3"/>
      <c r="E477" s="3"/>
      <c r="F477" s="3"/>
      <c r="G477" s="3"/>
      <c r="H477" s="1"/>
    </row>
    <row r="478" spans="1:8" x14ac:dyDescent="0.4">
      <c r="A478" s="1" t="s">
        <v>1</v>
      </c>
      <c r="B478" s="1" t="s">
        <v>2</v>
      </c>
      <c r="C478" s="1" t="s">
        <v>3</v>
      </c>
      <c r="D478" s="1" t="s">
        <v>4</v>
      </c>
      <c r="E478" s="1" t="s">
        <v>5</v>
      </c>
      <c r="F478" s="1" t="s">
        <v>6</v>
      </c>
      <c r="G478" s="1" t="s">
        <v>7</v>
      </c>
      <c r="H478" s="1" t="s">
        <v>187</v>
      </c>
    </row>
    <row r="479" spans="1:8" x14ac:dyDescent="0.4">
      <c r="A479" t="s">
        <v>1033</v>
      </c>
      <c r="B479" s="18">
        <f t="shared" ref="B479:B514" si="42">mole/F479*(sf_TC/100)</f>
        <v>1000000</v>
      </c>
      <c r="C479">
        <v>0</v>
      </c>
      <c r="D479" s="18">
        <v>0</v>
      </c>
      <c r="E479" s="18">
        <v>10000000</v>
      </c>
      <c r="F479" s="7">
        <v>1</v>
      </c>
      <c r="G479" s="18">
        <v>1460000</v>
      </c>
      <c r="H479">
        <f t="shared" ref="H479:H514" si="43">B479/(I_b*20)</f>
        <v>5</v>
      </c>
    </row>
    <row r="480" spans="1:8" x14ac:dyDescent="0.4">
      <c r="A480" t="s">
        <v>1032</v>
      </c>
      <c r="B480" s="18">
        <f t="shared" si="42"/>
        <v>1000000</v>
      </c>
      <c r="C480">
        <v>0</v>
      </c>
      <c r="D480" s="18">
        <v>0</v>
      </c>
      <c r="E480" s="18">
        <v>10000000</v>
      </c>
      <c r="F480" s="7">
        <v>1</v>
      </c>
      <c r="G480" s="18">
        <v>1460000</v>
      </c>
      <c r="H480">
        <f t="shared" si="43"/>
        <v>5</v>
      </c>
    </row>
    <row r="481" spans="1:8" x14ac:dyDescent="0.4">
      <c r="A481" t="s">
        <v>1031</v>
      </c>
      <c r="B481" s="18">
        <f t="shared" si="42"/>
        <v>1000000</v>
      </c>
      <c r="C481">
        <v>0</v>
      </c>
      <c r="D481" s="18">
        <v>0</v>
      </c>
      <c r="E481" s="18">
        <v>10000000</v>
      </c>
      <c r="F481" s="7">
        <v>1</v>
      </c>
      <c r="G481" s="18">
        <v>1460000</v>
      </c>
      <c r="H481">
        <f t="shared" si="43"/>
        <v>5</v>
      </c>
    </row>
    <row r="482" spans="1:8" x14ac:dyDescent="0.4">
      <c r="A482" t="s">
        <v>1030</v>
      </c>
      <c r="B482" s="18">
        <f t="shared" si="42"/>
        <v>1000000</v>
      </c>
      <c r="C482">
        <v>0</v>
      </c>
      <c r="D482" s="18">
        <v>0</v>
      </c>
      <c r="E482" s="18">
        <v>10000000</v>
      </c>
      <c r="F482" s="7">
        <v>1</v>
      </c>
      <c r="G482" s="18">
        <v>1460000</v>
      </c>
      <c r="H482">
        <f t="shared" si="43"/>
        <v>5</v>
      </c>
    </row>
    <row r="483" spans="1:8" x14ac:dyDescent="0.4">
      <c r="A483" t="s">
        <v>1029</v>
      </c>
      <c r="B483" s="18">
        <f t="shared" si="42"/>
        <v>1000000</v>
      </c>
      <c r="C483">
        <v>0</v>
      </c>
      <c r="D483" s="18">
        <v>0</v>
      </c>
      <c r="E483" s="18">
        <v>10000000</v>
      </c>
      <c r="F483" s="7">
        <v>1</v>
      </c>
      <c r="G483" s="18">
        <v>1460000</v>
      </c>
      <c r="H483">
        <f t="shared" si="43"/>
        <v>5</v>
      </c>
    </row>
    <row r="484" spans="1:8" x14ac:dyDescent="0.4">
      <c r="A484" t="s">
        <v>1028</v>
      </c>
      <c r="B484" s="18">
        <f t="shared" si="42"/>
        <v>1000000</v>
      </c>
      <c r="C484">
        <v>0</v>
      </c>
      <c r="D484" s="18">
        <v>0</v>
      </c>
      <c r="E484" s="18">
        <v>10000000</v>
      </c>
      <c r="F484" s="7">
        <v>1</v>
      </c>
      <c r="G484" s="18">
        <v>1460000</v>
      </c>
      <c r="H484">
        <f t="shared" si="43"/>
        <v>5</v>
      </c>
    </row>
    <row r="485" spans="1:8" x14ac:dyDescent="0.4">
      <c r="A485" t="s">
        <v>1027</v>
      </c>
      <c r="B485" s="18">
        <f t="shared" si="42"/>
        <v>1000000</v>
      </c>
      <c r="C485">
        <v>0</v>
      </c>
      <c r="D485" s="18">
        <v>0</v>
      </c>
      <c r="E485" s="18">
        <v>10000000</v>
      </c>
      <c r="F485" s="7">
        <v>1</v>
      </c>
      <c r="G485" s="18">
        <v>1460000</v>
      </c>
      <c r="H485">
        <f t="shared" si="43"/>
        <v>5</v>
      </c>
    </row>
    <row r="486" spans="1:8" x14ac:dyDescent="0.4">
      <c r="A486" t="s">
        <v>1034</v>
      </c>
      <c r="B486" s="18">
        <f t="shared" si="42"/>
        <v>1000000</v>
      </c>
      <c r="C486">
        <v>0</v>
      </c>
      <c r="D486" s="18">
        <v>0</v>
      </c>
      <c r="E486" s="18">
        <v>10000000</v>
      </c>
      <c r="F486" s="7">
        <v>1</v>
      </c>
      <c r="G486" s="18">
        <v>1460000</v>
      </c>
      <c r="H486">
        <f t="shared" si="43"/>
        <v>5</v>
      </c>
    </row>
    <row r="487" spans="1:8" x14ac:dyDescent="0.4">
      <c r="A487" t="s">
        <v>1026</v>
      </c>
      <c r="B487" s="18">
        <f t="shared" si="42"/>
        <v>1000000</v>
      </c>
      <c r="C487">
        <v>0</v>
      </c>
      <c r="D487" s="18">
        <v>0</v>
      </c>
      <c r="E487" s="18">
        <v>10000000</v>
      </c>
      <c r="F487" s="7">
        <v>1</v>
      </c>
      <c r="G487" s="18">
        <v>1460000</v>
      </c>
      <c r="H487">
        <f t="shared" si="43"/>
        <v>5</v>
      </c>
    </row>
    <row r="488" spans="1:8" x14ac:dyDescent="0.4">
      <c r="A488" t="s">
        <v>1025</v>
      </c>
      <c r="B488" s="18">
        <f t="shared" si="42"/>
        <v>1000000</v>
      </c>
      <c r="C488">
        <v>0</v>
      </c>
      <c r="D488" s="18">
        <v>0</v>
      </c>
      <c r="E488" s="18">
        <v>10000000</v>
      </c>
      <c r="F488" s="7">
        <v>1</v>
      </c>
      <c r="G488" s="18">
        <v>1460000</v>
      </c>
      <c r="H488">
        <f t="shared" si="43"/>
        <v>5</v>
      </c>
    </row>
    <row r="489" spans="1:8" x14ac:dyDescent="0.4">
      <c r="A489" t="s">
        <v>1023</v>
      </c>
      <c r="B489" s="18">
        <f t="shared" si="42"/>
        <v>1000000</v>
      </c>
      <c r="C489">
        <v>0</v>
      </c>
      <c r="D489" s="18">
        <v>0</v>
      </c>
      <c r="E489" s="18">
        <v>10000000</v>
      </c>
      <c r="F489" s="7">
        <v>1</v>
      </c>
      <c r="G489" s="18">
        <v>1460000</v>
      </c>
      <c r="H489">
        <f t="shared" si="43"/>
        <v>5</v>
      </c>
    </row>
    <row r="490" spans="1:8" x14ac:dyDescent="0.4">
      <c r="A490" t="s">
        <v>1022</v>
      </c>
      <c r="B490" s="18">
        <f t="shared" si="42"/>
        <v>1000000</v>
      </c>
      <c r="C490">
        <v>0</v>
      </c>
      <c r="D490" s="18">
        <v>0</v>
      </c>
      <c r="E490" s="18">
        <v>10000000</v>
      </c>
      <c r="F490" s="7">
        <v>1</v>
      </c>
      <c r="G490" s="18">
        <v>1460000</v>
      </c>
      <c r="H490">
        <f t="shared" si="43"/>
        <v>5</v>
      </c>
    </row>
    <row r="491" spans="1:8" x14ac:dyDescent="0.4">
      <c r="A491" t="s">
        <v>1024</v>
      </c>
      <c r="B491" s="18">
        <f t="shared" si="42"/>
        <v>1000000</v>
      </c>
      <c r="C491">
        <v>0</v>
      </c>
      <c r="D491" s="18">
        <v>0</v>
      </c>
      <c r="E491" s="18">
        <v>10000000</v>
      </c>
      <c r="F491" s="7">
        <v>1</v>
      </c>
      <c r="G491" s="18">
        <v>1460000</v>
      </c>
      <c r="H491">
        <f t="shared" si="43"/>
        <v>5</v>
      </c>
    </row>
    <row r="492" spans="1:8" x14ac:dyDescent="0.4">
      <c r="A492" t="s">
        <v>1021</v>
      </c>
      <c r="B492" s="18">
        <f t="shared" si="42"/>
        <v>1000000</v>
      </c>
      <c r="C492">
        <v>0</v>
      </c>
      <c r="D492" s="18">
        <v>0</v>
      </c>
      <c r="E492" s="18">
        <v>10000000</v>
      </c>
      <c r="F492" s="7">
        <v>1</v>
      </c>
      <c r="G492" s="18">
        <v>1460000</v>
      </c>
      <c r="H492">
        <f t="shared" si="43"/>
        <v>5</v>
      </c>
    </row>
    <row r="493" spans="1:8" x14ac:dyDescent="0.4">
      <c r="A493" t="s">
        <v>1020</v>
      </c>
      <c r="B493" s="18">
        <f t="shared" si="42"/>
        <v>1000000</v>
      </c>
      <c r="C493">
        <v>0</v>
      </c>
      <c r="D493" s="18">
        <v>0</v>
      </c>
      <c r="E493" s="18">
        <v>10000000</v>
      </c>
      <c r="F493" s="7">
        <v>1</v>
      </c>
      <c r="G493" s="18">
        <v>1460000</v>
      </c>
      <c r="H493">
        <f t="shared" si="43"/>
        <v>5</v>
      </c>
    </row>
    <row r="494" spans="1:8" x14ac:dyDescent="0.4">
      <c r="A494" t="s">
        <v>1019</v>
      </c>
      <c r="B494" s="18">
        <f t="shared" si="42"/>
        <v>1000000</v>
      </c>
      <c r="C494">
        <v>0</v>
      </c>
      <c r="D494" s="18">
        <v>0</v>
      </c>
      <c r="E494" s="18">
        <v>10000000</v>
      </c>
      <c r="F494" s="7">
        <v>1</v>
      </c>
      <c r="G494" s="18">
        <v>1460000</v>
      </c>
      <c r="H494">
        <f t="shared" si="43"/>
        <v>5</v>
      </c>
    </row>
    <row r="495" spans="1:8" x14ac:dyDescent="0.4">
      <c r="A495" t="s">
        <v>1018</v>
      </c>
      <c r="B495" s="18">
        <f t="shared" si="42"/>
        <v>1000000</v>
      </c>
      <c r="C495">
        <v>0</v>
      </c>
      <c r="D495" s="18">
        <v>0</v>
      </c>
      <c r="E495" s="18">
        <v>10000000</v>
      </c>
      <c r="F495" s="7">
        <v>1</v>
      </c>
      <c r="G495" s="18">
        <v>1460000</v>
      </c>
      <c r="H495">
        <f t="shared" si="43"/>
        <v>5</v>
      </c>
    </row>
    <row r="496" spans="1:8" x14ac:dyDescent="0.4">
      <c r="A496" t="s">
        <v>1017</v>
      </c>
      <c r="B496" s="18">
        <f t="shared" si="42"/>
        <v>1000000</v>
      </c>
      <c r="C496">
        <v>0</v>
      </c>
      <c r="D496" s="18">
        <v>0</v>
      </c>
      <c r="E496" s="18">
        <v>10000000</v>
      </c>
      <c r="F496" s="7">
        <v>1</v>
      </c>
      <c r="G496" s="18">
        <v>1460000</v>
      </c>
      <c r="H496">
        <f t="shared" si="43"/>
        <v>5</v>
      </c>
    </row>
    <row r="497" spans="1:8" x14ac:dyDescent="0.4">
      <c r="A497" t="s">
        <v>1016</v>
      </c>
      <c r="B497" s="18">
        <f t="shared" si="42"/>
        <v>1000000</v>
      </c>
      <c r="C497">
        <v>0</v>
      </c>
      <c r="D497" s="18">
        <v>0</v>
      </c>
      <c r="E497" s="18">
        <v>10000000</v>
      </c>
      <c r="F497" s="7">
        <v>1</v>
      </c>
      <c r="G497" s="18">
        <v>1460000</v>
      </c>
      <c r="H497">
        <f t="shared" si="43"/>
        <v>5</v>
      </c>
    </row>
    <row r="498" spans="1:8" x14ac:dyDescent="0.4">
      <c r="A498" t="s">
        <v>1015</v>
      </c>
      <c r="B498" s="18">
        <f t="shared" si="42"/>
        <v>1000000</v>
      </c>
      <c r="C498">
        <v>0</v>
      </c>
      <c r="D498" s="18">
        <v>0</v>
      </c>
      <c r="E498" s="18">
        <v>10000000</v>
      </c>
      <c r="F498" s="7">
        <v>1</v>
      </c>
      <c r="G498" s="18">
        <v>1460000</v>
      </c>
      <c r="H498">
        <f t="shared" si="43"/>
        <v>5</v>
      </c>
    </row>
    <row r="499" spans="1:8" x14ac:dyDescent="0.4">
      <c r="A499" t="s">
        <v>1014</v>
      </c>
      <c r="B499" s="18">
        <f t="shared" si="42"/>
        <v>1000000</v>
      </c>
      <c r="C499">
        <v>0</v>
      </c>
      <c r="D499" s="18">
        <v>0</v>
      </c>
      <c r="E499" s="18">
        <v>10000000</v>
      </c>
      <c r="F499" s="7">
        <v>1</v>
      </c>
      <c r="G499" s="18">
        <v>1460000</v>
      </c>
      <c r="H499">
        <f t="shared" si="43"/>
        <v>5</v>
      </c>
    </row>
    <row r="500" spans="1:8" x14ac:dyDescent="0.4">
      <c r="A500" t="s">
        <v>1013</v>
      </c>
      <c r="B500" s="18">
        <f t="shared" si="42"/>
        <v>1000000</v>
      </c>
      <c r="C500">
        <v>0</v>
      </c>
      <c r="D500" s="18">
        <v>0</v>
      </c>
      <c r="E500" s="18">
        <v>10000000</v>
      </c>
      <c r="F500" s="7">
        <v>1</v>
      </c>
      <c r="G500" s="18">
        <v>1460000</v>
      </c>
      <c r="H500">
        <f t="shared" si="43"/>
        <v>5</v>
      </c>
    </row>
    <row r="501" spans="1:8" x14ac:dyDescent="0.4">
      <c r="A501" t="s">
        <v>1012</v>
      </c>
      <c r="B501" s="18">
        <f t="shared" si="42"/>
        <v>1000000</v>
      </c>
      <c r="C501">
        <v>0</v>
      </c>
      <c r="D501" s="18">
        <v>0</v>
      </c>
      <c r="E501" s="18">
        <v>10000000</v>
      </c>
      <c r="F501" s="7">
        <v>1</v>
      </c>
      <c r="G501" s="18">
        <v>1460000</v>
      </c>
      <c r="H501">
        <f t="shared" si="43"/>
        <v>5</v>
      </c>
    </row>
    <row r="502" spans="1:8" x14ac:dyDescent="0.4">
      <c r="A502" t="s">
        <v>1011</v>
      </c>
      <c r="B502" s="18">
        <f t="shared" si="42"/>
        <v>1000000</v>
      </c>
      <c r="C502">
        <v>0</v>
      </c>
      <c r="D502" s="18">
        <v>0</v>
      </c>
      <c r="E502" s="18">
        <v>10000000</v>
      </c>
      <c r="F502" s="7">
        <v>1</v>
      </c>
      <c r="G502" s="18">
        <v>1460000</v>
      </c>
      <c r="H502">
        <f t="shared" si="43"/>
        <v>5</v>
      </c>
    </row>
    <row r="503" spans="1:8" x14ac:dyDescent="0.4">
      <c r="A503" t="s">
        <v>1010</v>
      </c>
      <c r="B503" s="18">
        <f t="shared" si="42"/>
        <v>1000000</v>
      </c>
      <c r="C503">
        <v>0</v>
      </c>
      <c r="D503" s="18">
        <v>0</v>
      </c>
      <c r="E503" s="18">
        <v>10000000</v>
      </c>
      <c r="F503" s="7">
        <v>1</v>
      </c>
      <c r="G503" s="18">
        <v>1460000</v>
      </c>
      <c r="H503">
        <f t="shared" si="43"/>
        <v>5</v>
      </c>
    </row>
    <row r="504" spans="1:8" x14ac:dyDescent="0.4">
      <c r="A504" t="s">
        <v>1009</v>
      </c>
      <c r="B504" s="18">
        <f t="shared" si="42"/>
        <v>1000000</v>
      </c>
      <c r="C504">
        <v>0</v>
      </c>
      <c r="D504" s="18">
        <v>0</v>
      </c>
      <c r="E504" s="18">
        <v>10000000</v>
      </c>
      <c r="F504" s="7">
        <v>1</v>
      </c>
      <c r="G504" s="18">
        <v>1460000</v>
      </c>
      <c r="H504">
        <f t="shared" si="43"/>
        <v>5</v>
      </c>
    </row>
    <row r="505" spans="1:8" x14ac:dyDescent="0.4">
      <c r="A505" t="s">
        <v>1008</v>
      </c>
      <c r="B505" s="18">
        <f t="shared" si="42"/>
        <v>1000000</v>
      </c>
      <c r="C505">
        <v>0</v>
      </c>
      <c r="D505" s="18">
        <v>0</v>
      </c>
      <c r="E505" s="18">
        <v>10000000</v>
      </c>
      <c r="F505" s="7">
        <v>1</v>
      </c>
      <c r="G505" s="18">
        <v>1460000</v>
      </c>
      <c r="H505">
        <f t="shared" si="43"/>
        <v>5</v>
      </c>
    </row>
    <row r="506" spans="1:8" x14ac:dyDescent="0.4">
      <c r="A506" t="s">
        <v>1007</v>
      </c>
      <c r="B506" s="18">
        <f t="shared" si="42"/>
        <v>1000000</v>
      </c>
      <c r="C506">
        <v>0</v>
      </c>
      <c r="D506" s="18">
        <v>0</v>
      </c>
      <c r="E506" s="18">
        <v>10000000</v>
      </c>
      <c r="F506" s="7">
        <v>1</v>
      </c>
      <c r="G506" s="18">
        <v>1460000</v>
      </c>
      <c r="H506">
        <f t="shared" si="43"/>
        <v>5</v>
      </c>
    </row>
    <row r="507" spans="1:8" x14ac:dyDescent="0.4">
      <c r="A507" t="s">
        <v>1006</v>
      </c>
      <c r="B507" s="18">
        <f t="shared" si="42"/>
        <v>1000000</v>
      </c>
      <c r="C507">
        <v>0</v>
      </c>
      <c r="D507" s="18">
        <v>0</v>
      </c>
      <c r="E507" s="18">
        <v>10000000</v>
      </c>
      <c r="F507" s="7">
        <v>1</v>
      </c>
      <c r="G507" s="18">
        <v>1460000</v>
      </c>
      <c r="H507">
        <f t="shared" si="43"/>
        <v>5</v>
      </c>
    </row>
    <row r="508" spans="1:8" x14ac:dyDescent="0.4">
      <c r="A508" t="s">
        <v>1005</v>
      </c>
      <c r="B508" s="18">
        <f t="shared" si="42"/>
        <v>1000000</v>
      </c>
      <c r="C508">
        <v>0</v>
      </c>
      <c r="D508" s="18">
        <v>0</v>
      </c>
      <c r="E508" s="18">
        <v>10000000</v>
      </c>
      <c r="F508" s="7">
        <v>1</v>
      </c>
      <c r="G508" s="18">
        <v>1460000</v>
      </c>
      <c r="H508">
        <f t="shared" si="43"/>
        <v>5</v>
      </c>
    </row>
    <row r="509" spans="1:8" x14ac:dyDescent="0.4">
      <c r="A509" t="s">
        <v>1004</v>
      </c>
      <c r="B509" s="18">
        <f t="shared" si="42"/>
        <v>1000000</v>
      </c>
      <c r="C509">
        <v>0</v>
      </c>
      <c r="D509" s="18">
        <v>0</v>
      </c>
      <c r="E509" s="18">
        <v>10000000</v>
      </c>
      <c r="F509" s="7">
        <v>1</v>
      </c>
      <c r="G509" s="18">
        <v>1460000</v>
      </c>
      <c r="H509">
        <f t="shared" si="43"/>
        <v>5</v>
      </c>
    </row>
    <row r="510" spans="1:8" x14ac:dyDescent="0.4">
      <c r="A510" t="s">
        <v>1003</v>
      </c>
      <c r="B510" s="18">
        <f t="shared" si="42"/>
        <v>1000000</v>
      </c>
      <c r="C510">
        <v>0</v>
      </c>
      <c r="D510" s="18">
        <v>0</v>
      </c>
      <c r="E510" s="18">
        <v>10000000</v>
      </c>
      <c r="F510" s="7">
        <v>1</v>
      </c>
      <c r="G510" s="18">
        <v>1460000</v>
      </c>
      <c r="H510">
        <f t="shared" si="43"/>
        <v>5</v>
      </c>
    </row>
    <row r="511" spans="1:8" x14ac:dyDescent="0.4">
      <c r="A511" t="s">
        <v>1002</v>
      </c>
      <c r="B511" s="18">
        <f t="shared" si="42"/>
        <v>1000000</v>
      </c>
      <c r="C511">
        <v>0</v>
      </c>
      <c r="D511" s="18">
        <v>0</v>
      </c>
      <c r="E511" s="18">
        <v>10000000</v>
      </c>
      <c r="F511" s="7">
        <v>1</v>
      </c>
      <c r="G511" s="18">
        <v>1460000</v>
      </c>
      <c r="H511">
        <f t="shared" si="43"/>
        <v>5</v>
      </c>
    </row>
    <row r="512" spans="1:8" x14ac:dyDescent="0.4">
      <c r="A512" t="s">
        <v>1001</v>
      </c>
      <c r="B512" s="18">
        <f t="shared" si="42"/>
        <v>1000000</v>
      </c>
      <c r="C512">
        <v>0</v>
      </c>
      <c r="D512" s="18">
        <v>0</v>
      </c>
      <c r="E512" s="18">
        <v>10000000</v>
      </c>
      <c r="F512" s="7">
        <v>1</v>
      </c>
      <c r="G512" s="18">
        <v>1460000</v>
      </c>
      <c r="H512">
        <f t="shared" si="43"/>
        <v>5</v>
      </c>
    </row>
    <row r="513" spans="1:8" x14ac:dyDescent="0.4">
      <c r="A513" t="s">
        <v>1000</v>
      </c>
      <c r="B513" s="18">
        <f t="shared" si="42"/>
        <v>1000000</v>
      </c>
      <c r="C513">
        <v>0</v>
      </c>
      <c r="D513" s="18">
        <v>0</v>
      </c>
      <c r="E513" s="18">
        <v>10000000</v>
      </c>
      <c r="F513" s="7">
        <v>1</v>
      </c>
      <c r="G513" s="18">
        <v>1460000</v>
      </c>
      <c r="H513">
        <f t="shared" si="43"/>
        <v>5</v>
      </c>
    </row>
    <row r="514" spans="1:8" x14ac:dyDescent="0.4">
      <c r="A514" t="s">
        <v>999</v>
      </c>
      <c r="B514" s="18">
        <f t="shared" si="42"/>
        <v>1000000</v>
      </c>
      <c r="C514">
        <v>0</v>
      </c>
      <c r="D514" s="18">
        <v>0</v>
      </c>
      <c r="E514" s="18">
        <v>10000000</v>
      </c>
      <c r="F514" s="7">
        <v>1</v>
      </c>
      <c r="G514" s="18">
        <v>1460000</v>
      </c>
      <c r="H514">
        <f t="shared" si="43"/>
        <v>5</v>
      </c>
    </row>
    <row r="517" spans="1:8" x14ac:dyDescent="0.4">
      <c r="A517" s="3" t="s">
        <v>339</v>
      </c>
      <c r="B517" s="3"/>
      <c r="C517" s="3"/>
      <c r="D517" s="3"/>
      <c r="E517" s="3"/>
      <c r="F517" s="3"/>
      <c r="G517" s="3"/>
      <c r="H517" s="1"/>
    </row>
    <row r="518" spans="1:8" x14ac:dyDescent="0.4">
      <c r="A518" s="1" t="s">
        <v>1</v>
      </c>
      <c r="B518" s="1" t="s">
        <v>2</v>
      </c>
      <c r="C518" s="1" t="s">
        <v>3</v>
      </c>
      <c r="D518" s="1" t="s">
        <v>4</v>
      </c>
      <c r="E518" s="1" t="s">
        <v>5</v>
      </c>
      <c r="F518" s="1" t="s">
        <v>6</v>
      </c>
      <c r="G518" s="1" t="s">
        <v>7</v>
      </c>
      <c r="H518" s="1" t="s">
        <v>187</v>
      </c>
    </row>
    <row r="519" spans="1:8" x14ac:dyDescent="0.4">
      <c r="A519" t="s">
        <v>1069</v>
      </c>
      <c r="B519" s="18">
        <f t="shared" ref="B519:B551" si="44">mole/F519*(sf_TC/100)</f>
        <v>1000000</v>
      </c>
      <c r="C519">
        <v>0</v>
      </c>
      <c r="D519" s="18">
        <v>0</v>
      </c>
      <c r="E519" s="18">
        <v>10000000</v>
      </c>
      <c r="F519" s="7">
        <v>1</v>
      </c>
      <c r="G519" s="18">
        <v>2090000</v>
      </c>
      <c r="H519">
        <f t="shared" ref="H519:H551" si="45">B519/(I_b*20)</f>
        <v>5</v>
      </c>
    </row>
    <row r="520" spans="1:8" x14ac:dyDescent="0.4">
      <c r="A520" t="s">
        <v>1068</v>
      </c>
      <c r="B520" s="18">
        <f t="shared" si="44"/>
        <v>1000000</v>
      </c>
      <c r="C520">
        <v>0</v>
      </c>
      <c r="D520" s="18">
        <v>0</v>
      </c>
      <c r="E520" s="18">
        <v>10000000</v>
      </c>
      <c r="F520" s="7">
        <v>1</v>
      </c>
      <c r="G520" s="18">
        <v>2090000</v>
      </c>
      <c r="H520">
        <f t="shared" si="45"/>
        <v>5</v>
      </c>
    </row>
    <row r="521" spans="1:8" x14ac:dyDescent="0.4">
      <c r="A521" t="s">
        <v>1067</v>
      </c>
      <c r="B521" s="18">
        <f t="shared" si="44"/>
        <v>1000000</v>
      </c>
      <c r="C521">
        <v>0</v>
      </c>
      <c r="D521" s="18">
        <v>0</v>
      </c>
      <c r="E521" s="18">
        <v>10000000</v>
      </c>
      <c r="F521" s="7">
        <v>1</v>
      </c>
      <c r="G521" s="18">
        <v>2090000</v>
      </c>
      <c r="H521">
        <f t="shared" si="45"/>
        <v>5</v>
      </c>
    </row>
    <row r="522" spans="1:8" x14ac:dyDescent="0.4">
      <c r="A522" t="s">
        <v>1066</v>
      </c>
      <c r="B522" s="18">
        <f t="shared" si="44"/>
        <v>1000000</v>
      </c>
      <c r="C522">
        <v>0</v>
      </c>
      <c r="D522" s="18">
        <v>0</v>
      </c>
      <c r="E522" s="18">
        <v>10000000</v>
      </c>
      <c r="F522" s="7">
        <v>1</v>
      </c>
      <c r="G522" s="18">
        <v>2090000</v>
      </c>
      <c r="H522">
        <f t="shared" si="45"/>
        <v>5</v>
      </c>
    </row>
    <row r="523" spans="1:8" x14ac:dyDescent="0.4">
      <c r="A523" t="s">
        <v>1065</v>
      </c>
      <c r="B523" s="18">
        <f t="shared" si="44"/>
        <v>1000000</v>
      </c>
      <c r="C523">
        <v>0</v>
      </c>
      <c r="D523" s="18">
        <v>0</v>
      </c>
      <c r="E523" s="18">
        <v>10000000</v>
      </c>
      <c r="F523" s="7">
        <v>1</v>
      </c>
      <c r="G523" s="18">
        <v>2090000</v>
      </c>
      <c r="H523">
        <f t="shared" si="45"/>
        <v>5</v>
      </c>
    </row>
    <row r="524" spans="1:8" x14ac:dyDescent="0.4">
      <c r="A524" t="s">
        <v>1064</v>
      </c>
      <c r="B524" s="18">
        <f t="shared" si="44"/>
        <v>1000000</v>
      </c>
      <c r="C524">
        <v>0</v>
      </c>
      <c r="D524" s="18">
        <v>0</v>
      </c>
      <c r="E524" s="18">
        <v>10000000</v>
      </c>
      <c r="F524" s="7">
        <v>1</v>
      </c>
      <c r="G524" s="18">
        <v>2090000</v>
      </c>
      <c r="H524">
        <f t="shared" si="45"/>
        <v>5</v>
      </c>
    </row>
    <row r="525" spans="1:8" x14ac:dyDescent="0.4">
      <c r="A525" t="s">
        <v>1063</v>
      </c>
      <c r="B525" s="18">
        <f t="shared" si="44"/>
        <v>1000000</v>
      </c>
      <c r="C525">
        <v>0</v>
      </c>
      <c r="D525" s="18">
        <v>0</v>
      </c>
      <c r="E525" s="18">
        <v>10000000</v>
      </c>
      <c r="F525" s="7">
        <v>1</v>
      </c>
      <c r="G525" s="18">
        <v>2090000</v>
      </c>
      <c r="H525">
        <f t="shared" si="45"/>
        <v>5</v>
      </c>
    </row>
    <row r="526" spans="1:8" x14ac:dyDescent="0.4">
      <c r="A526" t="s">
        <v>1070</v>
      </c>
      <c r="B526" s="18">
        <f t="shared" si="44"/>
        <v>1000000</v>
      </c>
      <c r="C526">
        <v>0</v>
      </c>
      <c r="D526" s="18">
        <v>0</v>
      </c>
      <c r="E526" s="18">
        <v>10000000</v>
      </c>
      <c r="F526" s="7">
        <v>1</v>
      </c>
      <c r="G526" s="18">
        <v>2090000</v>
      </c>
      <c r="H526">
        <f t="shared" si="45"/>
        <v>5</v>
      </c>
    </row>
    <row r="527" spans="1:8" x14ac:dyDescent="0.4">
      <c r="A527" t="s">
        <v>1062</v>
      </c>
      <c r="B527" s="18">
        <f t="shared" si="44"/>
        <v>1000000</v>
      </c>
      <c r="C527">
        <v>0</v>
      </c>
      <c r="D527" s="18">
        <v>0</v>
      </c>
      <c r="E527" s="18">
        <v>10000000</v>
      </c>
      <c r="F527" s="7">
        <v>1</v>
      </c>
      <c r="G527" s="18">
        <v>2090000</v>
      </c>
      <c r="H527">
        <f t="shared" si="45"/>
        <v>5</v>
      </c>
    </row>
    <row r="528" spans="1:8" x14ac:dyDescent="0.4">
      <c r="A528" t="s">
        <v>1061</v>
      </c>
      <c r="B528" s="18">
        <f t="shared" si="44"/>
        <v>1000000</v>
      </c>
      <c r="C528">
        <v>0</v>
      </c>
      <c r="D528" s="18">
        <v>0</v>
      </c>
      <c r="E528" s="18">
        <v>10000000</v>
      </c>
      <c r="F528" s="7">
        <v>1</v>
      </c>
      <c r="G528" s="18">
        <v>2090000</v>
      </c>
      <c r="H528">
        <f t="shared" si="45"/>
        <v>5</v>
      </c>
    </row>
    <row r="529" spans="1:8" x14ac:dyDescent="0.4">
      <c r="A529" t="s">
        <v>1060</v>
      </c>
      <c r="B529" s="18">
        <f t="shared" si="44"/>
        <v>1000000</v>
      </c>
      <c r="C529">
        <v>0</v>
      </c>
      <c r="D529" s="18">
        <v>0</v>
      </c>
      <c r="E529" s="18">
        <v>10000000</v>
      </c>
      <c r="F529" s="7">
        <v>1</v>
      </c>
      <c r="G529" s="18">
        <v>2090000</v>
      </c>
      <c r="H529">
        <f t="shared" si="45"/>
        <v>5</v>
      </c>
    </row>
    <row r="530" spans="1:8" x14ac:dyDescent="0.4">
      <c r="A530" t="s">
        <v>1059</v>
      </c>
      <c r="B530" s="18">
        <f t="shared" si="44"/>
        <v>1000000</v>
      </c>
      <c r="C530">
        <v>0</v>
      </c>
      <c r="D530" s="18">
        <v>0</v>
      </c>
      <c r="E530" s="18">
        <v>10000000</v>
      </c>
      <c r="F530" s="7">
        <v>1</v>
      </c>
      <c r="G530" s="18">
        <v>2090000</v>
      </c>
      <c r="H530">
        <f t="shared" si="45"/>
        <v>5</v>
      </c>
    </row>
    <row r="531" spans="1:8" x14ac:dyDescent="0.4">
      <c r="A531" t="s">
        <v>1058</v>
      </c>
      <c r="B531" s="18">
        <f t="shared" si="44"/>
        <v>1000000</v>
      </c>
      <c r="C531">
        <v>0</v>
      </c>
      <c r="D531" s="18">
        <v>0</v>
      </c>
      <c r="E531" s="18">
        <v>10000000</v>
      </c>
      <c r="F531" s="7">
        <v>1</v>
      </c>
      <c r="G531" s="18">
        <v>2090000</v>
      </c>
      <c r="H531">
        <f t="shared" si="45"/>
        <v>5</v>
      </c>
    </row>
    <row r="532" spans="1:8" x14ac:dyDescent="0.4">
      <c r="A532" t="s">
        <v>1057</v>
      </c>
      <c r="B532" s="18">
        <f t="shared" si="44"/>
        <v>1000000</v>
      </c>
      <c r="C532">
        <v>0</v>
      </c>
      <c r="D532" s="18">
        <v>0</v>
      </c>
      <c r="E532" s="18">
        <v>10000000</v>
      </c>
      <c r="F532" s="7">
        <v>1</v>
      </c>
      <c r="G532" s="18">
        <v>2090000</v>
      </c>
      <c r="H532">
        <f t="shared" si="45"/>
        <v>5</v>
      </c>
    </row>
    <row r="533" spans="1:8" x14ac:dyDescent="0.4">
      <c r="A533" t="s">
        <v>1056</v>
      </c>
      <c r="B533" s="18">
        <f t="shared" si="44"/>
        <v>1000000</v>
      </c>
      <c r="C533">
        <v>0</v>
      </c>
      <c r="D533" s="18">
        <v>0</v>
      </c>
      <c r="E533" s="18">
        <v>10000000</v>
      </c>
      <c r="F533" s="7">
        <v>1</v>
      </c>
      <c r="G533" s="18">
        <v>2090000</v>
      </c>
      <c r="H533">
        <f t="shared" si="45"/>
        <v>5</v>
      </c>
    </row>
    <row r="534" spans="1:8" x14ac:dyDescent="0.4">
      <c r="A534" t="s">
        <v>1055</v>
      </c>
      <c r="B534" s="18">
        <f t="shared" si="44"/>
        <v>1000000</v>
      </c>
      <c r="C534">
        <v>0</v>
      </c>
      <c r="D534" s="18">
        <v>0</v>
      </c>
      <c r="E534" s="18">
        <v>10000000</v>
      </c>
      <c r="F534" s="7">
        <v>1</v>
      </c>
      <c r="G534" s="18">
        <v>2090000</v>
      </c>
      <c r="H534">
        <f t="shared" si="45"/>
        <v>5</v>
      </c>
    </row>
    <row r="535" spans="1:8" x14ac:dyDescent="0.4">
      <c r="A535" t="s">
        <v>1054</v>
      </c>
      <c r="B535" s="18">
        <f t="shared" si="44"/>
        <v>1000000</v>
      </c>
      <c r="C535">
        <v>0</v>
      </c>
      <c r="D535" s="18">
        <v>0</v>
      </c>
      <c r="E535" s="18">
        <v>10000000</v>
      </c>
      <c r="F535" s="7">
        <v>1</v>
      </c>
      <c r="G535" s="18">
        <v>2090000</v>
      </c>
      <c r="H535">
        <f t="shared" si="45"/>
        <v>5</v>
      </c>
    </row>
    <row r="536" spans="1:8" x14ac:dyDescent="0.4">
      <c r="A536" t="s">
        <v>1053</v>
      </c>
      <c r="B536" s="18">
        <f t="shared" si="44"/>
        <v>1000000</v>
      </c>
      <c r="C536">
        <v>0</v>
      </c>
      <c r="D536" s="18">
        <v>0</v>
      </c>
      <c r="E536" s="18">
        <v>10000000</v>
      </c>
      <c r="F536" s="7">
        <v>1</v>
      </c>
      <c r="G536" s="18">
        <v>2090000</v>
      </c>
      <c r="H536">
        <f t="shared" si="45"/>
        <v>5</v>
      </c>
    </row>
    <row r="537" spans="1:8" x14ac:dyDescent="0.4">
      <c r="A537" t="s">
        <v>1052</v>
      </c>
      <c r="B537" s="18">
        <f t="shared" si="44"/>
        <v>1000000</v>
      </c>
      <c r="C537">
        <v>0</v>
      </c>
      <c r="D537" s="18">
        <v>0</v>
      </c>
      <c r="E537" s="18">
        <v>10000000</v>
      </c>
      <c r="F537" s="7">
        <v>1</v>
      </c>
      <c r="G537" s="18">
        <v>2090000</v>
      </c>
      <c r="H537">
        <f t="shared" si="45"/>
        <v>5</v>
      </c>
    </row>
    <row r="538" spans="1:8" x14ac:dyDescent="0.4">
      <c r="A538" t="s">
        <v>1051</v>
      </c>
      <c r="B538" s="18">
        <f t="shared" si="44"/>
        <v>1000000</v>
      </c>
      <c r="C538">
        <v>0</v>
      </c>
      <c r="D538" s="18">
        <v>0</v>
      </c>
      <c r="E538" s="18">
        <v>10000000</v>
      </c>
      <c r="F538" s="7">
        <v>1</v>
      </c>
      <c r="G538" s="18">
        <v>2090000</v>
      </c>
      <c r="H538">
        <f t="shared" si="45"/>
        <v>5</v>
      </c>
    </row>
    <row r="539" spans="1:8" x14ac:dyDescent="0.4">
      <c r="A539" t="s">
        <v>1050</v>
      </c>
      <c r="B539" s="18">
        <f t="shared" si="44"/>
        <v>1000000</v>
      </c>
      <c r="C539">
        <v>0</v>
      </c>
      <c r="D539" s="18">
        <v>0</v>
      </c>
      <c r="E539" s="18">
        <v>10000000</v>
      </c>
      <c r="F539" s="7">
        <v>1</v>
      </c>
      <c r="G539" s="18">
        <v>2090000</v>
      </c>
      <c r="H539">
        <f t="shared" si="45"/>
        <v>5</v>
      </c>
    </row>
    <row r="540" spans="1:8" x14ac:dyDescent="0.4">
      <c r="A540" t="s">
        <v>1049</v>
      </c>
      <c r="B540" s="18">
        <f t="shared" si="44"/>
        <v>1000000</v>
      </c>
      <c r="C540">
        <v>0</v>
      </c>
      <c r="D540" s="18">
        <v>0</v>
      </c>
      <c r="E540" s="18">
        <v>10000000</v>
      </c>
      <c r="F540" s="7">
        <v>1</v>
      </c>
      <c r="G540" s="18">
        <v>2090000</v>
      </c>
      <c r="H540">
        <f t="shared" si="45"/>
        <v>5</v>
      </c>
    </row>
    <row r="541" spans="1:8" x14ac:dyDescent="0.4">
      <c r="A541" t="s">
        <v>1048</v>
      </c>
      <c r="B541" s="18">
        <f t="shared" si="44"/>
        <v>1000000</v>
      </c>
      <c r="C541">
        <v>0</v>
      </c>
      <c r="D541" s="18">
        <v>0</v>
      </c>
      <c r="E541" s="18">
        <v>10000000</v>
      </c>
      <c r="F541" s="7">
        <v>1</v>
      </c>
      <c r="G541" s="18">
        <v>2090000</v>
      </c>
      <c r="H541">
        <f t="shared" si="45"/>
        <v>5</v>
      </c>
    </row>
    <row r="542" spans="1:8" x14ac:dyDescent="0.4">
      <c r="A542" t="s">
        <v>1047</v>
      </c>
      <c r="B542" s="18">
        <f t="shared" si="44"/>
        <v>1000000</v>
      </c>
      <c r="C542">
        <v>0</v>
      </c>
      <c r="D542" s="18">
        <v>0</v>
      </c>
      <c r="E542" s="18">
        <v>10000000</v>
      </c>
      <c r="F542" s="7">
        <v>1</v>
      </c>
      <c r="G542" s="18">
        <v>2090000</v>
      </c>
      <c r="H542">
        <f t="shared" si="45"/>
        <v>5</v>
      </c>
    </row>
    <row r="543" spans="1:8" x14ac:dyDescent="0.4">
      <c r="A543" t="s">
        <v>1046</v>
      </c>
      <c r="B543" s="18">
        <f t="shared" si="44"/>
        <v>1000000</v>
      </c>
      <c r="C543">
        <v>0</v>
      </c>
      <c r="D543" s="18">
        <v>0</v>
      </c>
      <c r="E543" s="18">
        <v>10000000</v>
      </c>
      <c r="F543" s="7">
        <v>1</v>
      </c>
      <c r="G543" s="18">
        <v>2090000</v>
      </c>
      <c r="H543">
        <f t="shared" si="45"/>
        <v>5</v>
      </c>
    </row>
    <row r="544" spans="1:8" x14ac:dyDescent="0.4">
      <c r="A544" t="s">
        <v>1045</v>
      </c>
      <c r="B544" s="18">
        <f t="shared" si="44"/>
        <v>1000000</v>
      </c>
      <c r="C544">
        <v>0</v>
      </c>
      <c r="D544" s="18">
        <v>0</v>
      </c>
      <c r="E544" s="18">
        <v>10000000</v>
      </c>
      <c r="F544" s="7">
        <v>1</v>
      </c>
      <c r="G544" s="18">
        <v>2090000</v>
      </c>
      <c r="H544">
        <f t="shared" si="45"/>
        <v>5</v>
      </c>
    </row>
    <row r="545" spans="1:8" x14ac:dyDescent="0.4">
      <c r="A545" t="s">
        <v>1044</v>
      </c>
      <c r="B545" s="18">
        <f t="shared" si="44"/>
        <v>1000000</v>
      </c>
      <c r="C545">
        <v>0</v>
      </c>
      <c r="D545" s="18">
        <v>0</v>
      </c>
      <c r="E545" s="18">
        <v>10000000</v>
      </c>
      <c r="F545" s="7">
        <v>1</v>
      </c>
      <c r="G545" s="18">
        <v>2090000</v>
      </c>
      <c r="H545">
        <f t="shared" si="45"/>
        <v>5</v>
      </c>
    </row>
    <row r="546" spans="1:8" x14ac:dyDescent="0.4">
      <c r="A546" t="s">
        <v>1043</v>
      </c>
      <c r="B546" s="18">
        <f t="shared" si="44"/>
        <v>1000000</v>
      </c>
      <c r="C546">
        <v>0</v>
      </c>
      <c r="D546" s="18">
        <v>0</v>
      </c>
      <c r="E546" s="18">
        <v>10000000</v>
      </c>
      <c r="F546" s="7">
        <v>1</v>
      </c>
      <c r="G546" s="18">
        <v>2090000</v>
      </c>
      <c r="H546">
        <f t="shared" si="45"/>
        <v>5</v>
      </c>
    </row>
    <row r="547" spans="1:8" x14ac:dyDescent="0.4">
      <c r="A547" t="s">
        <v>1042</v>
      </c>
      <c r="B547" s="18">
        <f t="shared" si="44"/>
        <v>1000000</v>
      </c>
      <c r="C547">
        <v>0</v>
      </c>
      <c r="D547" s="18">
        <v>0</v>
      </c>
      <c r="E547" s="18">
        <v>10000000</v>
      </c>
      <c r="F547" s="7">
        <v>1</v>
      </c>
      <c r="G547" s="18">
        <v>2090000</v>
      </c>
      <c r="H547">
        <f t="shared" si="45"/>
        <v>5</v>
      </c>
    </row>
    <row r="548" spans="1:8" x14ac:dyDescent="0.4">
      <c r="A548" t="s">
        <v>1041</v>
      </c>
      <c r="B548" s="18">
        <f t="shared" si="44"/>
        <v>1000000</v>
      </c>
      <c r="C548">
        <v>0</v>
      </c>
      <c r="D548" s="18">
        <v>0</v>
      </c>
      <c r="E548" s="18">
        <v>10000000</v>
      </c>
      <c r="F548" s="7">
        <v>1</v>
      </c>
      <c r="G548" s="18">
        <v>2090000</v>
      </c>
      <c r="H548">
        <f t="shared" si="45"/>
        <v>5</v>
      </c>
    </row>
    <row r="549" spans="1:8" x14ac:dyDescent="0.4">
      <c r="A549" t="s">
        <v>1040</v>
      </c>
      <c r="B549" s="18">
        <f t="shared" si="44"/>
        <v>1000000</v>
      </c>
      <c r="C549">
        <v>0</v>
      </c>
      <c r="D549" s="18">
        <v>0</v>
      </c>
      <c r="E549" s="18">
        <v>10000000</v>
      </c>
      <c r="F549" s="7">
        <v>1</v>
      </c>
      <c r="G549" s="18">
        <v>2090000</v>
      </c>
      <c r="H549">
        <f t="shared" si="45"/>
        <v>5</v>
      </c>
    </row>
    <row r="550" spans="1:8" x14ac:dyDescent="0.4">
      <c r="A550" t="s">
        <v>1039</v>
      </c>
      <c r="B550" s="18">
        <f t="shared" si="44"/>
        <v>1000000</v>
      </c>
      <c r="C550">
        <v>0</v>
      </c>
      <c r="D550" s="18">
        <v>0</v>
      </c>
      <c r="E550" s="18">
        <v>10000000</v>
      </c>
      <c r="F550" s="7">
        <v>1</v>
      </c>
      <c r="G550" s="18">
        <v>2090000</v>
      </c>
      <c r="H550">
        <f t="shared" si="45"/>
        <v>5</v>
      </c>
    </row>
    <row r="551" spans="1:8" x14ac:dyDescent="0.4">
      <c r="A551" t="s">
        <v>1038</v>
      </c>
      <c r="B551" s="18">
        <f t="shared" si="44"/>
        <v>1000000</v>
      </c>
      <c r="C551">
        <v>0</v>
      </c>
      <c r="D551" s="18">
        <v>0</v>
      </c>
      <c r="E551" s="18">
        <v>10000000</v>
      </c>
      <c r="F551" s="7">
        <v>1</v>
      </c>
      <c r="G551" s="18">
        <v>2090000</v>
      </c>
      <c r="H551">
        <f t="shared" si="45"/>
        <v>5</v>
      </c>
    </row>
    <row r="552" spans="1:8" x14ac:dyDescent="0.4">
      <c r="A552" t="s">
        <v>1037</v>
      </c>
      <c r="B552" s="18">
        <f t="shared" ref="B552" si="46">mole/F552*(sf_TC/100)</f>
        <v>1000000</v>
      </c>
      <c r="C552">
        <v>0</v>
      </c>
      <c r="D552" s="18">
        <v>0</v>
      </c>
      <c r="E552" s="18">
        <v>10000000</v>
      </c>
      <c r="F552" s="7">
        <v>1</v>
      </c>
      <c r="G552" s="18">
        <v>2090000</v>
      </c>
      <c r="H552">
        <f t="shared" ref="H552" si="47">B552/(I_b*20)</f>
        <v>5</v>
      </c>
    </row>
    <row r="553" spans="1:8" x14ac:dyDescent="0.4">
      <c r="A553" t="s">
        <v>1036</v>
      </c>
      <c r="B553" s="18">
        <f>mole/F553*(sf_TC/100)</f>
        <v>1000000</v>
      </c>
      <c r="C553">
        <v>0</v>
      </c>
      <c r="D553" s="18">
        <v>0</v>
      </c>
      <c r="E553" s="18">
        <v>10000000</v>
      </c>
      <c r="F553" s="7">
        <v>1</v>
      </c>
      <c r="G553" s="18">
        <v>2090000</v>
      </c>
      <c r="H553">
        <f>B553/(I_b*20)</f>
        <v>5</v>
      </c>
    </row>
    <row r="554" spans="1:8" x14ac:dyDescent="0.4">
      <c r="A554" t="s">
        <v>1035</v>
      </c>
      <c r="B554" s="18">
        <f>mole/F554*(sf_TC/100)</f>
        <v>1000000</v>
      </c>
      <c r="C554">
        <v>0</v>
      </c>
      <c r="D554" s="18">
        <v>0</v>
      </c>
      <c r="E554" s="18">
        <v>10000000</v>
      </c>
      <c r="F554" s="7">
        <v>1</v>
      </c>
      <c r="G554" s="18">
        <v>2090000</v>
      </c>
      <c r="H554">
        <f>B554/(I_b*20)</f>
        <v>5</v>
      </c>
    </row>
  </sheetData>
  <mergeCells count="8">
    <mergeCell ref="M57:Q59"/>
    <mergeCell ref="M4:T7"/>
    <mergeCell ref="M9:T11"/>
    <mergeCell ref="M13:T15"/>
    <mergeCell ref="A1:H2"/>
    <mergeCell ref="M1:T2"/>
    <mergeCell ref="M47:Q47"/>
    <mergeCell ref="M52:Q55"/>
  </mergeCells>
  <pageMargins left="0.7" right="0.7" top="0.75" bottom="0.75" header="0.3" footer="0.3"/>
  <pageSetup paperSize="9" orientation="portrait" horizontalDpi="0" verticalDpi="0" r:id="rId1"/>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F6EB8-0732-4726-81AD-6F0034436EAC}">
  <dimension ref="A1:EV375"/>
  <sheetViews>
    <sheetView topLeftCell="CN3" workbookViewId="0">
      <selection activeCell="EI27" sqref="CL27:EI27"/>
    </sheetView>
  </sheetViews>
  <sheetFormatPr defaultRowHeight="14.6" x14ac:dyDescent="0.4"/>
  <cols>
    <col min="1" max="1" width="27.3046875" bestFit="1" customWidth="1"/>
    <col min="2" max="2" width="11" bestFit="1" customWidth="1"/>
    <col min="3" max="3" width="21.3046875" bestFit="1" customWidth="1"/>
    <col min="4" max="4" width="11" bestFit="1" customWidth="1"/>
    <col min="5" max="5" width="16.23046875" bestFit="1" customWidth="1"/>
    <col min="6" max="6" width="10.53515625" bestFit="1" customWidth="1"/>
    <col min="7" max="7" width="9.84375" bestFit="1" customWidth="1"/>
    <col min="8" max="8" width="18.53515625" bestFit="1" customWidth="1"/>
    <col min="9" max="9" width="11" bestFit="1" customWidth="1"/>
    <col min="10" max="10" width="21.3046875" bestFit="1" customWidth="1"/>
    <col min="11" max="11" width="11" bestFit="1" customWidth="1"/>
    <col min="12" max="12" width="16.23046875" bestFit="1" customWidth="1"/>
    <col min="13" max="13" width="6.84375" bestFit="1" customWidth="1"/>
    <col min="15" max="15" width="18.53515625" bestFit="1" customWidth="1"/>
    <col min="17" max="17" width="21.3046875" bestFit="1" customWidth="1"/>
    <col min="18" max="18" width="11" bestFit="1" customWidth="1"/>
    <col min="19" max="19" width="16.23046875" bestFit="1" customWidth="1"/>
    <col min="20" max="20" width="5.84375" bestFit="1" customWidth="1"/>
    <col min="22" max="22" width="18.53515625" bestFit="1" customWidth="1"/>
    <col min="23" max="23" width="11" bestFit="1" customWidth="1"/>
    <col min="24" max="24" width="21.3046875" bestFit="1" customWidth="1"/>
    <col min="25" max="25" width="11" bestFit="1" customWidth="1"/>
    <col min="26" max="26" width="16.23046875" bestFit="1" customWidth="1"/>
    <col min="27" max="27" width="5.84375" bestFit="1" customWidth="1"/>
    <col min="29" max="29" width="18.53515625" bestFit="1" customWidth="1"/>
    <col min="30" max="30" width="11" bestFit="1" customWidth="1"/>
    <col min="31" max="31" width="21.3046875" bestFit="1" customWidth="1"/>
    <col min="32" max="32" width="11" bestFit="1" customWidth="1"/>
    <col min="33" max="33" width="16.23046875" bestFit="1" customWidth="1"/>
    <col min="34" max="34" width="5.84375" bestFit="1" customWidth="1"/>
    <col min="36" max="36" width="18.53515625" bestFit="1" customWidth="1"/>
    <col min="37" max="37" width="11" bestFit="1" customWidth="1"/>
    <col min="38" max="38" width="21.3046875" bestFit="1" customWidth="1"/>
    <col min="39" max="39" width="11" bestFit="1" customWidth="1"/>
    <col min="40" max="40" width="16.23046875" bestFit="1" customWidth="1"/>
    <col min="41" max="41" width="5.84375" bestFit="1" customWidth="1"/>
    <col min="43" max="43" width="18.53515625" bestFit="1" customWidth="1"/>
    <col min="44" max="44" width="11" bestFit="1" customWidth="1"/>
    <col min="45" max="45" width="21.3046875" bestFit="1" customWidth="1"/>
    <col min="46" max="46" width="11" bestFit="1" customWidth="1"/>
    <col min="47" max="47" width="16.23046875" bestFit="1" customWidth="1"/>
    <col min="48" max="48" width="5.84375" bestFit="1" customWidth="1"/>
    <col min="50" max="50" width="18.53515625" bestFit="1" customWidth="1"/>
    <col min="51" max="51" width="11" bestFit="1" customWidth="1"/>
    <col min="52" max="52" width="21.3046875" bestFit="1" customWidth="1"/>
    <col min="53" max="53" width="11" bestFit="1" customWidth="1"/>
    <col min="54" max="54" width="16.23046875" bestFit="1" customWidth="1"/>
    <col min="55" max="55" width="5.84375" bestFit="1" customWidth="1"/>
    <col min="57" max="57" width="18.53515625" bestFit="1" customWidth="1"/>
    <col min="58" max="58" width="11" bestFit="1" customWidth="1"/>
    <col min="59" max="59" width="21.3046875" bestFit="1" customWidth="1"/>
    <col min="60" max="60" width="11" bestFit="1" customWidth="1"/>
    <col min="61" max="61" width="16.23046875" bestFit="1" customWidth="1"/>
    <col min="62" max="62" width="5.84375" bestFit="1" customWidth="1"/>
    <col min="64" max="64" width="18.53515625" bestFit="1" customWidth="1"/>
    <col min="65" max="65" width="11" bestFit="1" customWidth="1"/>
    <col min="66" max="66" width="21.3046875" bestFit="1" customWidth="1"/>
    <col min="67" max="67" width="11" bestFit="1" customWidth="1"/>
    <col min="68" max="68" width="16.23046875" bestFit="1" customWidth="1"/>
    <col min="69" max="69" width="5.84375" bestFit="1" customWidth="1"/>
    <col min="71" max="71" width="18.53515625" bestFit="1" customWidth="1"/>
    <col min="72" max="72" width="11" bestFit="1" customWidth="1"/>
    <col min="73" max="73" width="21.3046875" bestFit="1" customWidth="1"/>
    <col min="74" max="74" width="11" bestFit="1" customWidth="1"/>
    <col min="75" max="75" width="16.23046875" bestFit="1" customWidth="1"/>
    <col min="76" max="76" width="5.84375" bestFit="1" customWidth="1"/>
    <col min="78" max="78" width="18.53515625" bestFit="1" customWidth="1"/>
    <col min="79" max="79" width="11" bestFit="1" customWidth="1"/>
    <col min="80" max="80" width="21.3046875" bestFit="1" customWidth="1"/>
    <col min="81" max="81" width="11" bestFit="1" customWidth="1"/>
    <col min="82" max="82" width="16.23046875" bestFit="1" customWidth="1"/>
    <col min="83" max="83" width="5.84375" bestFit="1" customWidth="1"/>
    <col min="85" max="85" width="18.53515625" bestFit="1" customWidth="1"/>
    <col min="86" max="86" width="11" bestFit="1" customWidth="1"/>
    <col min="87" max="87" width="21.3046875" bestFit="1" customWidth="1"/>
    <col min="88" max="88" width="11" bestFit="1" customWidth="1"/>
    <col min="89" max="89" width="16.23046875" bestFit="1" customWidth="1"/>
    <col min="90" max="90" width="5.84375" bestFit="1" customWidth="1"/>
    <col min="92" max="92" width="18.53515625" bestFit="1" customWidth="1"/>
    <col min="93" max="93" width="11" bestFit="1" customWidth="1"/>
    <col min="94" max="94" width="21.3046875" bestFit="1" customWidth="1"/>
    <col min="95" max="95" width="11" bestFit="1" customWidth="1"/>
    <col min="96" max="96" width="16.23046875" bestFit="1" customWidth="1"/>
    <col min="97" max="97" width="5.84375" bestFit="1" customWidth="1"/>
    <col min="99" max="99" width="18.53515625" bestFit="1" customWidth="1"/>
    <col min="100" max="100" width="11" bestFit="1" customWidth="1"/>
    <col min="101" max="101" width="21.3046875" bestFit="1" customWidth="1"/>
    <col min="102" max="102" width="11" bestFit="1" customWidth="1"/>
    <col min="103" max="103" width="16.23046875" bestFit="1" customWidth="1"/>
    <col min="104" max="104" width="5.84375" bestFit="1" customWidth="1"/>
    <col min="106" max="106" width="9.3828125" customWidth="1"/>
    <col min="107" max="107" width="11" bestFit="1" customWidth="1"/>
    <col min="108" max="108" width="21.3046875" bestFit="1" customWidth="1"/>
    <col min="109" max="109" width="11" bestFit="1" customWidth="1"/>
    <col min="110" max="110" width="16.23046875" bestFit="1" customWidth="1"/>
    <col min="111" max="111" width="5.84375" bestFit="1" customWidth="1"/>
    <col min="113" max="113" width="18.53515625" bestFit="1" customWidth="1"/>
    <col min="114" max="114" width="11" bestFit="1" customWidth="1"/>
    <col min="115" max="115" width="21.3046875" bestFit="1" customWidth="1"/>
    <col min="116" max="116" width="11" bestFit="1" customWidth="1"/>
    <col min="117" max="117" width="16.23046875" bestFit="1" customWidth="1"/>
    <col min="118" max="118" width="5.84375" bestFit="1" customWidth="1"/>
    <col min="120" max="120" width="18.53515625" bestFit="1" customWidth="1"/>
    <col min="121" max="121" width="11" bestFit="1" customWidth="1"/>
    <col min="122" max="122" width="21.3046875" bestFit="1" customWidth="1"/>
    <col min="123" max="123" width="11" bestFit="1" customWidth="1"/>
    <col min="124" max="124" width="16.23046875" bestFit="1" customWidth="1"/>
    <col min="125" max="125" width="5.84375" bestFit="1" customWidth="1"/>
    <col min="127" max="127" width="18.53515625" bestFit="1" customWidth="1"/>
    <col min="128" max="128" width="11" bestFit="1" customWidth="1"/>
    <col min="129" max="129" width="21.3046875" bestFit="1" customWidth="1"/>
    <col min="130" max="130" width="11" bestFit="1" customWidth="1"/>
    <col min="131" max="131" width="16.23046875" bestFit="1" customWidth="1"/>
    <col min="132" max="132" width="5.84375" bestFit="1" customWidth="1"/>
    <col min="134" max="134" width="18.53515625" bestFit="1" customWidth="1"/>
    <col min="135" max="135" width="11" bestFit="1" customWidth="1"/>
    <col min="136" max="136" width="21.3046875" bestFit="1" customWidth="1"/>
    <col min="137" max="137" width="11" bestFit="1" customWidth="1"/>
    <col min="138" max="138" width="16.23046875" bestFit="1" customWidth="1"/>
    <col min="139" max="139" width="5.84375" bestFit="1" customWidth="1"/>
    <col min="141" max="141" width="18.53515625" bestFit="1" customWidth="1"/>
    <col min="142" max="142" width="11" bestFit="1" customWidth="1"/>
    <col min="143" max="143" width="21.3046875" bestFit="1" customWidth="1"/>
    <col min="144" max="144" width="11" bestFit="1" customWidth="1"/>
    <col min="145" max="145" width="16.23046875" bestFit="1" customWidth="1"/>
    <col min="146" max="146" width="6.84375" bestFit="1" customWidth="1"/>
  </cols>
  <sheetData>
    <row r="1" spans="1:146" x14ac:dyDescent="0.4">
      <c r="A1" s="126" t="s">
        <v>1392</v>
      </c>
      <c r="B1" s="126"/>
      <c r="C1" s="126"/>
      <c r="D1" s="126"/>
      <c r="E1" s="126"/>
      <c r="F1" s="126"/>
    </row>
    <row r="2" spans="1:146" x14ac:dyDescent="0.4">
      <c r="A2" s="126"/>
      <c r="B2" s="126"/>
      <c r="C2" s="126"/>
      <c r="D2" s="126"/>
      <c r="E2" s="126"/>
      <c r="F2" s="126"/>
    </row>
    <row r="3" spans="1:146" ht="14.6" customHeight="1" x14ac:dyDescent="0.4">
      <c r="A3" s="127" t="s">
        <v>1492</v>
      </c>
      <c r="B3" s="127"/>
      <c r="C3" s="127"/>
      <c r="D3" s="127"/>
      <c r="E3" s="127"/>
      <c r="F3" s="127"/>
    </row>
    <row r="4" spans="1:146" x14ac:dyDescent="0.4">
      <c r="A4" s="127"/>
      <c r="B4" s="127"/>
      <c r="C4" s="127"/>
      <c r="D4" s="127"/>
      <c r="E4" s="127"/>
      <c r="F4" s="127"/>
    </row>
    <row r="5" spans="1:146" x14ac:dyDescent="0.4">
      <c r="A5" s="127"/>
      <c r="B5" s="127"/>
      <c r="C5" s="127"/>
      <c r="D5" s="127"/>
      <c r="E5" s="127"/>
      <c r="F5" s="127"/>
    </row>
    <row r="6" spans="1:146" x14ac:dyDescent="0.4">
      <c r="A6" s="127"/>
      <c r="B6" s="127"/>
      <c r="C6" s="127"/>
      <c r="D6" s="127"/>
      <c r="E6" s="127"/>
      <c r="F6" s="127"/>
    </row>
    <row r="7" spans="1:146" x14ac:dyDescent="0.4">
      <c r="A7" s="127"/>
      <c r="B7" s="127"/>
      <c r="C7" s="127"/>
      <c r="D7" s="127"/>
      <c r="E7" s="127"/>
      <c r="F7" s="127"/>
    </row>
    <row r="8" spans="1:146" x14ac:dyDescent="0.4">
      <c r="A8" s="127"/>
      <c r="B8" s="127"/>
      <c r="C8" s="127"/>
      <c r="D8" s="127"/>
      <c r="E8" s="127"/>
      <c r="F8" s="127"/>
    </row>
    <row r="9" spans="1:146" x14ac:dyDescent="0.4">
      <c r="A9" s="127"/>
      <c r="B9" s="127"/>
      <c r="C9" s="127"/>
      <c r="D9" s="127"/>
      <c r="E9" s="127"/>
      <c r="F9" s="127"/>
    </row>
    <row r="10" spans="1:146" x14ac:dyDescent="0.4">
      <c r="A10" s="127"/>
      <c r="B10" s="127"/>
      <c r="C10" s="127"/>
      <c r="D10" s="127"/>
      <c r="E10" s="127"/>
      <c r="F10" s="127"/>
    </row>
    <row r="11" spans="1:146" x14ac:dyDescent="0.4">
      <c r="A11" s="127"/>
      <c r="B11" s="127"/>
      <c r="C11" s="127"/>
      <c r="D11" s="127"/>
      <c r="E11" s="127"/>
      <c r="F11" s="127"/>
    </row>
    <row r="14" spans="1:146" x14ac:dyDescent="0.4">
      <c r="H14" s="116" t="s">
        <v>1401</v>
      </c>
      <c r="I14" s="116"/>
      <c r="J14" s="116"/>
      <c r="K14" s="116"/>
      <c r="L14" s="116"/>
      <c r="M14" s="116"/>
      <c r="O14" s="116" t="s">
        <v>1308</v>
      </c>
      <c r="P14" s="116"/>
      <c r="Q14" s="116"/>
      <c r="R14" s="116"/>
      <c r="S14" s="116"/>
      <c r="T14" s="116"/>
      <c r="V14" s="116" t="s">
        <v>1400</v>
      </c>
      <c r="W14" s="116"/>
      <c r="X14" s="116"/>
      <c r="Y14" s="116"/>
      <c r="Z14" s="116"/>
      <c r="AA14" s="116"/>
      <c r="AC14" s="116" t="s">
        <v>1399</v>
      </c>
      <c r="AD14" s="116"/>
      <c r="AE14" s="116"/>
      <c r="AF14" s="116"/>
      <c r="AG14" s="116"/>
      <c r="AH14" s="116"/>
      <c r="AJ14" s="116" t="s">
        <v>1398</v>
      </c>
      <c r="AK14" s="116"/>
      <c r="AL14" s="116"/>
      <c r="AM14" s="116"/>
      <c r="AN14" s="116"/>
      <c r="AO14" s="116"/>
      <c r="AQ14" s="116" t="s">
        <v>1397</v>
      </c>
      <c r="AR14" s="116"/>
      <c r="AS14" s="116"/>
      <c r="AT14" s="116"/>
      <c r="AU14" s="116"/>
      <c r="AV14" s="116"/>
      <c r="AX14" s="116" t="s">
        <v>1309</v>
      </c>
      <c r="AY14" s="116"/>
      <c r="AZ14" s="116"/>
      <c r="BA14" s="116"/>
      <c r="BB14" s="116"/>
      <c r="BC14" s="116"/>
      <c r="BE14" s="116" t="s">
        <v>1310</v>
      </c>
      <c r="BF14" s="116"/>
      <c r="BG14" s="116"/>
      <c r="BH14" s="116"/>
      <c r="BI14" s="116"/>
      <c r="BJ14" s="116"/>
      <c r="BL14" s="116" t="s">
        <v>1311</v>
      </c>
      <c r="BM14" s="116"/>
      <c r="BN14" s="116"/>
      <c r="BO14" s="116"/>
      <c r="BP14" s="116"/>
      <c r="BQ14" s="116"/>
      <c r="BS14" s="116" t="s">
        <v>1316</v>
      </c>
      <c r="BT14" s="116"/>
      <c r="BU14" s="116"/>
      <c r="BV14" s="116"/>
      <c r="BW14" s="116"/>
      <c r="BX14" s="116"/>
      <c r="BZ14" s="116" t="s">
        <v>1312</v>
      </c>
      <c r="CA14" s="116"/>
      <c r="CB14" s="116"/>
      <c r="CC14" s="116"/>
      <c r="CD14" s="116"/>
      <c r="CE14" s="116"/>
      <c r="CG14" s="116" t="s">
        <v>1313</v>
      </c>
      <c r="CH14" s="116"/>
      <c r="CI14" s="116"/>
      <c r="CJ14" s="116"/>
      <c r="CK14" s="116"/>
      <c r="CL14" s="116"/>
      <c r="CN14" s="116" t="s">
        <v>1314</v>
      </c>
      <c r="CO14" s="116"/>
      <c r="CP14" s="116"/>
      <c r="CQ14" s="116"/>
      <c r="CR14" s="116"/>
      <c r="CS14" s="116"/>
      <c r="CU14" s="116" t="s">
        <v>1303</v>
      </c>
      <c r="CV14" s="116"/>
      <c r="CW14" s="116"/>
      <c r="CX14" s="116"/>
      <c r="CY14" s="116"/>
      <c r="CZ14" s="116"/>
      <c r="DB14" s="116" t="s">
        <v>1302</v>
      </c>
      <c r="DC14" s="116"/>
      <c r="DD14" s="116"/>
      <c r="DE14" s="116"/>
      <c r="DF14" s="116"/>
      <c r="DG14" s="116"/>
      <c r="DI14" s="116" t="s">
        <v>1304</v>
      </c>
      <c r="DJ14" s="116"/>
      <c r="DK14" s="116"/>
      <c r="DL14" s="116"/>
      <c r="DM14" s="116"/>
      <c r="DN14" s="116"/>
      <c r="DP14" s="116" t="s">
        <v>1307</v>
      </c>
      <c r="DQ14" s="116"/>
      <c r="DR14" s="116"/>
      <c r="DS14" s="116"/>
      <c r="DT14" s="116"/>
      <c r="DU14" s="116"/>
      <c r="DW14" s="116" t="s">
        <v>1315</v>
      </c>
      <c r="DX14" s="116"/>
      <c r="DY14" s="116"/>
      <c r="DZ14" s="116"/>
      <c r="EA14" s="116"/>
      <c r="EB14" s="116"/>
      <c r="ED14" s="116" t="s">
        <v>1305</v>
      </c>
      <c r="EE14" s="116"/>
      <c r="EF14" s="116"/>
      <c r="EG14" s="116"/>
      <c r="EH14" s="116"/>
      <c r="EI14" s="116"/>
      <c r="EK14" s="116" t="s">
        <v>1306</v>
      </c>
      <c r="EL14" s="116"/>
      <c r="EM14" s="116"/>
      <c r="EN14" s="116"/>
      <c r="EO14" s="116"/>
      <c r="EP14" s="116"/>
    </row>
    <row r="15" spans="1:146" x14ac:dyDescent="0.4">
      <c r="A15" s="1" t="s">
        <v>1317</v>
      </c>
      <c r="B15" s="1" t="s">
        <v>1393</v>
      </c>
      <c r="C15" s="1" t="s">
        <v>1338</v>
      </c>
      <c r="D15" s="1" t="s">
        <v>722</v>
      </c>
      <c r="E15" s="1" t="s">
        <v>1337</v>
      </c>
      <c r="F15" s="1" t="s">
        <v>1339</v>
      </c>
      <c r="H15" s="1" t="s">
        <v>1317</v>
      </c>
      <c r="I15" s="1" t="s">
        <v>1393</v>
      </c>
      <c r="J15" s="1" t="s">
        <v>1338</v>
      </c>
      <c r="K15" s="1" t="s">
        <v>722</v>
      </c>
      <c r="L15" s="1" t="s">
        <v>1337</v>
      </c>
      <c r="M15" s="1" t="s">
        <v>1339</v>
      </c>
      <c r="O15" s="1" t="s">
        <v>1317</v>
      </c>
      <c r="P15" s="1" t="s">
        <v>1393</v>
      </c>
      <c r="Q15" s="1" t="s">
        <v>1338</v>
      </c>
      <c r="R15" s="1" t="s">
        <v>722</v>
      </c>
      <c r="S15" s="1" t="s">
        <v>1337</v>
      </c>
      <c r="T15" s="1" t="s">
        <v>1339</v>
      </c>
      <c r="V15" s="1" t="s">
        <v>1317</v>
      </c>
      <c r="W15" s="1" t="s">
        <v>1393</v>
      </c>
      <c r="X15" s="1" t="s">
        <v>1338</v>
      </c>
      <c r="Y15" s="1" t="s">
        <v>722</v>
      </c>
      <c r="Z15" s="1" t="s">
        <v>1337</v>
      </c>
      <c r="AA15" s="1" t="s">
        <v>1339</v>
      </c>
      <c r="AC15" s="1" t="s">
        <v>1317</v>
      </c>
      <c r="AD15" s="1" t="s">
        <v>1393</v>
      </c>
      <c r="AE15" s="1" t="s">
        <v>1338</v>
      </c>
      <c r="AF15" s="1" t="s">
        <v>722</v>
      </c>
      <c r="AG15" s="1" t="s">
        <v>1337</v>
      </c>
      <c r="AH15" s="1" t="s">
        <v>1339</v>
      </c>
      <c r="AJ15" s="1" t="s">
        <v>1317</v>
      </c>
      <c r="AK15" s="1" t="s">
        <v>1393</v>
      </c>
      <c r="AL15" s="1" t="s">
        <v>1338</v>
      </c>
      <c r="AM15" s="1" t="s">
        <v>722</v>
      </c>
      <c r="AN15" s="1" t="s">
        <v>1337</v>
      </c>
      <c r="AO15" s="1" t="s">
        <v>1339</v>
      </c>
      <c r="AQ15" s="1" t="s">
        <v>1317</v>
      </c>
      <c r="AR15" s="1" t="s">
        <v>1393</v>
      </c>
      <c r="AS15" s="1" t="s">
        <v>1338</v>
      </c>
      <c r="AT15" s="1" t="s">
        <v>722</v>
      </c>
      <c r="AU15" s="1" t="s">
        <v>1337</v>
      </c>
      <c r="AV15" s="1" t="s">
        <v>1339</v>
      </c>
      <c r="AX15" s="1" t="s">
        <v>1317</v>
      </c>
      <c r="AY15" s="1" t="s">
        <v>1393</v>
      </c>
      <c r="AZ15" s="1" t="s">
        <v>1338</v>
      </c>
      <c r="BA15" s="1" t="s">
        <v>722</v>
      </c>
      <c r="BB15" s="1" t="s">
        <v>1337</v>
      </c>
      <c r="BC15" s="1" t="s">
        <v>1339</v>
      </c>
      <c r="BE15" s="1" t="s">
        <v>1317</v>
      </c>
      <c r="BF15" s="1" t="s">
        <v>1393</v>
      </c>
      <c r="BG15" s="1" t="s">
        <v>1338</v>
      </c>
      <c r="BH15" s="1" t="s">
        <v>722</v>
      </c>
      <c r="BI15" s="1" t="s">
        <v>1337</v>
      </c>
      <c r="BJ15" s="1" t="s">
        <v>1339</v>
      </c>
      <c r="BL15" s="1" t="s">
        <v>1317</v>
      </c>
      <c r="BM15" s="1" t="s">
        <v>1393</v>
      </c>
      <c r="BN15" s="1" t="s">
        <v>1338</v>
      </c>
      <c r="BO15" s="1" t="s">
        <v>722</v>
      </c>
      <c r="BP15" s="1" t="s">
        <v>1337</v>
      </c>
      <c r="BQ15" s="1" t="s">
        <v>1339</v>
      </c>
      <c r="BS15" s="1" t="s">
        <v>1317</v>
      </c>
      <c r="BT15" s="1" t="s">
        <v>1393</v>
      </c>
      <c r="BU15" s="1" t="s">
        <v>1338</v>
      </c>
      <c r="BV15" s="1" t="s">
        <v>722</v>
      </c>
      <c r="BW15" s="1" t="s">
        <v>1337</v>
      </c>
      <c r="BX15" s="1" t="s">
        <v>1339</v>
      </c>
      <c r="BZ15" s="1" t="s">
        <v>1317</v>
      </c>
      <c r="CA15" s="1" t="s">
        <v>1393</v>
      </c>
      <c r="CB15" s="1" t="s">
        <v>1338</v>
      </c>
      <c r="CC15" s="1" t="s">
        <v>722</v>
      </c>
      <c r="CD15" s="1" t="s">
        <v>1337</v>
      </c>
      <c r="CE15" s="1" t="s">
        <v>1339</v>
      </c>
      <c r="CG15" s="1" t="s">
        <v>1317</v>
      </c>
      <c r="CH15" s="1" t="s">
        <v>1393</v>
      </c>
      <c r="CI15" s="1" t="s">
        <v>1338</v>
      </c>
      <c r="CJ15" s="1" t="s">
        <v>722</v>
      </c>
      <c r="CK15" s="1" t="s">
        <v>1337</v>
      </c>
      <c r="CL15" s="1" t="s">
        <v>1339</v>
      </c>
      <c r="CN15" s="1" t="s">
        <v>1317</v>
      </c>
      <c r="CO15" s="1" t="s">
        <v>1393</v>
      </c>
      <c r="CP15" s="1" t="s">
        <v>1338</v>
      </c>
      <c r="CQ15" s="1" t="s">
        <v>722</v>
      </c>
      <c r="CR15" s="1" t="s">
        <v>1337</v>
      </c>
      <c r="CS15" s="1" t="s">
        <v>1339</v>
      </c>
      <c r="CU15" s="1" t="s">
        <v>1317</v>
      </c>
      <c r="CV15" s="1" t="s">
        <v>1393</v>
      </c>
      <c r="CW15" s="1" t="s">
        <v>1338</v>
      </c>
      <c r="CX15" s="1" t="s">
        <v>722</v>
      </c>
      <c r="CY15" s="1" t="s">
        <v>1337</v>
      </c>
      <c r="CZ15" s="1" t="s">
        <v>1339</v>
      </c>
      <c r="DB15" s="1" t="s">
        <v>1317</v>
      </c>
      <c r="DC15" s="1" t="s">
        <v>1393</v>
      </c>
      <c r="DD15" s="1" t="s">
        <v>1338</v>
      </c>
      <c r="DE15" s="1" t="s">
        <v>722</v>
      </c>
      <c r="DF15" s="1" t="s">
        <v>1337</v>
      </c>
      <c r="DG15" s="1" t="s">
        <v>1339</v>
      </c>
      <c r="DI15" s="1" t="s">
        <v>1317</v>
      </c>
      <c r="DJ15" s="1" t="s">
        <v>1393</v>
      </c>
      <c r="DK15" s="1" t="s">
        <v>1338</v>
      </c>
      <c r="DL15" s="1" t="s">
        <v>722</v>
      </c>
      <c r="DM15" s="1" t="s">
        <v>1337</v>
      </c>
      <c r="DN15" s="1" t="s">
        <v>1339</v>
      </c>
      <c r="DP15" s="1" t="s">
        <v>1317</v>
      </c>
      <c r="DQ15" s="1" t="s">
        <v>1393</v>
      </c>
      <c r="DR15" s="1" t="s">
        <v>1338</v>
      </c>
      <c r="DS15" s="1" t="s">
        <v>722</v>
      </c>
      <c r="DT15" s="1" t="s">
        <v>1337</v>
      </c>
      <c r="DU15" s="1" t="s">
        <v>1339</v>
      </c>
      <c r="DW15" s="1" t="s">
        <v>1317</v>
      </c>
      <c r="DX15" s="1" t="s">
        <v>1393</v>
      </c>
      <c r="DY15" s="1" t="s">
        <v>1338</v>
      </c>
      <c r="DZ15" s="1" t="s">
        <v>722</v>
      </c>
      <c r="EA15" s="1" t="s">
        <v>1337</v>
      </c>
      <c r="EB15" s="1" t="s">
        <v>1339</v>
      </c>
      <c r="ED15" s="1" t="s">
        <v>1317</v>
      </c>
      <c r="EE15" s="1" t="s">
        <v>1393</v>
      </c>
      <c r="EF15" s="1" t="s">
        <v>1338</v>
      </c>
      <c r="EG15" s="1" t="s">
        <v>722</v>
      </c>
      <c r="EH15" s="1" t="s">
        <v>1337</v>
      </c>
      <c r="EI15" s="1" t="s">
        <v>1339</v>
      </c>
      <c r="EK15" s="1" t="s">
        <v>1317</v>
      </c>
      <c r="EL15" s="1" t="s">
        <v>1393</v>
      </c>
      <c r="EM15" s="1" t="s">
        <v>1338</v>
      </c>
      <c r="EN15" s="1" t="s">
        <v>722</v>
      </c>
      <c r="EO15" s="1" t="s">
        <v>1337</v>
      </c>
      <c r="EP15" s="1" t="s">
        <v>1339</v>
      </c>
    </row>
    <row r="16" spans="1:146" x14ac:dyDescent="0.4">
      <c r="A16">
        <v>226</v>
      </c>
      <c r="B16" s="12" t="s">
        <v>1318</v>
      </c>
      <c r="C16" s="2"/>
      <c r="D16" s="55" t="s">
        <v>1318</v>
      </c>
      <c r="E16">
        <f>C16</f>
        <v>0</v>
      </c>
      <c r="F16" s="90" t="e">
        <f>IF(E16&gt;=LARGE(E$16:E$36,6),E16/E$38,0)</f>
        <v>#DIV/0!</v>
      </c>
      <c r="H16">
        <v>226</v>
      </c>
      <c r="I16" s="12" t="s">
        <v>1318</v>
      </c>
      <c r="J16" s="2">
        <v>51.7637</v>
      </c>
      <c r="K16" s="55" t="s">
        <v>1318</v>
      </c>
      <c r="L16">
        <f>J16</f>
        <v>51.7637</v>
      </c>
      <c r="M16" s="90">
        <f>IF(L16&gt;=LARGE(L$16:L$36,6),L16/L$38,0)</f>
        <v>0</v>
      </c>
      <c r="O16">
        <v>226</v>
      </c>
      <c r="P16" s="12" t="s">
        <v>1318</v>
      </c>
      <c r="Q16" s="2">
        <v>185.41630000000001</v>
      </c>
      <c r="R16" s="55" t="s">
        <v>1318</v>
      </c>
      <c r="S16">
        <f>Q16</f>
        <v>185.41630000000001</v>
      </c>
      <c r="T16" s="90">
        <f>IF(S16&gt;=LARGE(S$16:S$36,6),S16/S$38,0)</f>
        <v>0.15020823894687066</v>
      </c>
      <c r="V16">
        <v>226</v>
      </c>
      <c r="W16" s="12" t="s">
        <v>1318</v>
      </c>
      <c r="X16" s="2">
        <v>40.16375</v>
      </c>
      <c r="Y16" s="55" t="s">
        <v>1318</v>
      </c>
      <c r="Z16">
        <f>X16</f>
        <v>40.16375</v>
      </c>
      <c r="AA16" s="90">
        <f>IF(Z16&gt;=LARGE(Z$16:Z$36,6),Z16/Z$38,0)</f>
        <v>0</v>
      </c>
      <c r="AC16">
        <v>226</v>
      </c>
      <c r="AD16" s="12" t="s">
        <v>1318</v>
      </c>
      <c r="AE16" s="2">
        <v>22.888100000000001</v>
      </c>
      <c r="AF16" s="55" t="s">
        <v>1318</v>
      </c>
      <c r="AG16">
        <f>AE16</f>
        <v>22.888100000000001</v>
      </c>
      <c r="AH16" s="90">
        <f>IF(AG16&gt;=LARGE(AG$16:AG$36,6),AG16/AG$38,0)</f>
        <v>0</v>
      </c>
      <c r="AJ16">
        <v>226</v>
      </c>
      <c r="AK16" s="12" t="s">
        <v>1318</v>
      </c>
      <c r="AL16" s="2">
        <v>25.394590000000001</v>
      </c>
      <c r="AM16" s="55" t="s">
        <v>1318</v>
      </c>
      <c r="AN16">
        <f>AL16</f>
        <v>25.394590000000001</v>
      </c>
      <c r="AO16" s="90">
        <f>IF(AN16&gt;=LARGE(AN$16:AN$36,6),AN16/AN$38,0)</f>
        <v>0</v>
      </c>
      <c r="AQ16">
        <v>226</v>
      </c>
      <c r="AR16" s="12" t="s">
        <v>1318</v>
      </c>
      <c r="AS16" s="2">
        <v>25.115729999999999</v>
      </c>
      <c r="AT16" s="55" t="s">
        <v>1318</v>
      </c>
      <c r="AU16">
        <f>AS16</f>
        <v>25.115729999999999</v>
      </c>
      <c r="AV16" s="90">
        <f>IF(AU16&gt;=LARGE(AU$16:AU$36,6),AU16/AU$38,0)</f>
        <v>0</v>
      </c>
      <c r="AX16">
        <v>226</v>
      </c>
      <c r="AY16" s="12" t="s">
        <v>1318</v>
      </c>
      <c r="AZ16" s="2">
        <v>24.134969999999999</v>
      </c>
      <c r="BA16" s="55" t="s">
        <v>1318</v>
      </c>
      <c r="BB16">
        <f>AZ16</f>
        <v>24.134969999999999</v>
      </c>
      <c r="BC16" s="90">
        <f>IF(BB16&gt;=LARGE(BB$16:BB$36,6),BB16/BB$38,0)</f>
        <v>0</v>
      </c>
      <c r="BE16">
        <v>226</v>
      </c>
      <c r="BF16" s="12" t="s">
        <v>1318</v>
      </c>
      <c r="BG16" s="2">
        <v>20.048259999999999</v>
      </c>
      <c r="BH16" s="55" t="s">
        <v>1318</v>
      </c>
      <c r="BI16">
        <f>BG16</f>
        <v>20.048259999999999</v>
      </c>
      <c r="BJ16" s="90">
        <f>IF(BI16&gt;=LARGE(BI$16:BI$36,6),BI16/BI$38,0)</f>
        <v>0</v>
      </c>
      <c r="BL16">
        <v>226</v>
      </c>
      <c r="BM16" s="12" t="s">
        <v>1318</v>
      </c>
      <c r="BN16" s="2">
        <v>22.34056</v>
      </c>
      <c r="BO16" s="55" t="s">
        <v>1318</v>
      </c>
      <c r="BP16">
        <f>BN16</f>
        <v>22.34056</v>
      </c>
      <c r="BQ16" s="90">
        <f>IF(BP16&gt;=LARGE(BP$16:BP$36,6),BP16/BP$38,0)</f>
        <v>0</v>
      </c>
      <c r="BS16">
        <v>226</v>
      </c>
      <c r="BT16" s="12" t="s">
        <v>1318</v>
      </c>
      <c r="BU16" s="2"/>
      <c r="BV16" s="55" t="s">
        <v>1318</v>
      </c>
      <c r="BW16">
        <f>BU16</f>
        <v>0</v>
      </c>
      <c r="BX16" s="90">
        <f>IF(BW16&gt;=LARGE(BW$16:BW$36,6),BW16/BW$38,0)</f>
        <v>0</v>
      </c>
      <c r="BZ16">
        <v>226</v>
      </c>
      <c r="CA16" s="12" t="s">
        <v>1318</v>
      </c>
      <c r="CB16" s="2"/>
      <c r="CC16" s="55" t="s">
        <v>1318</v>
      </c>
      <c r="CD16">
        <f>CB16</f>
        <v>0</v>
      </c>
      <c r="CE16" s="90">
        <f>IF(CD16&gt;=LARGE(CD$16:CD$36,6),CD16/CD$38,0)</f>
        <v>0</v>
      </c>
      <c r="CG16">
        <v>226</v>
      </c>
      <c r="CH16" s="12" t="s">
        <v>1318</v>
      </c>
      <c r="CI16" s="2"/>
      <c r="CJ16" s="55" t="s">
        <v>1318</v>
      </c>
      <c r="CK16">
        <f>CI16</f>
        <v>0</v>
      </c>
      <c r="CL16" s="90">
        <f>IF(CK16&gt;=LARGE(CK$16:CK$36,6),CK16/CK$38,0)</f>
        <v>0</v>
      </c>
      <c r="CN16">
        <v>226</v>
      </c>
      <c r="CO16" s="12" t="s">
        <v>1318</v>
      </c>
      <c r="CP16" s="2"/>
      <c r="CQ16" s="55" t="s">
        <v>1318</v>
      </c>
      <c r="CR16">
        <f>CP16</f>
        <v>0</v>
      </c>
      <c r="CS16" s="90">
        <f>IF(CR16&gt;=LARGE(CR$16:CR$36,6),CR16/CR$38,0)</f>
        <v>0</v>
      </c>
      <c r="CU16">
        <v>226</v>
      </c>
      <c r="CV16" s="12" t="s">
        <v>1318</v>
      </c>
      <c r="CW16" s="2"/>
      <c r="CX16" s="55" t="s">
        <v>1318</v>
      </c>
      <c r="CY16">
        <f>CW16</f>
        <v>0</v>
      </c>
      <c r="CZ16" s="90">
        <f>IF(CY16&gt;=LARGE(CY$16:CY$36,6),CY16/CY$38,0)</f>
        <v>0</v>
      </c>
      <c r="DB16">
        <v>226</v>
      </c>
      <c r="DC16" s="12" t="s">
        <v>1318</v>
      </c>
      <c r="DD16" s="2"/>
      <c r="DE16" s="55" t="s">
        <v>1318</v>
      </c>
      <c r="DF16">
        <f>DD16</f>
        <v>0</v>
      </c>
      <c r="DG16" s="90">
        <f>IF(DF16&gt;=LARGE(DF$16:DF$36,6),DF16/DF$38,0)</f>
        <v>0</v>
      </c>
      <c r="DI16">
        <v>226</v>
      </c>
      <c r="DJ16" s="12" t="s">
        <v>1318</v>
      </c>
      <c r="DK16" s="2"/>
      <c r="DL16" s="55" t="s">
        <v>1318</v>
      </c>
      <c r="DM16">
        <f>DK16</f>
        <v>0</v>
      </c>
      <c r="DN16" s="90">
        <f>IF(DM16&gt;=LARGE(DM$16:DM$36,6),DM16/DM$38,0)</f>
        <v>0</v>
      </c>
      <c r="DP16">
        <v>226</v>
      </c>
      <c r="DQ16" s="12" t="s">
        <v>1318</v>
      </c>
      <c r="DR16" s="2"/>
      <c r="DS16" s="55" t="s">
        <v>1318</v>
      </c>
      <c r="DT16">
        <f>DR16</f>
        <v>0</v>
      </c>
      <c r="DU16" s="90">
        <f>IF(DT16&gt;=LARGE(DT$16:DT$36,6),DT16/DT$38,0)</f>
        <v>0</v>
      </c>
      <c r="DW16">
        <v>226</v>
      </c>
      <c r="DX16" s="12" t="s">
        <v>1318</v>
      </c>
      <c r="DY16" s="2"/>
      <c r="DZ16" s="55" t="s">
        <v>1318</v>
      </c>
      <c r="EA16">
        <f>DY16</f>
        <v>0</v>
      </c>
      <c r="EB16" s="90">
        <f>IF(EA16&gt;=LARGE(EA$16:EA$36,6),EA16/EA$38,0)</f>
        <v>0</v>
      </c>
      <c r="ED16">
        <v>226</v>
      </c>
      <c r="EE16" s="12" t="s">
        <v>1318</v>
      </c>
      <c r="EF16" s="2"/>
      <c r="EG16" s="55" t="s">
        <v>1318</v>
      </c>
      <c r="EH16">
        <f>EF16</f>
        <v>0</v>
      </c>
      <c r="EI16" s="90">
        <f>IF(EH16&gt;=LARGE(EH$16:EH$36,6),EH16/EH$38,0)</f>
        <v>0</v>
      </c>
      <c r="EK16">
        <v>226</v>
      </c>
      <c r="EL16" s="12" t="s">
        <v>1318</v>
      </c>
      <c r="EM16" s="2"/>
      <c r="EN16" s="55" t="s">
        <v>1318</v>
      </c>
      <c r="EO16">
        <f>EM16</f>
        <v>0</v>
      </c>
      <c r="EP16" s="90">
        <f>IF(EO16&gt;=LARGE(EO$16:EO$36,6),EO16/EO$38,0)</f>
        <v>0</v>
      </c>
    </row>
    <row r="17" spans="1:146" x14ac:dyDescent="0.4">
      <c r="A17">
        <v>225</v>
      </c>
      <c r="B17" s="12" t="s">
        <v>1320</v>
      </c>
      <c r="C17" s="2"/>
      <c r="D17" s="55" t="s">
        <v>1319</v>
      </c>
      <c r="E17">
        <f>SUM(C20,C28,C32)</f>
        <v>0</v>
      </c>
      <c r="F17" s="90" t="e">
        <f t="shared" ref="F17:F36" si="0">IF(E17&gt;=LARGE(E$16:E$36,6),E17/E$38,0)</f>
        <v>#DIV/0!</v>
      </c>
      <c r="H17">
        <v>225</v>
      </c>
      <c r="I17" s="12" t="s">
        <v>1320</v>
      </c>
      <c r="J17" s="2">
        <v>33.263829999999999</v>
      </c>
      <c r="K17" s="55" t="s">
        <v>1319</v>
      </c>
      <c r="L17">
        <f>SUM(J20,J28,J32)</f>
        <v>134.33215999999999</v>
      </c>
      <c r="M17" s="90">
        <f t="shared" ref="M17:M36" si="1">IF(L17&gt;=LARGE(L$16:L$36,6),L17/L$38,0)</f>
        <v>0.10013890630049659</v>
      </c>
      <c r="O17">
        <v>225</v>
      </c>
      <c r="P17" s="12" t="s">
        <v>1320</v>
      </c>
      <c r="Q17" s="2">
        <v>37.83858</v>
      </c>
      <c r="R17" s="55" t="s">
        <v>1319</v>
      </c>
      <c r="S17">
        <f>SUM(Q20,Q28,Q32)</f>
        <v>215.87682100000001</v>
      </c>
      <c r="T17" s="90">
        <f t="shared" ref="T17:T36" si="2">IF(S17&gt;=LARGE(S$16:S$36,6),S17/S$38,0)</f>
        <v>0.17488471677980214</v>
      </c>
      <c r="V17">
        <v>225</v>
      </c>
      <c r="W17" s="12" t="s">
        <v>1320</v>
      </c>
      <c r="X17" s="2">
        <v>36.92521</v>
      </c>
      <c r="Y17" s="55" t="s">
        <v>1319</v>
      </c>
      <c r="Z17">
        <f>SUM(X20,X28,X32)</f>
        <v>106.80754999999999</v>
      </c>
      <c r="AA17" s="90">
        <f t="shared" ref="AA17:AA36" si="3">IF(Z17&gt;=LARGE(Z$16:Z$36,6),Z17/Z$38,0)</f>
        <v>9.7542020766890378E-2</v>
      </c>
      <c r="AC17">
        <v>225</v>
      </c>
      <c r="AD17" s="12" t="s">
        <v>1320</v>
      </c>
      <c r="AE17" s="2">
        <v>25.367650000000001</v>
      </c>
      <c r="AF17" s="55" t="s">
        <v>1319</v>
      </c>
      <c r="AG17">
        <f>SUM(AE20,AE28,AE32)</f>
        <v>89.900570000000002</v>
      </c>
      <c r="AH17" s="90">
        <f t="shared" ref="AH17:AH36" si="4">IF(AG17&gt;=LARGE(AG$16:AG$36,6),AG17/AG$38,0)</f>
        <v>9.2423452046272572E-2</v>
      </c>
      <c r="AJ17">
        <v>225</v>
      </c>
      <c r="AK17" s="12" t="s">
        <v>1320</v>
      </c>
      <c r="AL17" s="2">
        <v>25.770219999999998</v>
      </c>
      <c r="AM17" s="55" t="s">
        <v>1319</v>
      </c>
      <c r="AN17">
        <f>SUM(AL20,AL28,AL32)</f>
        <v>83.816679999999991</v>
      </c>
      <c r="AO17" s="90">
        <f t="shared" ref="AO17:AO36" si="5">IF(AN17&gt;=LARGE(AN$16:AN$36,6),AN17/AN$38,0)</f>
        <v>9.0738671379721636E-2</v>
      </c>
      <c r="AQ17">
        <v>225</v>
      </c>
      <c r="AR17" s="12" t="s">
        <v>1320</v>
      </c>
      <c r="AS17" s="2">
        <v>28.371420000000001</v>
      </c>
      <c r="AT17" s="55" t="s">
        <v>1319</v>
      </c>
      <c r="AU17">
        <f>SUM(AS20,AS28,AS32)</f>
        <v>84.270570000000006</v>
      </c>
      <c r="AV17" s="90">
        <f t="shared" ref="AV17:AV36" si="6">IF(AU17&gt;=LARGE(AU$16:AU$36,6),AU17/AU$38,0)</f>
        <v>0</v>
      </c>
      <c r="AX17">
        <v>225</v>
      </c>
      <c r="AY17" s="12" t="s">
        <v>1320</v>
      </c>
      <c r="AZ17" s="2">
        <v>24.443300000000001</v>
      </c>
      <c r="BA17" s="55" t="s">
        <v>1319</v>
      </c>
      <c r="BB17">
        <f>SUM(AZ20,AZ28,AZ32)</f>
        <v>81.234390000000005</v>
      </c>
      <c r="BC17" s="90">
        <f t="shared" ref="BC17:BC36" si="7">IF(BB17&gt;=LARGE(BB$16:BB$36,6),BB17/BB$38,0)</f>
        <v>0</v>
      </c>
      <c r="BE17">
        <v>225</v>
      </c>
      <c r="BF17" s="12" t="s">
        <v>1320</v>
      </c>
      <c r="BG17" s="2">
        <v>17.404209999999999</v>
      </c>
      <c r="BH17" s="55" t="s">
        <v>1319</v>
      </c>
      <c r="BI17">
        <f>SUM(BG20,BG28,BG32)</f>
        <v>72.25752</v>
      </c>
      <c r="BJ17" s="90">
        <f t="shared" ref="BJ17:BJ36" si="8">IF(BI17&gt;=LARGE(BI$16:BI$36,6),BI17/BI$38,0)</f>
        <v>0</v>
      </c>
      <c r="BL17">
        <v>225</v>
      </c>
      <c r="BM17" s="12" t="s">
        <v>1320</v>
      </c>
      <c r="BN17" s="2">
        <v>22.463039999999999</v>
      </c>
      <c r="BO17" s="55" t="s">
        <v>1319</v>
      </c>
      <c r="BP17">
        <f>SUM(BN20,BN28,BN32)</f>
        <v>76.129880000000014</v>
      </c>
      <c r="BQ17" s="90">
        <f t="shared" ref="BQ17:BQ36" si="9">IF(BP17&gt;=LARGE(BP$16:BP$36,6),BP17/BP$38,0)</f>
        <v>0</v>
      </c>
      <c r="BS17">
        <v>225</v>
      </c>
      <c r="BT17" s="12" t="s">
        <v>1320</v>
      </c>
      <c r="BU17" s="2">
        <v>68.776629999999997</v>
      </c>
      <c r="BV17" s="55" t="s">
        <v>1319</v>
      </c>
      <c r="BW17">
        <f>SUM(BU20,BU28,BU32)</f>
        <v>74.104089999999999</v>
      </c>
      <c r="BX17" s="90">
        <f t="shared" ref="BX17:BX36" si="10">IF(BW17&gt;=LARGE(BW$16:BW$36,6),BW17/BW$38,0)</f>
        <v>0</v>
      </c>
      <c r="BZ17">
        <v>225</v>
      </c>
      <c r="CA17" s="12" t="s">
        <v>1320</v>
      </c>
      <c r="CB17" s="2"/>
      <c r="CC17" s="55" t="s">
        <v>1319</v>
      </c>
      <c r="CD17">
        <f>SUM(CB20,CB28,CB32)</f>
        <v>0</v>
      </c>
      <c r="CE17" s="90">
        <f t="shared" ref="CE17:CE36" si="11">IF(CD17&gt;=LARGE(CD$16:CD$36,6),CD17/CD$38,0)</f>
        <v>0</v>
      </c>
      <c r="CG17">
        <v>225</v>
      </c>
      <c r="CH17" s="12" t="s">
        <v>1320</v>
      </c>
      <c r="CI17" s="2"/>
      <c r="CJ17" s="55" t="s">
        <v>1319</v>
      </c>
      <c r="CK17">
        <f>SUM(CI20,CI28,CI32)</f>
        <v>0</v>
      </c>
      <c r="CL17" s="90">
        <f t="shared" ref="CL17:CL36" si="12">IF(CK17&gt;=LARGE(CK$16:CK$36,6),CK17/CK$38,0)</f>
        <v>0</v>
      </c>
      <c r="CN17">
        <v>225</v>
      </c>
      <c r="CO17" s="12" t="s">
        <v>1320</v>
      </c>
      <c r="CP17" s="2"/>
      <c r="CQ17" s="55" t="s">
        <v>1319</v>
      </c>
      <c r="CR17">
        <f>SUM(CP20,CP28,CP32)</f>
        <v>0</v>
      </c>
      <c r="CS17" s="90">
        <f t="shared" ref="CS17:CS36" si="13">IF(CR17&gt;=LARGE(CR$16:CR$36,6),CR17/CR$38,0)</f>
        <v>0</v>
      </c>
      <c r="CU17">
        <v>225</v>
      </c>
      <c r="CV17" s="12" t="s">
        <v>1320</v>
      </c>
      <c r="CW17" s="2"/>
      <c r="CX17" s="55" t="s">
        <v>1319</v>
      </c>
      <c r="CY17">
        <f>SUM(CW20,CW28,CW32)</f>
        <v>0</v>
      </c>
      <c r="CZ17" s="90">
        <f t="shared" ref="CZ17:CZ36" si="14">IF(CY17&gt;=LARGE(CY$16:CY$36,6),CY17/CY$38,0)</f>
        <v>0</v>
      </c>
      <c r="DB17">
        <v>225</v>
      </c>
      <c r="DC17" s="12" t="s">
        <v>1320</v>
      </c>
      <c r="DD17" s="2"/>
      <c r="DE17" s="55" t="s">
        <v>1319</v>
      </c>
      <c r="DF17">
        <f>SUM(DD20,DD28,DD32)</f>
        <v>0</v>
      </c>
      <c r="DG17" s="90">
        <f t="shared" ref="DG17:DG36" si="15">IF(DF17&gt;=LARGE(DF$16:DF$36,6),DF17/DF$38,0)</f>
        <v>0</v>
      </c>
      <c r="DI17">
        <v>225</v>
      </c>
      <c r="DJ17" s="12" t="s">
        <v>1320</v>
      </c>
      <c r="DK17" s="2"/>
      <c r="DL17" s="55" t="s">
        <v>1319</v>
      </c>
      <c r="DM17">
        <f>SUM(DK20,DK28,DK32)</f>
        <v>0</v>
      </c>
      <c r="DN17" s="90">
        <f t="shared" ref="DN17:DN36" si="16">IF(DM17&gt;=LARGE(DM$16:DM$36,6),DM17/DM$38,0)</f>
        <v>0</v>
      </c>
      <c r="DP17">
        <v>225</v>
      </c>
      <c r="DQ17" s="12" t="s">
        <v>1320</v>
      </c>
      <c r="DR17" s="2"/>
      <c r="DS17" s="55" t="s">
        <v>1319</v>
      </c>
      <c r="DT17">
        <f>SUM(DR20,DR28,DR32)</f>
        <v>0</v>
      </c>
      <c r="DU17" s="90">
        <f t="shared" ref="DU17:DU36" si="17">IF(DT17&gt;=LARGE(DT$16:DT$36,6),DT17/DT$38,0)</f>
        <v>0</v>
      </c>
      <c r="DW17">
        <v>225</v>
      </c>
      <c r="DX17" s="12" t="s">
        <v>1320</v>
      </c>
      <c r="DY17" s="2"/>
      <c r="DZ17" s="55" t="s">
        <v>1319</v>
      </c>
      <c r="EA17">
        <f>SUM(DY20,DY28,DY32)</f>
        <v>0</v>
      </c>
      <c r="EB17" s="90">
        <f t="shared" ref="EB17:EB36" si="18">IF(EA17&gt;=LARGE(EA$16:EA$36,6),EA17/EA$38,0)</f>
        <v>0</v>
      </c>
      <c r="ED17">
        <v>225</v>
      </c>
      <c r="EE17" s="12" t="s">
        <v>1320</v>
      </c>
      <c r="EF17" s="2"/>
      <c r="EG17" s="55" t="s">
        <v>1319</v>
      </c>
      <c r="EH17">
        <f>SUM(EF20,EF28,EF32)</f>
        <v>0</v>
      </c>
      <c r="EI17" s="90">
        <f t="shared" ref="EI17:EI36" si="19">IF(EH17&gt;=LARGE(EH$16:EH$36,6),EH17/EH$38,0)</f>
        <v>0</v>
      </c>
      <c r="EK17">
        <v>225</v>
      </c>
      <c r="EL17" s="12" t="s">
        <v>1320</v>
      </c>
      <c r="EM17" s="2"/>
      <c r="EN17" s="55" t="s">
        <v>1319</v>
      </c>
      <c r="EO17">
        <f>SUM(EM20,EM28,EM32)</f>
        <v>0</v>
      </c>
      <c r="EP17" s="90">
        <f t="shared" ref="EP17:EP36" si="20">IF(EO17&gt;=LARGE(EO$16:EO$36,6),EO17/EO$38,0)</f>
        <v>0</v>
      </c>
    </row>
    <row r="18" spans="1:146" x14ac:dyDescent="0.4">
      <c r="A18">
        <v>224</v>
      </c>
      <c r="B18" s="12" t="s">
        <v>1321</v>
      </c>
      <c r="C18" s="2"/>
      <c r="D18" s="55" t="s">
        <v>1320</v>
      </c>
      <c r="E18">
        <f>SUM(C17,C21,C25,C29,C33)</f>
        <v>0</v>
      </c>
      <c r="F18" s="90" t="e">
        <f t="shared" si="0"/>
        <v>#DIV/0!</v>
      </c>
      <c r="H18">
        <v>224</v>
      </c>
      <c r="I18" s="12" t="s">
        <v>1321</v>
      </c>
      <c r="J18" s="2">
        <v>42.397419999999997</v>
      </c>
      <c r="K18" s="55" t="s">
        <v>1320</v>
      </c>
      <c r="L18">
        <f>SUM(J17,J21,J25,J29,J33)</f>
        <v>207.25242999999998</v>
      </c>
      <c r="M18" s="90">
        <f>IF(L18&gt;=LARGE(L$16:L$36,6),L18/L$38,0)</f>
        <v>0.15449786312019567</v>
      </c>
      <c r="O18">
        <v>224</v>
      </c>
      <c r="P18" s="12" t="s">
        <v>1321</v>
      </c>
      <c r="Q18" s="4">
        <v>6.5997379999999994E-8</v>
      </c>
      <c r="R18" s="55" t="s">
        <v>1320</v>
      </c>
      <c r="S18">
        <f>SUM(Q17,Q21,Q25,Q29,Q33)</f>
        <v>150.48799200000579</v>
      </c>
      <c r="T18" s="90">
        <f t="shared" si="2"/>
        <v>0.12191234676224059</v>
      </c>
      <c r="V18">
        <v>224</v>
      </c>
      <c r="W18" s="12" t="s">
        <v>1321</v>
      </c>
      <c r="X18" s="4">
        <v>29.945509999999999</v>
      </c>
      <c r="Y18" s="55" t="s">
        <v>1320</v>
      </c>
      <c r="Z18">
        <f>SUM(X17,X21,X25,X29,X33)</f>
        <v>178.78845999999999</v>
      </c>
      <c r="AA18" s="90">
        <f t="shared" si="3"/>
        <v>0.16327860416422202</v>
      </c>
      <c r="AC18">
        <v>224</v>
      </c>
      <c r="AD18" s="12" t="s">
        <v>1321</v>
      </c>
      <c r="AE18" s="2">
        <v>30.47289</v>
      </c>
      <c r="AF18" s="55" t="s">
        <v>1320</v>
      </c>
      <c r="AG18">
        <f>SUM(AE17,AE21,AE25,AE29,AE33)</f>
        <v>141.15608</v>
      </c>
      <c r="AH18" s="90">
        <f t="shared" si="4"/>
        <v>0.1451173467634278</v>
      </c>
      <c r="AJ18">
        <v>224</v>
      </c>
      <c r="AK18" s="12" t="s">
        <v>1321</v>
      </c>
      <c r="AL18" s="2">
        <v>25.741630000000001</v>
      </c>
      <c r="AM18" s="55" t="s">
        <v>1320</v>
      </c>
      <c r="AN18">
        <f>SUM(AL17,AL21,AL25,AL29,AL33)</f>
        <v>136.53157000000002</v>
      </c>
      <c r="AO18" s="90">
        <f t="shared" si="5"/>
        <v>0.14780701482315292</v>
      </c>
      <c r="AQ18">
        <v>224</v>
      </c>
      <c r="AR18" s="12" t="s">
        <v>1321</v>
      </c>
      <c r="AS18" s="2">
        <v>29.562560000000001</v>
      </c>
      <c r="AT18" s="55" t="s">
        <v>1320</v>
      </c>
      <c r="AU18">
        <f>SUM(AS17,AS21,AS25,AS29,AS33)</f>
        <v>139.41394</v>
      </c>
      <c r="AV18" s="90">
        <f t="shared" si="6"/>
        <v>0.1459273244055396</v>
      </c>
      <c r="AX18">
        <v>224</v>
      </c>
      <c r="AY18" s="12" t="s">
        <v>1321</v>
      </c>
      <c r="AZ18" s="2">
        <v>24.673200000000001</v>
      </c>
      <c r="BA18" s="55" t="s">
        <v>1320</v>
      </c>
      <c r="BB18">
        <f>SUM(AZ17,AZ21,AZ25,AZ29,AZ33)</f>
        <v>133.26186999999999</v>
      </c>
      <c r="BC18" s="90">
        <f t="shared" si="7"/>
        <v>0.1429716847403793</v>
      </c>
      <c r="BE18">
        <v>224</v>
      </c>
      <c r="BF18" s="12" t="s">
        <v>1321</v>
      </c>
      <c r="BG18" s="2">
        <v>16.074999999999999</v>
      </c>
      <c r="BH18" s="55" t="s">
        <v>1320</v>
      </c>
      <c r="BI18">
        <f>SUM(BG17,BG21,BG25,BG29,BG33)</f>
        <v>116.90534</v>
      </c>
      <c r="BJ18" s="90">
        <f t="shared" si="8"/>
        <v>0.12837130726851589</v>
      </c>
      <c r="BL18">
        <v>224</v>
      </c>
      <c r="BM18" s="12" t="s">
        <v>1321</v>
      </c>
      <c r="BN18" s="2">
        <v>22.397849999999998</v>
      </c>
      <c r="BO18" s="55" t="s">
        <v>1320</v>
      </c>
      <c r="BP18">
        <f>SUM(BN17,BN21,BN25,BN29,BN33)</f>
        <v>123.98849000000001</v>
      </c>
      <c r="BQ18" s="90">
        <f t="shared" si="9"/>
        <v>0.13311559112185603</v>
      </c>
      <c r="BS18">
        <v>224</v>
      </c>
      <c r="BT18" s="12" t="s">
        <v>1321</v>
      </c>
      <c r="BU18" s="2">
        <v>45.059800000000003</v>
      </c>
      <c r="BV18" s="55" t="s">
        <v>1320</v>
      </c>
      <c r="BW18">
        <f>SUM(BU17,BU21,BU25,BU29,BU33)</f>
        <v>163.06304</v>
      </c>
      <c r="BX18" s="90">
        <f t="shared" si="10"/>
        <v>0.16392234222786295</v>
      </c>
      <c r="BZ18">
        <v>224</v>
      </c>
      <c r="CA18" s="12" t="s">
        <v>1321</v>
      </c>
      <c r="CB18" s="2"/>
      <c r="CC18" s="55" t="s">
        <v>1320</v>
      </c>
      <c r="CD18">
        <f>SUM(CB17,CB21,CB25,CB29,CB33)</f>
        <v>112.6742</v>
      </c>
      <c r="CE18" s="90">
        <f t="shared" si="11"/>
        <v>0.1597270290700579</v>
      </c>
      <c r="CG18">
        <v>224</v>
      </c>
      <c r="CH18" s="12" t="s">
        <v>1321</v>
      </c>
      <c r="CI18" s="2"/>
      <c r="CJ18" s="55" t="s">
        <v>1320</v>
      </c>
      <c r="CK18">
        <f>SUM(CI17,CI21,CI25,CI29,CI33)</f>
        <v>0</v>
      </c>
      <c r="CL18" s="90">
        <f t="shared" si="12"/>
        <v>0</v>
      </c>
      <c r="CN18">
        <v>224</v>
      </c>
      <c r="CO18" s="12" t="s">
        <v>1321</v>
      </c>
      <c r="CP18" s="2"/>
      <c r="CQ18" s="55" t="s">
        <v>1320</v>
      </c>
      <c r="CR18">
        <f>SUM(CP17,CP21,CP25,CP29,CP33)</f>
        <v>0</v>
      </c>
      <c r="CS18" s="90">
        <f t="shared" si="13"/>
        <v>0</v>
      </c>
      <c r="CU18">
        <v>224</v>
      </c>
      <c r="CV18" s="12" t="s">
        <v>1321</v>
      </c>
      <c r="CW18" s="2"/>
      <c r="CX18" s="55" t="s">
        <v>1320</v>
      </c>
      <c r="CY18">
        <f>SUM(CW17,CW21,CW25,CW29,CW33)</f>
        <v>0</v>
      </c>
      <c r="CZ18" s="90">
        <f t="shared" si="14"/>
        <v>0</v>
      </c>
      <c r="DB18">
        <v>224</v>
      </c>
      <c r="DC18" s="12" t="s">
        <v>1321</v>
      </c>
      <c r="DD18" s="2"/>
      <c r="DE18" s="55" t="s">
        <v>1320</v>
      </c>
      <c r="DF18">
        <f>SUM(DD17,DD21,DD25,DD29,DD33)</f>
        <v>0</v>
      </c>
      <c r="DG18" s="90">
        <f t="shared" si="15"/>
        <v>0</v>
      </c>
      <c r="DI18">
        <v>224</v>
      </c>
      <c r="DJ18" s="12" t="s">
        <v>1321</v>
      </c>
      <c r="DK18" s="2"/>
      <c r="DL18" s="55" t="s">
        <v>1320</v>
      </c>
      <c r="DM18">
        <f>SUM(DK17,DK21,DK25,DK29,DK33)</f>
        <v>0</v>
      </c>
      <c r="DN18" s="90">
        <f t="shared" si="16"/>
        <v>0</v>
      </c>
      <c r="DP18">
        <v>224</v>
      </c>
      <c r="DQ18" s="12" t="s">
        <v>1321</v>
      </c>
      <c r="DR18" s="2"/>
      <c r="DS18" s="55" t="s">
        <v>1320</v>
      </c>
      <c r="DT18">
        <f>SUM(DR17,DR21,DR25,DR29,DR33)</f>
        <v>0</v>
      </c>
      <c r="DU18" s="90">
        <f t="shared" si="17"/>
        <v>0</v>
      </c>
      <c r="DW18">
        <v>224</v>
      </c>
      <c r="DX18" s="12" t="s">
        <v>1321</v>
      </c>
      <c r="DY18" s="2"/>
      <c r="DZ18" s="55" t="s">
        <v>1320</v>
      </c>
      <c r="EA18">
        <f>SUM(DY17,DY21,DY25,DY29,DY33)</f>
        <v>0</v>
      </c>
      <c r="EB18" s="90">
        <f t="shared" si="18"/>
        <v>0</v>
      </c>
      <c r="ED18">
        <v>224</v>
      </c>
      <c r="EE18" s="12" t="s">
        <v>1321</v>
      </c>
      <c r="EF18" s="2"/>
      <c r="EG18" s="55" t="s">
        <v>1320</v>
      </c>
      <c r="EH18">
        <f>SUM(EF17,EF21,EF25,EF29,EF33)</f>
        <v>0</v>
      </c>
      <c r="EI18" s="90">
        <f t="shared" si="19"/>
        <v>0</v>
      </c>
      <c r="EK18">
        <v>224</v>
      </c>
      <c r="EL18" s="12" t="s">
        <v>1321</v>
      </c>
      <c r="EM18" s="2"/>
      <c r="EN18" s="55" t="s">
        <v>1320</v>
      </c>
      <c r="EO18">
        <f>SUM(EM17,EM21,EM25,EM29,EM33)</f>
        <v>0</v>
      </c>
      <c r="EP18" s="90">
        <f t="shared" si="20"/>
        <v>0</v>
      </c>
    </row>
    <row r="19" spans="1:146" x14ac:dyDescent="0.4">
      <c r="A19">
        <v>223</v>
      </c>
      <c r="B19" s="12" t="s">
        <v>1321</v>
      </c>
      <c r="C19" s="2"/>
      <c r="D19" s="55" t="s">
        <v>1321</v>
      </c>
      <c r="E19">
        <f>SUM(C18:C19,C22:C24,C26:C27,C30:C31,C34:C36)</f>
        <v>0</v>
      </c>
      <c r="F19" s="90" t="e">
        <f t="shared" si="0"/>
        <v>#DIV/0!</v>
      </c>
      <c r="H19">
        <v>223</v>
      </c>
      <c r="I19" s="12" t="s">
        <v>1321</v>
      </c>
      <c r="J19" s="2">
        <v>56.737009999999998</v>
      </c>
      <c r="K19" s="55" t="s">
        <v>1321</v>
      </c>
      <c r="L19">
        <f>SUM(J18:J19,J22:J24,J26:J27,J30:J31,J34:J36)</f>
        <v>553.1017599999999</v>
      </c>
      <c r="M19" s="90">
        <f t="shared" si="1"/>
        <v>0.41231381464631955</v>
      </c>
      <c r="O19">
        <v>223</v>
      </c>
      <c r="P19" s="12" t="s">
        <v>1321</v>
      </c>
      <c r="Q19" s="2">
        <v>0.1994348</v>
      </c>
      <c r="R19" s="55" t="s">
        <v>1321</v>
      </c>
      <c r="S19">
        <f>SUM(Q18:Q19,Q22:Q24,Q26:Q27,Q30:Q31,Q34:Q36)</f>
        <v>379.12290289299733</v>
      </c>
      <c r="T19" s="90">
        <f t="shared" si="2"/>
        <v>0.30713256379284121</v>
      </c>
      <c r="V19">
        <v>223</v>
      </c>
      <c r="W19" s="12" t="s">
        <v>1321</v>
      </c>
      <c r="X19" s="2">
        <v>29.628240000000002</v>
      </c>
      <c r="Y19" s="55" t="s">
        <v>1321</v>
      </c>
      <c r="Z19">
        <f>SUM(X18:X19,X22:X24,X26:X27,X30:X31,X34:X36)</f>
        <v>405.80968999999993</v>
      </c>
      <c r="AA19" s="90">
        <f t="shared" si="3"/>
        <v>0.37060579714997061</v>
      </c>
      <c r="AC19">
        <v>223</v>
      </c>
      <c r="AD19" s="12" t="s">
        <v>1321</v>
      </c>
      <c r="AE19" s="2">
        <v>32.266129999999997</v>
      </c>
      <c r="AF19" s="55" t="s">
        <v>1321</v>
      </c>
      <c r="AG19">
        <f>SUM(AE18:AE19,AE22:AE24,AE26:AE27,AE30:AE31,AE34:AE36)</f>
        <v>367.33376000000004</v>
      </c>
      <c r="AH19" s="90">
        <f t="shared" si="4"/>
        <v>0.37764225691046233</v>
      </c>
      <c r="AJ19">
        <v>223</v>
      </c>
      <c r="AK19" s="12" t="s">
        <v>1321</v>
      </c>
      <c r="AL19" s="2">
        <v>26.154450000000001</v>
      </c>
      <c r="AM19" s="55" t="s">
        <v>1321</v>
      </c>
      <c r="AN19">
        <f>SUM(AL18:AL19,AL22:AL24,AL26:AL27,AL30:AL31,AL34:AL36)</f>
        <v>333.50825999999995</v>
      </c>
      <c r="AO19" s="90">
        <f t="shared" si="5"/>
        <v>0.36105100329150192</v>
      </c>
      <c r="AQ19">
        <v>223</v>
      </c>
      <c r="AR19" s="12" t="s">
        <v>1321</v>
      </c>
      <c r="AS19" s="2">
        <v>27.981590000000001</v>
      </c>
      <c r="AT19" s="55" t="s">
        <v>1321</v>
      </c>
      <c r="AU19">
        <f>SUM(AS18:AS19,AS22:AS24,AS26:AS27,AS30:AS31,AS34:AS36)</f>
        <v>336.43689000000001</v>
      </c>
      <c r="AV19" s="90">
        <f t="shared" si="6"/>
        <v>0.35215513734868148</v>
      </c>
      <c r="AX19">
        <v>223</v>
      </c>
      <c r="AY19" s="12" t="s">
        <v>1321</v>
      </c>
      <c r="AZ19" s="2">
        <v>25.027650000000001</v>
      </c>
      <c r="BA19" s="55" t="s">
        <v>1321</v>
      </c>
      <c r="BB19">
        <f>SUM(AZ18:AZ19,AZ22:AZ24,AZ26:AZ27,AZ30:AZ31,AZ34:AZ36)</f>
        <v>324.94630000000006</v>
      </c>
      <c r="BC19" s="90">
        <f t="shared" si="7"/>
        <v>0.3486227527885713</v>
      </c>
      <c r="BE19">
        <v>223</v>
      </c>
      <c r="BF19" s="12" t="s">
        <v>1321</v>
      </c>
      <c r="BG19" s="2">
        <v>17.041540000000001</v>
      </c>
      <c r="BH19" s="55" t="s">
        <v>1321</v>
      </c>
      <c r="BI19">
        <f>SUM(BG18:BG19,BG22:BG24,BG26:BG27,BG30:BG31,BG34:BG36)</f>
        <v>295.48049000000003</v>
      </c>
      <c r="BJ19" s="90">
        <f t="shared" si="8"/>
        <v>0.32446094227724448</v>
      </c>
      <c r="BL19">
        <v>223</v>
      </c>
      <c r="BM19" s="12" t="s">
        <v>1321</v>
      </c>
      <c r="BN19" s="2">
        <v>22.82086</v>
      </c>
      <c r="BO19" s="55" t="s">
        <v>1321</v>
      </c>
      <c r="BP19">
        <f>SUM(BN18:BN19,BN22:BN24,BN26:BN27,BN30:BN31,BN34:BN36)</f>
        <v>303.26564000000002</v>
      </c>
      <c r="BQ19" s="90">
        <f t="shared" si="9"/>
        <v>0.32558977801526567</v>
      </c>
      <c r="BS19">
        <v>223</v>
      </c>
      <c r="BT19" s="12" t="s">
        <v>1321</v>
      </c>
      <c r="BU19" s="2">
        <v>29.31748</v>
      </c>
      <c r="BV19" s="55" t="s">
        <v>1321</v>
      </c>
      <c r="BW19">
        <f>SUM(BU18:BU19,BU22:BU24,BU26:BU27,BU30:BU31,BU34:BU36)</f>
        <v>314.03053999999997</v>
      </c>
      <c r="BX19" s="90">
        <f t="shared" si="10"/>
        <v>0.31568540392648509</v>
      </c>
      <c r="BZ19">
        <v>223</v>
      </c>
      <c r="CA19" s="12" t="s">
        <v>1321</v>
      </c>
      <c r="CB19" s="2"/>
      <c r="CC19" s="55" t="s">
        <v>1321</v>
      </c>
      <c r="CD19">
        <f>SUM(CB18:CB19,CB22:CB24,CB26:CB27,CB30:CB31,CB34:CB36)</f>
        <v>122.45372</v>
      </c>
      <c r="CE19" s="90">
        <f t="shared" si="11"/>
        <v>0.17359048383903972</v>
      </c>
      <c r="CG19">
        <v>223</v>
      </c>
      <c r="CH19" s="12" t="s">
        <v>1321</v>
      </c>
      <c r="CI19" s="2"/>
      <c r="CJ19" s="55" t="s">
        <v>1321</v>
      </c>
      <c r="CK19">
        <f>SUM(CI18:CI19,CI22:CI24,CI26:CI27,CI30:CI31,CI34:CI36)</f>
        <v>156.17189999999999</v>
      </c>
      <c r="CL19" s="90">
        <f t="shared" si="12"/>
        <v>0.21041250184009333</v>
      </c>
      <c r="CN19">
        <v>223</v>
      </c>
      <c r="CO19" s="12" t="s">
        <v>1321</v>
      </c>
      <c r="CP19" s="2"/>
      <c r="CQ19" s="55" t="s">
        <v>1321</v>
      </c>
      <c r="CR19">
        <f>SUM(CP18:CP19,CP22:CP24,CP26:CP27,CP30:CP31,CP34:CP36)</f>
        <v>0</v>
      </c>
      <c r="CS19" s="90">
        <f t="shared" si="13"/>
        <v>0</v>
      </c>
      <c r="CU19">
        <v>223</v>
      </c>
      <c r="CV19" s="12" t="s">
        <v>1321</v>
      </c>
      <c r="CW19" s="2"/>
      <c r="CX19" s="55" t="s">
        <v>1321</v>
      </c>
      <c r="CY19">
        <f>SUM(CW18:CW19,CW22:CW24,CW26:CW27,CW30:CW31,CW34:CW36)</f>
        <v>0</v>
      </c>
      <c r="CZ19" s="90">
        <f t="shared" si="14"/>
        <v>0</v>
      </c>
      <c r="DB19">
        <v>223</v>
      </c>
      <c r="DC19" s="12" t="s">
        <v>1321</v>
      </c>
      <c r="DD19" s="2"/>
      <c r="DE19" s="55" t="s">
        <v>1321</v>
      </c>
      <c r="DF19">
        <f>SUM(DD18:DD19,DD22:DD24,DD26:DD27,DD30:DD31,DD34:DD36)</f>
        <v>0</v>
      </c>
      <c r="DG19" s="90">
        <f t="shared" si="15"/>
        <v>0</v>
      </c>
      <c r="DI19">
        <v>223</v>
      </c>
      <c r="DJ19" s="12" t="s">
        <v>1321</v>
      </c>
      <c r="DK19" s="2"/>
      <c r="DL19" s="55" t="s">
        <v>1321</v>
      </c>
      <c r="DM19">
        <f>SUM(DK18:DK19,DK22:DK24,DK26:DK27,DK30:DK31,DK34:DK36)</f>
        <v>0</v>
      </c>
      <c r="DN19" s="90">
        <f t="shared" si="16"/>
        <v>0</v>
      </c>
      <c r="DP19">
        <v>223</v>
      </c>
      <c r="DQ19" s="12" t="s">
        <v>1321</v>
      </c>
      <c r="DR19" s="2"/>
      <c r="DS19" s="55" t="s">
        <v>1321</v>
      </c>
      <c r="DT19">
        <f>SUM(DR18:DR19,DR22:DR24,DR26:DR27,DR30:DR31,DR34:DR36)</f>
        <v>0</v>
      </c>
      <c r="DU19" s="90">
        <f t="shared" si="17"/>
        <v>0</v>
      </c>
      <c r="DW19">
        <v>223</v>
      </c>
      <c r="DX19" s="12" t="s">
        <v>1321</v>
      </c>
      <c r="DY19" s="2"/>
      <c r="DZ19" s="55" t="s">
        <v>1321</v>
      </c>
      <c r="EA19">
        <f>SUM(DY18:DY19,DY22:DY24,DY26:DY27,DY30:DY31,DY34:DY36)</f>
        <v>0</v>
      </c>
      <c r="EB19" s="90">
        <f t="shared" si="18"/>
        <v>0</v>
      </c>
      <c r="ED19">
        <v>223</v>
      </c>
      <c r="EE19" s="12" t="s">
        <v>1321</v>
      </c>
      <c r="EF19" s="2"/>
      <c r="EG19" s="55" t="s">
        <v>1321</v>
      </c>
      <c r="EH19">
        <f>SUM(EF18:EF19,EF22:EF24,EF26:EF27,EF30:EF31,EF34:EF36)</f>
        <v>0</v>
      </c>
      <c r="EI19" s="90">
        <f t="shared" si="19"/>
        <v>0</v>
      </c>
      <c r="EK19">
        <v>223</v>
      </c>
      <c r="EL19" s="12" t="s">
        <v>1321</v>
      </c>
      <c r="EM19" s="2"/>
      <c r="EN19" s="55" t="s">
        <v>1321</v>
      </c>
      <c r="EO19">
        <f>SUM(EM18:EM19,EM22:EM24,EM26:EM27,EM30:EM31,EM34:EM36)</f>
        <v>0</v>
      </c>
      <c r="EP19" s="90">
        <f t="shared" si="20"/>
        <v>0</v>
      </c>
    </row>
    <row r="20" spans="1:146" x14ac:dyDescent="0.4">
      <c r="A20">
        <v>222</v>
      </c>
      <c r="B20" s="12" t="s">
        <v>1319</v>
      </c>
      <c r="C20" s="2"/>
      <c r="D20" s="55" t="s">
        <v>1322</v>
      </c>
      <c r="E20">
        <f>SUM(C38,C40:C43)</f>
        <v>0</v>
      </c>
      <c r="F20" s="90" t="e">
        <f t="shared" si="0"/>
        <v>#DIV/0!</v>
      </c>
      <c r="H20">
        <v>222</v>
      </c>
      <c r="I20" s="12" t="s">
        <v>1319</v>
      </c>
      <c r="J20" s="2">
        <v>42.05095</v>
      </c>
      <c r="K20" s="55" t="s">
        <v>1322</v>
      </c>
      <c r="L20">
        <f>SUM(J38,J40:J43)</f>
        <v>196.06259</v>
      </c>
      <c r="M20" s="90">
        <f t="shared" si="1"/>
        <v>0.14615631378995678</v>
      </c>
      <c r="O20">
        <v>222</v>
      </c>
      <c r="P20" s="12" t="s">
        <v>1319</v>
      </c>
      <c r="Q20" s="2">
        <v>133.56219999999999</v>
      </c>
      <c r="R20" s="55" t="s">
        <v>1322</v>
      </c>
      <c r="S20">
        <f>SUM(Q38,Q40:Q43)</f>
        <v>142.77668</v>
      </c>
      <c r="T20" s="90">
        <f t="shared" si="2"/>
        <v>0.11566530917444091</v>
      </c>
      <c r="V20">
        <v>222</v>
      </c>
      <c r="W20" s="12" t="s">
        <v>1319</v>
      </c>
      <c r="X20" s="2">
        <v>36.936709999999998</v>
      </c>
      <c r="Y20" s="55" t="s">
        <v>1322</v>
      </c>
      <c r="Z20">
        <f>SUM(X38,X40:X43)</f>
        <v>164.14205000000001</v>
      </c>
      <c r="AA20" s="90">
        <f t="shared" si="3"/>
        <v>0.14990276670347707</v>
      </c>
      <c r="AC20">
        <v>222</v>
      </c>
      <c r="AD20" s="12" t="s">
        <v>1319</v>
      </c>
      <c r="AE20" s="2">
        <v>29.70448</v>
      </c>
      <c r="AF20" s="55" t="s">
        <v>1322</v>
      </c>
      <c r="AG20">
        <f>SUM(AE38,AE40:AE43)</f>
        <v>147.49929</v>
      </c>
      <c r="AH20" s="90">
        <f t="shared" si="4"/>
        <v>0.15163856643149484</v>
      </c>
      <c r="AJ20">
        <v>222</v>
      </c>
      <c r="AK20" s="12" t="s">
        <v>1319</v>
      </c>
      <c r="AL20" s="2">
        <v>26.385809999999999</v>
      </c>
      <c r="AM20" s="55" t="s">
        <v>1322</v>
      </c>
      <c r="AN20">
        <f>SUM(AL38,AL40:AL43)</f>
        <v>143.06686999999999</v>
      </c>
      <c r="AO20" s="90">
        <f t="shared" si="5"/>
        <v>0.15488203186114455</v>
      </c>
      <c r="AQ20">
        <v>222</v>
      </c>
      <c r="AR20" s="12" t="s">
        <v>1319</v>
      </c>
      <c r="AS20" s="2">
        <v>26.624490000000002</v>
      </c>
      <c r="AT20" s="55" t="s">
        <v>1322</v>
      </c>
      <c r="AU20">
        <f>SUM(AS38,AS40:AS43)</f>
        <v>145.80426</v>
      </c>
      <c r="AV20" s="90">
        <f t="shared" si="6"/>
        <v>0.15261619855754482</v>
      </c>
      <c r="AX20">
        <v>222</v>
      </c>
      <c r="AY20" s="12" t="s">
        <v>1319</v>
      </c>
      <c r="AZ20" s="2">
        <v>25.14526</v>
      </c>
      <c r="BA20" s="55" t="s">
        <v>1322</v>
      </c>
      <c r="BB20">
        <f>SUM(AZ38,AZ40:AZ43)</f>
        <v>144.51150999999999</v>
      </c>
      <c r="BC20" s="90">
        <f t="shared" si="7"/>
        <v>0.15504100346990607</v>
      </c>
      <c r="BE20">
        <v>222</v>
      </c>
      <c r="BF20" s="12" t="s">
        <v>1319</v>
      </c>
      <c r="BG20" s="2">
        <v>19.47972</v>
      </c>
      <c r="BH20" s="55" t="s">
        <v>1322</v>
      </c>
      <c r="BI20">
        <f>SUM(BG38,BG40:BG43)</f>
        <v>140.72906</v>
      </c>
      <c r="BJ20" s="90">
        <f t="shared" si="8"/>
        <v>0.15453163561963387</v>
      </c>
      <c r="BL20">
        <v>222</v>
      </c>
      <c r="BM20" s="12" t="s">
        <v>1319</v>
      </c>
      <c r="BN20" s="2">
        <v>23.064330000000002</v>
      </c>
      <c r="BO20" s="55" t="s">
        <v>1322</v>
      </c>
      <c r="BP20">
        <f>SUM(BN38,BN40:BN43)</f>
        <v>142.78800999999999</v>
      </c>
      <c r="BQ20" s="90">
        <f t="shared" si="9"/>
        <v>0.15329899054552151</v>
      </c>
      <c r="BS20">
        <v>222</v>
      </c>
      <c r="BT20" s="12" t="s">
        <v>1319</v>
      </c>
      <c r="BU20" s="2">
        <v>25.532340000000001</v>
      </c>
      <c r="BV20" s="55" t="s">
        <v>1322</v>
      </c>
      <c r="BW20">
        <f>SUM(BU38,BU40:BU43)</f>
        <v>137.91193000000001</v>
      </c>
      <c r="BX20" s="90">
        <f t="shared" si="10"/>
        <v>0.13863869204673898</v>
      </c>
      <c r="BZ20">
        <v>222</v>
      </c>
      <c r="CA20" s="12" t="s">
        <v>1319</v>
      </c>
      <c r="CB20" s="2"/>
      <c r="CC20" s="55" t="s">
        <v>1322</v>
      </c>
      <c r="CD20">
        <f>SUM(CB38,CB40:CB43)</f>
        <v>109.90835</v>
      </c>
      <c r="CE20" s="90">
        <f t="shared" si="11"/>
        <v>0.15580615806894654</v>
      </c>
      <c r="CG20">
        <v>222</v>
      </c>
      <c r="CH20" s="12" t="s">
        <v>1319</v>
      </c>
      <c r="CI20" s="2"/>
      <c r="CJ20" s="55" t="s">
        <v>1322</v>
      </c>
      <c r="CK20">
        <f>SUM(CI38,CI40:CI43)</f>
        <v>115.50778</v>
      </c>
      <c r="CL20" s="90">
        <f t="shared" si="12"/>
        <v>0.15562518591241506</v>
      </c>
      <c r="CN20">
        <v>222</v>
      </c>
      <c r="CO20" s="12" t="s">
        <v>1319</v>
      </c>
      <c r="CP20" s="2"/>
      <c r="CQ20" s="55" t="s">
        <v>1322</v>
      </c>
      <c r="CR20">
        <f>SUM(CP38,CP40:CP43)</f>
        <v>121.36261999999999</v>
      </c>
      <c r="CS20" s="90">
        <f t="shared" si="13"/>
        <v>0.17538122446660354</v>
      </c>
      <c r="CU20">
        <v>222</v>
      </c>
      <c r="CV20" s="12" t="s">
        <v>1319</v>
      </c>
      <c r="CW20" s="2"/>
      <c r="CX20" s="55" t="s">
        <v>1322</v>
      </c>
      <c r="CY20">
        <f>SUM(CW38,CW40:CW43)</f>
        <v>0</v>
      </c>
      <c r="CZ20" s="90">
        <f t="shared" si="14"/>
        <v>0</v>
      </c>
      <c r="DB20">
        <v>222</v>
      </c>
      <c r="DC20" s="12" t="s">
        <v>1319</v>
      </c>
      <c r="DD20" s="2"/>
      <c r="DE20" s="55" t="s">
        <v>1322</v>
      </c>
      <c r="DF20">
        <f>SUM(DD38,DD40:DD43)</f>
        <v>0</v>
      </c>
      <c r="DG20" s="90">
        <f t="shared" si="15"/>
        <v>0</v>
      </c>
      <c r="DI20">
        <v>222</v>
      </c>
      <c r="DJ20" s="12" t="s">
        <v>1319</v>
      </c>
      <c r="DK20" s="2"/>
      <c r="DL20" s="55" t="s">
        <v>1322</v>
      </c>
      <c r="DM20">
        <f>SUM(DK38,DK40:DK43)</f>
        <v>0</v>
      </c>
      <c r="DN20" s="90">
        <f t="shared" si="16"/>
        <v>0</v>
      </c>
      <c r="DP20">
        <v>222</v>
      </c>
      <c r="DQ20" s="12" t="s">
        <v>1319</v>
      </c>
      <c r="DR20" s="2"/>
      <c r="DS20" s="55" t="s">
        <v>1322</v>
      </c>
      <c r="DT20">
        <f>SUM(DR38,DR40:DR43)</f>
        <v>0</v>
      </c>
      <c r="DU20" s="90">
        <f t="shared" si="17"/>
        <v>0</v>
      </c>
      <c r="DW20">
        <v>222</v>
      </c>
      <c r="DX20" s="12" t="s">
        <v>1319</v>
      </c>
      <c r="DY20" s="2"/>
      <c r="DZ20" s="55" t="s">
        <v>1322</v>
      </c>
      <c r="EA20">
        <f>SUM(DY38,DY40:DY43)</f>
        <v>0</v>
      </c>
      <c r="EB20" s="90">
        <f t="shared" si="18"/>
        <v>0</v>
      </c>
      <c r="ED20">
        <v>222</v>
      </c>
      <c r="EE20" s="12" t="s">
        <v>1319</v>
      </c>
      <c r="EF20" s="2"/>
      <c r="EG20" s="55" t="s">
        <v>1322</v>
      </c>
      <c r="EH20">
        <f>SUM(EF38,EF40:EF43)</f>
        <v>0</v>
      </c>
      <c r="EI20" s="90">
        <f t="shared" si="19"/>
        <v>0</v>
      </c>
      <c r="EK20">
        <v>222</v>
      </c>
      <c r="EL20" s="12" t="s">
        <v>1319</v>
      </c>
      <c r="EM20" s="2"/>
      <c r="EN20" s="55" t="s">
        <v>1322</v>
      </c>
      <c r="EO20">
        <f>SUM(EM38,EM40:EM43)</f>
        <v>0</v>
      </c>
      <c r="EP20" s="90">
        <f t="shared" si="20"/>
        <v>0</v>
      </c>
    </row>
    <row r="21" spans="1:146" x14ac:dyDescent="0.4">
      <c r="A21">
        <v>221</v>
      </c>
      <c r="B21" s="12" t="s">
        <v>1320</v>
      </c>
      <c r="C21" s="2"/>
      <c r="D21" s="55" t="s">
        <v>1323</v>
      </c>
      <c r="E21">
        <f>C45</f>
        <v>0</v>
      </c>
      <c r="F21" s="90" t="e">
        <f t="shared" si="0"/>
        <v>#DIV/0!</v>
      </c>
      <c r="H21">
        <v>221</v>
      </c>
      <c r="I21" s="12" t="s">
        <v>1320</v>
      </c>
      <c r="J21" s="2">
        <v>32.648859999999999</v>
      </c>
      <c r="K21" s="55" t="s">
        <v>1323</v>
      </c>
      <c r="L21">
        <f>J45</f>
        <v>34.459949999999999</v>
      </c>
      <c r="M21" s="90">
        <f t="shared" si="1"/>
        <v>0</v>
      </c>
      <c r="O21">
        <v>221</v>
      </c>
      <c r="P21" s="12" t="s">
        <v>1320</v>
      </c>
      <c r="Q21" s="4">
        <v>5.7970129999999999E-12</v>
      </c>
      <c r="R21" s="55" t="s">
        <v>1323</v>
      </c>
      <c r="S21">
        <f>Q45</f>
        <v>15.57498</v>
      </c>
      <c r="T21" s="90">
        <f t="shared" si="2"/>
        <v>0</v>
      </c>
      <c r="V21">
        <v>221</v>
      </c>
      <c r="W21" s="12" t="s">
        <v>1320</v>
      </c>
      <c r="X21" s="4">
        <v>37.381239999999998</v>
      </c>
      <c r="Y21" s="55" t="s">
        <v>1323</v>
      </c>
      <c r="Z21">
        <f>X45</f>
        <v>30.661799999999999</v>
      </c>
      <c r="AA21" s="90">
        <f t="shared" si="3"/>
        <v>0</v>
      </c>
      <c r="AC21">
        <v>221</v>
      </c>
      <c r="AD21" s="12" t="s">
        <v>1320</v>
      </c>
      <c r="AE21" s="2">
        <v>26.686699999999998</v>
      </c>
      <c r="AF21" s="55" t="s">
        <v>1323</v>
      </c>
      <c r="AG21">
        <f>AE45</f>
        <v>28.191839999999999</v>
      </c>
      <c r="AH21" s="90">
        <f t="shared" si="4"/>
        <v>0</v>
      </c>
      <c r="AJ21">
        <v>221</v>
      </c>
      <c r="AK21" s="12" t="s">
        <v>1320</v>
      </c>
      <c r="AL21" s="2">
        <v>26.051680000000001</v>
      </c>
      <c r="AM21" s="55" t="s">
        <v>1323</v>
      </c>
      <c r="AN21">
        <f>AL45</f>
        <v>27.732240000000001</v>
      </c>
      <c r="AO21" s="90">
        <f t="shared" si="5"/>
        <v>0</v>
      </c>
      <c r="AQ21">
        <v>221</v>
      </c>
      <c r="AR21" s="12" t="s">
        <v>1320</v>
      </c>
      <c r="AS21" s="2">
        <v>24.877659999999999</v>
      </c>
      <c r="AT21" s="55" t="s">
        <v>1323</v>
      </c>
      <c r="AU21">
        <f>AS45</f>
        <v>28.798929999999999</v>
      </c>
      <c r="AV21" s="90">
        <f t="shared" si="6"/>
        <v>0</v>
      </c>
      <c r="AX21">
        <v>221</v>
      </c>
      <c r="AY21" s="12" t="s">
        <v>1320</v>
      </c>
      <c r="AZ21" s="2">
        <v>25.529129999999999</v>
      </c>
      <c r="BA21" s="55" t="s">
        <v>1323</v>
      </c>
      <c r="BB21">
        <f>AZ45</f>
        <v>28.385290000000001</v>
      </c>
      <c r="BC21" s="90">
        <f t="shared" si="7"/>
        <v>0</v>
      </c>
      <c r="BE21">
        <v>221</v>
      </c>
      <c r="BF21" s="12" t="s">
        <v>1320</v>
      </c>
      <c r="BG21" s="2">
        <v>21.256789999999999</v>
      </c>
      <c r="BH21" s="55" t="s">
        <v>1323</v>
      </c>
      <c r="BI21">
        <f>BG45</f>
        <v>28.454560000000001</v>
      </c>
      <c r="BJ21" s="90">
        <f t="shared" si="8"/>
        <v>0</v>
      </c>
      <c r="BL21">
        <v>221</v>
      </c>
      <c r="BM21" s="12" t="s">
        <v>1320</v>
      </c>
      <c r="BN21" s="2">
        <v>23.233920000000001</v>
      </c>
      <c r="BO21" s="55" t="s">
        <v>1323</v>
      </c>
      <c r="BP21">
        <f>BN45</f>
        <v>28.708069999999999</v>
      </c>
      <c r="BQ21" s="90">
        <f t="shared" si="9"/>
        <v>0</v>
      </c>
      <c r="BS21">
        <v>221</v>
      </c>
      <c r="BT21" s="12" t="s">
        <v>1320</v>
      </c>
      <c r="BU21" s="2">
        <v>22.466419999999999</v>
      </c>
      <c r="BV21" s="55" t="s">
        <v>1323</v>
      </c>
      <c r="BW21">
        <f>BU45</f>
        <v>28.245799999999999</v>
      </c>
      <c r="BX21" s="90">
        <f t="shared" si="10"/>
        <v>0</v>
      </c>
      <c r="BZ21">
        <v>221</v>
      </c>
      <c r="CA21" s="12" t="s">
        <v>1320</v>
      </c>
      <c r="CB21" s="2"/>
      <c r="CC21" s="55" t="s">
        <v>1323</v>
      </c>
      <c r="CD21">
        <f>CB45</f>
        <v>23.477900000000002</v>
      </c>
      <c r="CE21" s="90">
        <f t="shared" si="11"/>
        <v>0</v>
      </c>
      <c r="CG21">
        <v>221</v>
      </c>
      <c r="CH21" s="12" t="s">
        <v>1320</v>
      </c>
      <c r="CI21" s="2"/>
      <c r="CJ21" s="55" t="s">
        <v>1323</v>
      </c>
      <c r="CK21">
        <f>CI45</f>
        <v>23.273679999999999</v>
      </c>
      <c r="CL21" s="90">
        <f t="shared" si="12"/>
        <v>0</v>
      </c>
      <c r="CN21">
        <v>221</v>
      </c>
      <c r="CO21" s="12" t="s">
        <v>1320</v>
      </c>
      <c r="CP21" s="2"/>
      <c r="CQ21" s="55" t="s">
        <v>1323</v>
      </c>
      <c r="CR21">
        <f>CP45</f>
        <v>23.132650000000002</v>
      </c>
      <c r="CS21" s="90">
        <f t="shared" si="13"/>
        <v>0</v>
      </c>
      <c r="CU21">
        <v>221</v>
      </c>
      <c r="CV21" s="12" t="s">
        <v>1320</v>
      </c>
      <c r="CW21" s="2"/>
      <c r="CX21" s="55" t="s">
        <v>1323</v>
      </c>
      <c r="CY21">
        <f>CW45</f>
        <v>24.016999999999999</v>
      </c>
      <c r="CZ21" s="90">
        <f t="shared" si="14"/>
        <v>0</v>
      </c>
      <c r="DB21">
        <v>221</v>
      </c>
      <c r="DC21" s="12" t="s">
        <v>1320</v>
      </c>
      <c r="DD21" s="2"/>
      <c r="DE21" s="55" t="s">
        <v>1323</v>
      </c>
      <c r="DF21">
        <f>DD45</f>
        <v>0</v>
      </c>
      <c r="DG21" s="90">
        <f t="shared" si="15"/>
        <v>0</v>
      </c>
      <c r="DI21">
        <v>221</v>
      </c>
      <c r="DJ21" s="12" t="s">
        <v>1320</v>
      </c>
      <c r="DK21" s="2"/>
      <c r="DL21" s="55" t="s">
        <v>1323</v>
      </c>
      <c r="DM21">
        <f>DK45</f>
        <v>0</v>
      </c>
      <c r="DN21" s="90">
        <f t="shared" si="16"/>
        <v>0</v>
      </c>
      <c r="DP21">
        <v>221</v>
      </c>
      <c r="DQ21" s="12" t="s">
        <v>1320</v>
      </c>
      <c r="DR21" s="2"/>
      <c r="DS21" s="55" t="s">
        <v>1323</v>
      </c>
      <c r="DT21">
        <f>DR45</f>
        <v>0</v>
      </c>
      <c r="DU21" s="90">
        <f t="shared" si="17"/>
        <v>0</v>
      </c>
      <c r="DW21">
        <v>221</v>
      </c>
      <c r="DX21" s="12" t="s">
        <v>1320</v>
      </c>
      <c r="DY21" s="2"/>
      <c r="DZ21" s="55" t="s">
        <v>1323</v>
      </c>
      <c r="EA21">
        <f>DY45</f>
        <v>0</v>
      </c>
      <c r="EB21" s="90">
        <f t="shared" si="18"/>
        <v>0</v>
      </c>
      <c r="ED21">
        <v>221</v>
      </c>
      <c r="EE21" s="12" t="s">
        <v>1320</v>
      </c>
      <c r="EF21" s="2"/>
      <c r="EG21" s="55" t="s">
        <v>1323</v>
      </c>
      <c r="EH21">
        <f>EF45</f>
        <v>0</v>
      </c>
      <c r="EI21" s="90">
        <f t="shared" si="19"/>
        <v>0</v>
      </c>
      <c r="EK21">
        <v>221</v>
      </c>
      <c r="EL21" s="12" t="s">
        <v>1320</v>
      </c>
      <c r="EM21" s="2"/>
      <c r="EN21" s="55" t="s">
        <v>1323</v>
      </c>
      <c r="EO21">
        <f>EM45</f>
        <v>0</v>
      </c>
      <c r="EP21" s="90">
        <f t="shared" si="20"/>
        <v>0</v>
      </c>
    </row>
    <row r="22" spans="1:146" x14ac:dyDescent="0.4">
      <c r="A22">
        <v>220</v>
      </c>
      <c r="B22" s="12" t="s">
        <v>1321</v>
      </c>
      <c r="C22" s="2"/>
      <c r="D22" s="55" t="s">
        <v>1324</v>
      </c>
      <c r="E22">
        <f>SUM(C44,C46:C48)</f>
        <v>0</v>
      </c>
      <c r="F22" s="90" t="e">
        <f t="shared" si="0"/>
        <v>#DIV/0!</v>
      </c>
      <c r="H22">
        <v>220</v>
      </c>
      <c r="I22" s="12" t="s">
        <v>1321</v>
      </c>
      <c r="J22" s="2">
        <v>54.186140000000002</v>
      </c>
      <c r="K22" s="55" t="s">
        <v>1324</v>
      </c>
      <c r="L22">
        <f>SUM(J44,J46:J48)</f>
        <v>131.56246999999999</v>
      </c>
      <c r="M22" s="90">
        <f t="shared" si="1"/>
        <v>9.8074220320672964E-2</v>
      </c>
      <c r="O22">
        <v>220</v>
      </c>
      <c r="P22" s="12" t="s">
        <v>1321</v>
      </c>
      <c r="Q22" s="2">
        <v>1.058027E-3</v>
      </c>
      <c r="R22" s="55" t="s">
        <v>1324</v>
      </c>
      <c r="S22">
        <f>SUM(Q44,Q46:Q48)</f>
        <v>160.71430999999998</v>
      </c>
      <c r="T22" s="90">
        <f t="shared" si="2"/>
        <v>0.13019682454380463</v>
      </c>
      <c r="V22">
        <v>220</v>
      </c>
      <c r="W22" s="12" t="s">
        <v>1321</v>
      </c>
      <c r="X22" s="2">
        <v>32.221080000000001</v>
      </c>
      <c r="Y22" s="55" t="s">
        <v>1324</v>
      </c>
      <c r="Z22">
        <f>SUM(X44,X46:X48)</f>
        <v>118.91694000000001</v>
      </c>
      <c r="AA22" s="90">
        <f t="shared" si="3"/>
        <v>0.10860092410148027</v>
      </c>
      <c r="AC22">
        <v>220</v>
      </c>
      <c r="AD22" s="12" t="s">
        <v>1321</v>
      </c>
      <c r="AE22" s="2">
        <v>28.2911</v>
      </c>
      <c r="AF22" s="55" t="s">
        <v>1324</v>
      </c>
      <c r="AG22">
        <f>SUM(AE44,AE46:AE48)</f>
        <v>109.90189000000001</v>
      </c>
      <c r="AH22" s="90">
        <f t="shared" si="4"/>
        <v>0.11298606961234756</v>
      </c>
      <c r="AJ22">
        <v>220</v>
      </c>
      <c r="AK22" s="12" t="s">
        <v>1321</v>
      </c>
      <c r="AL22" s="2">
        <v>26.602910000000001</v>
      </c>
      <c r="AM22" s="55" t="s">
        <v>1324</v>
      </c>
      <c r="AN22">
        <f>SUM(AL44,AL46:AL48)</f>
        <v>108.7542</v>
      </c>
      <c r="AO22" s="90">
        <f t="shared" si="5"/>
        <v>0.11773565375011899</v>
      </c>
      <c r="AQ22">
        <v>220</v>
      </c>
      <c r="AR22" s="12" t="s">
        <v>1321</v>
      </c>
      <c r="AS22" s="2">
        <v>24.690249999999999</v>
      </c>
      <c r="AT22" s="55" t="s">
        <v>1324</v>
      </c>
      <c r="AU22">
        <f>SUM(AS44,AS46:AS48)</f>
        <v>113.31441000000001</v>
      </c>
      <c r="AV22" s="90">
        <f t="shared" si="6"/>
        <v>0.11860843089214983</v>
      </c>
      <c r="AX22">
        <v>220</v>
      </c>
      <c r="AY22" s="12" t="s">
        <v>1321</v>
      </c>
      <c r="AZ22" s="2">
        <v>25.74539</v>
      </c>
      <c r="BA22" s="55" t="s">
        <v>1324</v>
      </c>
      <c r="BB22">
        <f>SUM(AZ44,AZ46:AZ48)</f>
        <v>112.54786000000001</v>
      </c>
      <c r="BC22" s="90">
        <f t="shared" si="7"/>
        <v>0.12074839680791175</v>
      </c>
      <c r="BE22">
        <v>220</v>
      </c>
      <c r="BF22" s="12" t="s">
        <v>1321</v>
      </c>
      <c r="BG22" s="2">
        <v>25.128830000000001</v>
      </c>
      <c r="BH22" s="55" t="s">
        <v>1324</v>
      </c>
      <c r="BI22">
        <f>SUM(BG44,BG46:BG48)</f>
        <v>112.71010000000001</v>
      </c>
      <c r="BJ22" s="90">
        <f t="shared" si="8"/>
        <v>0.12376460202215873</v>
      </c>
      <c r="BL22">
        <v>220</v>
      </c>
      <c r="BM22" s="12" t="s">
        <v>1321</v>
      </c>
      <c r="BN22" s="2">
        <v>23.329730000000001</v>
      </c>
      <c r="BO22" s="55" t="s">
        <v>1324</v>
      </c>
      <c r="BP22">
        <f>SUM(BN44,BN46:BN48)</f>
        <v>114.49278000000001</v>
      </c>
      <c r="BQ22" s="90">
        <f t="shared" si="9"/>
        <v>0.12292087829188512</v>
      </c>
      <c r="BS22">
        <v>220</v>
      </c>
      <c r="BT22" s="12" t="s">
        <v>1321</v>
      </c>
      <c r="BU22" s="2">
        <v>22.008659999999999</v>
      </c>
      <c r="BV22" s="55" t="s">
        <v>1324</v>
      </c>
      <c r="BW22">
        <f>SUM(BU44,BU46:BU48)</f>
        <v>113.02369</v>
      </c>
      <c r="BX22" s="90">
        <f t="shared" si="10"/>
        <v>0.11361929712604335</v>
      </c>
      <c r="BZ22">
        <v>220</v>
      </c>
      <c r="CA22" s="12" t="s">
        <v>1321</v>
      </c>
      <c r="CB22" s="2"/>
      <c r="CC22" s="55" t="s">
        <v>1324</v>
      </c>
      <c r="CD22">
        <f>SUM(CB44,CB46:CB48)</f>
        <v>94.802970000000002</v>
      </c>
      <c r="CE22" s="90">
        <f t="shared" si="11"/>
        <v>0</v>
      </c>
      <c r="CG22">
        <v>220</v>
      </c>
      <c r="CH22" s="12" t="s">
        <v>1321</v>
      </c>
      <c r="CI22" s="2"/>
      <c r="CJ22" s="55" t="s">
        <v>1324</v>
      </c>
      <c r="CK22">
        <f>SUM(CI44,CI46:CI48)</f>
        <v>93.591549999999998</v>
      </c>
      <c r="CL22" s="90">
        <f t="shared" si="12"/>
        <v>0</v>
      </c>
      <c r="CN22">
        <v>220</v>
      </c>
      <c r="CO22" s="12" t="s">
        <v>1321</v>
      </c>
      <c r="CP22" s="2"/>
      <c r="CQ22" s="55" t="s">
        <v>1324</v>
      </c>
      <c r="CR22">
        <f>SUM(CP44,CP46:CP48)</f>
        <v>92.686600000000013</v>
      </c>
      <c r="CS22" s="90">
        <f t="shared" si="13"/>
        <v>0</v>
      </c>
      <c r="CU22">
        <v>220</v>
      </c>
      <c r="CV22" s="12" t="s">
        <v>1321</v>
      </c>
      <c r="CW22" s="2"/>
      <c r="CX22" s="55" t="s">
        <v>1324</v>
      </c>
      <c r="CY22">
        <f>SUM(CW44,CW46:CW48)</f>
        <v>93.022689999999997</v>
      </c>
      <c r="CZ22" s="90">
        <f t="shared" si="14"/>
        <v>0</v>
      </c>
      <c r="DB22">
        <v>220</v>
      </c>
      <c r="DC22" s="12" t="s">
        <v>1321</v>
      </c>
      <c r="DD22" s="2"/>
      <c r="DE22" s="55" t="s">
        <v>1324</v>
      </c>
      <c r="DF22">
        <f>SUM(DD44,DD46:DD48)</f>
        <v>146.26918999999998</v>
      </c>
      <c r="DG22" s="90">
        <f t="shared" si="15"/>
        <v>0.19508728887439183</v>
      </c>
      <c r="DI22">
        <v>220</v>
      </c>
      <c r="DJ22" s="12" t="s">
        <v>1321</v>
      </c>
      <c r="DK22" s="2"/>
      <c r="DL22" s="55" t="s">
        <v>1324</v>
      </c>
      <c r="DM22">
        <f>SUM(DK44,DK46:DK48)</f>
        <v>0</v>
      </c>
      <c r="DN22" s="90">
        <f t="shared" si="16"/>
        <v>0</v>
      </c>
      <c r="DP22">
        <v>220</v>
      </c>
      <c r="DQ22" s="12" t="s">
        <v>1321</v>
      </c>
      <c r="DR22" s="2"/>
      <c r="DS22" s="55" t="s">
        <v>1324</v>
      </c>
      <c r="DT22">
        <f>SUM(DR44,DR46:DR48)</f>
        <v>0</v>
      </c>
      <c r="DU22" s="90">
        <f t="shared" si="17"/>
        <v>0</v>
      </c>
      <c r="DW22">
        <v>220</v>
      </c>
      <c r="DX22" s="12" t="s">
        <v>1321</v>
      </c>
      <c r="DY22" s="2"/>
      <c r="DZ22" s="55" t="s">
        <v>1324</v>
      </c>
      <c r="EA22">
        <f>SUM(DY44,DY46:DY48)</f>
        <v>0</v>
      </c>
      <c r="EB22" s="90">
        <f t="shared" si="18"/>
        <v>0</v>
      </c>
      <c r="ED22">
        <v>220</v>
      </c>
      <c r="EE22" s="12" t="s">
        <v>1321</v>
      </c>
      <c r="EF22" s="2"/>
      <c r="EG22" s="55" t="s">
        <v>1324</v>
      </c>
      <c r="EH22">
        <f>SUM(EF44,EF46:EF48)</f>
        <v>0</v>
      </c>
      <c r="EI22" s="90">
        <f t="shared" si="19"/>
        <v>0</v>
      </c>
      <c r="EK22">
        <v>220</v>
      </c>
      <c r="EL22" s="12" t="s">
        <v>1321</v>
      </c>
      <c r="EM22" s="2"/>
      <c r="EN22" s="55" t="s">
        <v>1324</v>
      </c>
      <c r="EO22">
        <f>SUM(EM44,EM46:EM48)</f>
        <v>0</v>
      </c>
      <c r="EP22" s="90">
        <f t="shared" si="20"/>
        <v>0</v>
      </c>
    </row>
    <row r="23" spans="1:146" x14ac:dyDescent="0.4">
      <c r="A23">
        <v>219</v>
      </c>
      <c r="B23" s="12" t="s">
        <v>1321</v>
      </c>
      <c r="C23" s="2"/>
      <c r="D23" s="55" t="s">
        <v>1325</v>
      </c>
      <c r="E23">
        <f>SUM(C49,C51)</f>
        <v>0</v>
      </c>
      <c r="F23" s="90" t="e">
        <f t="shared" si="0"/>
        <v>#DIV/0!</v>
      </c>
      <c r="H23">
        <v>219</v>
      </c>
      <c r="I23" s="12" t="s">
        <v>1321</v>
      </c>
      <c r="J23" s="2">
        <v>44.683280000000003</v>
      </c>
      <c r="K23" s="55" t="s">
        <v>1325</v>
      </c>
      <c r="L23">
        <f>SUM(J49,J51)</f>
        <v>55.38917</v>
      </c>
      <c r="M23" s="90">
        <f t="shared" si="1"/>
        <v>0</v>
      </c>
      <c r="O23">
        <v>219</v>
      </c>
      <c r="P23" s="12" t="s">
        <v>1321</v>
      </c>
      <c r="Q23" s="2">
        <v>27.61628</v>
      </c>
      <c r="R23" s="55" t="s">
        <v>1325</v>
      </c>
      <c r="S23">
        <f>SUM(Q49,Q51)</f>
        <v>75.860150000000004</v>
      </c>
      <c r="T23" s="90">
        <f t="shared" si="2"/>
        <v>0</v>
      </c>
      <c r="V23">
        <v>219</v>
      </c>
      <c r="W23" s="12" t="s">
        <v>1321</v>
      </c>
      <c r="X23" s="2">
        <v>32.124949999999998</v>
      </c>
      <c r="Y23" s="55" t="s">
        <v>1325</v>
      </c>
      <c r="Z23">
        <f>SUM(X49,X51)</f>
        <v>53.244190000000003</v>
      </c>
      <c r="AA23" s="90">
        <f t="shared" si="3"/>
        <v>0</v>
      </c>
      <c r="AC23">
        <v>219</v>
      </c>
      <c r="AD23" s="12" t="s">
        <v>1321</v>
      </c>
      <c r="AE23" s="2">
        <v>31.402740000000001</v>
      </c>
      <c r="AF23" s="55" t="s">
        <v>1325</v>
      </c>
      <c r="AG23">
        <f>SUM(AE49,AE51)</f>
        <v>50.505679999999998</v>
      </c>
      <c r="AH23" s="90">
        <f t="shared" si="4"/>
        <v>0</v>
      </c>
      <c r="AJ23">
        <v>219</v>
      </c>
      <c r="AK23" s="12" t="s">
        <v>1321</v>
      </c>
      <c r="AL23" s="2">
        <v>27.08342</v>
      </c>
      <c r="AM23" s="55" t="s">
        <v>1325</v>
      </c>
      <c r="AN23">
        <f>SUM(AL49,AL51)</f>
        <v>50.788029999999999</v>
      </c>
      <c r="AO23" s="90">
        <f t="shared" si="5"/>
        <v>0</v>
      </c>
      <c r="AQ23">
        <v>219</v>
      </c>
      <c r="AR23" s="12" t="s">
        <v>1321</v>
      </c>
      <c r="AS23" s="2">
        <v>27.065809999999999</v>
      </c>
      <c r="AT23" s="55" t="s">
        <v>1325</v>
      </c>
      <c r="AU23">
        <f>SUM(AS49,AS51)</f>
        <v>54.279020000000003</v>
      </c>
      <c r="AV23" s="90">
        <f t="shared" si="6"/>
        <v>0</v>
      </c>
      <c r="AX23">
        <v>219</v>
      </c>
      <c r="AY23" s="12" t="s">
        <v>1321</v>
      </c>
      <c r="AZ23" s="2">
        <v>26.002310000000001</v>
      </c>
      <c r="BA23" s="55" t="s">
        <v>1325</v>
      </c>
      <c r="BB23">
        <f>SUM(AZ49,AZ51)</f>
        <v>53.915080000000003</v>
      </c>
      <c r="BC23" s="90">
        <f t="shared" si="7"/>
        <v>0</v>
      </c>
      <c r="BE23">
        <v>219</v>
      </c>
      <c r="BF23" s="12" t="s">
        <v>1321</v>
      </c>
      <c r="BG23" s="2">
        <v>24.57151</v>
      </c>
      <c r="BH23" s="55" t="s">
        <v>1325</v>
      </c>
      <c r="BI23">
        <f>SUM(BG49,BG51)</f>
        <v>55.529269999999997</v>
      </c>
      <c r="BJ23" s="90">
        <f t="shared" si="8"/>
        <v>0</v>
      </c>
      <c r="BL23">
        <v>219</v>
      </c>
      <c r="BM23" s="12" t="s">
        <v>1321</v>
      </c>
      <c r="BN23" s="2">
        <v>23.634049999999998</v>
      </c>
      <c r="BO23" s="55" t="s">
        <v>1325</v>
      </c>
      <c r="BP23">
        <f>SUM(BN49,BN51)</f>
        <v>56.51661</v>
      </c>
      <c r="BQ23" s="90">
        <f t="shared" si="9"/>
        <v>0</v>
      </c>
      <c r="BS23">
        <v>219</v>
      </c>
      <c r="BT23" s="12" t="s">
        <v>1321</v>
      </c>
      <c r="BU23" s="2">
        <v>21.319790000000001</v>
      </c>
      <c r="BV23" s="55" t="s">
        <v>1325</v>
      </c>
      <c r="BW23">
        <f>SUM(BU49,BU51)</f>
        <v>56.877229999999997</v>
      </c>
      <c r="BX23" s="90">
        <f t="shared" si="10"/>
        <v>0</v>
      </c>
      <c r="BZ23">
        <v>219</v>
      </c>
      <c r="CA23" s="12" t="s">
        <v>1321</v>
      </c>
      <c r="CB23" s="2"/>
      <c r="CC23" s="55" t="s">
        <v>1325</v>
      </c>
      <c r="CD23">
        <f>SUM(CB49,CB51)</f>
        <v>49.0777</v>
      </c>
      <c r="CE23" s="90">
        <f t="shared" si="11"/>
        <v>0</v>
      </c>
      <c r="CG23">
        <v>219</v>
      </c>
      <c r="CH23" s="12" t="s">
        <v>1321</v>
      </c>
      <c r="CI23" s="2"/>
      <c r="CJ23" s="55" t="s">
        <v>1325</v>
      </c>
      <c r="CK23">
        <f>SUM(CI49,CI51)</f>
        <v>48.95975</v>
      </c>
      <c r="CL23" s="90">
        <f t="shared" si="12"/>
        <v>0</v>
      </c>
      <c r="CN23">
        <v>219</v>
      </c>
      <c r="CO23" s="12" t="s">
        <v>1321</v>
      </c>
      <c r="CP23" s="2"/>
      <c r="CQ23" s="55" t="s">
        <v>1325</v>
      </c>
      <c r="CR23">
        <f>SUM(CP49,CP51)</f>
        <v>48.391210000000001</v>
      </c>
      <c r="CS23" s="90">
        <f t="shared" si="13"/>
        <v>0</v>
      </c>
      <c r="CU23">
        <v>219</v>
      </c>
      <c r="CV23" s="12" t="s">
        <v>1321</v>
      </c>
      <c r="CW23" s="2"/>
      <c r="CX23" s="55" t="s">
        <v>1325</v>
      </c>
      <c r="CY23">
        <f>SUM(CW49,CW51)</f>
        <v>45.037210000000002</v>
      </c>
      <c r="CZ23" s="90">
        <f t="shared" si="14"/>
        <v>0</v>
      </c>
      <c r="DB23">
        <v>219</v>
      </c>
      <c r="DC23" s="12" t="s">
        <v>1321</v>
      </c>
      <c r="DD23" s="2"/>
      <c r="DE23" s="55" t="s">
        <v>1325</v>
      </c>
      <c r="DF23">
        <f>SUM(DD49,DD51)</f>
        <v>47.83</v>
      </c>
      <c r="DG23" s="90">
        <f t="shared" si="15"/>
        <v>0</v>
      </c>
      <c r="DI23">
        <v>219</v>
      </c>
      <c r="DJ23" s="12" t="s">
        <v>1321</v>
      </c>
      <c r="DK23" s="2"/>
      <c r="DL23" s="55" t="s">
        <v>1325</v>
      </c>
      <c r="DM23">
        <f>SUM(DK49,DK51)</f>
        <v>67.614630000000005</v>
      </c>
      <c r="DN23" s="90">
        <f t="shared" si="16"/>
        <v>0</v>
      </c>
      <c r="DP23">
        <v>219</v>
      </c>
      <c r="DQ23" s="12" t="s">
        <v>1321</v>
      </c>
      <c r="DR23" s="2"/>
      <c r="DS23" s="55" t="s">
        <v>1325</v>
      </c>
      <c r="DT23">
        <f>SUM(DR49,DR51)</f>
        <v>0</v>
      </c>
      <c r="DU23" s="90">
        <f t="shared" si="17"/>
        <v>0</v>
      </c>
      <c r="DW23">
        <v>219</v>
      </c>
      <c r="DX23" s="12" t="s">
        <v>1321</v>
      </c>
      <c r="DY23" s="2"/>
      <c r="DZ23" s="55" t="s">
        <v>1325</v>
      </c>
      <c r="EA23">
        <f>SUM(DY49,DY51)</f>
        <v>76.852320000000006</v>
      </c>
      <c r="EB23" s="90">
        <f t="shared" si="18"/>
        <v>0</v>
      </c>
      <c r="ED23">
        <v>219</v>
      </c>
      <c r="EE23" s="12" t="s">
        <v>1321</v>
      </c>
      <c r="EF23" s="2"/>
      <c r="EG23" s="55" t="s">
        <v>1325</v>
      </c>
      <c r="EH23">
        <f>SUM(EF49,EF51)</f>
        <v>0</v>
      </c>
      <c r="EI23" s="90">
        <f t="shared" si="19"/>
        <v>0</v>
      </c>
      <c r="EK23">
        <v>219</v>
      </c>
      <c r="EL23" s="12" t="s">
        <v>1321</v>
      </c>
      <c r="EM23" s="2"/>
      <c r="EN23" s="55" t="s">
        <v>1325</v>
      </c>
      <c r="EO23">
        <f>SUM(EM49,EM51)</f>
        <v>0</v>
      </c>
      <c r="EP23" s="90">
        <f t="shared" si="20"/>
        <v>0</v>
      </c>
    </row>
    <row r="24" spans="1:146" x14ac:dyDescent="0.4">
      <c r="A24">
        <v>218</v>
      </c>
      <c r="B24" s="12" t="s">
        <v>1321</v>
      </c>
      <c r="C24" s="2"/>
      <c r="D24" s="55" t="s">
        <v>1326</v>
      </c>
      <c r="E24">
        <f>SUM(C50,C52:C55)</f>
        <v>0</v>
      </c>
      <c r="F24" s="90" t="e">
        <f t="shared" si="0"/>
        <v>#DIV/0!</v>
      </c>
      <c r="H24">
        <v>218</v>
      </c>
      <c r="I24" s="12" t="s">
        <v>1321</v>
      </c>
      <c r="J24" s="2">
        <v>41.859810000000003</v>
      </c>
      <c r="K24" s="55" t="s">
        <v>1326</v>
      </c>
      <c r="L24">
        <f>SUM(J50,J52:J55)</f>
        <v>119.14681999999999</v>
      </c>
      <c r="M24" s="90">
        <f t="shared" si="1"/>
        <v>8.8818881822358337E-2</v>
      </c>
      <c r="O24">
        <v>218</v>
      </c>
      <c r="P24" s="12" t="s">
        <v>1321</v>
      </c>
      <c r="Q24" s="2">
        <v>78.026049999999998</v>
      </c>
      <c r="R24" s="55" t="s">
        <v>1326</v>
      </c>
      <c r="S24">
        <f>SUM(Q50,Q52:Q55)</f>
        <v>117.03798</v>
      </c>
      <c r="T24" s="90">
        <f t="shared" si="2"/>
        <v>0</v>
      </c>
      <c r="V24">
        <v>218</v>
      </c>
      <c r="W24" s="12" t="s">
        <v>1321</v>
      </c>
      <c r="X24" s="2">
        <v>37.548079999999999</v>
      </c>
      <c r="Y24" s="55" t="s">
        <v>1326</v>
      </c>
      <c r="Z24">
        <f>SUM(X50,X52:X55)</f>
        <v>120.52544</v>
      </c>
      <c r="AA24" s="90">
        <f t="shared" si="3"/>
        <v>0.11006988711395967</v>
      </c>
      <c r="AC24">
        <v>218</v>
      </c>
      <c r="AD24" s="12" t="s">
        <v>1321</v>
      </c>
      <c r="AE24" s="2">
        <v>30.754000000000001</v>
      </c>
      <c r="AF24" s="55" t="s">
        <v>1326</v>
      </c>
      <c r="AG24">
        <f>SUM(AE50,AE52:AE55)</f>
        <v>116.91141999999999</v>
      </c>
      <c r="AH24" s="90">
        <f t="shared" si="4"/>
        <v>0.12019230823599486</v>
      </c>
      <c r="AJ24">
        <v>218</v>
      </c>
      <c r="AK24" s="12" t="s">
        <v>1321</v>
      </c>
      <c r="AL24" s="2">
        <v>27.310870000000001</v>
      </c>
      <c r="AM24" s="55" t="s">
        <v>1326</v>
      </c>
      <c r="AN24">
        <f>SUM(AL50,AL52:AL55)</f>
        <v>118.03751000000001</v>
      </c>
      <c r="AO24" s="90">
        <f t="shared" si="5"/>
        <v>0.12778562489436004</v>
      </c>
      <c r="AQ24">
        <v>218</v>
      </c>
      <c r="AR24" s="12" t="s">
        <v>1321</v>
      </c>
      <c r="AS24" s="2">
        <v>27.195450000000001</v>
      </c>
      <c r="AT24" s="55" t="s">
        <v>1326</v>
      </c>
      <c r="AU24">
        <f>SUM(AS50,AS52:AS55)</f>
        <v>129.85581000000002</v>
      </c>
      <c r="AV24" s="90">
        <f t="shared" si="6"/>
        <v>0.1359226409626908</v>
      </c>
      <c r="AX24">
        <v>218</v>
      </c>
      <c r="AY24" s="12" t="s">
        <v>1321</v>
      </c>
      <c r="AZ24" s="2">
        <v>26.194179999999999</v>
      </c>
      <c r="BA24" s="55" t="s">
        <v>1326</v>
      </c>
      <c r="BB24">
        <f>SUM(AZ50,AZ52:AZ55)</f>
        <v>128.27033999999998</v>
      </c>
      <c r="BC24" s="90">
        <f t="shared" si="7"/>
        <v>0.13761645857154234</v>
      </c>
      <c r="BE24">
        <v>218</v>
      </c>
      <c r="BF24" s="12" t="s">
        <v>1321</v>
      </c>
      <c r="BG24" s="2">
        <v>26.1737</v>
      </c>
      <c r="BH24" s="55" t="s">
        <v>1326</v>
      </c>
      <c r="BI24">
        <f>SUM(BG50,BG52:BG55)</f>
        <v>135.87572</v>
      </c>
      <c r="BJ24" s="90">
        <f t="shared" si="8"/>
        <v>0.1492022845359402</v>
      </c>
      <c r="BL24">
        <v>218</v>
      </c>
      <c r="BM24" s="12" t="s">
        <v>1321</v>
      </c>
      <c r="BN24" s="2">
        <v>23.845379999999999</v>
      </c>
      <c r="BO24" s="55" t="s">
        <v>1326</v>
      </c>
      <c r="BP24">
        <f>SUM(BN50,BN52:BN55)</f>
        <v>137.92051000000001</v>
      </c>
      <c r="BQ24" s="90">
        <f t="shared" si="9"/>
        <v>0.14807318176451584</v>
      </c>
      <c r="BS24">
        <v>218</v>
      </c>
      <c r="BT24" s="12" t="s">
        <v>1321</v>
      </c>
      <c r="BU24" s="2">
        <v>21.740290000000002</v>
      </c>
      <c r="BV24" s="55" t="s">
        <v>1326</v>
      </c>
      <c r="BW24">
        <f>SUM(BU50,BU52:BU55)</f>
        <v>141.3032</v>
      </c>
      <c r="BX24" s="90">
        <f t="shared" si="10"/>
        <v>0.1420478332078941</v>
      </c>
      <c r="BZ24">
        <v>218</v>
      </c>
      <c r="CA24" s="12" t="s">
        <v>1321</v>
      </c>
      <c r="CB24" s="2"/>
      <c r="CC24" s="55" t="s">
        <v>1326</v>
      </c>
      <c r="CD24">
        <f>SUM(CB50,CB52:CB55)</f>
        <v>125.45316</v>
      </c>
      <c r="CE24" s="90">
        <f t="shared" si="11"/>
        <v>0.17784249219653323</v>
      </c>
      <c r="CG24">
        <v>218</v>
      </c>
      <c r="CH24" s="12" t="s">
        <v>1321</v>
      </c>
      <c r="CI24" s="2"/>
      <c r="CJ24" s="55" t="s">
        <v>1326</v>
      </c>
      <c r="CK24">
        <f>SUM(CI50,CI52:CI55)</f>
        <v>125.42422000000001</v>
      </c>
      <c r="CL24" s="90">
        <f t="shared" si="12"/>
        <v>0.16898573892961713</v>
      </c>
      <c r="CN24">
        <v>218</v>
      </c>
      <c r="CO24" s="12" t="s">
        <v>1321</v>
      </c>
      <c r="CP24" s="2"/>
      <c r="CQ24" s="55" t="s">
        <v>1326</v>
      </c>
      <c r="CR24">
        <f>SUM(CP50,CP52:CP55)</f>
        <v>123.88694</v>
      </c>
      <c r="CS24" s="90">
        <f t="shared" si="13"/>
        <v>0.17902912142652033</v>
      </c>
      <c r="CU24">
        <v>218</v>
      </c>
      <c r="CV24" s="12" t="s">
        <v>1321</v>
      </c>
      <c r="CW24" s="2"/>
      <c r="CX24" s="55" t="s">
        <v>1326</v>
      </c>
      <c r="CY24">
        <f>SUM(CW50,CW52:CW55)</f>
        <v>115.6939</v>
      </c>
      <c r="CZ24" s="90">
        <f t="shared" si="14"/>
        <v>0.166941865915988</v>
      </c>
      <c r="DB24">
        <v>218</v>
      </c>
      <c r="DC24" s="12" t="s">
        <v>1321</v>
      </c>
      <c r="DD24" s="2"/>
      <c r="DE24" s="55" t="s">
        <v>1326</v>
      </c>
      <c r="DF24">
        <f>SUM(DD50,DD52:DD55)</f>
        <v>111.11558000000001</v>
      </c>
      <c r="DG24" s="90">
        <f t="shared" si="15"/>
        <v>0.1482009796725175</v>
      </c>
      <c r="DI24">
        <v>218</v>
      </c>
      <c r="DJ24" s="12" t="s">
        <v>1321</v>
      </c>
      <c r="DK24" s="2"/>
      <c r="DL24" s="55" t="s">
        <v>1326</v>
      </c>
      <c r="DM24">
        <f>SUM(DK50,DK52:DK55)</f>
        <v>116.40450000000001</v>
      </c>
      <c r="DN24" s="90">
        <f t="shared" si="16"/>
        <v>0.16373793861398153</v>
      </c>
      <c r="DP24">
        <v>218</v>
      </c>
      <c r="DQ24" s="12" t="s">
        <v>1321</v>
      </c>
      <c r="DR24" s="2"/>
      <c r="DS24" s="55" t="s">
        <v>1326</v>
      </c>
      <c r="DT24">
        <f>SUM(DR50,DR52:DR55)</f>
        <v>169.21110999999999</v>
      </c>
      <c r="DU24" s="90">
        <f t="shared" si="17"/>
        <v>0.21917527144053031</v>
      </c>
      <c r="DW24">
        <v>218</v>
      </c>
      <c r="DX24" s="12" t="s">
        <v>1321</v>
      </c>
      <c r="DY24" s="2"/>
      <c r="DZ24" s="55" t="s">
        <v>1326</v>
      </c>
      <c r="EA24">
        <f>SUM(DY50,DY52:DY55)</f>
        <v>0</v>
      </c>
      <c r="EB24" s="90">
        <f t="shared" si="18"/>
        <v>0</v>
      </c>
      <c r="ED24">
        <v>218</v>
      </c>
      <c r="EE24" s="12" t="s">
        <v>1321</v>
      </c>
      <c r="EF24" s="2"/>
      <c r="EG24" s="55" t="s">
        <v>1326</v>
      </c>
      <c r="EH24">
        <f>SUM(EF50,EF52:EF55)</f>
        <v>0</v>
      </c>
      <c r="EI24" s="90">
        <f t="shared" si="19"/>
        <v>0</v>
      </c>
      <c r="EK24">
        <v>218</v>
      </c>
      <c r="EL24" s="12" t="s">
        <v>1321</v>
      </c>
      <c r="EM24" s="2"/>
      <c r="EN24" s="55" t="s">
        <v>1326</v>
      </c>
      <c r="EO24">
        <f>SUM(EM50,EM52:EM55)</f>
        <v>0</v>
      </c>
      <c r="EP24" s="90">
        <f t="shared" si="20"/>
        <v>0</v>
      </c>
    </row>
    <row r="25" spans="1:146" x14ac:dyDescent="0.4">
      <c r="A25">
        <v>217</v>
      </c>
      <c r="B25" s="12" t="s">
        <v>1320</v>
      </c>
      <c r="C25" s="2"/>
      <c r="D25" s="55" t="s">
        <v>1327</v>
      </c>
      <c r="E25">
        <f>SUM(C56,C58:C60)</f>
        <v>0</v>
      </c>
      <c r="F25" s="90" t="e">
        <f t="shared" si="0"/>
        <v>#DIV/0!</v>
      </c>
      <c r="H25">
        <v>217</v>
      </c>
      <c r="I25" s="12" t="s">
        <v>1320</v>
      </c>
      <c r="J25" s="2">
        <v>52.50562</v>
      </c>
      <c r="K25" s="55" t="s">
        <v>1327</v>
      </c>
      <c r="L25">
        <f>SUM(J56,J58:J60)</f>
        <v>65.76751999999999</v>
      </c>
      <c r="M25" s="90">
        <f t="shared" si="1"/>
        <v>0</v>
      </c>
      <c r="O25">
        <v>217</v>
      </c>
      <c r="P25" s="12" t="s">
        <v>1320</v>
      </c>
      <c r="Q25" s="2">
        <v>4.0726820000000004</v>
      </c>
      <c r="R25" s="55" t="s">
        <v>1327</v>
      </c>
      <c r="S25">
        <f>SUM(Q56,Q58:Q60)</f>
        <v>82.158109999999994</v>
      </c>
      <c r="T25" s="90">
        <f t="shared" si="2"/>
        <v>0</v>
      </c>
      <c r="V25">
        <v>217</v>
      </c>
      <c r="W25" s="12" t="s">
        <v>1320</v>
      </c>
      <c r="X25" s="4">
        <v>35.519979999999997</v>
      </c>
      <c r="Y25" s="55" t="s">
        <v>1327</v>
      </c>
      <c r="Z25">
        <f>SUM(X56,X58:X60)</f>
        <v>73.522369999999995</v>
      </c>
      <c r="AA25" s="90">
        <f t="shared" si="3"/>
        <v>0</v>
      </c>
      <c r="AC25">
        <v>217</v>
      </c>
      <c r="AD25" s="12" t="s">
        <v>1320</v>
      </c>
      <c r="AE25" s="2">
        <v>28.557960000000001</v>
      </c>
      <c r="AF25" s="55" t="s">
        <v>1327</v>
      </c>
      <c r="AG25">
        <f>SUM(AE56,AE58:AE60)</f>
        <v>74.821519999999992</v>
      </c>
      <c r="AH25" s="90">
        <f t="shared" si="4"/>
        <v>0</v>
      </c>
      <c r="AJ25">
        <v>217</v>
      </c>
      <c r="AK25" s="12" t="s">
        <v>1320</v>
      </c>
      <c r="AL25" s="2">
        <v>27.747810000000001</v>
      </c>
      <c r="AM25" s="55" t="s">
        <v>1327</v>
      </c>
      <c r="AN25">
        <f>SUM(AL56,AL58:AL60)</f>
        <v>77.091330000000013</v>
      </c>
      <c r="AO25" s="90">
        <f t="shared" si="5"/>
        <v>0</v>
      </c>
      <c r="AQ25">
        <v>217</v>
      </c>
      <c r="AR25" s="12" t="s">
        <v>1320</v>
      </c>
      <c r="AS25" s="2">
        <v>28.239409999999999</v>
      </c>
      <c r="AT25" s="55" t="s">
        <v>1327</v>
      </c>
      <c r="AU25">
        <f>SUM(AS56,AS58:AS60)</f>
        <v>90.54025</v>
      </c>
      <c r="AV25" s="90">
        <f t="shared" si="6"/>
        <v>9.477026783339354E-2</v>
      </c>
      <c r="AX25">
        <v>217</v>
      </c>
      <c r="AY25" s="12" t="s">
        <v>1320</v>
      </c>
      <c r="AZ25" s="2">
        <v>26.594609999999999</v>
      </c>
      <c r="BA25" s="55" t="s">
        <v>1327</v>
      </c>
      <c r="BB25">
        <f>SUM(AZ56,AZ58:AZ60)</f>
        <v>88.547870000000017</v>
      </c>
      <c r="BC25" s="90">
        <f t="shared" si="7"/>
        <v>9.499970362168933E-2</v>
      </c>
      <c r="BE25">
        <v>217</v>
      </c>
      <c r="BF25" s="12" t="s">
        <v>1320</v>
      </c>
      <c r="BG25" s="2">
        <v>24.405049999999999</v>
      </c>
      <c r="BH25" s="55" t="s">
        <v>1327</v>
      </c>
      <c r="BI25">
        <f>SUM(BG56,BG58:BG60)</f>
        <v>101.06681</v>
      </c>
      <c r="BJ25" s="90">
        <f t="shared" si="8"/>
        <v>0</v>
      </c>
      <c r="BL25">
        <v>217</v>
      </c>
      <c r="BM25" s="12" t="s">
        <v>1320</v>
      </c>
      <c r="BN25" s="2">
        <v>24.326619999999998</v>
      </c>
      <c r="BO25" s="55" t="s">
        <v>1327</v>
      </c>
      <c r="BP25">
        <f>SUM(BN56,BN58:BN60)</f>
        <v>101.82966</v>
      </c>
      <c r="BQ25" s="90">
        <f t="shared" si="9"/>
        <v>0</v>
      </c>
      <c r="BS25">
        <v>217</v>
      </c>
      <c r="BT25" s="12" t="s">
        <v>1320</v>
      </c>
      <c r="BU25" s="2">
        <v>21.720400000000001</v>
      </c>
      <c r="BV25" s="55" t="s">
        <v>1327</v>
      </c>
      <c r="BW25">
        <f>SUM(BU56,BU58:BU60)</f>
        <v>109.29658000000001</v>
      </c>
      <c r="BX25" s="90">
        <f t="shared" si="10"/>
        <v>0</v>
      </c>
      <c r="BZ25">
        <v>217</v>
      </c>
      <c r="CA25" s="12" t="s">
        <v>1320</v>
      </c>
      <c r="CB25" s="2"/>
      <c r="CC25" s="55" t="s">
        <v>1327</v>
      </c>
      <c r="CD25">
        <f>SUM(CB56,CB58:CB60)</f>
        <v>103.88732</v>
      </c>
      <c r="CE25" s="90">
        <f t="shared" si="11"/>
        <v>0.14727074149761354</v>
      </c>
      <c r="CG25">
        <v>217</v>
      </c>
      <c r="CH25" s="12" t="s">
        <v>1320</v>
      </c>
      <c r="CI25" s="2"/>
      <c r="CJ25" s="55" t="s">
        <v>1327</v>
      </c>
      <c r="CK25">
        <f>SUM(CI56,CI58:CI60)</f>
        <v>104.90695000000001</v>
      </c>
      <c r="CL25" s="90">
        <f t="shared" si="12"/>
        <v>0.14134254504116028</v>
      </c>
      <c r="CN25">
        <v>217</v>
      </c>
      <c r="CO25" s="12" t="s">
        <v>1320</v>
      </c>
      <c r="CP25" s="2"/>
      <c r="CQ25" s="55" t="s">
        <v>1327</v>
      </c>
      <c r="CR25">
        <f>SUM(CP56,CP58:CP60)</f>
        <v>103.75991999999999</v>
      </c>
      <c r="CS25" s="90">
        <f t="shared" si="13"/>
        <v>0.14994354785811995</v>
      </c>
      <c r="CU25">
        <v>217</v>
      </c>
      <c r="CV25" s="12" t="s">
        <v>1320</v>
      </c>
      <c r="CW25" s="2"/>
      <c r="CX25" s="55" t="s">
        <v>1327</v>
      </c>
      <c r="CY25">
        <f>SUM(CW56,CW58:CW60)</f>
        <v>98.997309999999999</v>
      </c>
      <c r="CZ25" s="90">
        <f t="shared" si="14"/>
        <v>0</v>
      </c>
      <c r="DB25">
        <v>217</v>
      </c>
      <c r="DC25" s="12" t="s">
        <v>1320</v>
      </c>
      <c r="DD25" s="2"/>
      <c r="DE25" s="55" t="s">
        <v>1327</v>
      </c>
      <c r="DF25">
        <f>SUM(DD56,DD58:DD60)</f>
        <v>93.952449999999999</v>
      </c>
      <c r="DG25" s="90">
        <f t="shared" si="15"/>
        <v>0</v>
      </c>
      <c r="DI25">
        <v>217</v>
      </c>
      <c r="DJ25" s="12" t="s">
        <v>1320</v>
      </c>
      <c r="DK25" s="2"/>
      <c r="DL25" s="55" t="s">
        <v>1327</v>
      </c>
      <c r="DM25">
        <f>SUM(DK56,DK58:DK60)</f>
        <v>89.502989999999997</v>
      </c>
      <c r="DN25" s="90">
        <f t="shared" si="16"/>
        <v>0</v>
      </c>
      <c r="DP25">
        <v>217</v>
      </c>
      <c r="DQ25" s="12" t="s">
        <v>1320</v>
      </c>
      <c r="DR25" s="2"/>
      <c r="DS25" s="55" t="s">
        <v>1327</v>
      </c>
      <c r="DT25">
        <f>SUM(DR56,DR58:DR60)</f>
        <v>88.769829999999999</v>
      </c>
      <c r="DU25" s="90">
        <f t="shared" si="17"/>
        <v>0</v>
      </c>
      <c r="DW25">
        <v>217</v>
      </c>
      <c r="DX25" s="12" t="s">
        <v>1320</v>
      </c>
      <c r="DY25" s="2"/>
      <c r="DZ25" s="55" t="s">
        <v>1327</v>
      </c>
      <c r="EA25">
        <f>SUM(DY56,DY58:DY60)</f>
        <v>89.749700000000004</v>
      </c>
      <c r="EB25" s="90">
        <f t="shared" si="18"/>
        <v>0</v>
      </c>
      <c r="ED25">
        <v>217</v>
      </c>
      <c r="EE25" s="12" t="s">
        <v>1320</v>
      </c>
      <c r="EF25" s="2"/>
      <c r="EG25" s="55" t="s">
        <v>1327</v>
      </c>
      <c r="EH25">
        <f>SUM(EF56,EF58:EF60)</f>
        <v>0</v>
      </c>
      <c r="EI25" s="90">
        <f t="shared" si="19"/>
        <v>0</v>
      </c>
      <c r="EK25">
        <v>217</v>
      </c>
      <c r="EL25" s="12" t="s">
        <v>1320</v>
      </c>
      <c r="EM25" s="2"/>
      <c r="EN25" s="55" t="s">
        <v>1327</v>
      </c>
      <c r="EO25">
        <f>SUM(EM56,EM58:EM60)</f>
        <v>0</v>
      </c>
      <c r="EP25" s="90">
        <f t="shared" si="20"/>
        <v>0</v>
      </c>
    </row>
    <row r="26" spans="1:146" x14ac:dyDescent="0.4">
      <c r="A26">
        <v>216</v>
      </c>
      <c r="B26" s="12" t="s">
        <v>1321</v>
      </c>
      <c r="C26" s="2"/>
      <c r="D26" s="55" t="s">
        <v>1328</v>
      </c>
      <c r="E26">
        <f>SUM(C62:C65)</f>
        <v>0</v>
      </c>
      <c r="F26" s="90" t="e">
        <f t="shared" si="0"/>
        <v>#DIV/0!</v>
      </c>
      <c r="H26">
        <v>216</v>
      </c>
      <c r="I26" s="12" t="s">
        <v>1321</v>
      </c>
      <c r="J26" s="4">
        <v>43.636839999999999</v>
      </c>
      <c r="K26" s="55" t="s">
        <v>1328</v>
      </c>
      <c r="L26">
        <f>SUM(J62:J66)</f>
        <v>50.894600000000004</v>
      </c>
      <c r="M26" s="90">
        <f t="shared" si="1"/>
        <v>0</v>
      </c>
      <c r="O26">
        <v>216</v>
      </c>
      <c r="P26" s="12" t="s">
        <v>1321</v>
      </c>
      <c r="Q26" s="2">
        <v>39.39302</v>
      </c>
      <c r="R26" s="55" t="s">
        <v>1328</v>
      </c>
      <c r="S26">
        <f>SUM(Q62:Q66)</f>
        <v>66.224060000000009</v>
      </c>
      <c r="T26" s="90">
        <f t="shared" si="2"/>
        <v>0</v>
      </c>
      <c r="V26">
        <v>216</v>
      </c>
      <c r="W26" s="12" t="s">
        <v>1321</v>
      </c>
      <c r="X26" s="2">
        <v>32.590130000000002</v>
      </c>
      <c r="Y26" s="55" t="s">
        <v>1328</v>
      </c>
      <c r="Z26">
        <f>SUM(X62:X66)</f>
        <v>62.573090000000008</v>
      </c>
      <c r="AA26" s="90">
        <f t="shared" si="3"/>
        <v>0</v>
      </c>
      <c r="AC26">
        <v>216</v>
      </c>
      <c r="AD26" s="12" t="s">
        <v>1321</v>
      </c>
      <c r="AE26" s="2">
        <v>29.93074</v>
      </c>
      <c r="AF26" s="55" t="s">
        <v>1328</v>
      </c>
      <c r="AG26">
        <f>SUM(AE62:AE66)</f>
        <v>67.021420000000006</v>
      </c>
      <c r="AH26" s="90">
        <f t="shared" si="4"/>
        <v>0</v>
      </c>
      <c r="AJ26">
        <v>216</v>
      </c>
      <c r="AK26" s="12" t="s">
        <v>1321</v>
      </c>
      <c r="AL26" s="2">
        <v>27.637540000000001</v>
      </c>
      <c r="AM26" s="55" t="s">
        <v>1328</v>
      </c>
      <c r="AN26">
        <f>SUM(AL62:AL66)</f>
        <v>70.543149999999997</v>
      </c>
      <c r="AO26" s="90">
        <f t="shared" si="5"/>
        <v>0</v>
      </c>
      <c r="AQ26">
        <v>216</v>
      </c>
      <c r="AR26" s="12" t="s">
        <v>1321</v>
      </c>
      <c r="AS26" s="2">
        <v>27.699359999999999</v>
      </c>
      <c r="AT26" s="55" t="s">
        <v>1328</v>
      </c>
      <c r="AU26">
        <f>SUM(AS62:AS66)</f>
        <v>89.557289999999995</v>
      </c>
      <c r="AV26" s="90">
        <f t="shared" si="6"/>
        <v>0</v>
      </c>
      <c r="AX26">
        <v>216</v>
      </c>
      <c r="AY26" s="12" t="s">
        <v>1321</v>
      </c>
      <c r="AZ26" s="2">
        <v>26.84562</v>
      </c>
      <c r="BA26" s="55" t="s">
        <v>1328</v>
      </c>
      <c r="BB26">
        <f>SUM(AZ62:AZ66)</f>
        <v>86.640349999999998</v>
      </c>
      <c r="BC26" s="90">
        <f t="shared" si="7"/>
        <v>0</v>
      </c>
      <c r="BE26">
        <v>216</v>
      </c>
      <c r="BF26" s="12" t="s">
        <v>1321</v>
      </c>
      <c r="BG26" s="2">
        <v>24.781790000000001</v>
      </c>
      <c r="BH26" s="55" t="s">
        <v>1328</v>
      </c>
      <c r="BI26">
        <f>SUM(BG62:BG66)</f>
        <v>108.98052</v>
      </c>
      <c r="BJ26" s="90">
        <f t="shared" si="8"/>
        <v>0.11966922827650681</v>
      </c>
      <c r="BL26">
        <v>216</v>
      </c>
      <c r="BM26" s="12" t="s">
        <v>1321</v>
      </c>
      <c r="BN26" s="2">
        <v>24.549189999999999</v>
      </c>
      <c r="BO26" s="55" t="s">
        <v>1328</v>
      </c>
      <c r="BP26">
        <f>SUM(BN62:BN66)</f>
        <v>108.97933999999999</v>
      </c>
      <c r="BQ26" s="90">
        <f t="shared" si="9"/>
        <v>0.1170015802609559</v>
      </c>
      <c r="BS26">
        <v>216</v>
      </c>
      <c r="BT26" s="12" t="s">
        <v>1321</v>
      </c>
      <c r="BU26" s="2">
        <v>22.220510000000001</v>
      </c>
      <c r="BV26" s="55" t="s">
        <v>1328</v>
      </c>
      <c r="BW26">
        <f>SUM(BU62:BU66)</f>
        <v>125.42547</v>
      </c>
      <c r="BX26" s="90">
        <f t="shared" si="10"/>
        <v>0.1260864314649755</v>
      </c>
      <c r="BZ26">
        <v>216</v>
      </c>
      <c r="CA26" s="12" t="s">
        <v>1321</v>
      </c>
      <c r="CB26" s="2"/>
      <c r="CC26" s="55" t="s">
        <v>1328</v>
      </c>
      <c r="CD26">
        <f>SUM(CB62:CB66)</f>
        <v>131.04049000000001</v>
      </c>
      <c r="CE26" s="90">
        <f t="shared" si="11"/>
        <v>0.18576309532780913</v>
      </c>
      <c r="CG26">
        <v>216</v>
      </c>
      <c r="CH26" s="12" t="s">
        <v>1321</v>
      </c>
      <c r="CI26" s="2"/>
      <c r="CJ26" s="55" t="s">
        <v>1328</v>
      </c>
      <c r="CK26">
        <f>SUM(CI62:CI66)</f>
        <v>133.89461</v>
      </c>
      <c r="CL26" s="90">
        <f t="shared" si="12"/>
        <v>0.18039800932820552</v>
      </c>
      <c r="CN26">
        <v>216</v>
      </c>
      <c r="CO26" s="12" t="s">
        <v>1321</v>
      </c>
      <c r="CP26" s="2"/>
      <c r="CQ26" s="55" t="s">
        <v>1328</v>
      </c>
      <c r="CR26">
        <f>SUM(CP62:CP66)</f>
        <v>132.89805000000001</v>
      </c>
      <c r="CS26" s="90">
        <f t="shared" si="13"/>
        <v>0.19205108408358276</v>
      </c>
      <c r="CU26">
        <v>216</v>
      </c>
      <c r="CV26" s="12" t="s">
        <v>1321</v>
      </c>
      <c r="CW26" s="2"/>
      <c r="CX26" s="55" t="s">
        <v>1328</v>
      </c>
      <c r="CY26">
        <f>SUM(CW62:CW66)</f>
        <v>129.90678</v>
      </c>
      <c r="CZ26" s="90">
        <f t="shared" si="14"/>
        <v>0.18745050731575089</v>
      </c>
      <c r="DB26">
        <v>216</v>
      </c>
      <c r="DC26" s="12" t="s">
        <v>1321</v>
      </c>
      <c r="DD26" s="2"/>
      <c r="DE26" s="55" t="s">
        <v>1328</v>
      </c>
      <c r="DF26">
        <f>SUM(DD62:DD66)</f>
        <v>125.63844</v>
      </c>
      <c r="DG26" s="90">
        <f t="shared" si="15"/>
        <v>0.1675709193303658</v>
      </c>
      <c r="DI26">
        <v>216</v>
      </c>
      <c r="DJ26" s="12" t="s">
        <v>1321</v>
      </c>
      <c r="DK26" s="2"/>
      <c r="DL26" s="55" t="s">
        <v>1328</v>
      </c>
      <c r="DM26">
        <f>SUM(DK62:DK66)</f>
        <v>120.92488000000002</v>
      </c>
      <c r="DN26" s="90">
        <f t="shared" si="16"/>
        <v>0.1700964359482931</v>
      </c>
      <c r="DP26">
        <v>216</v>
      </c>
      <c r="DQ26" s="12" t="s">
        <v>1321</v>
      </c>
      <c r="DR26" s="2"/>
      <c r="DS26" s="55" t="s">
        <v>1328</v>
      </c>
      <c r="DT26">
        <f>SUM(DR62:DR66)</f>
        <v>119.79989999999999</v>
      </c>
      <c r="DU26" s="90">
        <f t="shared" si="17"/>
        <v>0.15517406393143091</v>
      </c>
      <c r="DW26">
        <v>216</v>
      </c>
      <c r="DX26" s="12" t="s">
        <v>1321</v>
      </c>
      <c r="DY26" s="2"/>
      <c r="DZ26" s="55" t="s">
        <v>1328</v>
      </c>
      <c r="EA26">
        <f>SUM(DY62:DY66)</f>
        <v>119.54490000000001</v>
      </c>
      <c r="EB26" s="90">
        <f t="shared" si="18"/>
        <v>0.16883922326067916</v>
      </c>
      <c r="ED26">
        <v>216</v>
      </c>
      <c r="EE26" s="12" t="s">
        <v>1321</v>
      </c>
      <c r="EF26" s="2"/>
      <c r="EG26" s="55" t="s">
        <v>1328</v>
      </c>
      <c r="EH26">
        <f>SUM(EF62:EF66)</f>
        <v>114.22624999999999</v>
      </c>
      <c r="EI26" s="90">
        <f t="shared" si="19"/>
        <v>0.15199133278992727</v>
      </c>
      <c r="EK26">
        <v>216</v>
      </c>
      <c r="EL26" s="12" t="s">
        <v>1321</v>
      </c>
      <c r="EM26" s="2"/>
      <c r="EN26" s="55" t="s">
        <v>1328</v>
      </c>
      <c r="EO26">
        <f>SUM(EM62:EM66)</f>
        <v>0</v>
      </c>
      <c r="EP26" s="90">
        <f t="shared" si="20"/>
        <v>0</v>
      </c>
    </row>
    <row r="27" spans="1:146" x14ac:dyDescent="0.4">
      <c r="A27">
        <v>215</v>
      </c>
      <c r="B27" s="12" t="s">
        <v>1321</v>
      </c>
      <c r="C27" s="2"/>
      <c r="D27" s="55" t="s">
        <v>1329</v>
      </c>
      <c r="E27">
        <f>SUM(C66,C68:C71)</f>
        <v>0</v>
      </c>
      <c r="F27" s="90" t="e">
        <f t="shared" si="0"/>
        <v>#DIV/0!</v>
      </c>
      <c r="H27">
        <v>215</v>
      </c>
      <c r="I27" s="12" t="s">
        <v>1321</v>
      </c>
      <c r="J27" s="2">
        <v>44.962760000000003</v>
      </c>
      <c r="K27" s="55" t="s">
        <v>1329</v>
      </c>
      <c r="L27">
        <f>SUM(J68:J71)</f>
        <v>24.108824000000002</v>
      </c>
      <c r="M27" s="90">
        <f t="shared" si="1"/>
        <v>0</v>
      </c>
      <c r="O27">
        <v>215</v>
      </c>
      <c r="P27" s="12" t="s">
        <v>1321</v>
      </c>
      <c r="Q27" s="2">
        <v>54.916080000000001</v>
      </c>
      <c r="R27" s="55" t="s">
        <v>1329</v>
      </c>
      <c r="S27">
        <f>SUM(Q68:Q71)</f>
        <v>32.999531999999995</v>
      </c>
      <c r="T27" s="90">
        <f t="shared" si="2"/>
        <v>0</v>
      </c>
      <c r="V27">
        <v>215</v>
      </c>
      <c r="W27" s="12" t="s">
        <v>1321</v>
      </c>
      <c r="X27" s="2">
        <v>36.553809999999999</v>
      </c>
      <c r="Y27" s="55" t="s">
        <v>1329</v>
      </c>
      <c r="Z27">
        <f>SUM(X68:X71)</f>
        <v>31.829301999999998</v>
      </c>
      <c r="AA27" s="90">
        <f t="shared" si="3"/>
        <v>0</v>
      </c>
      <c r="AC27">
        <v>215</v>
      </c>
      <c r="AD27" s="12" t="s">
        <v>1321</v>
      </c>
      <c r="AE27" s="2">
        <v>31.323530000000002</v>
      </c>
      <c r="AF27" s="55" t="s">
        <v>1329</v>
      </c>
      <c r="AG27">
        <f>SUM(AE68:AE71)</f>
        <v>35.601838999999998</v>
      </c>
      <c r="AH27" s="90">
        <f t="shared" si="4"/>
        <v>0</v>
      </c>
      <c r="AJ27">
        <v>215</v>
      </c>
      <c r="AK27" s="12" t="s">
        <v>1321</v>
      </c>
      <c r="AL27" s="2">
        <v>28.159199999999998</v>
      </c>
      <c r="AM27" s="55" t="s">
        <v>1329</v>
      </c>
      <c r="AN27">
        <f>SUM(AL68:AL71)</f>
        <v>38.07347</v>
      </c>
      <c r="AO27" s="90">
        <f t="shared" si="5"/>
        <v>0</v>
      </c>
      <c r="AQ27">
        <v>215</v>
      </c>
      <c r="AR27" s="12" t="s">
        <v>1321</v>
      </c>
      <c r="AS27" s="2">
        <v>27.551449999999999</v>
      </c>
      <c r="AT27" s="55" t="s">
        <v>1329</v>
      </c>
      <c r="AU27">
        <f>SUM(AS68:AS71)</f>
        <v>52.335319999999996</v>
      </c>
      <c r="AV27" s="90">
        <f t="shared" si="6"/>
        <v>0</v>
      </c>
      <c r="AX27">
        <v>215</v>
      </c>
      <c r="AY27" s="12" t="s">
        <v>1321</v>
      </c>
      <c r="AZ27" s="2">
        <v>27.34215</v>
      </c>
      <c r="BA27" s="55" t="s">
        <v>1329</v>
      </c>
      <c r="BB27">
        <f>SUM(AZ68:AZ71)</f>
        <v>49.848570000000002</v>
      </c>
      <c r="BC27" s="90">
        <f t="shared" si="7"/>
        <v>0</v>
      </c>
      <c r="BE27">
        <v>215</v>
      </c>
      <c r="BF27" s="12" t="s">
        <v>1321</v>
      </c>
      <c r="BG27" s="2">
        <v>25.531310000000001</v>
      </c>
      <c r="BH27" s="55" t="s">
        <v>1329</v>
      </c>
      <c r="BI27">
        <f>SUM(BG68:BG71)</f>
        <v>69.943469999999991</v>
      </c>
      <c r="BJ27" s="90">
        <f t="shared" si="8"/>
        <v>0</v>
      </c>
      <c r="BL27">
        <v>215</v>
      </c>
      <c r="BM27" s="12" t="s">
        <v>1321</v>
      </c>
      <c r="BN27" s="2">
        <v>25.077110000000001</v>
      </c>
      <c r="BO27" s="55" t="s">
        <v>1329</v>
      </c>
      <c r="BP27">
        <f>SUM(BN68:BN71)</f>
        <v>68.969079999999991</v>
      </c>
      <c r="BQ27" s="90">
        <f t="shared" si="9"/>
        <v>0</v>
      </c>
      <c r="BS27">
        <v>215</v>
      </c>
      <c r="BT27" s="12" t="s">
        <v>1321</v>
      </c>
      <c r="BU27" s="2">
        <v>22.151150000000001</v>
      </c>
      <c r="BV27" s="55" t="s">
        <v>1329</v>
      </c>
      <c r="BW27">
        <f>SUM(BU68:BU71)</f>
        <v>86.390119999999996</v>
      </c>
      <c r="BX27" s="90">
        <f t="shared" si="10"/>
        <v>0</v>
      </c>
      <c r="BZ27">
        <v>215</v>
      </c>
      <c r="CA27" s="12" t="s">
        <v>1321</v>
      </c>
      <c r="CB27" s="2"/>
      <c r="CC27" s="55" t="s">
        <v>1329</v>
      </c>
      <c r="CD27">
        <f>SUM(CB68:CB71)</f>
        <v>102.95335999999999</v>
      </c>
      <c r="CE27" s="90">
        <f t="shared" si="11"/>
        <v>0</v>
      </c>
      <c r="CG27">
        <v>215</v>
      </c>
      <c r="CH27" s="12" t="s">
        <v>1321</v>
      </c>
      <c r="CI27" s="2"/>
      <c r="CJ27" s="55" t="s">
        <v>1329</v>
      </c>
      <c r="CK27">
        <f>SUM(CI68:CI71)</f>
        <v>106.31232</v>
      </c>
      <c r="CL27" s="90">
        <f t="shared" si="12"/>
        <v>0.1432360189485086</v>
      </c>
      <c r="CN27">
        <v>215</v>
      </c>
      <c r="CO27" s="12" t="s">
        <v>1321</v>
      </c>
      <c r="CP27" s="2"/>
      <c r="CQ27" s="55" t="s">
        <v>1329</v>
      </c>
      <c r="CR27">
        <f>SUM(CP68:CP71)</f>
        <v>106.04296000000001</v>
      </c>
      <c r="CS27" s="90">
        <f t="shared" si="13"/>
        <v>0.15324277088664584</v>
      </c>
      <c r="CU27">
        <v>215</v>
      </c>
      <c r="CV27" s="12" t="s">
        <v>1321</v>
      </c>
      <c r="CW27" s="2"/>
      <c r="CX27" s="55" t="s">
        <v>1329</v>
      </c>
      <c r="CY27">
        <f>SUM(CW68:CW71)</f>
        <v>106.24955</v>
      </c>
      <c r="CZ27" s="90">
        <f t="shared" si="14"/>
        <v>0.15331403064235938</v>
      </c>
      <c r="DB27">
        <v>215</v>
      </c>
      <c r="DC27" s="12" t="s">
        <v>1321</v>
      </c>
      <c r="DD27" s="2"/>
      <c r="DE27" s="55" t="s">
        <v>1329</v>
      </c>
      <c r="DF27">
        <f>SUM(DD68:DD71)</f>
        <v>104.76818</v>
      </c>
      <c r="DG27" s="90">
        <f t="shared" si="15"/>
        <v>0</v>
      </c>
      <c r="DI27">
        <v>215</v>
      </c>
      <c r="DJ27" s="12" t="s">
        <v>1321</v>
      </c>
      <c r="DK27" s="2"/>
      <c r="DL27" s="55" t="s">
        <v>1329</v>
      </c>
      <c r="DM27">
        <f>SUM(DK68:DK71)</f>
        <v>101.78387000000001</v>
      </c>
      <c r="DN27" s="90">
        <f t="shared" si="16"/>
        <v>0</v>
      </c>
      <c r="DP27">
        <v>215</v>
      </c>
      <c r="DQ27" s="12" t="s">
        <v>1321</v>
      </c>
      <c r="DR27" s="2"/>
      <c r="DS27" s="55" t="s">
        <v>1329</v>
      </c>
      <c r="DT27">
        <f>SUM(DR68:DR71)</f>
        <v>101.41547</v>
      </c>
      <c r="DU27" s="90">
        <f t="shared" si="17"/>
        <v>0</v>
      </c>
      <c r="DW27">
        <v>215</v>
      </c>
      <c r="DX27" s="12" t="s">
        <v>1321</v>
      </c>
      <c r="DY27" s="2"/>
      <c r="DZ27" s="55" t="s">
        <v>1329</v>
      </c>
      <c r="EA27">
        <f>SUM(DY68:DY71)</f>
        <v>100.94604000000001</v>
      </c>
      <c r="EB27" s="90">
        <f t="shared" si="18"/>
        <v>0</v>
      </c>
      <c r="ED27">
        <v>215</v>
      </c>
      <c r="EE27" s="12" t="s">
        <v>1321</v>
      </c>
      <c r="EF27" s="2"/>
      <c r="EG27" s="55" t="s">
        <v>1329</v>
      </c>
      <c r="EH27">
        <f>SUM(EF68:EF71)</f>
        <v>91.051760000000002</v>
      </c>
      <c r="EI27" s="90">
        <f t="shared" si="19"/>
        <v>0</v>
      </c>
      <c r="EK27">
        <v>215</v>
      </c>
      <c r="EL27" s="12" t="s">
        <v>1321</v>
      </c>
      <c r="EM27" s="2"/>
      <c r="EN27" s="55" t="s">
        <v>1329</v>
      </c>
      <c r="EO27">
        <f>SUM(EM68:EM71)</f>
        <v>89.479380000000006</v>
      </c>
      <c r="EP27" s="90">
        <f t="shared" si="20"/>
        <v>0</v>
      </c>
    </row>
    <row r="28" spans="1:146" x14ac:dyDescent="0.4">
      <c r="A28">
        <v>214</v>
      </c>
      <c r="B28" s="12" t="s">
        <v>1319</v>
      </c>
      <c r="C28" s="2"/>
      <c r="D28" s="55" t="s">
        <v>1330</v>
      </c>
      <c r="E28">
        <f>SUM(C72,C74:C76)</f>
        <v>0</v>
      </c>
      <c r="F28" s="90" t="e">
        <f t="shared" si="0"/>
        <v>#DIV/0!</v>
      </c>
      <c r="H28">
        <v>214</v>
      </c>
      <c r="I28" s="12" t="s">
        <v>1319</v>
      </c>
      <c r="J28" s="2">
        <v>49.780589999999997</v>
      </c>
      <c r="K28" s="55" t="s">
        <v>1330</v>
      </c>
      <c r="L28">
        <f>SUM(J72,J74:J76)</f>
        <v>14.859662</v>
      </c>
      <c r="M28" s="90">
        <f t="shared" si="1"/>
        <v>0</v>
      </c>
      <c r="O28">
        <v>214</v>
      </c>
      <c r="P28" s="12" t="s">
        <v>1319</v>
      </c>
      <c r="Q28" s="2">
        <v>2.4383210000000002</v>
      </c>
      <c r="R28" s="55" t="s">
        <v>1330</v>
      </c>
      <c r="S28">
        <f>SUM(Q72,Q74:Q76)</f>
        <v>21.184677999999998</v>
      </c>
      <c r="T28" s="90">
        <f t="shared" si="2"/>
        <v>0</v>
      </c>
      <c r="V28">
        <v>214</v>
      </c>
      <c r="W28" s="12" t="s">
        <v>1319</v>
      </c>
      <c r="X28" s="2">
        <v>35.856990000000003</v>
      </c>
      <c r="Y28" s="55" t="s">
        <v>1330</v>
      </c>
      <c r="Z28">
        <f>SUM(X72,X74:X76)</f>
        <v>20.459427999999999</v>
      </c>
      <c r="AA28" s="90">
        <f t="shared" si="3"/>
        <v>0</v>
      </c>
      <c r="AC28">
        <v>214</v>
      </c>
      <c r="AD28" s="12" t="s">
        <v>1319</v>
      </c>
      <c r="AE28" s="2">
        <v>30.099779999999999</v>
      </c>
      <c r="AF28" s="55" t="s">
        <v>1330</v>
      </c>
      <c r="AG28">
        <f>SUM(AE72,AE74:AE76)</f>
        <v>23.529421999999997</v>
      </c>
      <c r="AH28" s="90">
        <f t="shared" si="4"/>
        <v>0</v>
      </c>
      <c r="AJ28">
        <v>214</v>
      </c>
      <c r="AK28" s="12" t="s">
        <v>1319</v>
      </c>
      <c r="AL28" s="2">
        <v>28.430129999999998</v>
      </c>
      <c r="AM28" s="55" t="s">
        <v>1330</v>
      </c>
      <c r="AN28">
        <f>SUM(AL72,AL74:AL76)</f>
        <v>25.487447</v>
      </c>
      <c r="AO28" s="90">
        <f t="shared" si="5"/>
        <v>0</v>
      </c>
      <c r="AQ28">
        <v>214</v>
      </c>
      <c r="AR28" s="12" t="s">
        <v>1319</v>
      </c>
      <c r="AS28" s="2">
        <v>28.600180000000002</v>
      </c>
      <c r="AT28" s="55" t="s">
        <v>1330</v>
      </c>
      <c r="AU28">
        <f>SUM(AS72,AS74:AS76)</f>
        <v>37.046504999999996</v>
      </c>
      <c r="AV28" s="90">
        <f t="shared" si="6"/>
        <v>0</v>
      </c>
      <c r="AX28">
        <v>214</v>
      </c>
      <c r="AY28" s="12" t="s">
        <v>1319</v>
      </c>
      <c r="AZ28" s="2">
        <v>27.64273</v>
      </c>
      <c r="BA28" s="55" t="s">
        <v>1330</v>
      </c>
      <c r="BB28">
        <f>SUM(AZ72,AZ74:AZ76)</f>
        <v>34.934472999999997</v>
      </c>
      <c r="BC28" s="90">
        <f t="shared" si="7"/>
        <v>0</v>
      </c>
      <c r="BE28">
        <v>214</v>
      </c>
      <c r="BF28" s="12" t="s">
        <v>1319</v>
      </c>
      <c r="BG28" s="2">
        <v>25.7791</v>
      </c>
      <c r="BH28" s="55" t="s">
        <v>1330</v>
      </c>
      <c r="BI28">
        <f>SUM(BG72,BG74:BG76)</f>
        <v>53.606750000000005</v>
      </c>
      <c r="BJ28" s="90">
        <f t="shared" si="8"/>
        <v>0</v>
      </c>
      <c r="BL28">
        <v>214</v>
      </c>
      <c r="BM28" s="12" t="s">
        <v>1319</v>
      </c>
      <c r="BN28" s="2">
        <v>25.745190000000001</v>
      </c>
      <c r="BO28" s="55" t="s">
        <v>1330</v>
      </c>
      <c r="BP28">
        <f>SUM(BN72,BN74:BN76)</f>
        <v>52.275220000000004</v>
      </c>
      <c r="BQ28" s="90">
        <f t="shared" si="9"/>
        <v>0</v>
      </c>
      <c r="BS28">
        <v>214</v>
      </c>
      <c r="BT28" s="12" t="s">
        <v>1319</v>
      </c>
      <c r="BU28" s="2">
        <v>22.672840000000001</v>
      </c>
      <c r="BV28" s="55" t="s">
        <v>1330</v>
      </c>
      <c r="BW28">
        <f>SUM(BU72,BU74:BU76)</f>
        <v>70.853939999999994</v>
      </c>
      <c r="BX28" s="90">
        <f t="shared" si="10"/>
        <v>0</v>
      </c>
      <c r="BZ28">
        <v>214</v>
      </c>
      <c r="CA28" s="12" t="s">
        <v>1319</v>
      </c>
      <c r="CB28" s="2"/>
      <c r="CC28" s="55" t="s">
        <v>1330</v>
      </c>
      <c r="CD28">
        <f>SUM(CB72,CB74:CB76)</f>
        <v>98.588470000000001</v>
      </c>
      <c r="CE28" s="90">
        <f t="shared" si="11"/>
        <v>0</v>
      </c>
      <c r="CG28">
        <v>214</v>
      </c>
      <c r="CH28" s="12" t="s">
        <v>1319</v>
      </c>
      <c r="CI28" s="2"/>
      <c r="CJ28" s="55" t="s">
        <v>1330</v>
      </c>
      <c r="CK28">
        <f>SUM(CI72,CI74:CI76)</f>
        <v>102.42032</v>
      </c>
      <c r="CL28" s="90">
        <f t="shared" si="12"/>
        <v>0</v>
      </c>
      <c r="CN28">
        <v>214</v>
      </c>
      <c r="CO28" s="12" t="s">
        <v>1319</v>
      </c>
      <c r="CP28" s="2"/>
      <c r="CQ28" s="55" t="s">
        <v>1330</v>
      </c>
      <c r="CR28">
        <f>SUM(CP72,CP74:CP76)</f>
        <v>102.70393</v>
      </c>
      <c r="CS28" s="90">
        <f t="shared" si="13"/>
        <v>0</v>
      </c>
      <c r="CU28">
        <v>214</v>
      </c>
      <c r="CV28" s="12" t="s">
        <v>1319</v>
      </c>
      <c r="CW28" s="2"/>
      <c r="CX28" s="55" t="s">
        <v>1330</v>
      </c>
      <c r="CY28">
        <f>SUM(CW72,CW74:CW76)</f>
        <v>105.99619</v>
      </c>
      <c r="CZ28" s="90">
        <f t="shared" si="14"/>
        <v>0.15294844186759707</v>
      </c>
      <c r="DB28">
        <v>214</v>
      </c>
      <c r="DC28" s="12" t="s">
        <v>1319</v>
      </c>
      <c r="DD28" s="2"/>
      <c r="DE28" s="55" t="s">
        <v>1330</v>
      </c>
      <c r="DF28">
        <f>SUM(DD72,DD74:DD76)</f>
        <v>106.36337</v>
      </c>
      <c r="DG28" s="90">
        <f t="shared" si="15"/>
        <v>0.14186269499984122</v>
      </c>
      <c r="DI28">
        <v>214</v>
      </c>
      <c r="DJ28" s="12" t="s">
        <v>1319</v>
      </c>
      <c r="DK28" s="2"/>
      <c r="DL28" s="55" t="s">
        <v>1330</v>
      </c>
      <c r="DM28">
        <f>SUM(DK72,DK74:DK76)</f>
        <v>104.27703</v>
      </c>
      <c r="DN28" s="90">
        <f t="shared" si="16"/>
        <v>0.14667908832552273</v>
      </c>
      <c r="DP28">
        <v>214</v>
      </c>
      <c r="DQ28" s="12" t="s">
        <v>1319</v>
      </c>
      <c r="DR28" s="2"/>
      <c r="DS28" s="55" t="s">
        <v>1330</v>
      </c>
      <c r="DT28">
        <f>SUM(DR72,DR74:DR76)</f>
        <v>104.41439</v>
      </c>
      <c r="DU28" s="90">
        <f t="shared" si="17"/>
        <v>0.13524556555741166</v>
      </c>
      <c r="DW28">
        <v>214</v>
      </c>
      <c r="DX28" s="12" t="s">
        <v>1319</v>
      </c>
      <c r="DY28" s="2"/>
      <c r="DZ28" s="55" t="s">
        <v>1330</v>
      </c>
      <c r="EA28">
        <f>SUM(DY72,DY74:DY76)</f>
        <v>103.86055</v>
      </c>
      <c r="EB28" s="90">
        <f t="shared" si="18"/>
        <v>0.14668743367075407</v>
      </c>
      <c r="ED28">
        <v>214</v>
      </c>
      <c r="EE28" s="12" t="s">
        <v>1319</v>
      </c>
      <c r="EF28" s="2"/>
      <c r="EG28" s="55" t="s">
        <v>1330</v>
      </c>
      <c r="EH28">
        <f>SUM(EF72,EF74:EF76)</f>
        <v>96.324909999999988</v>
      </c>
      <c r="EI28" s="90">
        <f t="shared" si="19"/>
        <v>0</v>
      </c>
      <c r="EK28">
        <v>214</v>
      </c>
      <c r="EL28" s="12" t="s">
        <v>1319</v>
      </c>
      <c r="EM28" s="2"/>
      <c r="EN28" s="55" t="s">
        <v>1330</v>
      </c>
      <c r="EO28">
        <f>SUM(EM72,EM74:EM76)</f>
        <v>92.38821999999999</v>
      </c>
      <c r="EP28" s="90">
        <f t="shared" si="20"/>
        <v>0.1241994633146245</v>
      </c>
    </row>
    <row r="29" spans="1:146" x14ac:dyDescent="0.4">
      <c r="A29">
        <v>213</v>
      </c>
      <c r="B29" s="12" t="s">
        <v>1320</v>
      </c>
      <c r="C29" s="2"/>
      <c r="D29" s="55" t="s">
        <v>1331</v>
      </c>
      <c r="E29">
        <f>C77</f>
        <v>0</v>
      </c>
      <c r="F29" s="90" t="e">
        <f t="shared" si="0"/>
        <v>#DIV/0!</v>
      </c>
      <c r="H29">
        <v>213</v>
      </c>
      <c r="I29" s="12" t="s">
        <v>1320</v>
      </c>
      <c r="J29" s="2">
        <v>42.262779999999999</v>
      </c>
      <c r="K29" s="55" t="s">
        <v>1331</v>
      </c>
      <c r="L29">
        <f>J77</f>
        <v>2.743665</v>
      </c>
      <c r="M29" s="90">
        <f t="shared" si="1"/>
        <v>0</v>
      </c>
      <c r="O29">
        <v>213</v>
      </c>
      <c r="P29" s="12" t="s">
        <v>1320</v>
      </c>
      <c r="Q29" s="2">
        <v>104.22669999999999</v>
      </c>
      <c r="R29" s="55" t="s">
        <v>1331</v>
      </c>
      <c r="S29">
        <f>Q77</f>
        <v>3.972054</v>
      </c>
      <c r="T29" s="90">
        <f t="shared" si="2"/>
        <v>0</v>
      </c>
      <c r="V29">
        <v>213</v>
      </c>
      <c r="W29" s="12" t="s">
        <v>1320</v>
      </c>
      <c r="X29" s="2">
        <v>33.480699999999999</v>
      </c>
      <c r="Y29" s="55" t="s">
        <v>1331</v>
      </c>
      <c r="Z29">
        <f>X77</f>
        <v>3.8561139999999998</v>
      </c>
      <c r="AA29" s="90">
        <f t="shared" si="3"/>
        <v>0</v>
      </c>
      <c r="AC29">
        <v>213</v>
      </c>
      <c r="AD29" s="12" t="s">
        <v>1320</v>
      </c>
      <c r="AE29" s="2">
        <v>29.744700000000002</v>
      </c>
      <c r="AF29" s="55" t="s">
        <v>1331</v>
      </c>
      <c r="AG29">
        <f>AE77</f>
        <v>4.4975160000000001</v>
      </c>
      <c r="AH29" s="90">
        <f t="shared" si="4"/>
        <v>0</v>
      </c>
      <c r="AJ29">
        <v>213</v>
      </c>
      <c r="AK29" s="12" t="s">
        <v>1320</v>
      </c>
      <c r="AL29" s="2">
        <v>28.12143</v>
      </c>
      <c r="AM29" s="55" t="s">
        <v>1331</v>
      </c>
      <c r="AN29">
        <f>AL77</f>
        <v>4.898549</v>
      </c>
      <c r="AO29" s="90">
        <f t="shared" si="5"/>
        <v>0</v>
      </c>
      <c r="AQ29">
        <v>213</v>
      </c>
      <c r="AR29" s="12" t="s">
        <v>1320</v>
      </c>
      <c r="AS29" s="2">
        <v>28.78199</v>
      </c>
      <c r="AT29" s="55" t="s">
        <v>1331</v>
      </c>
      <c r="AU29">
        <f>AS77</f>
        <v>7.3445499999999999</v>
      </c>
      <c r="AV29" s="90">
        <f t="shared" si="6"/>
        <v>0</v>
      </c>
      <c r="AX29">
        <v>213</v>
      </c>
      <c r="AY29" s="12" t="s">
        <v>1320</v>
      </c>
      <c r="AZ29" s="2">
        <v>28.032699999999998</v>
      </c>
      <c r="BA29" s="55" t="s">
        <v>1331</v>
      </c>
      <c r="BB29">
        <f>AZ77</f>
        <v>6.8743559999999997</v>
      </c>
      <c r="BC29" s="90">
        <f t="shared" si="7"/>
        <v>0</v>
      </c>
      <c r="BE29">
        <v>213</v>
      </c>
      <c r="BF29" s="12" t="s">
        <v>1320</v>
      </c>
      <c r="BG29" s="2">
        <v>26.59254</v>
      </c>
      <c r="BH29" s="55" t="s">
        <v>1331</v>
      </c>
      <c r="BI29">
        <f>BG77</f>
        <v>11.126289999999999</v>
      </c>
      <c r="BJ29" s="90">
        <f t="shared" si="8"/>
        <v>0</v>
      </c>
      <c r="BL29">
        <v>213</v>
      </c>
      <c r="BM29" s="12" t="s">
        <v>1320</v>
      </c>
      <c r="BN29" s="2">
        <v>26.452719999999999</v>
      </c>
      <c r="BO29" s="55" t="s">
        <v>1331</v>
      </c>
      <c r="BP29">
        <f>BN77</f>
        <v>10.755890000000001</v>
      </c>
      <c r="BQ29" s="90">
        <f t="shared" si="9"/>
        <v>0</v>
      </c>
      <c r="BS29">
        <v>213</v>
      </c>
      <c r="BT29" s="12" t="s">
        <v>1320</v>
      </c>
      <c r="BU29" s="2">
        <v>23.82827</v>
      </c>
      <c r="BV29" s="55" t="s">
        <v>1331</v>
      </c>
      <c r="BW29">
        <f>BU77</f>
        <v>15.30893</v>
      </c>
      <c r="BX29" s="90">
        <f t="shared" si="10"/>
        <v>0</v>
      </c>
      <c r="BZ29">
        <v>213</v>
      </c>
      <c r="CA29" s="12" t="s">
        <v>1320</v>
      </c>
      <c r="CB29" s="2"/>
      <c r="CC29" s="55" t="s">
        <v>1331</v>
      </c>
      <c r="CD29">
        <f>CB77</f>
        <v>23.713889999999999</v>
      </c>
      <c r="CE29" s="90">
        <f t="shared" si="11"/>
        <v>0</v>
      </c>
      <c r="CG29">
        <v>213</v>
      </c>
      <c r="CH29" s="12" t="s">
        <v>1320</v>
      </c>
      <c r="CI29" s="2"/>
      <c r="CJ29" s="55" t="s">
        <v>1331</v>
      </c>
      <c r="CK29">
        <f>CI77</f>
        <v>24.714120000000001</v>
      </c>
      <c r="CL29" s="90">
        <f t="shared" si="12"/>
        <v>0</v>
      </c>
      <c r="CN29">
        <v>213</v>
      </c>
      <c r="CO29" s="12" t="s">
        <v>1320</v>
      </c>
      <c r="CP29" s="2"/>
      <c r="CQ29" s="55" t="s">
        <v>1331</v>
      </c>
      <c r="CR29">
        <f>CP77</f>
        <v>24.84779</v>
      </c>
      <c r="CS29" s="90">
        <f t="shared" si="13"/>
        <v>0</v>
      </c>
      <c r="CU29">
        <v>213</v>
      </c>
      <c r="CV29" s="12" t="s">
        <v>1320</v>
      </c>
      <c r="CW29" s="2"/>
      <c r="CX29" s="55" t="s">
        <v>1331</v>
      </c>
      <c r="CY29">
        <f>CW77</f>
        <v>26.169519999999999</v>
      </c>
      <c r="CZ29" s="90">
        <f t="shared" si="14"/>
        <v>0</v>
      </c>
      <c r="DB29">
        <v>213</v>
      </c>
      <c r="DC29" s="12" t="s">
        <v>1320</v>
      </c>
      <c r="DD29" s="2"/>
      <c r="DE29" s="55" t="s">
        <v>1331</v>
      </c>
      <c r="DF29">
        <f>DD77</f>
        <v>26.639479999999999</v>
      </c>
      <c r="DG29" s="90">
        <f t="shared" si="15"/>
        <v>0</v>
      </c>
      <c r="DI29">
        <v>213</v>
      </c>
      <c r="DJ29" s="12" t="s">
        <v>1320</v>
      </c>
      <c r="DK29" s="2"/>
      <c r="DL29" s="55" t="s">
        <v>1331</v>
      </c>
      <c r="DM29">
        <f>DK77</f>
        <v>26.22315</v>
      </c>
      <c r="DN29" s="90">
        <f t="shared" si="16"/>
        <v>0</v>
      </c>
      <c r="DP29">
        <v>213</v>
      </c>
      <c r="DQ29" s="12" t="s">
        <v>1320</v>
      </c>
      <c r="DR29" s="2"/>
      <c r="DS29" s="55" t="s">
        <v>1331</v>
      </c>
      <c r="DT29">
        <f>DR77</f>
        <v>26.406040000000001</v>
      </c>
      <c r="DU29" s="90">
        <f t="shared" si="17"/>
        <v>0</v>
      </c>
      <c r="DW29">
        <v>213</v>
      </c>
      <c r="DX29" s="12" t="s">
        <v>1320</v>
      </c>
      <c r="DY29" s="2"/>
      <c r="DZ29" s="55" t="s">
        <v>1331</v>
      </c>
      <c r="EA29">
        <f>DY77</f>
        <v>26.360240000000001</v>
      </c>
      <c r="EB29" s="90">
        <f t="shared" si="18"/>
        <v>0</v>
      </c>
      <c r="ED29">
        <v>213</v>
      </c>
      <c r="EE29" s="12" t="s">
        <v>1320</v>
      </c>
      <c r="EF29" s="2"/>
      <c r="EG29" s="55" t="s">
        <v>1331</v>
      </c>
      <c r="EH29">
        <f>EF77</f>
        <v>24.789200000000001</v>
      </c>
      <c r="EI29" s="90">
        <f t="shared" si="19"/>
        <v>0</v>
      </c>
      <c r="EK29">
        <v>213</v>
      </c>
      <c r="EL29" s="12" t="s">
        <v>1320</v>
      </c>
      <c r="EM29" s="2"/>
      <c r="EN29" s="55" t="s">
        <v>1331</v>
      </c>
      <c r="EO29">
        <f>EM77</f>
        <v>23.934719999999999</v>
      </c>
      <c r="EP29" s="90">
        <f t="shared" si="20"/>
        <v>0</v>
      </c>
    </row>
    <row r="30" spans="1:146" x14ac:dyDescent="0.4">
      <c r="A30">
        <v>212</v>
      </c>
      <c r="B30" s="12" t="s">
        <v>1321</v>
      </c>
      <c r="C30" s="2"/>
      <c r="D30" s="55" t="s">
        <v>1332</v>
      </c>
      <c r="E30">
        <f>SUM(C78:C81)</f>
        <v>0</v>
      </c>
      <c r="F30" s="90" t="e">
        <f t="shared" si="0"/>
        <v>#DIV/0!</v>
      </c>
      <c r="H30">
        <v>212</v>
      </c>
      <c r="I30" s="12" t="s">
        <v>1321</v>
      </c>
      <c r="J30" s="2">
        <v>47.631990000000002</v>
      </c>
      <c r="K30" s="55" t="s">
        <v>1332</v>
      </c>
      <c r="L30">
        <f>SUM(J78:J81)</f>
        <v>8.4416840000000004</v>
      </c>
      <c r="M30" s="90">
        <f t="shared" si="1"/>
        <v>0</v>
      </c>
      <c r="O30">
        <v>212</v>
      </c>
      <c r="P30" s="12" t="s">
        <v>1321</v>
      </c>
      <c r="Q30" s="2">
        <v>16.779920000000001</v>
      </c>
      <c r="R30" s="55" t="s">
        <v>1332</v>
      </c>
      <c r="S30">
        <f>SUM(Q78:Q81)</f>
        <v>12.29368</v>
      </c>
      <c r="T30" s="90">
        <f t="shared" si="2"/>
        <v>0</v>
      </c>
      <c r="V30">
        <v>212</v>
      </c>
      <c r="W30" s="12" t="s">
        <v>1321</v>
      </c>
      <c r="X30" s="2">
        <v>36.18985</v>
      </c>
      <c r="Y30" s="55" t="s">
        <v>1332</v>
      </c>
      <c r="Z30">
        <f>SUM(X78:X81)</f>
        <v>12.012784</v>
      </c>
      <c r="AA30" s="90">
        <f t="shared" si="3"/>
        <v>0</v>
      </c>
      <c r="AC30">
        <v>212</v>
      </c>
      <c r="AD30" s="12" t="s">
        <v>1321</v>
      </c>
      <c r="AE30" s="2">
        <v>31.107050000000001</v>
      </c>
      <c r="AF30" s="55" t="s">
        <v>1332</v>
      </c>
      <c r="AG30">
        <f>SUM(AE78:AE81)</f>
        <v>14.133834</v>
      </c>
      <c r="AH30" s="90">
        <f t="shared" si="4"/>
        <v>0</v>
      </c>
      <c r="AJ30">
        <v>212</v>
      </c>
      <c r="AK30" s="12" t="s">
        <v>1321</v>
      </c>
      <c r="AL30" s="2">
        <v>28.603840000000002</v>
      </c>
      <c r="AM30" s="55" t="s">
        <v>1332</v>
      </c>
      <c r="AN30">
        <f>SUM(AL78:AL81)</f>
        <v>15.445063999999999</v>
      </c>
      <c r="AO30" s="90">
        <f t="shared" si="5"/>
        <v>0</v>
      </c>
      <c r="AQ30">
        <v>212</v>
      </c>
      <c r="AR30" s="12" t="s">
        <v>1321</v>
      </c>
      <c r="AS30" s="2">
        <v>28.630310000000001</v>
      </c>
      <c r="AT30" s="55" t="s">
        <v>1332</v>
      </c>
      <c r="AU30">
        <f>SUM(AS78:AS81)</f>
        <v>23.639344999999999</v>
      </c>
      <c r="AV30" s="90">
        <f t="shared" si="6"/>
        <v>0</v>
      </c>
      <c r="AX30">
        <v>212</v>
      </c>
      <c r="AY30" s="12" t="s">
        <v>1321</v>
      </c>
      <c r="AZ30" s="2">
        <v>28.22869</v>
      </c>
      <c r="BA30" s="55" t="s">
        <v>1332</v>
      </c>
      <c r="BB30">
        <f>SUM(AZ78:AZ81)</f>
        <v>22.06812</v>
      </c>
      <c r="BC30" s="90">
        <f t="shared" si="7"/>
        <v>0</v>
      </c>
      <c r="BE30">
        <v>212</v>
      </c>
      <c r="BF30" s="12" t="s">
        <v>1321</v>
      </c>
      <c r="BG30" s="2">
        <v>26.576039999999999</v>
      </c>
      <c r="BH30" s="55" t="s">
        <v>1332</v>
      </c>
      <c r="BI30">
        <f>SUM(BG78:BG81)</f>
        <v>37.012309999999999</v>
      </c>
      <c r="BJ30" s="90">
        <f t="shared" si="8"/>
        <v>0</v>
      </c>
      <c r="BL30">
        <v>212</v>
      </c>
      <c r="BM30" s="12" t="s">
        <v>1321</v>
      </c>
      <c r="BN30" s="2">
        <v>26.801459999999999</v>
      </c>
      <c r="BO30" s="55" t="s">
        <v>1332</v>
      </c>
      <c r="BP30">
        <f>SUM(BN78:BN81)</f>
        <v>35.649338</v>
      </c>
      <c r="BQ30" s="90">
        <f t="shared" si="9"/>
        <v>0</v>
      </c>
      <c r="BS30">
        <v>212</v>
      </c>
      <c r="BT30" s="12" t="s">
        <v>1321</v>
      </c>
      <c r="BU30" s="2">
        <v>25.037320000000001</v>
      </c>
      <c r="BV30" s="55" t="s">
        <v>1332</v>
      </c>
      <c r="BW30">
        <f>SUM(BU78:BU81)</f>
        <v>52.765540000000001</v>
      </c>
      <c r="BX30" s="90">
        <f t="shared" si="10"/>
        <v>0</v>
      </c>
      <c r="BZ30">
        <v>212</v>
      </c>
      <c r="CA30" s="12" t="s">
        <v>1321</v>
      </c>
      <c r="CB30" s="2"/>
      <c r="CC30" s="55" t="s">
        <v>1332</v>
      </c>
      <c r="CD30">
        <f>SUM(CB78:CB81)</f>
        <v>89.573589999999996</v>
      </c>
      <c r="CE30" s="90">
        <f t="shared" si="11"/>
        <v>0</v>
      </c>
      <c r="CG30">
        <v>212</v>
      </c>
      <c r="CH30" s="12" t="s">
        <v>1321</v>
      </c>
      <c r="CI30" s="2"/>
      <c r="CJ30" s="55" t="s">
        <v>1332</v>
      </c>
      <c r="CK30">
        <f>SUM(CI78:CI81)</f>
        <v>94.297690000000003</v>
      </c>
      <c r="CL30" s="90">
        <f t="shared" si="12"/>
        <v>0</v>
      </c>
      <c r="CN30">
        <v>212</v>
      </c>
      <c r="CO30" s="12" t="s">
        <v>1321</v>
      </c>
      <c r="CP30" s="2"/>
      <c r="CQ30" s="55" t="s">
        <v>1332</v>
      </c>
      <c r="CR30">
        <f>SUM(CP78:CP81)</f>
        <v>95.44953000000001</v>
      </c>
      <c r="CS30" s="90">
        <f t="shared" si="13"/>
        <v>0</v>
      </c>
      <c r="CU30">
        <v>212</v>
      </c>
      <c r="CV30" s="12" t="s">
        <v>1321</v>
      </c>
      <c r="CW30" s="2"/>
      <c r="CX30" s="55" t="s">
        <v>1332</v>
      </c>
      <c r="CY30">
        <f>SUM(CW78:CW81)</f>
        <v>102.77571999999999</v>
      </c>
      <c r="CZ30" s="90">
        <f t="shared" si="14"/>
        <v>0</v>
      </c>
      <c r="DB30">
        <v>212</v>
      </c>
      <c r="DC30" s="12" t="s">
        <v>1321</v>
      </c>
      <c r="DD30" s="2"/>
      <c r="DE30" s="55" t="s">
        <v>1332</v>
      </c>
      <c r="DF30">
        <f>SUM(DD78:DD81)</f>
        <v>105.81596</v>
      </c>
      <c r="DG30" s="90">
        <f t="shared" si="15"/>
        <v>0</v>
      </c>
      <c r="DI30">
        <v>212</v>
      </c>
      <c r="DJ30" s="12" t="s">
        <v>1321</v>
      </c>
      <c r="DK30" s="2"/>
      <c r="DL30" s="55" t="s">
        <v>1332</v>
      </c>
      <c r="DM30">
        <f>SUM(DK78:DK81)</f>
        <v>104.83476000000002</v>
      </c>
      <c r="DN30" s="90">
        <f t="shared" si="16"/>
        <v>0.1474636074850327</v>
      </c>
      <c r="DP30">
        <v>212</v>
      </c>
      <c r="DQ30" s="12" t="s">
        <v>1321</v>
      </c>
      <c r="DR30" s="2"/>
      <c r="DS30" s="55" t="s">
        <v>1332</v>
      </c>
      <c r="DT30">
        <f>SUM(DR78:DR81)</f>
        <v>105.83539999999999</v>
      </c>
      <c r="DU30" s="90">
        <f t="shared" si="17"/>
        <v>0.13708616723226449</v>
      </c>
      <c r="DW30">
        <v>212</v>
      </c>
      <c r="DX30" s="12" t="s">
        <v>1321</v>
      </c>
      <c r="DY30" s="2"/>
      <c r="DZ30" s="55" t="s">
        <v>1332</v>
      </c>
      <c r="EA30">
        <f>SUM(DY78:DY81)</f>
        <v>105.34712999999999</v>
      </c>
      <c r="EB30" s="90">
        <f t="shared" si="18"/>
        <v>0.14878700473162626</v>
      </c>
      <c r="ED30">
        <v>212</v>
      </c>
      <c r="EE30" s="12" t="s">
        <v>1321</v>
      </c>
      <c r="EF30" s="2"/>
      <c r="EG30" s="55" t="s">
        <v>1332</v>
      </c>
      <c r="EH30">
        <f>SUM(EF78:EF81)</f>
        <v>101.02182000000001</v>
      </c>
      <c r="EI30" s="90">
        <f t="shared" si="19"/>
        <v>0.13442130038116573</v>
      </c>
      <c r="EK30">
        <v>212</v>
      </c>
      <c r="EL30" s="12" t="s">
        <v>1321</v>
      </c>
      <c r="EM30" s="2"/>
      <c r="EN30" s="55" t="s">
        <v>1332</v>
      </c>
      <c r="EO30">
        <f>SUM(EM78:EM81)</f>
        <v>97.925209999999993</v>
      </c>
      <c r="EP30" s="90">
        <f t="shared" si="20"/>
        <v>0.13164295758671291</v>
      </c>
    </row>
    <row r="31" spans="1:146" x14ac:dyDescent="0.4">
      <c r="A31">
        <v>211</v>
      </c>
      <c r="B31" s="12" t="s">
        <v>1321</v>
      </c>
      <c r="C31" s="2"/>
      <c r="D31" s="55" t="s">
        <v>1333</v>
      </c>
      <c r="E31">
        <f>SUM(C82,C84:C87)</f>
        <v>0</v>
      </c>
      <c r="F31" s="90" t="e">
        <f t="shared" si="0"/>
        <v>#DIV/0!</v>
      </c>
      <c r="H31">
        <v>211</v>
      </c>
      <c r="I31" s="12" t="s">
        <v>1321</v>
      </c>
      <c r="J31" s="2">
        <v>46.428280000000001</v>
      </c>
      <c r="K31" s="55" t="s">
        <v>1333</v>
      </c>
      <c r="L31">
        <f>SUM(J82,J84:J87)</f>
        <v>5.9861725000000003</v>
      </c>
      <c r="M31" s="90">
        <f t="shared" si="1"/>
        <v>0</v>
      </c>
      <c r="O31">
        <v>211</v>
      </c>
      <c r="P31" s="12" t="s">
        <v>1321</v>
      </c>
      <c r="Q31" s="2">
        <v>17.24147</v>
      </c>
      <c r="R31" s="55" t="s">
        <v>1333</v>
      </c>
      <c r="S31">
        <f>SUM(Q82,Q84:Q87)</f>
        <v>8.8666140000000002</v>
      </c>
      <c r="T31" s="90">
        <f t="shared" si="2"/>
        <v>0</v>
      </c>
      <c r="V31">
        <v>211</v>
      </c>
      <c r="W31" s="12" t="s">
        <v>1321</v>
      </c>
      <c r="X31" s="2">
        <v>35.375190000000003</v>
      </c>
      <c r="Y31" s="55" t="s">
        <v>1333</v>
      </c>
      <c r="Z31">
        <f>SUM(X82,X84:X87)</f>
        <v>8.687163</v>
      </c>
      <c r="AA31" s="90">
        <f t="shared" si="3"/>
        <v>0</v>
      </c>
      <c r="AC31">
        <v>211</v>
      </c>
      <c r="AD31" s="12" t="s">
        <v>1321</v>
      </c>
      <c r="AE31" s="2">
        <v>30.539870000000001</v>
      </c>
      <c r="AF31" s="55" t="s">
        <v>1333</v>
      </c>
      <c r="AG31">
        <f>SUM(AE82,AE84:AE87)</f>
        <v>10.364122</v>
      </c>
      <c r="AH31" s="90">
        <f t="shared" si="4"/>
        <v>0</v>
      </c>
      <c r="AJ31">
        <v>211</v>
      </c>
      <c r="AK31" s="12" t="s">
        <v>1321</v>
      </c>
      <c r="AL31" s="2">
        <v>28.851680000000002</v>
      </c>
      <c r="AM31" s="55" t="s">
        <v>1333</v>
      </c>
      <c r="AN31">
        <f>SUM(AL82,AL84:AL87)</f>
        <v>11.365427</v>
      </c>
      <c r="AO31" s="90">
        <f t="shared" si="5"/>
        <v>0</v>
      </c>
      <c r="AQ31">
        <v>211</v>
      </c>
      <c r="AR31" s="12" t="s">
        <v>1321</v>
      </c>
      <c r="AS31" s="2">
        <v>28.530660000000001</v>
      </c>
      <c r="AT31" s="55" t="s">
        <v>1333</v>
      </c>
      <c r="AU31">
        <f>SUM(AS82,AS84:AS87)</f>
        <v>18.025296000000001</v>
      </c>
      <c r="AV31" s="90">
        <f t="shared" si="6"/>
        <v>0</v>
      </c>
      <c r="AX31">
        <v>211</v>
      </c>
      <c r="AY31" s="12" t="s">
        <v>1321</v>
      </c>
      <c r="AZ31" s="2">
        <v>28.416789999999999</v>
      </c>
      <c r="BA31" s="55" t="s">
        <v>1333</v>
      </c>
      <c r="BB31">
        <f>SUM(AZ82,AZ84:AZ87)</f>
        <v>16.663137000000003</v>
      </c>
      <c r="BC31" s="90">
        <f t="shared" si="7"/>
        <v>0</v>
      </c>
      <c r="BE31">
        <v>211</v>
      </c>
      <c r="BF31" s="12" t="s">
        <v>1321</v>
      </c>
      <c r="BG31" s="2">
        <v>26.985420000000001</v>
      </c>
      <c r="BH31" s="55" t="s">
        <v>1333</v>
      </c>
      <c r="BI31">
        <f>SUM(BG82,BG84:BG87)</f>
        <v>29.883975</v>
      </c>
      <c r="BJ31" s="90">
        <f t="shared" si="8"/>
        <v>0</v>
      </c>
      <c r="BL31">
        <v>211</v>
      </c>
      <c r="BM31" s="12" t="s">
        <v>1321</v>
      </c>
      <c r="BN31" s="2">
        <v>27.21105</v>
      </c>
      <c r="BO31" s="55" t="s">
        <v>1333</v>
      </c>
      <c r="BP31">
        <f>SUM(BN82,BN84:BN87)</f>
        <v>28.419203000000003</v>
      </c>
      <c r="BQ31" s="90">
        <f t="shared" si="9"/>
        <v>0</v>
      </c>
      <c r="BS31">
        <v>211</v>
      </c>
      <c r="BT31" s="12" t="s">
        <v>1321</v>
      </c>
      <c r="BU31" s="2">
        <v>25.738949999999999</v>
      </c>
      <c r="BV31" s="55" t="s">
        <v>1333</v>
      </c>
      <c r="BW31">
        <f>SUM(BU82,BU84:BU87)</f>
        <v>45.218039000000005</v>
      </c>
      <c r="BX31" s="90">
        <f t="shared" si="10"/>
        <v>0</v>
      </c>
      <c r="BZ31">
        <v>211</v>
      </c>
      <c r="CA31" s="12" t="s">
        <v>1321</v>
      </c>
      <c r="CB31" s="2"/>
      <c r="CC31" s="55" t="s">
        <v>1333</v>
      </c>
      <c r="CD31">
        <f>SUM(CB82,CB84:CB87)</f>
        <v>95.543000000000006</v>
      </c>
      <c r="CE31" s="90">
        <f t="shared" si="11"/>
        <v>0</v>
      </c>
      <c r="CG31">
        <v>211</v>
      </c>
      <c r="CH31" s="12" t="s">
        <v>1321</v>
      </c>
      <c r="CI31" s="2"/>
      <c r="CJ31" s="55" t="s">
        <v>1333</v>
      </c>
      <c r="CK31">
        <f>SUM(CI82,CI84:CI87)</f>
        <v>101.74238999999999</v>
      </c>
      <c r="CL31" s="90">
        <f t="shared" si="12"/>
        <v>0</v>
      </c>
      <c r="CN31">
        <v>211</v>
      </c>
      <c r="CO31" s="12" t="s">
        <v>1321</v>
      </c>
      <c r="CP31" s="2"/>
      <c r="CQ31" s="55" t="s">
        <v>1333</v>
      </c>
      <c r="CR31">
        <f>SUM(CP82,CP84:CP87)</f>
        <v>104.04274000000001</v>
      </c>
      <c r="CS31" s="90">
        <f t="shared" si="13"/>
        <v>0.15035225127852772</v>
      </c>
      <c r="CU31">
        <v>211</v>
      </c>
      <c r="CV31" s="12" t="s">
        <v>1321</v>
      </c>
      <c r="CW31" s="2"/>
      <c r="CX31" s="55" t="s">
        <v>1333</v>
      </c>
      <c r="CY31">
        <f>SUM(CW82,CW84:CW87)</f>
        <v>118.82556</v>
      </c>
      <c r="CZ31" s="90">
        <f t="shared" si="14"/>
        <v>0.17146073133425518</v>
      </c>
      <c r="DB31">
        <v>211</v>
      </c>
      <c r="DC31" s="12" t="s">
        <v>1321</v>
      </c>
      <c r="DD31" s="2"/>
      <c r="DE31" s="55" t="s">
        <v>1333</v>
      </c>
      <c r="DF31">
        <f>SUM(DD82,DD84:DD87)</f>
        <v>127.09219999999999</v>
      </c>
      <c r="DG31" s="90">
        <f t="shared" si="15"/>
        <v>0.16950987925127625</v>
      </c>
      <c r="DI31">
        <v>211</v>
      </c>
      <c r="DJ31" s="12" t="s">
        <v>1321</v>
      </c>
      <c r="DK31" s="2"/>
      <c r="DL31" s="55" t="s">
        <v>1333</v>
      </c>
      <c r="DM31">
        <f>SUM(DK82,DK84:DK87)</f>
        <v>127.42877999999999</v>
      </c>
      <c r="DN31" s="90">
        <f t="shared" si="16"/>
        <v>0.17924500992053188</v>
      </c>
      <c r="DP31">
        <v>211</v>
      </c>
      <c r="DQ31" s="12" t="s">
        <v>1321</v>
      </c>
      <c r="DR31" s="2"/>
      <c r="DS31" s="55" t="s">
        <v>1333</v>
      </c>
      <c r="DT31">
        <f>SUM(DR82,DR84:DR87)</f>
        <v>129.93382</v>
      </c>
      <c r="DU31" s="90">
        <f t="shared" si="17"/>
        <v>0.16830029817666822</v>
      </c>
      <c r="DW31">
        <v>211</v>
      </c>
      <c r="DX31" s="12" t="s">
        <v>1321</v>
      </c>
      <c r="DY31" s="2"/>
      <c r="DZ31" s="55" t="s">
        <v>1333</v>
      </c>
      <c r="EA31">
        <f>SUM(DY82,DY84:DY87)</f>
        <v>129.88813000000002</v>
      </c>
      <c r="EB31" s="90">
        <f t="shared" si="18"/>
        <v>0.18344748274482742</v>
      </c>
      <c r="ED31">
        <v>211</v>
      </c>
      <c r="EE31" s="12" t="s">
        <v>1321</v>
      </c>
      <c r="EF31" s="2"/>
      <c r="EG31" s="55" t="s">
        <v>1333</v>
      </c>
      <c r="EH31">
        <f>SUM(EF82,EF84:EF87)</f>
        <v>129.13945999999999</v>
      </c>
      <c r="EI31" s="90">
        <f t="shared" si="19"/>
        <v>0.17183509605866865</v>
      </c>
      <c r="EK31">
        <v>211</v>
      </c>
      <c r="EL31" s="12" t="s">
        <v>1321</v>
      </c>
      <c r="EM31" s="2"/>
      <c r="EN31" s="55" t="s">
        <v>1333</v>
      </c>
      <c r="EO31">
        <f>SUM(EM82,EM84:EM87)</f>
        <v>126.67773000000001</v>
      </c>
      <c r="EP31" s="90">
        <f t="shared" si="20"/>
        <v>0.17029558616796503</v>
      </c>
    </row>
    <row r="32" spans="1:146" x14ac:dyDescent="0.4">
      <c r="A32">
        <v>210</v>
      </c>
      <c r="B32" s="12" t="s">
        <v>1319</v>
      </c>
      <c r="C32" s="2"/>
      <c r="D32" s="55" t="s">
        <v>1334</v>
      </c>
      <c r="E32">
        <f>SUM(C88,C90,C93,C95)</f>
        <v>0</v>
      </c>
      <c r="F32" s="90" t="e">
        <f t="shared" si="0"/>
        <v>#DIV/0!</v>
      </c>
      <c r="H32">
        <v>210</v>
      </c>
      <c r="I32" s="12" t="s">
        <v>1319</v>
      </c>
      <c r="J32" s="2">
        <v>42.500619999999998</v>
      </c>
      <c r="K32" s="55" t="s">
        <v>1334</v>
      </c>
      <c r="L32">
        <f>SUM(J88,J90,J92:J95)</f>
        <v>3.2708852999999998</v>
      </c>
      <c r="M32" s="90">
        <f t="shared" si="1"/>
        <v>0</v>
      </c>
      <c r="O32">
        <v>210</v>
      </c>
      <c r="P32" s="12" t="s">
        <v>1319</v>
      </c>
      <c r="Q32" s="2">
        <v>79.876300000000001</v>
      </c>
      <c r="R32" s="55" t="s">
        <v>1334</v>
      </c>
      <c r="S32">
        <f>SUM(Q88,Q90,Q92:Q95)</f>
        <v>4.9074719</v>
      </c>
      <c r="T32" s="90">
        <f t="shared" si="2"/>
        <v>0</v>
      </c>
      <c r="V32">
        <v>210</v>
      </c>
      <c r="W32" s="12" t="s">
        <v>1319</v>
      </c>
      <c r="X32" s="2">
        <v>34.013849999999998</v>
      </c>
      <c r="Y32" s="55" t="s">
        <v>1334</v>
      </c>
      <c r="Z32">
        <f>SUM(X88,X90,X92:X95)</f>
        <v>4.8278511000000002</v>
      </c>
      <c r="AA32" s="90">
        <f t="shared" si="3"/>
        <v>0</v>
      </c>
      <c r="AC32">
        <v>210</v>
      </c>
      <c r="AD32" s="12" t="s">
        <v>1319</v>
      </c>
      <c r="AE32" s="2">
        <v>30.096309999999999</v>
      </c>
      <c r="AF32" s="55" t="s">
        <v>1334</v>
      </c>
      <c r="AG32">
        <f>SUM(AE88,AE90,AE92:AE95)</f>
        <v>5.8277142999999993</v>
      </c>
      <c r="AH32" s="90">
        <f t="shared" si="4"/>
        <v>0</v>
      </c>
      <c r="AJ32">
        <v>210</v>
      </c>
      <c r="AK32" s="12" t="s">
        <v>1319</v>
      </c>
      <c r="AL32" s="2">
        <v>29.00074</v>
      </c>
      <c r="AM32" s="55" t="s">
        <v>1334</v>
      </c>
      <c r="AN32">
        <f>SUM(AL88,AL90,AL92:AL95)</f>
        <v>6.4204064000000001</v>
      </c>
      <c r="AO32" s="90">
        <f t="shared" si="5"/>
        <v>0</v>
      </c>
      <c r="AQ32">
        <v>210</v>
      </c>
      <c r="AR32" s="12" t="s">
        <v>1319</v>
      </c>
      <c r="AS32" s="2">
        <v>29.0459</v>
      </c>
      <c r="AT32" s="55" t="s">
        <v>1334</v>
      </c>
      <c r="AU32">
        <f>SUM(AS88,AS90,AS92:AS95)</f>
        <v>10.477043</v>
      </c>
      <c r="AV32" s="90">
        <f t="shared" si="6"/>
        <v>0</v>
      </c>
      <c r="AX32">
        <v>210</v>
      </c>
      <c r="AY32" s="12" t="s">
        <v>1319</v>
      </c>
      <c r="AZ32" s="2">
        <v>28.446400000000001</v>
      </c>
      <c r="BA32" s="55" t="s">
        <v>1334</v>
      </c>
      <c r="BB32">
        <f>SUM(AZ88,AZ90,AZ92:AZ95)</f>
        <v>9.6359849999999998</v>
      </c>
      <c r="BC32" s="90">
        <f t="shared" si="7"/>
        <v>0</v>
      </c>
      <c r="BE32">
        <v>210</v>
      </c>
      <c r="BF32" s="12" t="s">
        <v>1319</v>
      </c>
      <c r="BG32" s="2">
        <v>26.998699999999999</v>
      </c>
      <c r="BH32" s="55" t="s">
        <v>1334</v>
      </c>
      <c r="BI32">
        <f>SUM(BG88,BG90,BG92:BG95)</f>
        <v>18.278652000000001</v>
      </c>
      <c r="BJ32" s="90">
        <f t="shared" si="8"/>
        <v>0</v>
      </c>
      <c r="BL32">
        <v>210</v>
      </c>
      <c r="BM32" s="12" t="s">
        <v>1319</v>
      </c>
      <c r="BN32" s="2">
        <v>27.320360000000001</v>
      </c>
      <c r="BO32" s="55" t="s">
        <v>1334</v>
      </c>
      <c r="BP32">
        <f>SUM(BN88,BN90,BN92:BN95)</f>
        <v>17.240971999999999</v>
      </c>
      <c r="BQ32" s="90">
        <f t="shared" si="9"/>
        <v>0</v>
      </c>
      <c r="BS32">
        <v>210</v>
      </c>
      <c r="BT32" s="12" t="s">
        <v>1319</v>
      </c>
      <c r="BU32" s="2">
        <v>25.898910000000001</v>
      </c>
      <c r="BV32" s="55" t="s">
        <v>1334</v>
      </c>
      <c r="BW32">
        <f>SUM(BU88,BU90,BU92:BU95)</f>
        <v>29.417916000000002</v>
      </c>
      <c r="BX32" s="90">
        <f t="shared" si="10"/>
        <v>0</v>
      </c>
      <c r="BZ32">
        <v>210</v>
      </c>
      <c r="CA32" s="12" t="s">
        <v>1319</v>
      </c>
      <c r="CB32" s="2"/>
      <c r="CC32" s="55" t="s">
        <v>1334</v>
      </c>
      <c r="CD32">
        <f>SUM(CB88,CB90,CB92:CB95)</f>
        <v>81.489750000000001</v>
      </c>
      <c r="CE32" s="90">
        <f t="shared" si="11"/>
        <v>0</v>
      </c>
      <c r="CG32">
        <v>210</v>
      </c>
      <c r="CH32" s="12" t="s">
        <v>1319</v>
      </c>
      <c r="CI32" s="2"/>
      <c r="CJ32" s="55" t="s">
        <v>1334</v>
      </c>
      <c r="CK32">
        <f>SUM(CI88,CI90,CI92:CI95)</f>
        <v>88.506700000000009</v>
      </c>
      <c r="CL32" s="90">
        <f t="shared" si="12"/>
        <v>0</v>
      </c>
      <c r="CN32">
        <v>210</v>
      </c>
      <c r="CO32" s="12" t="s">
        <v>1319</v>
      </c>
      <c r="CP32" s="2"/>
      <c r="CQ32" s="55" t="s">
        <v>1334</v>
      </c>
      <c r="CR32">
        <f>SUM(CP88,CP90,CP92:CP95)</f>
        <v>92.221670000000003</v>
      </c>
      <c r="CS32" s="90">
        <f t="shared" si="13"/>
        <v>0</v>
      </c>
      <c r="CU32">
        <v>210</v>
      </c>
      <c r="CV32" s="12" t="s">
        <v>1319</v>
      </c>
      <c r="CW32" s="2"/>
      <c r="CX32" s="55" t="s">
        <v>1334</v>
      </c>
      <c r="CY32">
        <f>SUM(CW88,CW90,CW92:CW95)</f>
        <v>116.34710999999999</v>
      </c>
      <c r="CZ32" s="90">
        <f t="shared" si="14"/>
        <v>0.16788442292404962</v>
      </c>
      <c r="DB32">
        <v>210</v>
      </c>
      <c r="DC32" s="12" t="s">
        <v>1319</v>
      </c>
      <c r="DD32" s="2"/>
      <c r="DE32" s="55" t="s">
        <v>1334</v>
      </c>
      <c r="DF32">
        <f>SUM(DD88,DD90,DD92:DD95)</f>
        <v>133.28400999999999</v>
      </c>
      <c r="DG32" s="90">
        <f t="shared" si="15"/>
        <v>0.17776823787160737</v>
      </c>
      <c r="DI32">
        <v>210</v>
      </c>
      <c r="DJ32" s="12" t="s">
        <v>1319</v>
      </c>
      <c r="DK32" s="2"/>
      <c r="DL32" s="55" t="s">
        <v>1334</v>
      </c>
      <c r="DM32">
        <f>SUM(DK88,DK90,DK92:DK95)</f>
        <v>137.04958999999999</v>
      </c>
      <c r="DN32" s="90">
        <f t="shared" si="16"/>
        <v>0.19277791970663793</v>
      </c>
      <c r="DP32">
        <v>210</v>
      </c>
      <c r="DQ32" s="12" t="s">
        <v>1319</v>
      </c>
      <c r="DR32" s="2"/>
      <c r="DS32" s="55" t="s">
        <v>1334</v>
      </c>
      <c r="DT32">
        <f>SUM(DR88,DR90,DR92:DR95)</f>
        <v>142.84097</v>
      </c>
      <c r="DU32" s="90">
        <f t="shared" si="17"/>
        <v>0.18501863366169424</v>
      </c>
      <c r="DW32">
        <v>210</v>
      </c>
      <c r="DX32" s="12" t="s">
        <v>1319</v>
      </c>
      <c r="DY32" s="2"/>
      <c r="DZ32" s="55" t="s">
        <v>1334</v>
      </c>
      <c r="EA32">
        <f>SUM(DY88,DY90,DY92:DY95)</f>
        <v>144.17187999999999</v>
      </c>
      <c r="EB32" s="90">
        <f t="shared" si="18"/>
        <v>0.2036211351151897</v>
      </c>
      <c r="ED32">
        <v>210</v>
      </c>
      <c r="EE32" s="12" t="s">
        <v>1319</v>
      </c>
      <c r="EF32" s="2"/>
      <c r="EG32" s="55" t="s">
        <v>1334</v>
      </c>
      <c r="EH32">
        <f>SUM(EF88,EF90,EF92:EF95)</f>
        <v>153.13422</v>
      </c>
      <c r="EI32" s="90">
        <f t="shared" si="19"/>
        <v>0.20376291958762488</v>
      </c>
      <c r="EK32">
        <v>210</v>
      </c>
      <c r="EL32" s="12" t="s">
        <v>1319</v>
      </c>
      <c r="EM32" s="2"/>
      <c r="EN32" s="55" t="s">
        <v>1334</v>
      </c>
      <c r="EO32">
        <f>SUM(EM88,EM90,EM92:EM95)</f>
        <v>153.92671000000001</v>
      </c>
      <c r="EP32" s="90">
        <f t="shared" si="20"/>
        <v>0.20692697371792473</v>
      </c>
    </row>
    <row r="33" spans="1:146" x14ac:dyDescent="0.4">
      <c r="A33">
        <v>209</v>
      </c>
      <c r="B33" s="12" t="s">
        <v>1320</v>
      </c>
      <c r="C33" s="2"/>
      <c r="D33" s="55" t="s">
        <v>1335</v>
      </c>
      <c r="E33">
        <f>SUM(C92,C94,C96:C100,)</f>
        <v>0</v>
      </c>
      <c r="F33" s="90" t="e">
        <f t="shared" si="0"/>
        <v>#DIV/0!</v>
      </c>
      <c r="H33">
        <v>209</v>
      </c>
      <c r="I33" s="12" t="s">
        <v>1320</v>
      </c>
      <c r="J33" s="2">
        <v>46.571339999999999</v>
      </c>
      <c r="K33" s="55" t="s">
        <v>1335</v>
      </c>
      <c r="L33">
        <f>SUM(J96:J100)</f>
        <v>1.3584978000000001</v>
      </c>
      <c r="M33" s="90">
        <f t="shared" si="1"/>
        <v>0</v>
      </c>
      <c r="O33">
        <v>209</v>
      </c>
      <c r="P33" s="12" t="s">
        <v>1320</v>
      </c>
      <c r="Q33" s="2">
        <v>4.3500300000000003</v>
      </c>
      <c r="R33" s="55" t="s">
        <v>1335</v>
      </c>
      <c r="S33">
        <f>SUM(Q96:Q100)</f>
        <v>2.0587156000000002</v>
      </c>
      <c r="T33" s="90">
        <f t="shared" si="2"/>
        <v>0</v>
      </c>
      <c r="V33">
        <v>209</v>
      </c>
      <c r="W33" s="12" t="s">
        <v>1320</v>
      </c>
      <c r="X33" s="2">
        <v>35.48133</v>
      </c>
      <c r="Y33" s="55" t="s">
        <v>1335</v>
      </c>
      <c r="Z33">
        <f>SUM(X96:X100)</f>
        <v>2.0255942000000005</v>
      </c>
      <c r="AA33" s="90">
        <f t="shared" si="3"/>
        <v>0</v>
      </c>
      <c r="AC33">
        <v>209</v>
      </c>
      <c r="AD33" s="12" t="s">
        <v>1320</v>
      </c>
      <c r="AE33" s="2">
        <v>30.79907</v>
      </c>
      <c r="AF33" s="55" t="s">
        <v>1335</v>
      </c>
      <c r="AG33">
        <f>SUM(AE96:AE100)</f>
        <v>2.4615912999999998</v>
      </c>
      <c r="AH33" s="90">
        <f t="shared" si="4"/>
        <v>0</v>
      </c>
      <c r="AJ33">
        <v>209</v>
      </c>
      <c r="AK33" s="12" t="s">
        <v>1320</v>
      </c>
      <c r="AL33" s="2">
        <v>28.840430000000001</v>
      </c>
      <c r="AM33" s="55" t="s">
        <v>1335</v>
      </c>
      <c r="AN33">
        <f>SUM(AL96:AL100)</f>
        <v>2.7127876</v>
      </c>
      <c r="AO33" s="90">
        <f t="shared" si="5"/>
        <v>0</v>
      </c>
      <c r="AQ33">
        <v>209</v>
      </c>
      <c r="AR33" s="12" t="s">
        <v>1320</v>
      </c>
      <c r="AS33" s="2">
        <v>29.143460000000001</v>
      </c>
      <c r="AT33" s="55" t="s">
        <v>1335</v>
      </c>
      <c r="AU33">
        <f>SUM(AS96:AS100)</f>
        <v>4.5085853</v>
      </c>
      <c r="AV33" s="90">
        <f t="shared" si="6"/>
        <v>0</v>
      </c>
      <c r="AX33">
        <v>209</v>
      </c>
      <c r="AY33" s="12" t="s">
        <v>1320</v>
      </c>
      <c r="AZ33" s="2">
        <v>28.662130000000001</v>
      </c>
      <c r="BA33" s="55" t="s">
        <v>1335</v>
      </c>
      <c r="BB33">
        <f>SUM(AZ96:AZ100)</f>
        <v>4.1279643999999998</v>
      </c>
      <c r="BC33" s="90">
        <f t="shared" si="7"/>
        <v>0</v>
      </c>
      <c r="BE33">
        <v>209</v>
      </c>
      <c r="BF33" s="12" t="s">
        <v>1320</v>
      </c>
      <c r="BG33" s="2">
        <v>27.246749999999999</v>
      </c>
      <c r="BH33" s="55" t="s">
        <v>1335</v>
      </c>
      <c r="BI33">
        <f>SUM(BG96:BG100)</f>
        <v>8.0969849999999983</v>
      </c>
      <c r="BJ33" s="90">
        <f t="shared" si="8"/>
        <v>0</v>
      </c>
      <c r="BL33">
        <v>209</v>
      </c>
      <c r="BM33" s="12" t="s">
        <v>1320</v>
      </c>
      <c r="BN33" s="2">
        <v>27.51219</v>
      </c>
      <c r="BO33" s="55" t="s">
        <v>1335</v>
      </c>
      <c r="BP33">
        <f>SUM(BN96:BN100)</f>
        <v>7.5902759999999994</v>
      </c>
      <c r="BQ33" s="90">
        <f t="shared" si="9"/>
        <v>0</v>
      </c>
      <c r="BS33">
        <v>209</v>
      </c>
      <c r="BT33" s="12" t="s">
        <v>1320</v>
      </c>
      <c r="BU33" s="2">
        <v>26.271319999999999</v>
      </c>
      <c r="BV33" s="55" t="s">
        <v>1335</v>
      </c>
      <c r="BW33">
        <f>SUM(BU96:BU100)</f>
        <v>13.501061</v>
      </c>
      <c r="BX33" s="90">
        <f t="shared" si="10"/>
        <v>0</v>
      </c>
      <c r="BZ33">
        <v>209</v>
      </c>
      <c r="CA33" s="12" t="s">
        <v>1320</v>
      </c>
      <c r="CB33" s="2">
        <v>112.6742</v>
      </c>
      <c r="CC33" s="55" t="s">
        <v>1335</v>
      </c>
      <c r="CD33">
        <f>SUM(CB96:CB100)</f>
        <v>45.695742000000003</v>
      </c>
      <c r="CE33" s="90">
        <f t="shared" si="11"/>
        <v>0</v>
      </c>
      <c r="CG33">
        <v>209</v>
      </c>
      <c r="CH33" s="12" t="s">
        <v>1320</v>
      </c>
      <c r="CI33" s="2"/>
      <c r="CJ33" s="55" t="s">
        <v>1335</v>
      </c>
      <c r="CK33">
        <f>SUM(CI96:CI100)</f>
        <v>50.396080000000005</v>
      </c>
      <c r="CL33" s="90">
        <f t="shared" si="12"/>
        <v>0</v>
      </c>
      <c r="CN33">
        <v>209</v>
      </c>
      <c r="CO33" s="12" t="s">
        <v>1320</v>
      </c>
      <c r="CP33" s="2"/>
      <c r="CQ33" s="55" t="s">
        <v>1335</v>
      </c>
      <c r="CR33">
        <f>SUM(CP96:CP100)</f>
        <v>53.398651000000001</v>
      </c>
      <c r="CS33" s="90">
        <f t="shared" si="13"/>
        <v>0</v>
      </c>
      <c r="CU33">
        <v>209</v>
      </c>
      <c r="CV33" s="12" t="s">
        <v>1320</v>
      </c>
      <c r="CW33" s="2"/>
      <c r="CX33" s="55" t="s">
        <v>1335</v>
      </c>
      <c r="CY33">
        <f>SUM(CW96:CW100)</f>
        <v>74.042390000000012</v>
      </c>
      <c r="CZ33" s="90">
        <f t="shared" si="14"/>
        <v>0</v>
      </c>
      <c r="DB33">
        <v>209</v>
      </c>
      <c r="DC33" s="12" t="s">
        <v>1320</v>
      </c>
      <c r="DD33" s="2"/>
      <c r="DE33" s="55" t="s">
        <v>1335</v>
      </c>
      <c r="DF33">
        <f>SUM(DD96:DD100)</f>
        <v>91.167829999999995</v>
      </c>
      <c r="DG33" s="90">
        <f t="shared" si="15"/>
        <v>0</v>
      </c>
      <c r="DI33">
        <v>209</v>
      </c>
      <c r="DJ33" s="12" t="s">
        <v>1320</v>
      </c>
      <c r="DK33" s="2"/>
      <c r="DL33" s="55" t="s">
        <v>1335</v>
      </c>
      <c r="DM33">
        <f>SUM(DK96:DK100)</f>
        <v>96.315280000000001</v>
      </c>
      <c r="DN33" s="90">
        <f t="shared" si="16"/>
        <v>0</v>
      </c>
      <c r="DP33">
        <v>209</v>
      </c>
      <c r="DQ33" s="12" t="s">
        <v>1320</v>
      </c>
      <c r="DR33" s="2"/>
      <c r="DS33" s="55" t="s">
        <v>1335</v>
      </c>
      <c r="DT33">
        <f>SUM(DR96:DR100)</f>
        <v>103.00896</v>
      </c>
      <c r="DU33" s="90">
        <f t="shared" si="17"/>
        <v>0</v>
      </c>
      <c r="DW33">
        <v>209</v>
      </c>
      <c r="DX33" s="12" t="s">
        <v>1320</v>
      </c>
      <c r="DY33" s="2"/>
      <c r="DZ33" s="55" t="s">
        <v>1335</v>
      </c>
      <c r="EA33">
        <f>SUM(DY96:DY100)</f>
        <v>105.22727</v>
      </c>
      <c r="EB33" s="90">
        <f t="shared" si="18"/>
        <v>0.14861772047692345</v>
      </c>
      <c r="ED33">
        <v>209</v>
      </c>
      <c r="EE33" s="12" t="s">
        <v>1320</v>
      </c>
      <c r="EF33" s="2"/>
      <c r="EG33" s="55" t="s">
        <v>1335</v>
      </c>
      <c r="EH33">
        <f>SUM(EF96:EF100)</f>
        <v>120.99018000000001</v>
      </c>
      <c r="EI33" s="90">
        <f t="shared" si="19"/>
        <v>0.16099152964133204</v>
      </c>
      <c r="EK33">
        <v>209</v>
      </c>
      <c r="EL33" s="12" t="s">
        <v>1320</v>
      </c>
      <c r="EM33" s="2"/>
      <c r="EN33" s="55" t="s">
        <v>1335</v>
      </c>
      <c r="EO33">
        <f>SUM(EM96:EM100)</f>
        <v>125.37437</v>
      </c>
      <c r="EP33" s="90">
        <f t="shared" si="20"/>
        <v>0.1685434513989896</v>
      </c>
    </row>
    <row r="34" spans="1:146" x14ac:dyDescent="0.4">
      <c r="A34">
        <v>208</v>
      </c>
      <c r="B34" s="12" t="s">
        <v>1321</v>
      </c>
      <c r="C34" s="89"/>
      <c r="D34" s="55" t="s">
        <v>1336</v>
      </c>
      <c r="E34">
        <f>SUM(C104:C108,C110,C112)</f>
        <v>0</v>
      </c>
      <c r="F34" s="90" t="e">
        <f t="shared" si="0"/>
        <v>#DIV/0!</v>
      </c>
      <c r="H34">
        <v>208</v>
      </c>
      <c r="I34" s="12" t="s">
        <v>1321</v>
      </c>
      <c r="J34" s="2">
        <v>43.121400000000001</v>
      </c>
      <c r="K34" s="55" t="s">
        <v>1336</v>
      </c>
      <c r="L34">
        <f>SUM(J104:J108,J110,J112)</f>
        <v>0.67640767999999996</v>
      </c>
      <c r="M34" s="90">
        <f t="shared" si="1"/>
        <v>0</v>
      </c>
      <c r="O34">
        <v>208</v>
      </c>
      <c r="P34" s="12" t="s">
        <v>1321</v>
      </c>
      <c r="Q34" s="2">
        <v>90.374570000000006</v>
      </c>
      <c r="R34" s="55" t="s">
        <v>1336</v>
      </c>
      <c r="S34">
        <f>SUM(Q104:Q108,Q110,Q112)</f>
        <v>1.03592142</v>
      </c>
      <c r="T34" s="90">
        <f t="shared" si="2"/>
        <v>0</v>
      </c>
      <c r="V34">
        <v>208</v>
      </c>
      <c r="W34" s="12" t="s">
        <v>1321</v>
      </c>
      <c r="X34" s="2">
        <v>34.619579999999999</v>
      </c>
      <c r="Y34" s="55" t="s">
        <v>1336</v>
      </c>
      <c r="Z34">
        <f>SUM(X104:X108,X110,X112)</f>
        <v>1.0180735599999999</v>
      </c>
      <c r="AA34" s="90">
        <f t="shared" si="3"/>
        <v>0</v>
      </c>
      <c r="AC34">
        <v>208</v>
      </c>
      <c r="AD34" s="12" t="s">
        <v>1321</v>
      </c>
      <c r="AE34" s="2">
        <v>30.440829999999998</v>
      </c>
      <c r="AF34" s="55" t="s">
        <v>1336</v>
      </c>
      <c r="AG34">
        <f>SUM(AE104:AE108,AE110,AE112)</f>
        <v>1.2442525</v>
      </c>
      <c r="AH34" s="90">
        <f t="shared" si="4"/>
        <v>0</v>
      </c>
      <c r="AJ34">
        <v>208</v>
      </c>
      <c r="AK34" s="12" t="s">
        <v>1321</v>
      </c>
      <c r="AL34" s="2">
        <v>29.035509999999999</v>
      </c>
      <c r="AM34" s="55" t="s">
        <v>1336</v>
      </c>
      <c r="AN34">
        <f>SUM(AL104:AL108,AL110,AL112)</f>
        <v>1.3698103000000001</v>
      </c>
      <c r="AO34" s="90">
        <f t="shared" si="5"/>
        <v>0</v>
      </c>
      <c r="AQ34">
        <v>208</v>
      </c>
      <c r="AR34" s="12" t="s">
        <v>1321</v>
      </c>
      <c r="AS34" s="2">
        <v>29.007359999999998</v>
      </c>
      <c r="AT34" s="55" t="s">
        <v>1336</v>
      </c>
      <c r="AU34">
        <f>SUM(AS104:AS108,AS110,AS112)</f>
        <v>2.3123656000000001</v>
      </c>
      <c r="AV34" s="90">
        <f t="shared" si="6"/>
        <v>0</v>
      </c>
      <c r="AX34">
        <v>208</v>
      </c>
      <c r="AY34" s="12" t="s">
        <v>1321</v>
      </c>
      <c r="AZ34" s="2">
        <v>28.78031</v>
      </c>
      <c r="BA34" s="55" t="s">
        <v>1336</v>
      </c>
      <c r="BB34">
        <f>SUM(AZ104:AZ108,AZ110,AZ112)</f>
        <v>2.1072386999999999</v>
      </c>
      <c r="BC34" s="90">
        <f t="shared" si="7"/>
        <v>0</v>
      </c>
      <c r="BE34">
        <v>208</v>
      </c>
      <c r="BF34" s="12" t="s">
        <v>1321</v>
      </c>
      <c r="BG34" s="2">
        <v>27.22409</v>
      </c>
      <c r="BH34" s="55" t="s">
        <v>1336</v>
      </c>
      <c r="BI34">
        <f>SUM(BG104:BG108,BG110,BG112)</f>
        <v>4.2426288000000003</v>
      </c>
      <c r="BJ34" s="90">
        <f t="shared" si="8"/>
        <v>0</v>
      </c>
      <c r="BL34">
        <v>208</v>
      </c>
      <c r="BM34" s="12" t="s">
        <v>1321</v>
      </c>
      <c r="BN34" s="2">
        <v>27.626670000000001</v>
      </c>
      <c r="BO34" s="55" t="s">
        <v>1336</v>
      </c>
      <c r="BP34">
        <f>SUM(BN104:BN108,BN110,BN112)</f>
        <v>3.9546475999999995</v>
      </c>
      <c r="BQ34" s="90">
        <f t="shared" si="9"/>
        <v>0</v>
      </c>
      <c r="BS34">
        <v>208</v>
      </c>
      <c r="BT34" s="12" t="s">
        <v>1321</v>
      </c>
      <c r="BU34" s="2">
        <v>26.196470000000001</v>
      </c>
      <c r="BV34" s="55" t="s">
        <v>1336</v>
      </c>
      <c r="BW34">
        <f>SUM(BU104:BU108,BU110,BU112)</f>
        <v>7.2540816999999995</v>
      </c>
      <c r="BX34" s="90">
        <f t="shared" si="10"/>
        <v>0</v>
      </c>
      <c r="BZ34">
        <v>208</v>
      </c>
      <c r="CA34" s="12" t="s">
        <v>1321</v>
      </c>
      <c r="CB34" s="2">
        <v>62.357930000000003</v>
      </c>
      <c r="CC34" s="55" t="s">
        <v>1336</v>
      </c>
      <c r="CD34">
        <f>SUM(CB104:CB108,CB110,CB112)</f>
        <v>29.359724</v>
      </c>
      <c r="CE34" s="90">
        <f t="shared" si="11"/>
        <v>0</v>
      </c>
      <c r="CG34">
        <v>208</v>
      </c>
      <c r="CH34" s="12" t="s">
        <v>1321</v>
      </c>
      <c r="CI34" s="2">
        <v>74.89528</v>
      </c>
      <c r="CJ34" s="55" t="s">
        <v>1336</v>
      </c>
      <c r="CK34">
        <f>SUM(CI104:CI108,CI110,CI112)</f>
        <v>32.895544000000001</v>
      </c>
      <c r="CL34" s="90">
        <f t="shared" si="12"/>
        <v>0</v>
      </c>
      <c r="CN34">
        <v>208</v>
      </c>
      <c r="CO34" s="12" t="s">
        <v>1321</v>
      </c>
      <c r="CP34" s="2"/>
      <c r="CQ34" s="55" t="s">
        <v>1336</v>
      </c>
      <c r="CR34">
        <f>SUM(CP104:CP108,CP110,CP112)</f>
        <v>35.509504</v>
      </c>
      <c r="CS34" s="90">
        <f t="shared" si="13"/>
        <v>0</v>
      </c>
      <c r="CU34">
        <v>208</v>
      </c>
      <c r="CV34" s="12" t="s">
        <v>1321</v>
      </c>
      <c r="CW34" s="2"/>
      <c r="CX34" s="55" t="s">
        <v>1336</v>
      </c>
      <c r="CY34">
        <f>SUM(CW104:CW108,CW110,CW112)</f>
        <v>55.548883000000004</v>
      </c>
      <c r="CZ34" s="90">
        <f t="shared" si="14"/>
        <v>0</v>
      </c>
      <c r="DB34">
        <v>208</v>
      </c>
      <c r="DC34" s="12" t="s">
        <v>1321</v>
      </c>
      <c r="DD34" s="2"/>
      <c r="DE34" s="55" t="s">
        <v>1336</v>
      </c>
      <c r="DF34">
        <f>SUM(DD104:DD108,DD110,DD112)</f>
        <v>76.39413900000001</v>
      </c>
      <c r="DG34" s="90">
        <f t="shared" si="15"/>
        <v>0</v>
      </c>
      <c r="DI34">
        <v>208</v>
      </c>
      <c r="DJ34" s="12" t="s">
        <v>1321</v>
      </c>
      <c r="DK34" s="2"/>
      <c r="DL34" s="55" t="s">
        <v>1336</v>
      </c>
      <c r="DM34">
        <f>SUM(DK104:DK108,DK110,DK112)</f>
        <v>84.367000000000004</v>
      </c>
      <c r="DN34" s="90">
        <f t="shared" si="16"/>
        <v>0</v>
      </c>
      <c r="DP34">
        <v>208</v>
      </c>
      <c r="DQ34" s="12" t="s">
        <v>1321</v>
      </c>
      <c r="DR34" s="2"/>
      <c r="DS34" s="55" t="s">
        <v>1336</v>
      </c>
      <c r="DT34">
        <f>SUM(DR104:DR108,DR110,DR112)</f>
        <v>94.342070000000007</v>
      </c>
      <c r="DU34" s="90">
        <f t="shared" si="17"/>
        <v>0</v>
      </c>
      <c r="DW34">
        <v>208</v>
      </c>
      <c r="DX34" s="12" t="s">
        <v>1321</v>
      </c>
      <c r="DY34" s="2"/>
      <c r="DZ34" s="55" t="s">
        <v>1336</v>
      </c>
      <c r="EA34">
        <f>SUM(DY104:DY108,DY110,DY112)</f>
        <v>98.624260000000007</v>
      </c>
      <c r="EB34" s="90">
        <f t="shared" si="18"/>
        <v>0</v>
      </c>
      <c r="ED34">
        <v>208</v>
      </c>
      <c r="EE34" s="12" t="s">
        <v>1321</v>
      </c>
      <c r="EF34" s="2"/>
      <c r="EG34" s="55" t="s">
        <v>1336</v>
      </c>
      <c r="EH34">
        <f>SUM(EF104:EF108,EF110,EF112)</f>
        <v>133.01940999999999</v>
      </c>
      <c r="EI34" s="90">
        <f t="shared" si="19"/>
        <v>0.17699782154128127</v>
      </c>
      <c r="EK34">
        <v>208</v>
      </c>
      <c r="EL34" s="12" t="s">
        <v>1321</v>
      </c>
      <c r="EM34" s="2"/>
      <c r="EN34" s="55" t="s">
        <v>1336</v>
      </c>
      <c r="EO34">
        <f>SUM(EM104:EM108,EM110,EM112)</f>
        <v>147.57748000000001</v>
      </c>
      <c r="EP34" s="90">
        <f t="shared" si="20"/>
        <v>0.19839156781378334</v>
      </c>
    </row>
    <row r="35" spans="1:146" x14ac:dyDescent="0.4">
      <c r="A35">
        <v>207</v>
      </c>
      <c r="B35" s="12" t="s">
        <v>1321</v>
      </c>
      <c r="C35" s="89"/>
      <c r="D35" s="55" t="s">
        <v>1348</v>
      </c>
      <c r="E35">
        <f>C115</f>
        <v>0</v>
      </c>
      <c r="F35" s="90" t="e">
        <f t="shared" si="0"/>
        <v>#DIV/0!</v>
      </c>
      <c r="H35">
        <v>207</v>
      </c>
      <c r="I35" s="12" t="s">
        <v>1321</v>
      </c>
      <c r="J35" s="2">
        <v>43.61777</v>
      </c>
      <c r="K35" s="55" t="s">
        <v>1348</v>
      </c>
      <c r="L35">
        <f>J115</f>
        <v>3.9295209999999997E-2</v>
      </c>
      <c r="M35" s="90">
        <f t="shared" si="1"/>
        <v>0</v>
      </c>
      <c r="O35">
        <v>207</v>
      </c>
      <c r="P35" s="12" t="s">
        <v>1321</v>
      </c>
      <c r="Q35" s="2">
        <v>15.144080000000001</v>
      </c>
      <c r="R35" s="55" t="s">
        <v>1348</v>
      </c>
      <c r="S35">
        <f>Q115</f>
        <v>6.0655250000000001E-2</v>
      </c>
      <c r="T35" s="90">
        <f t="shared" si="2"/>
        <v>0</v>
      </c>
      <c r="V35">
        <v>207</v>
      </c>
      <c r="W35" s="12" t="s">
        <v>1321</v>
      </c>
      <c r="X35" s="2">
        <v>34.380229999999997</v>
      </c>
      <c r="Y35" s="55" t="s">
        <v>1348</v>
      </c>
      <c r="Z35">
        <f>X115</f>
        <v>5.9557539999999999E-2</v>
      </c>
      <c r="AA35" s="90">
        <f t="shared" si="3"/>
        <v>0</v>
      </c>
      <c r="AC35">
        <v>207</v>
      </c>
      <c r="AD35" s="12" t="s">
        <v>1321</v>
      </c>
      <c r="AE35" s="2">
        <v>30.368649999999999</v>
      </c>
      <c r="AF35" s="55" t="s">
        <v>1348</v>
      </c>
      <c r="AG35">
        <f>AE115</f>
        <v>7.3069770000000006E-2</v>
      </c>
      <c r="AH35" s="90">
        <f t="shared" si="4"/>
        <v>0</v>
      </c>
      <c r="AJ35">
        <v>207</v>
      </c>
      <c r="AK35" s="12" t="s">
        <v>1321</v>
      </c>
      <c r="AL35" s="2">
        <v>29.140940000000001</v>
      </c>
      <c r="AM35" s="55" t="s">
        <v>1348</v>
      </c>
      <c r="AN35">
        <f>AL115</f>
        <v>8.0377180000000006E-2</v>
      </c>
      <c r="AO35" s="90">
        <f t="shared" si="5"/>
        <v>0</v>
      </c>
      <c r="AQ35">
        <v>207</v>
      </c>
      <c r="AR35" s="12" t="s">
        <v>1321</v>
      </c>
      <c r="AS35" s="2">
        <v>29.278780000000001</v>
      </c>
      <c r="AT35" s="55" t="s">
        <v>1348</v>
      </c>
      <c r="AU35">
        <f>AS115</f>
        <v>0.13701199999999999</v>
      </c>
      <c r="AV35" s="90">
        <f t="shared" si="6"/>
        <v>0</v>
      </c>
      <c r="AX35">
        <v>207</v>
      </c>
      <c r="AY35" s="12" t="s">
        <v>1321</v>
      </c>
      <c r="AZ35" s="2">
        <v>28.826840000000001</v>
      </c>
      <c r="BA35" s="55" t="s">
        <v>1348</v>
      </c>
      <c r="BB35">
        <f>AZ115</f>
        <v>0.1244212</v>
      </c>
      <c r="BC35" s="90">
        <f t="shared" si="7"/>
        <v>0</v>
      </c>
      <c r="BE35">
        <v>207</v>
      </c>
      <c r="BF35" s="12" t="s">
        <v>1321</v>
      </c>
      <c r="BG35" s="2">
        <v>27.60894</v>
      </c>
      <c r="BH35" s="55" t="s">
        <v>1348</v>
      </c>
      <c r="BI35">
        <f>BG115</f>
        <v>0.25431930000000003</v>
      </c>
      <c r="BJ35" s="90">
        <f t="shared" si="8"/>
        <v>0</v>
      </c>
      <c r="BL35">
        <v>207</v>
      </c>
      <c r="BM35" s="12" t="s">
        <v>1321</v>
      </c>
      <c r="BN35" s="2">
        <v>27.93337</v>
      </c>
      <c r="BO35" s="55" t="s">
        <v>1348</v>
      </c>
      <c r="BP35">
        <f>BN115</f>
        <v>0.2361702</v>
      </c>
      <c r="BQ35" s="90">
        <f t="shared" si="9"/>
        <v>0</v>
      </c>
      <c r="BS35">
        <v>207</v>
      </c>
      <c r="BT35" s="12" t="s">
        <v>1321</v>
      </c>
      <c r="BU35" s="2">
        <v>26.563970000000001</v>
      </c>
      <c r="BV35" s="55" t="s">
        <v>1348</v>
      </c>
      <c r="BW35">
        <f>BU115</f>
        <v>0.44001800000000002</v>
      </c>
      <c r="BX35" s="90">
        <f t="shared" si="10"/>
        <v>0</v>
      </c>
      <c r="BZ35">
        <v>207</v>
      </c>
      <c r="CA35" s="12" t="s">
        <v>1321</v>
      </c>
      <c r="CB35" s="2">
        <v>34.317700000000002</v>
      </c>
      <c r="CC35" s="55" t="s">
        <v>1348</v>
      </c>
      <c r="CD35">
        <f>CB115</f>
        <v>1.9486410000000001</v>
      </c>
      <c r="CE35" s="90">
        <f t="shared" si="11"/>
        <v>0</v>
      </c>
      <c r="CG35">
        <v>207</v>
      </c>
      <c r="CH35" s="12" t="s">
        <v>1321</v>
      </c>
      <c r="CI35" s="2">
        <v>47.933320000000002</v>
      </c>
      <c r="CJ35" s="55" t="s">
        <v>1348</v>
      </c>
      <c r="CK35">
        <f>CI115</f>
        <v>2.2012049999999999</v>
      </c>
      <c r="CL35" s="90">
        <f t="shared" si="12"/>
        <v>0</v>
      </c>
      <c r="CN35">
        <v>207</v>
      </c>
      <c r="CO35" s="12" t="s">
        <v>1321</v>
      </c>
      <c r="CP35" s="2"/>
      <c r="CQ35" s="55" t="s">
        <v>1348</v>
      </c>
      <c r="CR35">
        <f>CP115</f>
        <v>2.400217</v>
      </c>
      <c r="CS35" s="90">
        <f t="shared" si="13"/>
        <v>0</v>
      </c>
      <c r="CU35">
        <v>207</v>
      </c>
      <c r="CV35" s="12" t="s">
        <v>1321</v>
      </c>
      <c r="CW35" s="2"/>
      <c r="CX35" s="55" t="s">
        <v>1348</v>
      </c>
      <c r="CY35">
        <f>CW115</f>
        <v>4.0370169999999996</v>
      </c>
      <c r="CZ35" s="90">
        <f t="shared" si="14"/>
        <v>0</v>
      </c>
      <c r="DB35">
        <v>207</v>
      </c>
      <c r="DC35" s="12" t="s">
        <v>1321</v>
      </c>
      <c r="DD35" s="2"/>
      <c r="DE35" s="55" t="s">
        <v>1348</v>
      </c>
      <c r="DF35">
        <f>DD115</f>
        <v>5.9989299999999997</v>
      </c>
      <c r="DG35" s="90">
        <f t="shared" si="15"/>
        <v>0</v>
      </c>
      <c r="DI35">
        <v>207</v>
      </c>
      <c r="DJ35" s="12" t="s">
        <v>1321</v>
      </c>
      <c r="DK35" s="2"/>
      <c r="DL35" s="55" t="s">
        <v>1348</v>
      </c>
      <c r="DM35">
        <f>DK115</f>
        <v>6.8560210000000001</v>
      </c>
      <c r="DN35" s="90">
        <f t="shared" si="16"/>
        <v>0</v>
      </c>
      <c r="DP35">
        <v>207</v>
      </c>
      <c r="DQ35" s="12" t="s">
        <v>1321</v>
      </c>
      <c r="DR35" s="2"/>
      <c r="DS35" s="55" t="s">
        <v>1348</v>
      </c>
      <c r="DT35">
        <f>DR115</f>
        <v>7.9509489999999996</v>
      </c>
      <c r="DU35" s="90">
        <f t="shared" si="17"/>
        <v>0</v>
      </c>
      <c r="DW35">
        <v>207</v>
      </c>
      <c r="DX35" s="12" t="s">
        <v>1321</v>
      </c>
      <c r="DY35" s="2"/>
      <c r="DZ35" s="55" t="s">
        <v>1348</v>
      </c>
      <c r="EA35">
        <f>DY115</f>
        <v>8.4784500000000005</v>
      </c>
      <c r="EB35" s="90">
        <f t="shared" si="18"/>
        <v>0</v>
      </c>
      <c r="ED35">
        <v>207</v>
      </c>
      <c r="EE35" s="12" t="s">
        <v>1321</v>
      </c>
      <c r="EF35" s="2"/>
      <c r="EG35" s="55" t="s">
        <v>1348</v>
      </c>
      <c r="EH35">
        <f>EF115</f>
        <v>13.275980000000001</v>
      </c>
      <c r="EI35" s="90">
        <f t="shared" si="19"/>
        <v>0</v>
      </c>
      <c r="EK35">
        <v>207</v>
      </c>
      <c r="EL35" s="12" t="s">
        <v>1321</v>
      </c>
      <c r="EM35" s="2"/>
      <c r="EN35" s="55" t="s">
        <v>1348</v>
      </c>
      <c r="EO35">
        <f>EM115</f>
        <v>15.83156</v>
      </c>
      <c r="EP35" s="90">
        <f t="shared" si="20"/>
        <v>0</v>
      </c>
    </row>
    <row r="36" spans="1:146" x14ac:dyDescent="0.4">
      <c r="A36">
        <v>206</v>
      </c>
      <c r="B36" s="12" t="s">
        <v>1321</v>
      </c>
      <c r="C36" s="89"/>
      <c r="D36" s="55" t="s">
        <v>1351</v>
      </c>
      <c r="E36">
        <f>SUM(C118,C120,C122:C128,C130)</f>
        <v>0</v>
      </c>
      <c r="F36" s="90" t="e">
        <f t="shared" si="0"/>
        <v>#DIV/0!</v>
      </c>
      <c r="H36">
        <v>206</v>
      </c>
      <c r="I36" s="12" t="s">
        <v>1321</v>
      </c>
      <c r="J36" s="2">
        <v>43.839060000000003</v>
      </c>
      <c r="K36" s="55" t="s">
        <v>1351</v>
      </c>
      <c r="L36">
        <f>SUM(J118,J120,J122:J128,J130)</f>
        <v>0.14779366800000002</v>
      </c>
      <c r="M36" s="90">
        <f t="shared" si="1"/>
        <v>0</v>
      </c>
      <c r="O36">
        <v>206</v>
      </c>
      <c r="P36" s="12" t="s">
        <v>1321</v>
      </c>
      <c r="Q36" s="2">
        <v>39.43094</v>
      </c>
      <c r="R36" s="55" t="s">
        <v>1351</v>
      </c>
      <c r="S36">
        <f>SUM(Q118,Q120,Q122:Q128,Q130)</f>
        <v>0.22955747999999998</v>
      </c>
      <c r="T36" s="90">
        <f t="shared" si="2"/>
        <v>0</v>
      </c>
      <c r="V36">
        <v>206</v>
      </c>
      <c r="W36" s="12" t="s">
        <v>1321</v>
      </c>
      <c r="X36" s="2">
        <v>34.633040000000001</v>
      </c>
      <c r="Y36" s="55" t="s">
        <v>1351</v>
      </c>
      <c r="Z36">
        <f>SUM(X118,X120,X122:X128,X130)</f>
        <v>0.22530509000000001</v>
      </c>
      <c r="AA36" s="90">
        <f t="shared" si="3"/>
        <v>0</v>
      </c>
      <c r="AC36">
        <v>206</v>
      </c>
      <c r="AD36" s="12" t="s">
        <v>1321</v>
      </c>
      <c r="AE36" s="2">
        <v>30.436229999999998</v>
      </c>
      <c r="AF36" s="55" t="s">
        <v>1351</v>
      </c>
      <c r="AG36">
        <f>SUM(AE118,AE120,AE122:AE128,AE130)</f>
        <v>0.27737508000000005</v>
      </c>
      <c r="AH36" s="90">
        <f t="shared" si="4"/>
        <v>0</v>
      </c>
      <c r="AJ36">
        <v>206</v>
      </c>
      <c r="AK36" s="12" t="s">
        <v>1321</v>
      </c>
      <c r="AL36" s="2">
        <v>29.18627</v>
      </c>
      <c r="AM36" s="55" t="s">
        <v>1351</v>
      </c>
      <c r="AN36">
        <f>SUM(AL118,AL120,AL122:AL128,AL130)</f>
        <v>0.30516973999999997</v>
      </c>
      <c r="AO36" s="90">
        <f t="shared" si="5"/>
        <v>0</v>
      </c>
      <c r="AQ36">
        <v>206</v>
      </c>
      <c r="AR36" s="12" t="s">
        <v>1321</v>
      </c>
      <c r="AS36" s="2">
        <v>29.243310000000001</v>
      </c>
      <c r="AT36" s="55" t="s">
        <v>1351</v>
      </c>
      <c r="AU36">
        <f>SUM(AS118,AS120,AS122:AS128,AS130)</f>
        <v>0.52382273000000001</v>
      </c>
      <c r="AV36" s="90">
        <f t="shared" si="6"/>
        <v>0</v>
      </c>
      <c r="AX36">
        <v>206</v>
      </c>
      <c r="AY36" s="12" t="s">
        <v>1321</v>
      </c>
      <c r="AZ36" s="2">
        <v>28.86317</v>
      </c>
      <c r="BA36" s="55" t="s">
        <v>1351</v>
      </c>
      <c r="BB36">
        <f>SUM(AZ118,AZ120,AZ122:AZ128,AZ130)</f>
        <v>0.47568977000000001</v>
      </c>
      <c r="BC36" s="90">
        <f t="shared" si="7"/>
        <v>0</v>
      </c>
      <c r="BE36">
        <v>206</v>
      </c>
      <c r="BF36" s="12" t="s">
        <v>1321</v>
      </c>
      <c r="BG36" s="2">
        <v>27.782319999999999</v>
      </c>
      <c r="BH36" s="55" t="s">
        <v>1351</v>
      </c>
      <c r="BI36">
        <f>SUM(BG118,BG120,BG122:BG128,BG130)</f>
        <v>0.98030935999999991</v>
      </c>
      <c r="BJ36" s="90">
        <f t="shared" si="8"/>
        <v>0</v>
      </c>
      <c r="BL36">
        <v>206</v>
      </c>
      <c r="BM36" s="12" t="s">
        <v>1321</v>
      </c>
      <c r="BN36" s="2">
        <v>28.038920000000001</v>
      </c>
      <c r="BO36" s="55" t="s">
        <v>1351</v>
      </c>
      <c r="BP36">
        <f>SUM(BN118,BN120,BN122:BN128,BN130)</f>
        <v>0.91002923000000013</v>
      </c>
      <c r="BQ36" s="90">
        <f t="shared" si="9"/>
        <v>0</v>
      </c>
      <c r="BS36">
        <v>206</v>
      </c>
      <c r="BT36" s="12" t="s">
        <v>1321</v>
      </c>
      <c r="BU36" s="2">
        <v>26.67615</v>
      </c>
      <c r="BV36" s="55" t="s">
        <v>1351</v>
      </c>
      <c r="BW36">
        <f>SUM(BU118,BU120,BU122:BU128,BU130)</f>
        <v>1.7113986100000003</v>
      </c>
      <c r="BX36" s="90">
        <f t="shared" si="10"/>
        <v>0</v>
      </c>
      <c r="BZ36">
        <v>206</v>
      </c>
      <c r="CA36" s="12" t="s">
        <v>1321</v>
      </c>
      <c r="CB36" s="2">
        <v>25.778089999999999</v>
      </c>
      <c r="CC36" s="55" t="s">
        <v>1351</v>
      </c>
      <c r="CD36">
        <f>SUM(CB118,CB120,CB122:CB128,CB130)</f>
        <v>7.9095994000000003</v>
      </c>
      <c r="CE36" s="90">
        <f t="shared" si="11"/>
        <v>0</v>
      </c>
      <c r="CG36">
        <v>206</v>
      </c>
      <c r="CH36" s="12" t="s">
        <v>1321</v>
      </c>
      <c r="CI36" s="2">
        <v>33.343299999999999</v>
      </c>
      <c r="CJ36" s="55" t="s">
        <v>1351</v>
      </c>
      <c r="CK36">
        <f>SUM(CI118,CI120,CI122:CI128,CI130)</f>
        <v>8.9718975000000007</v>
      </c>
      <c r="CL36" s="90">
        <f t="shared" si="12"/>
        <v>0</v>
      </c>
      <c r="CN36">
        <v>206</v>
      </c>
      <c r="CO36" s="12" t="s">
        <v>1321</v>
      </c>
      <c r="CP36" s="2"/>
      <c r="CQ36" s="55" t="s">
        <v>1351</v>
      </c>
      <c r="CR36">
        <f>SUM(CP118,CP120,CP122:CP128,CP130)</f>
        <v>9.8499400000000001</v>
      </c>
      <c r="CS36" s="90">
        <f t="shared" si="13"/>
        <v>0</v>
      </c>
      <c r="CU36">
        <v>206</v>
      </c>
      <c r="CV36" s="12" t="s">
        <v>1321</v>
      </c>
      <c r="CW36" s="2"/>
      <c r="CX36" s="55" t="s">
        <v>1351</v>
      </c>
      <c r="CY36">
        <f>SUM(CW118,CW120,CW122:CW128,CW130)</f>
        <v>17.191714099999999</v>
      </c>
      <c r="CZ36" s="90">
        <f t="shared" si="14"/>
        <v>0</v>
      </c>
      <c r="DB36">
        <v>206</v>
      </c>
      <c r="DC36" s="12" t="s">
        <v>1321</v>
      </c>
      <c r="DD36" s="2"/>
      <c r="DE36" s="55" t="s">
        <v>1351</v>
      </c>
      <c r="DF36">
        <f>SUM(DD118,DD120,DD122:DD128,DD130)</f>
        <v>26.652356999999999</v>
      </c>
      <c r="DG36" s="90">
        <f t="shared" si="15"/>
        <v>0</v>
      </c>
      <c r="DI36">
        <v>206</v>
      </c>
      <c r="DJ36" s="12" t="s">
        <v>1321</v>
      </c>
      <c r="DK36" s="2"/>
      <c r="DL36" s="55" t="s">
        <v>1351</v>
      </c>
      <c r="DM36">
        <f>SUM(DK118,DK120,DK122:DK128,DK130)</f>
        <v>31.123184000000002</v>
      </c>
      <c r="DN36" s="90">
        <f t="shared" si="16"/>
        <v>0</v>
      </c>
      <c r="DP36">
        <v>206</v>
      </c>
      <c r="DQ36" s="12" t="s">
        <v>1321</v>
      </c>
      <c r="DR36" s="2"/>
      <c r="DS36" s="55" t="s">
        <v>1351</v>
      </c>
      <c r="DT36">
        <f>SUM(DR118,DR120,DR122:DR128,DR130)</f>
        <v>37.025126</v>
      </c>
      <c r="DU36" s="90">
        <f t="shared" si="17"/>
        <v>0</v>
      </c>
      <c r="DW36">
        <v>206</v>
      </c>
      <c r="DX36" s="12" t="s">
        <v>1321</v>
      </c>
      <c r="DY36" s="2"/>
      <c r="DZ36" s="55" t="s">
        <v>1351</v>
      </c>
      <c r="EA36">
        <f>SUM(DY118,DY120,DY122:DY128,DY130)</f>
        <v>40.095740999999997</v>
      </c>
      <c r="EB36" s="90">
        <f t="shared" si="18"/>
        <v>0</v>
      </c>
      <c r="ED36">
        <v>206</v>
      </c>
      <c r="EE36" s="12" t="s">
        <v>1321</v>
      </c>
      <c r="EF36" s="2"/>
      <c r="EG36" s="55" t="s">
        <v>1351</v>
      </c>
      <c r="EH36">
        <f>SUM(EF118,EF120,EF122:EF128,EF130)</f>
        <v>70.947461000000004</v>
      </c>
      <c r="EI36" s="90">
        <f t="shared" si="19"/>
        <v>0</v>
      </c>
      <c r="EK36">
        <v>206</v>
      </c>
      <c r="EL36" s="12" t="s">
        <v>1321</v>
      </c>
      <c r="EM36" s="2"/>
      <c r="EN36" s="55" t="s">
        <v>1351</v>
      </c>
      <c r="EO36">
        <f>SUM(EM118,EM120,EM122:EM128,EM130)</f>
        <v>91.298944000000006</v>
      </c>
      <c r="EP36" s="90">
        <f t="shared" si="20"/>
        <v>0</v>
      </c>
    </row>
    <row r="37" spans="1:146" x14ac:dyDescent="0.4">
      <c r="A37">
        <v>205</v>
      </c>
      <c r="B37" s="12" t="s">
        <v>724</v>
      </c>
      <c r="C37" s="89"/>
      <c r="D37" s="92" t="s">
        <v>1493</v>
      </c>
      <c r="E37" s="3"/>
      <c r="F37" s="7"/>
      <c r="H37">
        <v>205</v>
      </c>
      <c r="I37" s="12" t="s">
        <v>724</v>
      </c>
      <c r="J37" s="2">
        <v>41.03163</v>
      </c>
      <c r="K37" s="92" t="s">
        <v>1493</v>
      </c>
      <c r="L37" s="3"/>
      <c r="M37" s="7"/>
      <c r="O37">
        <v>205</v>
      </c>
      <c r="P37" s="12" t="s">
        <v>724</v>
      </c>
      <c r="Q37" s="2">
        <v>53.740389999999998</v>
      </c>
      <c r="R37" s="92" t="s">
        <v>1493</v>
      </c>
      <c r="S37" s="3"/>
      <c r="V37">
        <v>205</v>
      </c>
      <c r="W37" s="12" t="s">
        <v>724</v>
      </c>
      <c r="X37" s="2">
        <v>33.818719999999999</v>
      </c>
      <c r="Y37" s="92" t="s">
        <v>1493</v>
      </c>
      <c r="Z37" s="3"/>
      <c r="AC37">
        <v>205</v>
      </c>
      <c r="AD37" s="12" t="s">
        <v>724</v>
      </c>
      <c r="AE37" s="2">
        <v>30.130949999999999</v>
      </c>
      <c r="AF37" s="92" t="s">
        <v>1493</v>
      </c>
      <c r="AG37" s="3"/>
      <c r="AJ37">
        <v>205</v>
      </c>
      <c r="AK37" s="12" t="s">
        <v>724</v>
      </c>
      <c r="AL37" s="2">
        <v>29.044920000000001</v>
      </c>
      <c r="AM37" s="92" t="s">
        <v>1493</v>
      </c>
      <c r="AN37" s="3"/>
      <c r="AQ37">
        <v>205</v>
      </c>
      <c r="AR37" s="12" t="s">
        <v>724</v>
      </c>
      <c r="AS37" s="2">
        <v>29.284880000000001</v>
      </c>
      <c r="AT37" s="92" t="s">
        <v>1493</v>
      </c>
      <c r="AU37" s="3"/>
      <c r="AX37">
        <v>205</v>
      </c>
      <c r="AY37" s="12" t="s">
        <v>724</v>
      </c>
      <c r="AZ37" s="2">
        <v>29.002030000000001</v>
      </c>
      <c r="BA37" s="92" t="s">
        <v>1493</v>
      </c>
      <c r="BB37" s="3"/>
      <c r="BE37">
        <v>205</v>
      </c>
      <c r="BF37" s="12" t="s">
        <v>724</v>
      </c>
      <c r="BG37" s="2">
        <v>27.88672</v>
      </c>
      <c r="BH37" s="92" t="s">
        <v>1493</v>
      </c>
      <c r="BI37" s="3"/>
      <c r="BL37">
        <v>205</v>
      </c>
      <c r="BM37" s="12" t="s">
        <v>724</v>
      </c>
      <c r="BN37" s="2">
        <v>28.146879999999999</v>
      </c>
      <c r="BO37" s="92" t="s">
        <v>1493</v>
      </c>
      <c r="BP37" s="3"/>
      <c r="BS37">
        <v>205</v>
      </c>
      <c r="BT37" s="12" t="s">
        <v>724</v>
      </c>
      <c r="BU37" s="2">
        <v>27.017610000000001</v>
      </c>
      <c r="BV37" s="92" t="s">
        <v>1493</v>
      </c>
      <c r="BW37" s="3"/>
      <c r="BZ37">
        <v>205</v>
      </c>
      <c r="CA37" s="12" t="s">
        <v>724</v>
      </c>
      <c r="CB37" s="2">
        <v>21.99851</v>
      </c>
      <c r="CC37" s="92" t="s">
        <v>1493</v>
      </c>
      <c r="CD37" s="3"/>
      <c r="CG37">
        <v>205</v>
      </c>
      <c r="CH37" s="12" t="s">
        <v>724</v>
      </c>
      <c r="CI37" s="2">
        <v>27.30913</v>
      </c>
      <c r="CJ37" s="92" t="s">
        <v>1493</v>
      </c>
      <c r="CK37" s="3"/>
      <c r="CN37">
        <v>205</v>
      </c>
      <c r="CO37" s="12" t="s">
        <v>724</v>
      </c>
      <c r="CP37" s="2">
        <v>33.912500000000001</v>
      </c>
      <c r="CQ37" s="92" t="s">
        <v>1493</v>
      </c>
      <c r="CR37" s="3"/>
      <c r="CU37">
        <v>205</v>
      </c>
      <c r="CV37" s="12" t="s">
        <v>724</v>
      </c>
      <c r="CW37" s="2"/>
      <c r="CX37" s="92" t="s">
        <v>1493</v>
      </c>
      <c r="CY37" s="3"/>
      <c r="DB37">
        <v>205</v>
      </c>
      <c r="DC37" s="12" t="s">
        <v>724</v>
      </c>
      <c r="DD37" s="2"/>
      <c r="DE37" s="92" t="s">
        <v>1493</v>
      </c>
      <c r="DF37" s="3"/>
      <c r="DI37">
        <v>205</v>
      </c>
      <c r="DJ37" s="12" t="s">
        <v>724</v>
      </c>
      <c r="DK37" s="2"/>
      <c r="DL37" s="92" t="s">
        <v>1493</v>
      </c>
      <c r="DM37" s="3"/>
      <c r="DP37">
        <v>205</v>
      </c>
      <c r="DQ37" s="12" t="s">
        <v>724</v>
      </c>
      <c r="DR37" s="2"/>
      <c r="DS37" s="92" t="s">
        <v>1493</v>
      </c>
      <c r="DT37" s="3"/>
      <c r="DW37">
        <v>205</v>
      </c>
      <c r="DX37" s="12" t="s">
        <v>724</v>
      </c>
      <c r="DY37" s="2"/>
      <c r="DZ37" s="92" t="s">
        <v>1493</v>
      </c>
      <c r="EA37" s="3"/>
      <c r="ED37">
        <v>205</v>
      </c>
      <c r="EE37" s="12" t="s">
        <v>724</v>
      </c>
      <c r="EF37" s="2"/>
      <c r="EG37" s="92" t="s">
        <v>1493</v>
      </c>
      <c r="EH37" s="3"/>
      <c r="EK37">
        <v>205</v>
      </c>
      <c r="EL37" s="12" t="s">
        <v>724</v>
      </c>
      <c r="EM37" s="2"/>
      <c r="EN37" s="92" t="s">
        <v>1493</v>
      </c>
      <c r="EO37" s="3"/>
    </row>
    <row r="38" spans="1:146" x14ac:dyDescent="0.4">
      <c r="A38">
        <v>204</v>
      </c>
      <c r="B38" s="12" t="s">
        <v>1322</v>
      </c>
      <c r="C38" s="89"/>
      <c r="E38" cm="1">
        <f t="array" ref="E38">SUM(LARGE(E16:E36,_xlfn.SEQUENCE(6)))</f>
        <v>0</v>
      </c>
      <c r="F38" s="7"/>
      <c r="H38">
        <v>204</v>
      </c>
      <c r="I38" s="12" t="s">
        <v>1322</v>
      </c>
      <c r="J38" s="2">
        <v>42.402479999999997</v>
      </c>
      <c r="L38" cm="1">
        <f t="array" ref="L38">SUM(LARGE(L16:L36,_xlfn.SEQUENCE(6)))</f>
        <v>1341.45823</v>
      </c>
      <c r="M38" s="7"/>
      <c r="O38">
        <v>204</v>
      </c>
      <c r="P38" s="12" t="s">
        <v>1322</v>
      </c>
      <c r="Q38" s="2">
        <v>12.23888</v>
      </c>
      <c r="S38" cm="1">
        <f t="array" ref="S38">SUM(LARGE(S16:S36,_xlfn.SEQUENCE(6)))</f>
        <v>1234.3950058930029</v>
      </c>
      <c r="T38" s="7"/>
      <c r="V38">
        <v>204</v>
      </c>
      <c r="W38" s="12" t="s">
        <v>1322</v>
      </c>
      <c r="X38" s="2">
        <v>34.158760000000001</v>
      </c>
      <c r="Z38" cm="1">
        <f t="array" ref="Z38">SUM(LARGE(Z16:Z36,_xlfn.SEQUENCE(6)))</f>
        <v>1094.9901299999999</v>
      </c>
      <c r="AA38" s="7"/>
      <c r="AC38">
        <v>204</v>
      </c>
      <c r="AD38" s="12" t="s">
        <v>1322</v>
      </c>
      <c r="AE38" s="2">
        <v>30.26268</v>
      </c>
      <c r="AG38" cm="1">
        <f t="array" ref="AG38">SUM(LARGE(AG16:AG36,_xlfn.SEQUENCE(6)))</f>
        <v>972.70301000000006</v>
      </c>
      <c r="AH38" s="7"/>
      <c r="AJ38">
        <v>204</v>
      </c>
      <c r="AK38" s="12" t="s">
        <v>1322</v>
      </c>
      <c r="AL38" s="2">
        <v>29.037849999999999</v>
      </c>
      <c r="AN38" cm="1">
        <f t="array" ref="AN38">SUM(LARGE(AN16:AN36,_xlfn.SEQUENCE(6)))</f>
        <v>923.71508999999992</v>
      </c>
      <c r="AO38" s="7"/>
      <c r="AQ38">
        <v>204</v>
      </c>
      <c r="AR38" s="12" t="s">
        <v>1322</v>
      </c>
      <c r="AS38" s="2">
        <v>29.299330000000001</v>
      </c>
      <c r="AU38" cm="1">
        <f t="array" ref="AU38">SUM(LARGE(AU16:AU36,_xlfn.SEQUENCE(6)))</f>
        <v>955.36555999999996</v>
      </c>
      <c r="AV38" s="7"/>
      <c r="AX38">
        <v>204</v>
      </c>
      <c r="AY38" s="12" t="s">
        <v>1322</v>
      </c>
      <c r="AZ38" s="2">
        <v>29.013909999999999</v>
      </c>
      <c r="BB38" cm="1">
        <f t="array" ref="BB38">SUM(LARGE(BB16:BB36,_xlfn.SEQUENCE(6)))</f>
        <v>932.08574999999996</v>
      </c>
      <c r="BC38" s="7"/>
      <c r="BE38">
        <v>204</v>
      </c>
      <c r="BF38" s="12" t="s">
        <v>1322</v>
      </c>
      <c r="BG38" s="2">
        <v>27.74633</v>
      </c>
      <c r="BI38" cm="1">
        <f t="array" ref="BI38">SUM(LARGE(BI16:BI36,_xlfn.SEQUENCE(6)))</f>
        <v>910.68123000000003</v>
      </c>
      <c r="BJ38" s="7"/>
      <c r="BL38">
        <v>204</v>
      </c>
      <c r="BM38" s="12" t="s">
        <v>1322</v>
      </c>
      <c r="BN38" s="2">
        <v>28.261469999999999</v>
      </c>
      <c r="BP38" cm="1">
        <f t="array" ref="BP38">SUM(LARGE(BP16:BP36,_xlfn.SEQUENCE(6)))</f>
        <v>931.43476999999996</v>
      </c>
      <c r="BQ38" s="7"/>
      <c r="BS38">
        <v>204</v>
      </c>
      <c r="BT38" s="12" t="s">
        <v>1322</v>
      </c>
      <c r="BU38" s="2">
        <v>27.06514</v>
      </c>
      <c r="BW38" cm="1">
        <f t="array" ref="BW38">SUM(LARGE(BW16:BW36,_xlfn.SEQUENCE(6)))</f>
        <v>994.75787000000003</v>
      </c>
      <c r="BX38" s="7"/>
      <c r="BZ38">
        <v>204</v>
      </c>
      <c r="CA38" s="12" t="s">
        <v>1322</v>
      </c>
      <c r="CB38" s="2">
        <v>20.590820000000001</v>
      </c>
      <c r="CD38" cm="1">
        <f t="array" ref="CD38">SUM(LARGE(CD16:CD36,_xlfn.SEQUENCE(6)))</f>
        <v>705.41723999999999</v>
      </c>
      <c r="CE38" s="7"/>
      <c r="CG38">
        <v>204</v>
      </c>
      <c r="CH38" s="12" t="s">
        <v>1322</v>
      </c>
      <c r="CI38" s="2">
        <v>24.534859999999998</v>
      </c>
      <c r="CK38" cm="1">
        <f t="array" ref="CK38">SUM(LARGE(CK16:CK36,_xlfn.SEQUENCE(6)))</f>
        <v>742.21778000000006</v>
      </c>
      <c r="CL38" s="7"/>
      <c r="CN38">
        <v>204</v>
      </c>
      <c r="CO38" s="12" t="s">
        <v>1322</v>
      </c>
      <c r="CP38" s="2">
        <v>28.553339999999999</v>
      </c>
      <c r="CR38" cm="1">
        <f t="array" ref="CR38">SUM(LARGE(CR16:CR36,_xlfn.SEQUENCE(6)))</f>
        <v>691.99322999999993</v>
      </c>
      <c r="CS38" s="7"/>
      <c r="CU38">
        <v>204</v>
      </c>
      <c r="CV38" s="12" t="s">
        <v>1322</v>
      </c>
      <c r="CW38" s="2"/>
      <c r="CY38" cm="1">
        <f t="array" ref="CY38">SUM(LARGE(CY16:CY36,_xlfn.SEQUENCE(6)))</f>
        <v>693.01908999999989</v>
      </c>
      <c r="CZ38" s="7"/>
      <c r="DB38">
        <v>204</v>
      </c>
      <c r="DC38" s="12" t="s">
        <v>1322</v>
      </c>
      <c r="DD38" s="2"/>
      <c r="DF38" cm="1">
        <f t="array" ref="DF38">SUM(LARGE(DF16:DF36,_xlfn.SEQUENCE(6)))</f>
        <v>749.76279</v>
      </c>
      <c r="DG38" s="7"/>
      <c r="DI38">
        <v>204</v>
      </c>
      <c r="DJ38" s="12" t="s">
        <v>1322</v>
      </c>
      <c r="DK38" s="2"/>
      <c r="DM38" cm="1">
        <f t="array" ref="DM38">SUM(LARGE(DM16:DM36,_xlfn.SEQUENCE(6)))</f>
        <v>710.9195400000001</v>
      </c>
      <c r="DN38" s="7"/>
      <c r="DP38">
        <v>204</v>
      </c>
      <c r="DQ38" s="12" t="s">
        <v>1322</v>
      </c>
      <c r="DR38" s="2"/>
      <c r="DT38" cm="1">
        <f t="array" ref="DT38">SUM(LARGE(DT16:DT36,_xlfn.SEQUENCE(6)))</f>
        <v>772.03559000000007</v>
      </c>
      <c r="DU38" s="7"/>
      <c r="DW38">
        <v>204</v>
      </c>
      <c r="DX38" s="12" t="s">
        <v>1322</v>
      </c>
      <c r="DY38" s="2"/>
      <c r="EA38" cm="1">
        <f t="array" ref="EA38">SUM(LARGE(EA16:EA36,_xlfn.SEQUENCE(6)))</f>
        <v>708.03985999999998</v>
      </c>
      <c r="EB38" s="7"/>
      <c r="ED38">
        <v>204</v>
      </c>
      <c r="EE38" s="12" t="s">
        <v>1322</v>
      </c>
      <c r="EF38" s="2"/>
      <c r="EH38" cm="1">
        <f t="array" ref="EH38">SUM(LARGE(EH16:EH36,_xlfn.SEQUENCE(6)))</f>
        <v>751.53134000000011</v>
      </c>
      <c r="EI38" s="7"/>
      <c r="EK38">
        <v>204</v>
      </c>
      <c r="EL38" s="12" t="s">
        <v>1322</v>
      </c>
      <c r="EM38" s="2"/>
      <c r="EO38" cm="1">
        <f t="array" ref="EO38">SUM(LARGE(EO16:EO36,_xlfn.SEQUENCE(6)))</f>
        <v>743.86971999999992</v>
      </c>
      <c r="EP38" s="7"/>
    </row>
    <row r="39" spans="1:146" x14ac:dyDescent="0.4">
      <c r="A39">
        <v>203</v>
      </c>
      <c r="B39" s="12" t="s">
        <v>724</v>
      </c>
      <c r="C39" s="89"/>
      <c r="H39">
        <v>203</v>
      </c>
      <c r="I39" s="12" t="s">
        <v>724</v>
      </c>
      <c r="J39" s="2">
        <v>40.615560000000002</v>
      </c>
      <c r="O39">
        <v>203</v>
      </c>
      <c r="P39" s="12" t="s">
        <v>724</v>
      </c>
      <c r="Q39" s="2">
        <v>72.359409999999997</v>
      </c>
      <c r="V39">
        <v>203</v>
      </c>
      <c r="W39" s="12" t="s">
        <v>724</v>
      </c>
      <c r="X39" s="2">
        <v>33.659260000000003</v>
      </c>
      <c r="AC39">
        <v>203</v>
      </c>
      <c r="AD39" s="12" t="s">
        <v>724</v>
      </c>
      <c r="AE39" s="2">
        <v>29.9956</v>
      </c>
      <c r="AJ39">
        <v>203</v>
      </c>
      <c r="AK39" s="12" t="s">
        <v>724</v>
      </c>
      <c r="AL39" s="2">
        <v>28.75975</v>
      </c>
      <c r="AQ39">
        <v>203</v>
      </c>
      <c r="AR39" s="12" t="s">
        <v>724</v>
      </c>
      <c r="AS39" s="2">
        <v>29.28614</v>
      </c>
      <c r="AX39">
        <v>203</v>
      </c>
      <c r="AY39" s="12" t="s">
        <v>724</v>
      </c>
      <c r="AZ39" s="2">
        <v>28.944739999999999</v>
      </c>
      <c r="BE39">
        <v>203</v>
      </c>
      <c r="BF39" s="12" t="s">
        <v>724</v>
      </c>
      <c r="BG39" s="2">
        <v>28.21659</v>
      </c>
      <c r="BL39">
        <v>203</v>
      </c>
      <c r="BM39" s="12" t="s">
        <v>724</v>
      </c>
      <c r="BN39" s="2">
        <v>28.477499999999999</v>
      </c>
      <c r="BS39">
        <v>203</v>
      </c>
      <c r="BT39" s="12" t="s">
        <v>724</v>
      </c>
      <c r="BU39" s="2">
        <v>27.291049999999998</v>
      </c>
      <c r="BZ39">
        <v>203</v>
      </c>
      <c r="CA39" s="12" t="s">
        <v>724</v>
      </c>
      <c r="CB39" s="2">
        <v>21.545629999999999</v>
      </c>
      <c r="CG39">
        <v>203</v>
      </c>
      <c r="CH39" s="12" t="s">
        <v>724</v>
      </c>
      <c r="CI39" s="2">
        <v>23.316479999999999</v>
      </c>
      <c r="CN39">
        <v>203</v>
      </c>
      <c r="CO39" s="12" t="s">
        <v>724</v>
      </c>
      <c r="CP39" s="2">
        <v>25.009429999999998</v>
      </c>
      <c r="CU39">
        <v>203</v>
      </c>
      <c r="CV39" s="12" t="s">
        <v>724</v>
      </c>
      <c r="CW39" s="2"/>
      <c r="DB39">
        <v>203</v>
      </c>
      <c r="DC39" s="12" t="s">
        <v>724</v>
      </c>
      <c r="DD39" s="2"/>
      <c r="DI39">
        <v>203</v>
      </c>
      <c r="DJ39" s="12" t="s">
        <v>724</v>
      </c>
      <c r="DK39" s="2"/>
      <c r="DP39">
        <v>203</v>
      </c>
      <c r="DQ39" s="12" t="s">
        <v>724</v>
      </c>
      <c r="DR39" s="2"/>
      <c r="DW39">
        <v>203</v>
      </c>
      <c r="DX39" s="12" t="s">
        <v>724</v>
      </c>
      <c r="DY39" s="2"/>
      <c r="ED39">
        <v>203</v>
      </c>
      <c r="EE39" s="12" t="s">
        <v>724</v>
      </c>
      <c r="EF39" s="2"/>
      <c r="EK39">
        <v>203</v>
      </c>
      <c r="EL39" s="12" t="s">
        <v>724</v>
      </c>
      <c r="EM39" s="2"/>
    </row>
    <row r="40" spans="1:146" x14ac:dyDescent="0.4">
      <c r="A40">
        <v>202</v>
      </c>
      <c r="B40" s="12" t="s">
        <v>1322</v>
      </c>
      <c r="C40" s="89"/>
      <c r="H40">
        <v>202</v>
      </c>
      <c r="I40" s="12" t="s">
        <v>1322</v>
      </c>
      <c r="J40" s="2">
        <v>39.778689999999997</v>
      </c>
      <c r="O40">
        <v>202</v>
      </c>
      <c r="P40" s="12" t="s">
        <v>1322</v>
      </c>
      <c r="Q40" s="2">
        <v>11.30658</v>
      </c>
      <c r="V40">
        <v>202</v>
      </c>
      <c r="W40" s="12" t="s">
        <v>1322</v>
      </c>
      <c r="X40" s="2">
        <v>33.037100000000002</v>
      </c>
      <c r="AC40">
        <v>202</v>
      </c>
      <c r="AD40" s="12" t="s">
        <v>1322</v>
      </c>
      <c r="AE40" s="2">
        <v>29.673190000000002</v>
      </c>
      <c r="AJ40">
        <v>202</v>
      </c>
      <c r="AK40" s="12" t="s">
        <v>1322</v>
      </c>
      <c r="AL40" s="2">
        <v>28.776289999999999</v>
      </c>
      <c r="AQ40">
        <v>202</v>
      </c>
      <c r="AR40" s="12" t="s">
        <v>1322</v>
      </c>
      <c r="AS40" s="2">
        <v>29.30255</v>
      </c>
      <c r="AX40">
        <v>202</v>
      </c>
      <c r="AY40" s="12" t="s">
        <v>1322</v>
      </c>
      <c r="AZ40" s="2">
        <v>28.978899999999999</v>
      </c>
      <c r="BE40">
        <v>202</v>
      </c>
      <c r="BF40" s="12" t="s">
        <v>1322</v>
      </c>
      <c r="BG40" s="2">
        <v>28.231670000000001</v>
      </c>
      <c r="BL40">
        <v>202</v>
      </c>
      <c r="BM40" s="12" t="s">
        <v>1322</v>
      </c>
      <c r="BN40" s="2">
        <v>28.53341</v>
      </c>
      <c r="BS40">
        <v>202</v>
      </c>
      <c r="BT40" s="12" t="s">
        <v>1322</v>
      </c>
      <c r="BU40" s="2">
        <v>27.42915</v>
      </c>
      <c r="BZ40">
        <v>202</v>
      </c>
      <c r="CA40" s="12" t="s">
        <v>1322</v>
      </c>
      <c r="CB40" s="2">
        <v>21.45795</v>
      </c>
      <c r="CG40">
        <v>202</v>
      </c>
      <c r="CH40" s="12" t="s">
        <v>1322</v>
      </c>
      <c r="CI40" s="2">
        <v>22.724969999999999</v>
      </c>
      <c r="CN40">
        <v>202</v>
      </c>
      <c r="CO40" s="12" t="s">
        <v>1322</v>
      </c>
      <c r="CP40" s="2">
        <v>23.673220000000001</v>
      </c>
      <c r="CU40">
        <v>202</v>
      </c>
      <c r="CV40" s="12" t="s">
        <v>1322</v>
      </c>
      <c r="CW40" s="2"/>
      <c r="DB40">
        <v>202</v>
      </c>
      <c r="DC40" s="12" t="s">
        <v>1322</v>
      </c>
      <c r="DD40" s="2"/>
      <c r="DI40">
        <v>202</v>
      </c>
      <c r="DJ40" s="12" t="s">
        <v>1322</v>
      </c>
      <c r="DK40" s="2"/>
      <c r="DP40">
        <v>202</v>
      </c>
      <c r="DQ40" s="12" t="s">
        <v>1322</v>
      </c>
      <c r="DR40" s="2"/>
      <c r="DW40">
        <v>202</v>
      </c>
      <c r="DX40" s="12" t="s">
        <v>1322</v>
      </c>
      <c r="DY40" s="2"/>
      <c r="ED40">
        <v>202</v>
      </c>
      <c r="EE40" s="12" t="s">
        <v>1322</v>
      </c>
      <c r="EF40" s="2"/>
      <c r="EK40">
        <v>202</v>
      </c>
      <c r="EL40" s="12" t="s">
        <v>1322</v>
      </c>
      <c r="EM40" s="2"/>
    </row>
    <row r="41" spans="1:146" x14ac:dyDescent="0.4">
      <c r="A41">
        <v>201</v>
      </c>
      <c r="B41" s="12" t="s">
        <v>1322</v>
      </c>
      <c r="C41" s="89"/>
      <c r="H41">
        <v>201</v>
      </c>
      <c r="I41" s="12" t="s">
        <v>1322</v>
      </c>
      <c r="J41" s="2">
        <v>39.248399999999997</v>
      </c>
      <c r="O41">
        <v>201</v>
      </c>
      <c r="P41" s="12" t="s">
        <v>1322</v>
      </c>
      <c r="Q41" s="2">
        <v>58.287950000000002</v>
      </c>
      <c r="V41">
        <v>201</v>
      </c>
      <c r="W41" s="12" t="s">
        <v>1322</v>
      </c>
      <c r="X41" s="2">
        <v>32.681280000000001</v>
      </c>
      <c r="AC41">
        <v>201</v>
      </c>
      <c r="AD41" s="12" t="s">
        <v>1322</v>
      </c>
      <c r="AE41" s="2">
        <v>29.322130000000001</v>
      </c>
      <c r="AJ41">
        <v>201</v>
      </c>
      <c r="AK41" s="12" t="s">
        <v>1322</v>
      </c>
      <c r="AL41" s="2">
        <v>28.684570000000001</v>
      </c>
      <c r="AQ41">
        <v>201</v>
      </c>
      <c r="AR41" s="12" t="s">
        <v>1322</v>
      </c>
      <c r="AS41" s="2">
        <v>28.949719999999999</v>
      </c>
      <c r="AX41">
        <v>201</v>
      </c>
      <c r="AY41" s="12" t="s">
        <v>1322</v>
      </c>
      <c r="AZ41" s="2">
        <v>28.9787</v>
      </c>
      <c r="BE41">
        <v>201</v>
      </c>
      <c r="BF41" s="12" t="s">
        <v>1322</v>
      </c>
      <c r="BG41" s="2">
        <v>27.951550000000001</v>
      </c>
      <c r="BL41">
        <v>201</v>
      </c>
      <c r="BM41" s="12" t="s">
        <v>1322</v>
      </c>
      <c r="BN41" s="2">
        <v>28.56251</v>
      </c>
      <c r="BS41">
        <v>201</v>
      </c>
      <c r="BT41" s="12" t="s">
        <v>1322</v>
      </c>
      <c r="BU41" s="2">
        <v>27.724409999999999</v>
      </c>
      <c r="BZ41">
        <v>201</v>
      </c>
      <c r="CA41" s="12" t="s">
        <v>1322</v>
      </c>
      <c r="CB41" s="2">
        <v>22.533480000000001</v>
      </c>
      <c r="CG41">
        <v>201</v>
      </c>
      <c r="CH41" s="12" t="s">
        <v>1322</v>
      </c>
      <c r="CI41" s="2">
        <v>22.770189999999999</v>
      </c>
      <c r="CN41">
        <v>201</v>
      </c>
      <c r="CO41" s="12" t="s">
        <v>1322</v>
      </c>
      <c r="CP41" s="2">
        <v>23.28885</v>
      </c>
      <c r="CU41">
        <v>201</v>
      </c>
      <c r="CV41" s="12" t="s">
        <v>1322</v>
      </c>
      <c r="CW41" s="2"/>
      <c r="DB41">
        <v>201</v>
      </c>
      <c r="DC41" s="12" t="s">
        <v>1322</v>
      </c>
      <c r="DD41" s="2"/>
      <c r="DI41">
        <v>201</v>
      </c>
      <c r="DJ41" s="12" t="s">
        <v>1322</v>
      </c>
      <c r="DK41" s="2"/>
      <c r="DP41">
        <v>201</v>
      </c>
      <c r="DQ41" s="12" t="s">
        <v>1322</v>
      </c>
      <c r="DR41" s="2"/>
      <c r="DW41">
        <v>201</v>
      </c>
      <c r="DX41" s="12" t="s">
        <v>1322</v>
      </c>
      <c r="DY41" s="2"/>
      <c r="ED41">
        <v>201</v>
      </c>
      <c r="EE41" s="12" t="s">
        <v>1322</v>
      </c>
      <c r="EF41" s="2"/>
      <c r="EK41">
        <v>201</v>
      </c>
      <c r="EL41" s="12" t="s">
        <v>1322</v>
      </c>
      <c r="EM41" s="2"/>
    </row>
    <row r="42" spans="1:146" x14ac:dyDescent="0.4">
      <c r="A42">
        <v>200</v>
      </c>
      <c r="B42" s="12" t="s">
        <v>1322</v>
      </c>
      <c r="C42" s="89"/>
      <c r="H42">
        <v>200</v>
      </c>
      <c r="I42" s="12" t="s">
        <v>1322</v>
      </c>
      <c r="J42" s="2">
        <v>37.481070000000003</v>
      </c>
      <c r="O42">
        <v>200</v>
      </c>
      <c r="P42" s="12" t="s">
        <v>1322</v>
      </c>
      <c r="Q42" s="2">
        <v>32.844650000000001</v>
      </c>
      <c r="V42">
        <v>200</v>
      </c>
      <c r="W42" s="12" t="s">
        <v>1322</v>
      </c>
      <c r="X42" s="2">
        <v>32.315980000000003</v>
      </c>
      <c r="AC42">
        <v>200</v>
      </c>
      <c r="AD42" s="12" t="s">
        <v>1322</v>
      </c>
      <c r="AE42" s="2">
        <v>29.267060000000001</v>
      </c>
      <c r="AJ42">
        <v>200</v>
      </c>
      <c r="AK42" s="12" t="s">
        <v>1322</v>
      </c>
      <c r="AL42" s="2">
        <v>28.356400000000001</v>
      </c>
      <c r="AQ42">
        <v>200</v>
      </c>
      <c r="AR42" s="12" t="s">
        <v>1322</v>
      </c>
      <c r="AS42" s="2">
        <v>29.174499999999998</v>
      </c>
      <c r="AX42">
        <v>200</v>
      </c>
      <c r="AY42" s="12" t="s">
        <v>1322</v>
      </c>
      <c r="AZ42" s="2">
        <v>28.788039999999999</v>
      </c>
      <c r="BE42">
        <v>200</v>
      </c>
      <c r="BF42" s="12" t="s">
        <v>1322</v>
      </c>
      <c r="BG42" s="2">
        <v>28.4041</v>
      </c>
      <c r="BL42">
        <v>200</v>
      </c>
      <c r="BM42" s="12" t="s">
        <v>1322</v>
      </c>
      <c r="BN42" s="2">
        <v>28.66433</v>
      </c>
      <c r="BS42">
        <v>200</v>
      </c>
      <c r="BT42" s="12" t="s">
        <v>1322</v>
      </c>
      <c r="BU42" s="2">
        <v>27.78051</v>
      </c>
      <c r="BZ42">
        <v>200</v>
      </c>
      <c r="CA42" s="12" t="s">
        <v>1322</v>
      </c>
      <c r="CB42" s="2">
        <v>22.485749999999999</v>
      </c>
      <c r="CG42">
        <v>200</v>
      </c>
      <c r="CH42" s="12" t="s">
        <v>1322</v>
      </c>
      <c r="CI42" s="2">
        <v>22.533719999999999</v>
      </c>
      <c r="CN42">
        <v>200</v>
      </c>
      <c r="CO42" s="12" t="s">
        <v>1322</v>
      </c>
      <c r="CP42" s="2">
        <v>22.769939999999998</v>
      </c>
      <c r="CU42">
        <v>200</v>
      </c>
      <c r="CV42" s="12" t="s">
        <v>1322</v>
      </c>
      <c r="CW42" s="2"/>
      <c r="DB42">
        <v>200</v>
      </c>
      <c r="DC42" s="12" t="s">
        <v>1322</v>
      </c>
      <c r="DD42" s="2"/>
      <c r="DI42">
        <v>200</v>
      </c>
      <c r="DJ42" s="12" t="s">
        <v>1322</v>
      </c>
      <c r="DK42" s="2"/>
      <c r="DP42">
        <v>200</v>
      </c>
      <c r="DQ42" s="12" t="s">
        <v>1322</v>
      </c>
      <c r="DR42" s="2"/>
      <c r="DW42">
        <v>200</v>
      </c>
      <c r="DX42" s="12" t="s">
        <v>1322</v>
      </c>
      <c r="DY42" s="2"/>
      <c r="ED42">
        <v>200</v>
      </c>
      <c r="EE42" s="12" t="s">
        <v>1322</v>
      </c>
      <c r="EF42" s="2"/>
      <c r="EK42">
        <v>200</v>
      </c>
      <c r="EL42" s="12" t="s">
        <v>1322</v>
      </c>
      <c r="EM42" s="2"/>
    </row>
    <row r="43" spans="1:146" x14ac:dyDescent="0.4">
      <c r="A43">
        <v>199</v>
      </c>
      <c r="B43" s="12" t="s">
        <v>1322</v>
      </c>
      <c r="C43" s="89"/>
      <c r="H43">
        <v>199</v>
      </c>
      <c r="I43" s="12" t="s">
        <v>1322</v>
      </c>
      <c r="J43" s="2">
        <v>37.151949999999999</v>
      </c>
      <c r="O43">
        <v>199</v>
      </c>
      <c r="P43" s="12" t="s">
        <v>1322</v>
      </c>
      <c r="Q43" s="2">
        <v>28.09862</v>
      </c>
      <c r="V43">
        <v>199</v>
      </c>
      <c r="W43" s="12" t="s">
        <v>1322</v>
      </c>
      <c r="X43" s="2">
        <v>31.948930000000001</v>
      </c>
      <c r="AC43">
        <v>199</v>
      </c>
      <c r="AD43" s="12" t="s">
        <v>1322</v>
      </c>
      <c r="AE43" s="2">
        <v>28.974229999999999</v>
      </c>
      <c r="AJ43">
        <v>199</v>
      </c>
      <c r="AK43" s="12" t="s">
        <v>1322</v>
      </c>
      <c r="AL43" s="2">
        <v>28.211760000000002</v>
      </c>
      <c r="AQ43">
        <v>199</v>
      </c>
      <c r="AR43" s="12" t="s">
        <v>1322</v>
      </c>
      <c r="AS43" s="2">
        <v>29.07816</v>
      </c>
      <c r="AX43">
        <v>199</v>
      </c>
      <c r="AY43" s="12" t="s">
        <v>1322</v>
      </c>
      <c r="AZ43" s="2">
        <v>28.75196</v>
      </c>
      <c r="BE43">
        <v>199</v>
      </c>
      <c r="BF43" s="12" t="s">
        <v>1322</v>
      </c>
      <c r="BG43" s="2">
        <v>28.395409999999998</v>
      </c>
      <c r="BL43">
        <v>199</v>
      </c>
      <c r="BM43" s="12" t="s">
        <v>1322</v>
      </c>
      <c r="BN43" s="2">
        <v>28.766290000000001</v>
      </c>
      <c r="BS43">
        <v>199</v>
      </c>
      <c r="BT43" s="12" t="s">
        <v>1322</v>
      </c>
      <c r="BU43" s="2">
        <v>27.91272</v>
      </c>
      <c r="BZ43">
        <v>199</v>
      </c>
      <c r="CA43" s="12" t="s">
        <v>1322</v>
      </c>
      <c r="CB43" s="2">
        <v>22.840350000000001</v>
      </c>
      <c r="CG43">
        <v>199</v>
      </c>
      <c r="CH43" s="12" t="s">
        <v>1322</v>
      </c>
      <c r="CI43" s="2">
        <v>22.944040000000001</v>
      </c>
      <c r="CN43">
        <v>199</v>
      </c>
      <c r="CO43" s="12" t="s">
        <v>1322</v>
      </c>
      <c r="CP43" s="2">
        <v>23.077269999999999</v>
      </c>
      <c r="CU43">
        <v>199</v>
      </c>
      <c r="CV43" s="12" t="s">
        <v>1322</v>
      </c>
      <c r="CW43" s="2"/>
      <c r="DB43">
        <v>199</v>
      </c>
      <c r="DC43" s="12" t="s">
        <v>1322</v>
      </c>
      <c r="DD43" s="2"/>
      <c r="DI43">
        <v>199</v>
      </c>
      <c r="DJ43" s="12" t="s">
        <v>1322</v>
      </c>
      <c r="DK43" s="2"/>
      <c r="DP43">
        <v>199</v>
      </c>
      <c r="DQ43" s="12" t="s">
        <v>1322</v>
      </c>
      <c r="DR43" s="2"/>
      <c r="DW43">
        <v>199</v>
      </c>
      <c r="DX43" s="12" t="s">
        <v>1322</v>
      </c>
      <c r="DY43" s="2"/>
      <c r="ED43">
        <v>199</v>
      </c>
      <c r="EE43" s="12" t="s">
        <v>1322</v>
      </c>
      <c r="EF43" s="2"/>
      <c r="EK43">
        <v>199</v>
      </c>
      <c r="EL43" s="12" t="s">
        <v>1322</v>
      </c>
      <c r="EM43" s="2"/>
    </row>
    <row r="44" spans="1:146" x14ac:dyDescent="0.4">
      <c r="A44">
        <v>198</v>
      </c>
      <c r="B44" s="12" t="s">
        <v>1324</v>
      </c>
      <c r="C44" s="89"/>
      <c r="H44">
        <v>198</v>
      </c>
      <c r="I44" s="12" t="s">
        <v>1324</v>
      </c>
      <c r="J44" s="2">
        <v>35.746980000000001</v>
      </c>
      <c r="O44">
        <v>198</v>
      </c>
      <c r="P44" s="12" t="s">
        <v>1324</v>
      </c>
      <c r="Q44" s="2">
        <v>51.480539999999998</v>
      </c>
      <c r="V44">
        <v>198</v>
      </c>
      <c r="W44" s="12" t="s">
        <v>1324</v>
      </c>
      <c r="X44" s="2">
        <v>31.236470000000001</v>
      </c>
      <c r="AC44">
        <v>198</v>
      </c>
      <c r="AD44" s="12" t="s">
        <v>1324</v>
      </c>
      <c r="AE44" s="2">
        <v>28.423770000000001</v>
      </c>
      <c r="AJ44">
        <v>198</v>
      </c>
      <c r="AK44" s="12" t="s">
        <v>1324</v>
      </c>
      <c r="AL44" s="2">
        <v>27.999780000000001</v>
      </c>
      <c r="AQ44">
        <v>198</v>
      </c>
      <c r="AR44" s="12" t="s">
        <v>1324</v>
      </c>
      <c r="AS44" s="2">
        <v>28.607430000000001</v>
      </c>
      <c r="AX44">
        <v>198</v>
      </c>
      <c r="AY44" s="12" t="s">
        <v>1324</v>
      </c>
      <c r="AZ44" s="2">
        <v>28.652239999999999</v>
      </c>
      <c r="BE44">
        <v>198</v>
      </c>
      <c r="BF44" s="12" t="s">
        <v>1324</v>
      </c>
      <c r="BG44" s="2">
        <v>28.069420000000001</v>
      </c>
      <c r="BL44">
        <v>198</v>
      </c>
      <c r="BM44" s="12" t="s">
        <v>1324</v>
      </c>
      <c r="BN44" s="2">
        <v>28.664490000000001</v>
      </c>
      <c r="BS44">
        <v>198</v>
      </c>
      <c r="BT44" s="12" t="s">
        <v>1324</v>
      </c>
      <c r="BU44" s="2">
        <v>28.057739999999999</v>
      </c>
      <c r="BZ44">
        <v>198</v>
      </c>
      <c r="CA44" s="12" t="s">
        <v>1324</v>
      </c>
      <c r="CB44" s="2">
        <v>22.775220000000001</v>
      </c>
      <c r="CG44">
        <v>198</v>
      </c>
      <c r="CH44" s="12" t="s">
        <v>1324</v>
      </c>
      <c r="CI44" s="2">
        <v>22.756779999999999</v>
      </c>
      <c r="CN44">
        <v>198</v>
      </c>
      <c r="CO44" s="12" t="s">
        <v>1324</v>
      </c>
      <c r="CP44" s="2">
        <v>22.739540000000002</v>
      </c>
      <c r="CU44">
        <v>198</v>
      </c>
      <c r="CV44" s="12" t="s">
        <v>1324</v>
      </c>
      <c r="CW44" s="2">
        <v>26.458870000000001</v>
      </c>
      <c r="DB44">
        <v>198</v>
      </c>
      <c r="DC44" s="12" t="s">
        <v>1324</v>
      </c>
      <c r="DD44" s="2"/>
      <c r="DI44">
        <v>198</v>
      </c>
      <c r="DJ44" s="12" t="s">
        <v>1324</v>
      </c>
      <c r="DK44" s="2"/>
      <c r="DP44">
        <v>198</v>
      </c>
      <c r="DQ44" s="12" t="s">
        <v>1324</v>
      </c>
      <c r="DR44" s="2"/>
      <c r="DW44">
        <v>198</v>
      </c>
      <c r="DX44" s="12" t="s">
        <v>1324</v>
      </c>
      <c r="DY44" s="2"/>
      <c r="ED44">
        <v>198</v>
      </c>
      <c r="EE44" s="12" t="s">
        <v>1324</v>
      </c>
      <c r="EF44" s="2"/>
      <c r="EK44">
        <v>198</v>
      </c>
      <c r="EL44" s="12" t="s">
        <v>1324</v>
      </c>
      <c r="EM44" s="2"/>
    </row>
    <row r="45" spans="1:146" x14ac:dyDescent="0.4">
      <c r="A45">
        <v>197</v>
      </c>
      <c r="B45" s="12" t="s">
        <v>1323</v>
      </c>
      <c r="C45" s="89"/>
      <c r="H45">
        <v>197</v>
      </c>
      <c r="I45" s="12" t="s">
        <v>1323</v>
      </c>
      <c r="J45" s="2">
        <v>34.459949999999999</v>
      </c>
      <c r="O45">
        <v>197</v>
      </c>
      <c r="P45" s="12" t="s">
        <v>1323</v>
      </c>
      <c r="Q45" s="2">
        <v>15.57498</v>
      </c>
      <c r="V45">
        <v>197</v>
      </c>
      <c r="W45" s="12" t="s">
        <v>1323</v>
      </c>
      <c r="X45" s="2">
        <v>30.661799999999999</v>
      </c>
      <c r="AC45">
        <v>197</v>
      </c>
      <c r="AD45" s="12" t="s">
        <v>1323</v>
      </c>
      <c r="AE45" s="2">
        <v>28.191839999999999</v>
      </c>
      <c r="AJ45">
        <v>197</v>
      </c>
      <c r="AK45" s="12" t="s">
        <v>1323</v>
      </c>
      <c r="AL45" s="2">
        <v>27.732240000000001</v>
      </c>
      <c r="AQ45">
        <v>197</v>
      </c>
      <c r="AR45" s="12" t="s">
        <v>1323</v>
      </c>
      <c r="AS45" s="2">
        <v>28.798929999999999</v>
      </c>
      <c r="AX45">
        <v>197</v>
      </c>
      <c r="AY45" s="12" t="s">
        <v>1323</v>
      </c>
      <c r="AZ45" s="2">
        <v>28.385290000000001</v>
      </c>
      <c r="BE45">
        <v>197</v>
      </c>
      <c r="BF45" s="12" t="s">
        <v>1323</v>
      </c>
      <c r="BG45" s="2">
        <v>28.454560000000001</v>
      </c>
      <c r="BL45">
        <v>197</v>
      </c>
      <c r="BM45" s="12" t="s">
        <v>1323</v>
      </c>
      <c r="BN45" s="2">
        <v>28.708069999999999</v>
      </c>
      <c r="BS45">
        <v>197</v>
      </c>
      <c r="BT45" s="12" t="s">
        <v>1323</v>
      </c>
      <c r="BU45" s="2">
        <v>28.245799999999999</v>
      </c>
      <c r="BZ45">
        <v>197</v>
      </c>
      <c r="CA45" s="12" t="s">
        <v>1323</v>
      </c>
      <c r="CB45" s="2">
        <v>23.477900000000002</v>
      </c>
      <c r="CG45">
        <v>197</v>
      </c>
      <c r="CH45" s="12" t="s">
        <v>1323</v>
      </c>
      <c r="CI45" s="2">
        <v>23.273679999999999</v>
      </c>
      <c r="CN45">
        <v>197</v>
      </c>
      <c r="CO45" s="12" t="s">
        <v>1323</v>
      </c>
      <c r="CP45" s="2">
        <v>23.132650000000002</v>
      </c>
      <c r="CU45">
        <v>197</v>
      </c>
      <c r="CV45" s="12" t="s">
        <v>1323</v>
      </c>
      <c r="CW45" s="2">
        <v>24.016999999999999</v>
      </c>
      <c r="DB45">
        <v>197</v>
      </c>
      <c r="DC45" s="12" t="s">
        <v>1323</v>
      </c>
      <c r="DD45" s="2"/>
      <c r="DI45">
        <v>197</v>
      </c>
      <c r="DJ45" s="12" t="s">
        <v>1323</v>
      </c>
      <c r="DK45" s="2"/>
      <c r="DP45">
        <v>197</v>
      </c>
      <c r="DQ45" s="12" t="s">
        <v>1323</v>
      </c>
      <c r="DR45" s="2"/>
      <c r="DW45">
        <v>197</v>
      </c>
      <c r="DX45" s="12" t="s">
        <v>1323</v>
      </c>
      <c r="DY45" s="2"/>
      <c r="ED45">
        <v>197</v>
      </c>
      <c r="EE45" s="12" t="s">
        <v>1323</v>
      </c>
      <c r="EF45" s="2"/>
      <c r="EK45">
        <v>197</v>
      </c>
      <c r="EL45" s="12" t="s">
        <v>1323</v>
      </c>
      <c r="EM45" s="2"/>
    </row>
    <row r="46" spans="1:146" x14ac:dyDescent="0.4">
      <c r="A46">
        <v>196</v>
      </c>
      <c r="B46" s="12" t="s">
        <v>1324</v>
      </c>
      <c r="C46" s="89"/>
      <c r="H46">
        <v>196</v>
      </c>
      <c r="I46" s="12" t="s">
        <v>1324</v>
      </c>
      <c r="J46" s="2">
        <v>33.187910000000002</v>
      </c>
      <c r="O46">
        <v>196</v>
      </c>
      <c r="P46" s="12" t="s">
        <v>1324</v>
      </c>
      <c r="Q46" s="2">
        <v>51.86177</v>
      </c>
      <c r="V46">
        <v>196</v>
      </c>
      <c r="W46" s="12" t="s">
        <v>1324</v>
      </c>
      <c r="X46" s="2">
        <v>29.75996</v>
      </c>
      <c r="AC46">
        <v>196</v>
      </c>
      <c r="AD46" s="12" t="s">
        <v>1324</v>
      </c>
      <c r="AE46" s="2">
        <v>27.49353</v>
      </c>
      <c r="AJ46">
        <v>196</v>
      </c>
      <c r="AK46" s="12" t="s">
        <v>1324</v>
      </c>
      <c r="AL46" s="2">
        <v>27.30489</v>
      </c>
      <c r="AQ46">
        <v>196</v>
      </c>
      <c r="AR46" s="12" t="s">
        <v>1324</v>
      </c>
      <c r="AS46" s="2">
        <v>28.450030000000002</v>
      </c>
      <c r="AX46">
        <v>196</v>
      </c>
      <c r="AY46" s="12" t="s">
        <v>1324</v>
      </c>
      <c r="AZ46" s="2">
        <v>28.228629999999999</v>
      </c>
      <c r="BE46">
        <v>196</v>
      </c>
      <c r="BF46" s="12" t="s">
        <v>1324</v>
      </c>
      <c r="BG46" s="2">
        <v>28.277480000000001</v>
      </c>
      <c r="BL46">
        <v>196</v>
      </c>
      <c r="BM46" s="12" t="s">
        <v>1324</v>
      </c>
      <c r="BN46" s="2">
        <v>28.72964</v>
      </c>
      <c r="BS46">
        <v>196</v>
      </c>
      <c r="BT46" s="12" t="s">
        <v>1324</v>
      </c>
      <c r="BU46" s="2">
        <v>28.209540000000001</v>
      </c>
      <c r="BZ46">
        <v>196</v>
      </c>
      <c r="CA46" s="12" t="s">
        <v>1324</v>
      </c>
      <c r="CB46" s="2">
        <v>23.741859999999999</v>
      </c>
      <c r="CG46">
        <v>196</v>
      </c>
      <c r="CH46" s="12" t="s">
        <v>1324</v>
      </c>
      <c r="CI46" s="2">
        <v>23.26727</v>
      </c>
      <c r="CN46">
        <v>196</v>
      </c>
      <c r="CO46" s="12" t="s">
        <v>1324</v>
      </c>
      <c r="CP46" s="2">
        <v>22.963560000000001</v>
      </c>
      <c r="CU46">
        <v>196</v>
      </c>
      <c r="CV46" s="12" t="s">
        <v>1324</v>
      </c>
      <c r="CW46" s="2">
        <v>22.325340000000001</v>
      </c>
      <c r="DB46">
        <v>196</v>
      </c>
      <c r="DC46" s="12" t="s">
        <v>1324</v>
      </c>
      <c r="DD46" s="2">
        <v>71.117040000000003</v>
      </c>
      <c r="DI46">
        <v>196</v>
      </c>
      <c r="DJ46" s="12" t="s">
        <v>1324</v>
      </c>
      <c r="DK46" s="2"/>
      <c r="DP46">
        <v>196</v>
      </c>
      <c r="DQ46" s="12" t="s">
        <v>1324</v>
      </c>
      <c r="DR46" s="2"/>
      <c r="DW46">
        <v>196</v>
      </c>
      <c r="DX46" s="12" t="s">
        <v>1324</v>
      </c>
      <c r="DY46" s="2"/>
      <c r="ED46">
        <v>196</v>
      </c>
      <c r="EE46" s="12" t="s">
        <v>1324</v>
      </c>
      <c r="EF46" s="2"/>
      <c r="EK46">
        <v>196</v>
      </c>
      <c r="EL46" s="12" t="s">
        <v>1324</v>
      </c>
      <c r="EM46" s="2"/>
    </row>
    <row r="47" spans="1:146" x14ac:dyDescent="0.4">
      <c r="A47">
        <v>195</v>
      </c>
      <c r="B47" s="12" t="s">
        <v>1324</v>
      </c>
      <c r="C47" s="89"/>
      <c r="H47">
        <v>195</v>
      </c>
      <c r="I47" s="12" t="s">
        <v>1324</v>
      </c>
      <c r="J47" s="2">
        <v>31.861640000000001</v>
      </c>
      <c r="O47">
        <v>195</v>
      </c>
      <c r="P47" s="12" t="s">
        <v>1324</v>
      </c>
      <c r="Q47" s="2">
        <v>24.492100000000001</v>
      </c>
      <c r="V47">
        <v>195</v>
      </c>
      <c r="W47" s="12" t="s">
        <v>1324</v>
      </c>
      <c r="X47" s="2">
        <v>29.31596</v>
      </c>
      <c r="AC47">
        <v>195</v>
      </c>
      <c r="AD47" s="12" t="s">
        <v>1324</v>
      </c>
      <c r="AE47" s="2">
        <v>27.231259999999999</v>
      </c>
      <c r="AJ47">
        <v>195</v>
      </c>
      <c r="AK47" s="12" t="s">
        <v>1324</v>
      </c>
      <c r="AL47" s="2">
        <v>26.951280000000001</v>
      </c>
      <c r="AQ47">
        <v>195</v>
      </c>
      <c r="AR47" s="12" t="s">
        <v>1324</v>
      </c>
      <c r="AS47" s="2">
        <v>28.178429999999999</v>
      </c>
      <c r="AX47">
        <v>195</v>
      </c>
      <c r="AY47" s="12" t="s">
        <v>1324</v>
      </c>
      <c r="AZ47" s="2">
        <v>28.028179999999999</v>
      </c>
      <c r="BE47">
        <v>195</v>
      </c>
      <c r="BF47" s="12" t="s">
        <v>1324</v>
      </c>
      <c r="BG47" s="2">
        <v>28.093119999999999</v>
      </c>
      <c r="BL47">
        <v>195</v>
      </c>
      <c r="BM47" s="12" t="s">
        <v>1324</v>
      </c>
      <c r="BN47" s="2">
        <v>28.593630000000001</v>
      </c>
      <c r="BS47">
        <v>195</v>
      </c>
      <c r="BT47" s="12" t="s">
        <v>1324</v>
      </c>
      <c r="BU47" s="2">
        <v>28.328990000000001</v>
      </c>
      <c r="BZ47">
        <v>195</v>
      </c>
      <c r="CA47" s="12" t="s">
        <v>1324</v>
      </c>
      <c r="CB47" s="2">
        <v>24.105910000000002</v>
      </c>
      <c r="CG47">
        <v>195</v>
      </c>
      <c r="CH47" s="12" t="s">
        <v>1324</v>
      </c>
      <c r="CI47" s="2">
        <v>23.743600000000001</v>
      </c>
      <c r="CN47">
        <v>195</v>
      </c>
      <c r="CO47" s="12" t="s">
        <v>1324</v>
      </c>
      <c r="CP47" s="2">
        <v>23.479340000000001</v>
      </c>
      <c r="CU47">
        <v>195</v>
      </c>
      <c r="CV47" s="12" t="s">
        <v>1324</v>
      </c>
      <c r="CW47" s="2">
        <v>22.323820000000001</v>
      </c>
      <c r="DB47">
        <v>195</v>
      </c>
      <c r="DC47" s="12" t="s">
        <v>1324</v>
      </c>
      <c r="DD47" s="2">
        <v>44.420369999999998</v>
      </c>
      <c r="DI47">
        <v>195</v>
      </c>
      <c r="DJ47" s="12" t="s">
        <v>1324</v>
      </c>
      <c r="DK47" s="2"/>
      <c r="DP47">
        <v>195</v>
      </c>
      <c r="DQ47" s="12" t="s">
        <v>1324</v>
      </c>
      <c r="DR47" s="2"/>
      <c r="DW47">
        <v>195</v>
      </c>
      <c r="DX47" s="12" t="s">
        <v>1324</v>
      </c>
      <c r="DY47" s="2"/>
      <c r="ED47">
        <v>195</v>
      </c>
      <c r="EE47" s="12" t="s">
        <v>1324</v>
      </c>
      <c r="EF47" s="2"/>
      <c r="EK47">
        <v>195</v>
      </c>
      <c r="EL47" s="12" t="s">
        <v>1324</v>
      </c>
      <c r="EM47" s="2"/>
    </row>
    <row r="48" spans="1:146" x14ac:dyDescent="0.4">
      <c r="A48">
        <v>194</v>
      </c>
      <c r="B48" s="12" t="s">
        <v>1324</v>
      </c>
      <c r="C48" s="89"/>
      <c r="H48">
        <v>194</v>
      </c>
      <c r="I48" s="12" t="s">
        <v>1324</v>
      </c>
      <c r="J48" s="2">
        <v>30.765940000000001</v>
      </c>
      <c r="O48">
        <v>194</v>
      </c>
      <c r="P48" s="12" t="s">
        <v>1324</v>
      </c>
      <c r="Q48" s="2">
        <v>32.879899999999999</v>
      </c>
      <c r="V48">
        <v>194</v>
      </c>
      <c r="W48" s="12" t="s">
        <v>1324</v>
      </c>
      <c r="X48" s="2">
        <v>28.60455</v>
      </c>
      <c r="AC48">
        <v>194</v>
      </c>
      <c r="AD48" s="12" t="s">
        <v>1324</v>
      </c>
      <c r="AE48" s="2">
        <v>26.753329999999998</v>
      </c>
      <c r="AJ48">
        <v>194</v>
      </c>
      <c r="AK48" s="12" t="s">
        <v>1324</v>
      </c>
      <c r="AL48" s="2">
        <v>26.498249999999999</v>
      </c>
      <c r="AQ48">
        <v>194</v>
      </c>
      <c r="AR48" s="12" t="s">
        <v>1324</v>
      </c>
      <c r="AS48" s="2">
        <v>28.078520000000001</v>
      </c>
      <c r="AX48">
        <v>194</v>
      </c>
      <c r="AY48" s="12" t="s">
        <v>1324</v>
      </c>
      <c r="AZ48" s="2">
        <v>27.638809999999999</v>
      </c>
      <c r="BE48">
        <v>194</v>
      </c>
      <c r="BF48" s="12" t="s">
        <v>1324</v>
      </c>
      <c r="BG48" s="2">
        <v>28.27008</v>
      </c>
      <c r="BL48">
        <v>194</v>
      </c>
      <c r="BM48" s="12" t="s">
        <v>1324</v>
      </c>
      <c r="BN48" s="2">
        <v>28.505019999999998</v>
      </c>
      <c r="BS48">
        <v>194</v>
      </c>
      <c r="BT48" s="12" t="s">
        <v>1324</v>
      </c>
      <c r="BU48" s="2">
        <v>28.427420000000001</v>
      </c>
      <c r="BZ48">
        <v>194</v>
      </c>
      <c r="CA48" s="12" t="s">
        <v>1324</v>
      </c>
      <c r="CB48" s="2">
        <v>24.17998</v>
      </c>
      <c r="CG48">
        <v>194</v>
      </c>
      <c r="CH48" s="12" t="s">
        <v>1324</v>
      </c>
      <c r="CI48" s="2">
        <v>23.823899999999998</v>
      </c>
      <c r="CN48">
        <v>194</v>
      </c>
      <c r="CO48" s="12" t="s">
        <v>1324</v>
      </c>
      <c r="CP48" s="2">
        <v>23.504159999999999</v>
      </c>
      <c r="CU48">
        <v>194</v>
      </c>
      <c r="CV48" s="12" t="s">
        <v>1324</v>
      </c>
      <c r="CW48" s="2">
        <v>21.914660000000001</v>
      </c>
      <c r="DB48">
        <v>194</v>
      </c>
      <c r="DC48" s="12" t="s">
        <v>1324</v>
      </c>
      <c r="DD48" s="2">
        <v>30.731780000000001</v>
      </c>
      <c r="DI48">
        <v>194</v>
      </c>
      <c r="DJ48" s="12" t="s">
        <v>1324</v>
      </c>
      <c r="DK48" s="2"/>
      <c r="DP48">
        <v>194</v>
      </c>
      <c r="DQ48" s="12" t="s">
        <v>1324</v>
      </c>
      <c r="DR48" s="2"/>
      <c r="DW48">
        <v>194</v>
      </c>
      <c r="DX48" s="12" t="s">
        <v>1324</v>
      </c>
      <c r="DY48" s="2"/>
      <c r="ED48">
        <v>194</v>
      </c>
      <c r="EE48" s="12" t="s">
        <v>1324</v>
      </c>
      <c r="EF48" s="2"/>
      <c r="EK48">
        <v>194</v>
      </c>
      <c r="EL48" s="12" t="s">
        <v>1324</v>
      </c>
      <c r="EM48" s="2"/>
    </row>
    <row r="49" spans="1:146" x14ac:dyDescent="0.4">
      <c r="A49">
        <v>193</v>
      </c>
      <c r="B49" s="12" t="s">
        <v>1325</v>
      </c>
      <c r="C49" s="89"/>
      <c r="H49">
        <v>193</v>
      </c>
      <c r="I49" s="12" t="s">
        <v>1325</v>
      </c>
      <c r="J49" s="2">
        <v>29.185479999999998</v>
      </c>
      <c r="O49">
        <v>193</v>
      </c>
      <c r="P49" s="12" t="s">
        <v>1325</v>
      </c>
      <c r="Q49" s="2">
        <v>37.706769999999999</v>
      </c>
      <c r="V49">
        <v>193</v>
      </c>
      <c r="W49" s="12" t="s">
        <v>1325</v>
      </c>
      <c r="X49" s="2">
        <v>27.551770000000001</v>
      </c>
      <c r="AC49">
        <v>193</v>
      </c>
      <c r="AD49" s="12" t="s">
        <v>1325</v>
      </c>
      <c r="AE49" s="2">
        <v>25.892790000000002</v>
      </c>
      <c r="AJ49">
        <v>193</v>
      </c>
      <c r="AK49" s="12" t="s">
        <v>1325</v>
      </c>
      <c r="AL49" s="2">
        <v>25.966629999999999</v>
      </c>
      <c r="AQ49">
        <v>193</v>
      </c>
      <c r="AR49" s="12" t="s">
        <v>1325</v>
      </c>
      <c r="AS49" s="2">
        <v>27.356169999999999</v>
      </c>
      <c r="AX49">
        <v>193</v>
      </c>
      <c r="AY49" s="12" t="s">
        <v>1325</v>
      </c>
      <c r="AZ49" s="2">
        <v>27.380839999999999</v>
      </c>
      <c r="BE49">
        <v>193</v>
      </c>
      <c r="BF49" s="12" t="s">
        <v>1325</v>
      </c>
      <c r="BG49" s="2">
        <v>27.7408</v>
      </c>
      <c r="BL49">
        <v>193</v>
      </c>
      <c r="BM49" s="12" t="s">
        <v>1325</v>
      </c>
      <c r="BN49" s="2">
        <v>28.464649999999999</v>
      </c>
      <c r="BS49">
        <v>193</v>
      </c>
      <c r="BT49" s="12" t="s">
        <v>1325</v>
      </c>
      <c r="BU49" s="2">
        <v>28.42924</v>
      </c>
      <c r="BZ49">
        <v>193</v>
      </c>
      <c r="CA49" s="12" t="s">
        <v>1325</v>
      </c>
      <c r="CB49" s="2">
        <v>24.150079999999999</v>
      </c>
      <c r="CG49">
        <v>193</v>
      </c>
      <c r="CH49" s="12" t="s">
        <v>1325</v>
      </c>
      <c r="CI49" s="2">
        <v>24.22617</v>
      </c>
      <c r="CN49">
        <v>193</v>
      </c>
      <c r="CO49" s="12" t="s">
        <v>1325</v>
      </c>
      <c r="CP49" s="2">
        <v>24.000630000000001</v>
      </c>
      <c r="CU49">
        <v>193</v>
      </c>
      <c r="CV49" s="12" t="s">
        <v>1325</v>
      </c>
      <c r="CW49" s="2">
        <v>22.34864</v>
      </c>
      <c r="DB49">
        <v>193</v>
      </c>
      <c r="DC49" s="12" t="s">
        <v>1325</v>
      </c>
      <c r="DD49" s="2">
        <v>25.610379999999999</v>
      </c>
      <c r="DI49">
        <v>193</v>
      </c>
      <c r="DJ49" s="12" t="s">
        <v>1325</v>
      </c>
      <c r="DK49" s="2">
        <v>42.739510000000003</v>
      </c>
      <c r="DP49">
        <v>193</v>
      </c>
      <c r="DQ49" s="12" t="s">
        <v>1325</v>
      </c>
      <c r="DR49" s="2"/>
      <c r="DW49">
        <v>193</v>
      </c>
      <c r="DX49" s="12" t="s">
        <v>1325</v>
      </c>
      <c r="DY49" s="2"/>
      <c r="ED49">
        <v>193</v>
      </c>
      <c r="EE49" s="12" t="s">
        <v>1325</v>
      </c>
      <c r="EF49" s="2"/>
      <c r="EK49">
        <v>193</v>
      </c>
      <c r="EL49" s="12" t="s">
        <v>1325</v>
      </c>
      <c r="EM49" s="2"/>
    </row>
    <row r="50" spans="1:146" x14ac:dyDescent="0.4">
      <c r="A50">
        <v>192</v>
      </c>
      <c r="B50" s="12" t="s">
        <v>1326</v>
      </c>
      <c r="C50" s="89"/>
      <c r="H50">
        <v>192</v>
      </c>
      <c r="I50" s="12" t="s">
        <v>1326</v>
      </c>
      <c r="J50" s="2">
        <v>27.812850000000001</v>
      </c>
      <c r="O50">
        <v>192</v>
      </c>
      <c r="P50" s="12" t="s">
        <v>1326</v>
      </c>
      <c r="Q50" s="2">
        <v>19.50957</v>
      </c>
      <c r="V50">
        <v>192</v>
      </c>
      <c r="W50" s="12" t="s">
        <v>1326</v>
      </c>
      <c r="X50" s="2">
        <v>26.88374</v>
      </c>
      <c r="AC50">
        <v>192</v>
      </c>
      <c r="AD50" s="12" t="s">
        <v>1326</v>
      </c>
      <c r="AE50" s="2">
        <v>25.531379999999999</v>
      </c>
      <c r="AJ50">
        <v>192</v>
      </c>
      <c r="AK50" s="12" t="s">
        <v>1326</v>
      </c>
      <c r="AL50" s="2">
        <v>25.471240000000002</v>
      </c>
      <c r="AQ50">
        <v>192</v>
      </c>
      <c r="AR50" s="12" t="s">
        <v>1326</v>
      </c>
      <c r="AS50" s="2">
        <v>27.36749</v>
      </c>
      <c r="AX50">
        <v>192</v>
      </c>
      <c r="AY50" s="12" t="s">
        <v>1326</v>
      </c>
      <c r="AZ50" s="2">
        <v>27.022480000000002</v>
      </c>
      <c r="BE50">
        <v>192</v>
      </c>
      <c r="BF50" s="12" t="s">
        <v>1326</v>
      </c>
      <c r="BG50" s="2">
        <v>27.899139999999999</v>
      </c>
      <c r="BL50">
        <v>192</v>
      </c>
      <c r="BM50" s="12" t="s">
        <v>1326</v>
      </c>
      <c r="BN50" s="2">
        <v>28.222359999999998</v>
      </c>
      <c r="BS50">
        <v>192</v>
      </c>
      <c r="BT50" s="12" t="s">
        <v>1326</v>
      </c>
      <c r="BU50" s="2">
        <v>28.373760000000001</v>
      </c>
      <c r="BZ50">
        <v>192</v>
      </c>
      <c r="CA50" s="12" t="s">
        <v>1326</v>
      </c>
      <c r="CB50" s="2">
        <v>24.381440000000001</v>
      </c>
      <c r="CG50">
        <v>192</v>
      </c>
      <c r="CH50" s="12" t="s">
        <v>1326</v>
      </c>
      <c r="CI50" s="2">
        <v>24.310580000000002</v>
      </c>
      <c r="CN50">
        <v>192</v>
      </c>
      <c r="CO50" s="12" t="s">
        <v>1326</v>
      </c>
      <c r="CP50" s="2">
        <v>24.009899999999998</v>
      </c>
      <c r="CU50">
        <v>192</v>
      </c>
      <c r="CV50" s="12" t="s">
        <v>1326</v>
      </c>
      <c r="CW50" s="2">
        <v>22.19679</v>
      </c>
      <c r="DB50">
        <v>192</v>
      </c>
      <c r="DC50" s="12" t="s">
        <v>1326</v>
      </c>
      <c r="DD50" s="2">
        <v>22.814879999999999</v>
      </c>
      <c r="DI50">
        <v>192</v>
      </c>
      <c r="DJ50" s="12" t="s">
        <v>1326</v>
      </c>
      <c r="DK50" s="2">
        <v>29.815560000000001</v>
      </c>
      <c r="DP50">
        <v>192</v>
      </c>
      <c r="DQ50" s="12" t="s">
        <v>1326</v>
      </c>
      <c r="DR50" s="2">
        <v>68.634730000000005</v>
      </c>
      <c r="DW50">
        <v>192</v>
      </c>
      <c r="DX50" s="12" t="s">
        <v>1326</v>
      </c>
      <c r="DY50" s="2"/>
      <c r="ED50">
        <v>192</v>
      </c>
      <c r="EE50" s="12" t="s">
        <v>1326</v>
      </c>
      <c r="EF50" s="2"/>
      <c r="EK50">
        <v>192</v>
      </c>
      <c r="EL50" s="12" t="s">
        <v>1326</v>
      </c>
      <c r="EM50" s="2"/>
    </row>
    <row r="51" spans="1:146" x14ac:dyDescent="0.4">
      <c r="A51">
        <v>191</v>
      </c>
      <c r="B51" s="12" t="s">
        <v>1325</v>
      </c>
      <c r="C51" s="89"/>
      <c r="H51">
        <v>191</v>
      </c>
      <c r="I51" s="12" t="s">
        <v>1325</v>
      </c>
      <c r="J51" s="2">
        <v>26.203690000000002</v>
      </c>
      <c r="O51">
        <v>191</v>
      </c>
      <c r="P51" s="12" t="s">
        <v>1325</v>
      </c>
      <c r="Q51" s="2">
        <v>38.153379999999999</v>
      </c>
      <c r="V51">
        <v>191</v>
      </c>
      <c r="W51" s="12" t="s">
        <v>1325</v>
      </c>
      <c r="X51" s="2">
        <v>25.692419999999998</v>
      </c>
      <c r="AC51">
        <v>191</v>
      </c>
      <c r="AD51" s="12" t="s">
        <v>1325</v>
      </c>
      <c r="AE51" s="2">
        <v>24.61289</v>
      </c>
      <c r="AJ51">
        <v>191</v>
      </c>
      <c r="AK51" s="12" t="s">
        <v>1325</v>
      </c>
      <c r="AL51" s="2">
        <v>24.821400000000001</v>
      </c>
      <c r="AQ51">
        <v>191</v>
      </c>
      <c r="AR51" s="12" t="s">
        <v>1325</v>
      </c>
      <c r="AS51" s="2">
        <v>26.92285</v>
      </c>
      <c r="AX51">
        <v>191</v>
      </c>
      <c r="AY51" s="12" t="s">
        <v>1325</v>
      </c>
      <c r="AZ51" s="2">
        <v>26.53424</v>
      </c>
      <c r="BE51">
        <v>191</v>
      </c>
      <c r="BF51" s="12" t="s">
        <v>1325</v>
      </c>
      <c r="BG51" s="2">
        <v>27.78847</v>
      </c>
      <c r="BL51">
        <v>191</v>
      </c>
      <c r="BM51" s="12" t="s">
        <v>1325</v>
      </c>
      <c r="BN51" s="2">
        <v>28.051960000000001</v>
      </c>
      <c r="BS51">
        <v>191</v>
      </c>
      <c r="BT51" s="12" t="s">
        <v>1325</v>
      </c>
      <c r="BU51" s="2">
        <v>28.447990000000001</v>
      </c>
      <c r="BZ51">
        <v>191</v>
      </c>
      <c r="CA51" s="12" t="s">
        <v>1325</v>
      </c>
      <c r="CB51" s="2">
        <v>24.927620000000001</v>
      </c>
      <c r="CG51">
        <v>191</v>
      </c>
      <c r="CH51" s="12" t="s">
        <v>1325</v>
      </c>
      <c r="CI51" s="2">
        <v>24.73358</v>
      </c>
      <c r="CN51">
        <v>191</v>
      </c>
      <c r="CO51" s="12" t="s">
        <v>1325</v>
      </c>
      <c r="CP51" s="2">
        <v>24.39058</v>
      </c>
      <c r="CU51">
        <v>191</v>
      </c>
      <c r="CV51" s="12" t="s">
        <v>1325</v>
      </c>
      <c r="CW51" s="2">
        <v>22.688569999999999</v>
      </c>
      <c r="DB51">
        <v>191</v>
      </c>
      <c r="DC51" s="12" t="s">
        <v>1325</v>
      </c>
      <c r="DD51" s="2">
        <v>22.219619999999999</v>
      </c>
      <c r="DI51">
        <v>191</v>
      </c>
      <c r="DJ51" s="12" t="s">
        <v>1325</v>
      </c>
      <c r="DK51" s="2">
        <v>24.875119999999999</v>
      </c>
      <c r="DP51">
        <v>191</v>
      </c>
      <c r="DQ51" s="12" t="s">
        <v>1325</v>
      </c>
      <c r="DR51" s="2"/>
      <c r="DW51">
        <v>191</v>
      </c>
      <c r="DX51" s="12" t="s">
        <v>1325</v>
      </c>
      <c r="DY51" s="2">
        <v>76.852320000000006</v>
      </c>
      <c r="ED51">
        <v>191</v>
      </c>
      <c r="EE51" s="12" t="s">
        <v>1325</v>
      </c>
      <c r="EF51" s="2"/>
      <c r="EK51">
        <v>191</v>
      </c>
      <c r="EL51" s="12" t="s">
        <v>1325</v>
      </c>
      <c r="EM51" s="2"/>
    </row>
    <row r="52" spans="1:146" x14ac:dyDescent="0.4">
      <c r="A52">
        <v>190</v>
      </c>
      <c r="B52" s="12" t="s">
        <v>1326</v>
      </c>
      <c r="C52" s="89"/>
      <c r="H52">
        <v>190</v>
      </c>
      <c r="I52" s="12" t="s">
        <v>1326</v>
      </c>
      <c r="J52" s="2">
        <v>24.962879999999998</v>
      </c>
      <c r="O52">
        <v>190</v>
      </c>
      <c r="P52" s="12" t="s">
        <v>1326</v>
      </c>
      <c r="Q52" s="2">
        <v>23.68459</v>
      </c>
      <c r="V52">
        <v>190</v>
      </c>
      <c r="W52" s="12" t="s">
        <v>1326</v>
      </c>
      <c r="X52" s="2">
        <v>24.933530000000001</v>
      </c>
      <c r="AC52">
        <v>190</v>
      </c>
      <c r="AD52" s="12" t="s">
        <v>1326</v>
      </c>
      <c r="AE52" s="2">
        <v>24.025200000000002</v>
      </c>
      <c r="AJ52">
        <v>190</v>
      </c>
      <c r="AK52" s="12" t="s">
        <v>1326</v>
      </c>
      <c r="AL52" s="2">
        <v>24.206980000000001</v>
      </c>
      <c r="AQ52">
        <v>190</v>
      </c>
      <c r="AR52" s="12" t="s">
        <v>1326</v>
      </c>
      <c r="AS52" s="2">
        <v>26.32694</v>
      </c>
      <c r="AX52">
        <v>190</v>
      </c>
      <c r="AY52" s="12" t="s">
        <v>1326</v>
      </c>
      <c r="AZ52" s="2">
        <v>26.145869999999999</v>
      </c>
      <c r="BE52">
        <v>190</v>
      </c>
      <c r="BF52" s="12" t="s">
        <v>1326</v>
      </c>
      <c r="BG52" s="2">
        <v>27.254259999999999</v>
      </c>
      <c r="BL52">
        <v>190</v>
      </c>
      <c r="BM52" s="12" t="s">
        <v>1326</v>
      </c>
      <c r="BN52" s="2">
        <v>27.89612</v>
      </c>
      <c r="BS52">
        <v>190</v>
      </c>
      <c r="BT52" s="12" t="s">
        <v>1326</v>
      </c>
      <c r="BU52" s="2">
        <v>28.388750000000002</v>
      </c>
      <c r="BZ52">
        <v>190</v>
      </c>
      <c r="CA52" s="12" t="s">
        <v>1326</v>
      </c>
      <c r="CB52" s="2">
        <v>25.101990000000001</v>
      </c>
      <c r="CG52">
        <v>190</v>
      </c>
      <c r="CH52" s="12" t="s">
        <v>1326</v>
      </c>
      <c r="CI52" s="2">
        <v>24.92906</v>
      </c>
      <c r="CN52">
        <v>190</v>
      </c>
      <c r="CO52" s="12" t="s">
        <v>1326</v>
      </c>
      <c r="CP52" s="2">
        <v>24.578579999999999</v>
      </c>
      <c r="CU52">
        <v>190</v>
      </c>
      <c r="CV52" s="12" t="s">
        <v>1326</v>
      </c>
      <c r="CW52" s="2">
        <v>22.81288</v>
      </c>
      <c r="DB52">
        <v>190</v>
      </c>
      <c r="DC52" s="12" t="s">
        <v>1326</v>
      </c>
      <c r="DD52" s="2">
        <v>21.774730000000002</v>
      </c>
      <c r="DI52">
        <v>190</v>
      </c>
      <c r="DJ52" s="12" t="s">
        <v>1326</v>
      </c>
      <c r="DK52" s="2">
        <v>22.159099999999999</v>
      </c>
      <c r="DP52">
        <v>190</v>
      </c>
      <c r="DQ52" s="12" t="s">
        <v>1326</v>
      </c>
      <c r="DR52" s="2">
        <v>30.19379</v>
      </c>
      <c r="DW52">
        <v>190</v>
      </c>
      <c r="DX52" s="12" t="s">
        <v>1326</v>
      </c>
      <c r="DY52" s="2"/>
      <c r="ED52">
        <v>190</v>
      </c>
      <c r="EE52" s="12" t="s">
        <v>1326</v>
      </c>
      <c r="EF52" s="2"/>
      <c r="EK52">
        <v>190</v>
      </c>
      <c r="EL52" s="12" t="s">
        <v>1326</v>
      </c>
      <c r="EM52" s="2"/>
    </row>
    <row r="53" spans="1:146" x14ac:dyDescent="0.4">
      <c r="A53">
        <v>189</v>
      </c>
      <c r="B53" s="12" t="s">
        <v>1326</v>
      </c>
      <c r="C53" s="89"/>
      <c r="H53">
        <v>189</v>
      </c>
      <c r="I53" s="12" t="s">
        <v>1326</v>
      </c>
      <c r="J53" s="2">
        <v>23.641559999999998</v>
      </c>
      <c r="O53">
        <v>189</v>
      </c>
      <c r="P53" s="12" t="s">
        <v>1326</v>
      </c>
      <c r="Q53" s="2">
        <v>25.678909999999998</v>
      </c>
      <c r="V53">
        <v>189</v>
      </c>
      <c r="W53" s="12" t="s">
        <v>1326</v>
      </c>
      <c r="X53" s="2">
        <v>24.047630000000002</v>
      </c>
      <c r="AC53">
        <v>189</v>
      </c>
      <c r="AD53" s="12" t="s">
        <v>1326</v>
      </c>
      <c r="AE53" s="2">
        <v>23.38777</v>
      </c>
      <c r="AJ53">
        <v>189</v>
      </c>
      <c r="AK53" s="12" t="s">
        <v>1326</v>
      </c>
      <c r="AL53" s="2">
        <v>23.55725</v>
      </c>
      <c r="AQ53">
        <v>189</v>
      </c>
      <c r="AR53" s="12" t="s">
        <v>1326</v>
      </c>
      <c r="AS53" s="2">
        <v>26.084900000000001</v>
      </c>
      <c r="AX53">
        <v>189</v>
      </c>
      <c r="AY53" s="12" t="s">
        <v>1326</v>
      </c>
      <c r="AZ53" s="2">
        <v>25.58098</v>
      </c>
      <c r="BE53">
        <v>189</v>
      </c>
      <c r="BF53" s="12" t="s">
        <v>1326</v>
      </c>
      <c r="BG53" s="2">
        <v>27.35454</v>
      </c>
      <c r="BL53">
        <v>189</v>
      </c>
      <c r="BM53" s="12" t="s">
        <v>1326</v>
      </c>
      <c r="BN53" s="2">
        <v>27.5411</v>
      </c>
      <c r="BS53">
        <v>189</v>
      </c>
      <c r="BT53" s="12" t="s">
        <v>1326</v>
      </c>
      <c r="BU53" s="2">
        <v>28.24614</v>
      </c>
      <c r="BZ53">
        <v>189</v>
      </c>
      <c r="CA53" s="12" t="s">
        <v>1326</v>
      </c>
      <c r="CB53" s="2">
        <v>25.131589999999999</v>
      </c>
      <c r="CG53">
        <v>189</v>
      </c>
      <c r="CH53" s="12" t="s">
        <v>1326</v>
      </c>
      <c r="CI53" s="2">
        <v>25.23189</v>
      </c>
      <c r="CN53">
        <v>189</v>
      </c>
      <c r="CO53" s="12" t="s">
        <v>1326</v>
      </c>
      <c r="CP53" s="2">
        <v>24.943660000000001</v>
      </c>
      <c r="CU53">
        <v>189</v>
      </c>
      <c r="CV53" s="12" t="s">
        <v>1326</v>
      </c>
      <c r="CW53" s="2">
        <v>23.326049999999999</v>
      </c>
      <c r="DB53">
        <v>189</v>
      </c>
      <c r="DC53" s="12" t="s">
        <v>1326</v>
      </c>
      <c r="DD53" s="2">
        <v>22.067519999999998</v>
      </c>
      <c r="DI53">
        <v>189</v>
      </c>
      <c r="DJ53" s="12" t="s">
        <v>1326</v>
      </c>
      <c r="DK53" s="2">
        <v>21.640460000000001</v>
      </c>
      <c r="DP53">
        <v>189</v>
      </c>
      <c r="DQ53" s="12" t="s">
        <v>1326</v>
      </c>
      <c r="DR53" s="2">
        <v>25.31653</v>
      </c>
      <c r="DW53">
        <v>189</v>
      </c>
      <c r="DX53" s="12" t="s">
        <v>1326</v>
      </c>
      <c r="DY53" s="2"/>
      <c r="ED53">
        <v>189</v>
      </c>
      <c r="EE53" s="12" t="s">
        <v>1326</v>
      </c>
      <c r="EF53" s="2"/>
      <c r="EK53">
        <v>189</v>
      </c>
      <c r="EL53" s="12" t="s">
        <v>1326</v>
      </c>
      <c r="EM53" s="2"/>
    </row>
    <row r="54" spans="1:146" x14ac:dyDescent="0.4">
      <c r="A54">
        <v>188</v>
      </c>
      <c r="B54" s="12" t="s">
        <v>1326</v>
      </c>
      <c r="C54" s="89"/>
      <c r="H54">
        <v>188</v>
      </c>
      <c r="I54" s="12" t="s">
        <v>1326</v>
      </c>
      <c r="J54" s="2">
        <v>21.972090000000001</v>
      </c>
      <c r="O54">
        <v>188</v>
      </c>
      <c r="P54" s="12" t="s">
        <v>1326</v>
      </c>
      <c r="Q54" s="2">
        <v>29.196459999999998</v>
      </c>
      <c r="V54">
        <v>188</v>
      </c>
      <c r="W54" s="12" t="s">
        <v>1326</v>
      </c>
      <c r="X54" s="2">
        <v>22.724029999999999</v>
      </c>
      <c r="AC54">
        <v>188</v>
      </c>
      <c r="AD54" s="12" t="s">
        <v>1326</v>
      </c>
      <c r="AE54" s="2">
        <v>22.269200000000001</v>
      </c>
      <c r="AJ54">
        <v>188</v>
      </c>
      <c r="AK54" s="12" t="s">
        <v>1326</v>
      </c>
      <c r="AL54" s="2">
        <v>22.761690000000002</v>
      </c>
      <c r="AQ54">
        <v>188</v>
      </c>
      <c r="AR54" s="12" t="s">
        <v>1326</v>
      </c>
      <c r="AS54" s="2">
        <v>25.17717</v>
      </c>
      <c r="AX54">
        <v>188</v>
      </c>
      <c r="AY54" s="12" t="s">
        <v>1326</v>
      </c>
      <c r="AZ54" s="2">
        <v>25.026879999999998</v>
      </c>
      <c r="BE54">
        <v>188</v>
      </c>
      <c r="BF54" s="12" t="s">
        <v>1326</v>
      </c>
      <c r="BG54" s="2">
        <v>26.769269999999999</v>
      </c>
      <c r="BL54">
        <v>188</v>
      </c>
      <c r="BM54" s="12" t="s">
        <v>1326</v>
      </c>
      <c r="BN54" s="2">
        <v>27.26914</v>
      </c>
      <c r="BS54">
        <v>188</v>
      </c>
      <c r="BT54" s="12" t="s">
        <v>1326</v>
      </c>
      <c r="BU54" s="2">
        <v>28.208400000000001</v>
      </c>
      <c r="BZ54">
        <v>188</v>
      </c>
      <c r="CA54" s="12" t="s">
        <v>1326</v>
      </c>
      <c r="CB54" s="2">
        <v>25.16891</v>
      </c>
      <c r="CG54">
        <v>188</v>
      </c>
      <c r="CH54" s="12" t="s">
        <v>1326</v>
      </c>
      <c r="CI54" s="2">
        <v>25.31869</v>
      </c>
      <c r="CN54">
        <v>188</v>
      </c>
      <c r="CO54" s="12" t="s">
        <v>1326</v>
      </c>
      <c r="CP54" s="2">
        <v>25.057020000000001</v>
      </c>
      <c r="CU54">
        <v>188</v>
      </c>
      <c r="CV54" s="12" t="s">
        <v>1326</v>
      </c>
      <c r="CW54" s="2">
        <v>23.46396</v>
      </c>
      <c r="DB54">
        <v>188</v>
      </c>
      <c r="DC54" s="12" t="s">
        <v>1326</v>
      </c>
      <c r="DD54" s="2">
        <v>22.040140000000001</v>
      </c>
      <c r="DI54">
        <v>188</v>
      </c>
      <c r="DJ54" s="12" t="s">
        <v>1326</v>
      </c>
      <c r="DK54" s="2">
        <v>21.283370000000001</v>
      </c>
      <c r="DP54">
        <v>188</v>
      </c>
      <c r="DQ54" s="12" t="s">
        <v>1326</v>
      </c>
      <c r="DR54" s="2">
        <v>22.927119999999999</v>
      </c>
      <c r="DW54">
        <v>188</v>
      </c>
      <c r="DX54" s="12" t="s">
        <v>1326</v>
      </c>
      <c r="DY54" s="2"/>
      <c r="ED54">
        <v>188</v>
      </c>
      <c r="EE54" s="12" t="s">
        <v>1326</v>
      </c>
      <c r="EF54" s="2"/>
      <c r="EK54">
        <v>188</v>
      </c>
      <c r="EL54" s="12" t="s">
        <v>1326</v>
      </c>
      <c r="EM54" s="2"/>
    </row>
    <row r="55" spans="1:146" x14ac:dyDescent="0.4">
      <c r="A55">
        <v>187</v>
      </c>
      <c r="B55" s="12" t="s">
        <v>1326</v>
      </c>
      <c r="C55" s="89"/>
      <c r="H55">
        <v>187</v>
      </c>
      <c r="I55" s="12" t="s">
        <v>1326</v>
      </c>
      <c r="J55" s="2">
        <v>20.757439999999999</v>
      </c>
      <c r="O55">
        <v>187</v>
      </c>
      <c r="P55" s="12" t="s">
        <v>1326</v>
      </c>
      <c r="Q55" s="2">
        <v>18.968450000000001</v>
      </c>
      <c r="V55">
        <v>187</v>
      </c>
      <c r="W55" s="12" t="s">
        <v>1326</v>
      </c>
      <c r="X55" s="2">
        <v>21.936509999999998</v>
      </c>
      <c r="AC55">
        <v>187</v>
      </c>
      <c r="AD55" s="12" t="s">
        <v>1326</v>
      </c>
      <c r="AE55" s="2">
        <v>21.697870000000002</v>
      </c>
      <c r="AJ55">
        <v>187</v>
      </c>
      <c r="AK55" s="12" t="s">
        <v>1326</v>
      </c>
      <c r="AL55" s="2">
        <v>22.04035</v>
      </c>
      <c r="AQ55">
        <v>187</v>
      </c>
      <c r="AR55" s="12" t="s">
        <v>1326</v>
      </c>
      <c r="AS55" s="2">
        <v>24.89931</v>
      </c>
      <c r="AX55">
        <v>187</v>
      </c>
      <c r="AY55" s="12" t="s">
        <v>1326</v>
      </c>
      <c r="AZ55" s="2">
        <v>24.494129999999998</v>
      </c>
      <c r="BE55">
        <v>187</v>
      </c>
      <c r="BF55" s="12" t="s">
        <v>1326</v>
      </c>
      <c r="BG55" s="2">
        <v>26.598510000000001</v>
      </c>
      <c r="BL55">
        <v>187</v>
      </c>
      <c r="BM55" s="12" t="s">
        <v>1326</v>
      </c>
      <c r="BN55" s="2">
        <v>26.991790000000002</v>
      </c>
      <c r="BS55">
        <v>187</v>
      </c>
      <c r="BT55" s="12" t="s">
        <v>1326</v>
      </c>
      <c r="BU55" s="2">
        <v>28.08615</v>
      </c>
      <c r="BZ55">
        <v>187</v>
      </c>
      <c r="CA55" s="12" t="s">
        <v>1326</v>
      </c>
      <c r="CB55" s="2">
        <v>25.669229999999999</v>
      </c>
      <c r="CG55">
        <v>187</v>
      </c>
      <c r="CH55" s="12" t="s">
        <v>1326</v>
      </c>
      <c r="CI55" s="2">
        <v>25.634</v>
      </c>
      <c r="CN55">
        <v>187</v>
      </c>
      <c r="CO55" s="12" t="s">
        <v>1326</v>
      </c>
      <c r="CP55" s="2">
        <v>25.297779999999999</v>
      </c>
      <c r="CU55">
        <v>187</v>
      </c>
      <c r="CV55" s="12" t="s">
        <v>1326</v>
      </c>
      <c r="CW55" s="2">
        <v>23.894220000000001</v>
      </c>
      <c r="DB55">
        <v>187</v>
      </c>
      <c r="DC55" s="12" t="s">
        <v>1326</v>
      </c>
      <c r="DD55" s="2">
        <v>22.418310000000002</v>
      </c>
      <c r="DI55">
        <v>187</v>
      </c>
      <c r="DJ55" s="12" t="s">
        <v>1326</v>
      </c>
      <c r="DK55" s="2">
        <v>21.50601</v>
      </c>
      <c r="DP55">
        <v>187</v>
      </c>
      <c r="DQ55" s="12" t="s">
        <v>1326</v>
      </c>
      <c r="DR55" s="2">
        <v>22.138940000000002</v>
      </c>
      <c r="DW55">
        <v>187</v>
      </c>
      <c r="DX55" s="12" t="s">
        <v>1326</v>
      </c>
      <c r="DY55" s="2"/>
      <c r="ED55">
        <v>187</v>
      </c>
      <c r="EE55" s="12" t="s">
        <v>1326</v>
      </c>
      <c r="EF55" s="2"/>
      <c r="EK55">
        <v>187</v>
      </c>
      <c r="EL55" s="12" t="s">
        <v>1326</v>
      </c>
      <c r="EM55" s="2"/>
    </row>
    <row r="56" spans="1:146" x14ac:dyDescent="0.4">
      <c r="A56">
        <v>186</v>
      </c>
      <c r="B56" s="12" t="s">
        <v>1327</v>
      </c>
      <c r="C56" s="89"/>
      <c r="H56">
        <v>186</v>
      </c>
      <c r="I56" s="12" t="s">
        <v>1327</v>
      </c>
      <c r="J56" s="2">
        <v>19.313759999999998</v>
      </c>
      <c r="O56">
        <v>186</v>
      </c>
      <c r="P56" s="12" t="s">
        <v>1327</v>
      </c>
      <c r="Q56" s="2">
        <v>26.46724</v>
      </c>
      <c r="V56">
        <v>186</v>
      </c>
      <c r="W56" s="12" t="s">
        <v>1327</v>
      </c>
      <c r="X56" s="2">
        <v>20.793510000000001</v>
      </c>
      <c r="AC56">
        <v>186</v>
      </c>
      <c r="AD56" s="12" t="s">
        <v>1327</v>
      </c>
      <c r="AE56" s="2">
        <v>20.774750000000001</v>
      </c>
      <c r="AJ56">
        <v>186</v>
      </c>
      <c r="AK56" s="12" t="s">
        <v>1327</v>
      </c>
      <c r="AL56" s="2">
        <v>21.208960000000001</v>
      </c>
      <c r="AQ56">
        <v>186</v>
      </c>
      <c r="AR56" s="12" t="s">
        <v>1327</v>
      </c>
      <c r="AS56" s="2">
        <v>24.298660000000002</v>
      </c>
      <c r="AX56">
        <v>186</v>
      </c>
      <c r="AY56" s="12" t="s">
        <v>1327</v>
      </c>
      <c r="AZ56" s="2">
        <v>23.754020000000001</v>
      </c>
      <c r="BE56">
        <v>186</v>
      </c>
      <c r="BF56" s="12" t="s">
        <v>1327</v>
      </c>
      <c r="BG56" s="2">
        <v>26.384039999999999</v>
      </c>
      <c r="BL56">
        <v>186</v>
      </c>
      <c r="BM56" s="12" t="s">
        <v>1327</v>
      </c>
      <c r="BN56" s="2">
        <v>26.496179999999999</v>
      </c>
      <c r="BS56">
        <v>186</v>
      </c>
      <c r="BT56" s="12" t="s">
        <v>1327</v>
      </c>
      <c r="BU56" s="2">
        <v>27.8384</v>
      </c>
      <c r="BZ56">
        <v>186</v>
      </c>
      <c r="CA56" s="12" t="s">
        <v>1327</v>
      </c>
      <c r="CB56" s="2">
        <v>25.78293</v>
      </c>
      <c r="CG56">
        <v>186</v>
      </c>
      <c r="CH56" s="12" t="s">
        <v>1327</v>
      </c>
      <c r="CI56" s="2">
        <v>25.85698</v>
      </c>
      <c r="CN56">
        <v>186</v>
      </c>
      <c r="CO56" s="12" t="s">
        <v>1327</v>
      </c>
      <c r="CP56" s="2">
        <v>25.506979999999999</v>
      </c>
      <c r="CU56">
        <v>186</v>
      </c>
      <c r="CV56" s="12" t="s">
        <v>1327</v>
      </c>
      <c r="CW56" s="2">
        <v>24.026050000000001</v>
      </c>
      <c r="DB56">
        <v>186</v>
      </c>
      <c r="DC56" s="12" t="s">
        <v>1327</v>
      </c>
      <c r="DD56" s="2">
        <v>22.572089999999999</v>
      </c>
      <c r="DI56">
        <v>186</v>
      </c>
      <c r="DJ56" s="12" t="s">
        <v>1327</v>
      </c>
      <c r="DK56" s="2">
        <v>21.485679999999999</v>
      </c>
      <c r="DP56">
        <v>186</v>
      </c>
      <c r="DQ56" s="12" t="s">
        <v>1327</v>
      </c>
      <c r="DR56" s="2">
        <v>21.560870000000001</v>
      </c>
      <c r="DW56">
        <v>186</v>
      </c>
      <c r="DX56" s="12" t="s">
        <v>1327</v>
      </c>
      <c r="DY56" s="2">
        <v>22.39509</v>
      </c>
      <c r="ED56">
        <v>186</v>
      </c>
      <c r="EE56" s="12" t="s">
        <v>1327</v>
      </c>
      <c r="EF56" s="2"/>
      <c r="EK56">
        <v>186</v>
      </c>
      <c r="EL56" s="12" t="s">
        <v>1327</v>
      </c>
      <c r="EM56" s="2"/>
    </row>
    <row r="57" spans="1:146" x14ac:dyDescent="0.4">
      <c r="A57">
        <v>185</v>
      </c>
      <c r="B57" s="12" t="s">
        <v>724</v>
      </c>
      <c r="C57" s="89"/>
      <c r="H57">
        <v>185</v>
      </c>
      <c r="I57" s="12" t="s">
        <v>724</v>
      </c>
      <c r="J57" s="2">
        <v>17.96819</v>
      </c>
      <c r="M57" s="5"/>
      <c r="O57">
        <v>185</v>
      </c>
      <c r="P57" s="12" t="s">
        <v>724</v>
      </c>
      <c r="Q57" s="2">
        <v>21.038229999999999</v>
      </c>
      <c r="T57" s="5"/>
      <c r="V57">
        <v>185</v>
      </c>
      <c r="W57" s="12" t="s">
        <v>724</v>
      </c>
      <c r="X57" s="2">
        <v>19.667629999999999</v>
      </c>
      <c r="AA57" s="5"/>
      <c r="AC57">
        <v>185</v>
      </c>
      <c r="AD57" s="12" t="s">
        <v>724</v>
      </c>
      <c r="AE57" s="2">
        <v>19.79036</v>
      </c>
      <c r="AH57" s="5"/>
      <c r="AJ57">
        <v>185</v>
      </c>
      <c r="AK57" s="12" t="s">
        <v>724</v>
      </c>
      <c r="AL57" s="2">
        <v>20.360969999999998</v>
      </c>
      <c r="AO57" s="5"/>
      <c r="AQ57">
        <v>185</v>
      </c>
      <c r="AR57" s="12" t="s">
        <v>724</v>
      </c>
      <c r="AS57" s="2">
        <v>23.433489999999999</v>
      </c>
      <c r="AV57" s="5"/>
      <c r="AX57">
        <v>185</v>
      </c>
      <c r="AY57" s="12" t="s">
        <v>724</v>
      </c>
      <c r="AZ57" s="2">
        <v>23.113389999999999</v>
      </c>
      <c r="BC57" s="5"/>
      <c r="BE57">
        <v>185</v>
      </c>
      <c r="BF57" s="12" t="s">
        <v>724</v>
      </c>
      <c r="BG57" s="2">
        <v>25.656130000000001</v>
      </c>
      <c r="BJ57" s="5"/>
      <c r="BL57">
        <v>185</v>
      </c>
      <c r="BM57" s="12" t="s">
        <v>724</v>
      </c>
      <c r="BN57" s="2">
        <v>26.133790000000001</v>
      </c>
      <c r="BQ57" s="5"/>
      <c r="BS57">
        <v>185</v>
      </c>
      <c r="BT57" s="12" t="s">
        <v>724</v>
      </c>
      <c r="BU57" s="2">
        <v>27.71968</v>
      </c>
      <c r="BX57" s="5"/>
      <c r="BZ57">
        <v>185</v>
      </c>
      <c r="CA57" s="12" t="s">
        <v>724</v>
      </c>
      <c r="CB57" s="2">
        <v>25.598739999999999</v>
      </c>
      <c r="CE57" s="5"/>
      <c r="CG57">
        <v>185</v>
      </c>
      <c r="CH57" s="12" t="s">
        <v>724</v>
      </c>
      <c r="CI57" s="2">
        <v>26.047149999999998</v>
      </c>
      <c r="CL57" s="5"/>
      <c r="CN57">
        <v>185</v>
      </c>
      <c r="CO57" s="12" t="s">
        <v>724</v>
      </c>
      <c r="CP57" s="2">
        <v>25.817609999999998</v>
      </c>
      <c r="CS57" s="5"/>
      <c r="CU57">
        <v>185</v>
      </c>
      <c r="CV57" s="12" t="s">
        <v>724</v>
      </c>
      <c r="CW57" s="2">
        <v>24.501059999999999</v>
      </c>
      <c r="CZ57" s="5"/>
      <c r="DB57">
        <v>185</v>
      </c>
      <c r="DC57" s="12" t="s">
        <v>724</v>
      </c>
      <c r="DD57" s="2">
        <v>23.207840000000001</v>
      </c>
      <c r="DG57" s="5"/>
      <c r="DI57">
        <v>185</v>
      </c>
      <c r="DJ57" s="12" t="s">
        <v>724</v>
      </c>
      <c r="DK57" s="2">
        <v>22.109259999999999</v>
      </c>
      <c r="DN57" s="5"/>
      <c r="DP57">
        <v>185</v>
      </c>
      <c r="DQ57" s="12" t="s">
        <v>724</v>
      </c>
      <c r="DR57" s="2">
        <v>22.0548</v>
      </c>
      <c r="DU57" s="5"/>
      <c r="DW57">
        <v>185</v>
      </c>
      <c r="DX57" s="12" t="s">
        <v>724</v>
      </c>
      <c r="DY57" s="2">
        <v>22.744620000000001</v>
      </c>
      <c r="ED57">
        <v>185</v>
      </c>
      <c r="EE57" s="12" t="s">
        <v>724</v>
      </c>
      <c r="EF57" s="2"/>
      <c r="EI57" s="5"/>
      <c r="EK57">
        <v>185</v>
      </c>
      <c r="EL57" s="12" t="s">
        <v>724</v>
      </c>
      <c r="EM57" s="2"/>
      <c r="EP57" s="5"/>
    </row>
    <row r="58" spans="1:146" x14ac:dyDescent="0.4">
      <c r="A58">
        <v>184</v>
      </c>
      <c r="B58" s="12" t="s">
        <v>1327</v>
      </c>
      <c r="C58" s="89"/>
      <c r="H58">
        <v>184</v>
      </c>
      <c r="I58" s="12" t="s">
        <v>1327</v>
      </c>
      <c r="J58" s="2">
        <v>16.803170000000001</v>
      </c>
      <c r="O58">
        <v>184</v>
      </c>
      <c r="P58" s="12" t="s">
        <v>1327</v>
      </c>
      <c r="Q58" s="2">
        <v>18.59731</v>
      </c>
      <c r="V58">
        <v>184</v>
      </c>
      <c r="W58" s="12" t="s">
        <v>1327</v>
      </c>
      <c r="X58" s="2">
        <v>18.756910000000001</v>
      </c>
      <c r="AC58">
        <v>184</v>
      </c>
      <c r="AD58" s="12" t="s">
        <v>1327</v>
      </c>
      <c r="AE58" s="2">
        <v>19.056799999999999</v>
      </c>
      <c r="AJ58">
        <v>184</v>
      </c>
      <c r="AK58" s="12" t="s">
        <v>1327</v>
      </c>
      <c r="AL58" s="2">
        <v>19.545000000000002</v>
      </c>
      <c r="AQ58">
        <v>184</v>
      </c>
      <c r="AR58" s="12" t="s">
        <v>1327</v>
      </c>
      <c r="AS58" s="2">
        <v>22.970230000000001</v>
      </c>
      <c r="AX58">
        <v>184</v>
      </c>
      <c r="AY58" s="12" t="s">
        <v>1327</v>
      </c>
      <c r="AZ58" s="2">
        <v>22.412130000000001</v>
      </c>
      <c r="BE58">
        <v>184</v>
      </c>
      <c r="BF58" s="12" t="s">
        <v>1327</v>
      </c>
      <c r="BG58" s="2">
        <v>25.516629999999999</v>
      </c>
      <c r="BL58">
        <v>184</v>
      </c>
      <c r="BM58" s="12" t="s">
        <v>1327</v>
      </c>
      <c r="BN58" s="2">
        <v>25.6736</v>
      </c>
      <c r="BS58">
        <v>184</v>
      </c>
      <c r="BT58" s="12" t="s">
        <v>1327</v>
      </c>
      <c r="BU58" s="2">
        <v>27.442019999999999</v>
      </c>
      <c r="BZ58">
        <v>184</v>
      </c>
      <c r="CA58" s="12" t="s">
        <v>1327</v>
      </c>
      <c r="CB58" s="2">
        <v>26.020949999999999</v>
      </c>
      <c r="CG58">
        <v>184</v>
      </c>
      <c r="CH58" s="12" t="s">
        <v>1327</v>
      </c>
      <c r="CI58" s="2">
        <v>26.16958</v>
      </c>
      <c r="CN58">
        <v>184</v>
      </c>
      <c r="CO58" s="12" t="s">
        <v>1327</v>
      </c>
      <c r="CP58" s="2">
        <v>25.95984</v>
      </c>
      <c r="CU58">
        <v>184</v>
      </c>
      <c r="CV58" s="12" t="s">
        <v>1327</v>
      </c>
      <c r="CW58" s="2">
        <v>24.71123</v>
      </c>
      <c r="DB58">
        <v>184</v>
      </c>
      <c r="DC58" s="12" t="s">
        <v>1327</v>
      </c>
      <c r="DD58" s="2">
        <v>23.43843</v>
      </c>
      <c r="DI58">
        <v>184</v>
      </c>
      <c r="DJ58" s="12" t="s">
        <v>1327</v>
      </c>
      <c r="DK58" s="2">
        <v>22.245329999999999</v>
      </c>
      <c r="DP58">
        <v>184</v>
      </c>
      <c r="DQ58" s="12" t="s">
        <v>1327</v>
      </c>
      <c r="DR58" s="2">
        <v>22.009070000000001</v>
      </c>
      <c r="DW58">
        <v>184</v>
      </c>
      <c r="DX58" s="12" t="s">
        <v>1327</v>
      </c>
      <c r="DY58" s="2">
        <v>21.953489999999999</v>
      </c>
      <c r="ED58">
        <v>184</v>
      </c>
      <c r="EE58" s="12" t="s">
        <v>1327</v>
      </c>
      <c r="EF58" s="2"/>
      <c r="EK58">
        <v>184</v>
      </c>
      <c r="EL58" s="12" t="s">
        <v>1327</v>
      </c>
      <c r="EM58" s="2"/>
    </row>
    <row r="59" spans="1:146" x14ac:dyDescent="0.4">
      <c r="A59">
        <v>183</v>
      </c>
      <c r="B59" s="12" t="s">
        <v>1327</v>
      </c>
      <c r="C59" s="89"/>
      <c r="H59">
        <v>183</v>
      </c>
      <c r="I59" s="12" t="s">
        <v>1327</v>
      </c>
      <c r="J59" s="2">
        <v>15.3467</v>
      </c>
      <c r="O59">
        <v>183</v>
      </c>
      <c r="P59" s="12" t="s">
        <v>1327</v>
      </c>
      <c r="Q59" s="2">
        <v>20.945740000000001</v>
      </c>
      <c r="V59">
        <v>183</v>
      </c>
      <c r="W59" s="12" t="s">
        <v>1327</v>
      </c>
      <c r="X59" s="2">
        <v>17.4343</v>
      </c>
      <c r="AC59">
        <v>183</v>
      </c>
      <c r="AD59" s="12" t="s">
        <v>1327</v>
      </c>
      <c r="AE59" s="2">
        <v>17.879629999999999</v>
      </c>
      <c r="AJ59">
        <v>183</v>
      </c>
      <c r="AK59" s="12" t="s">
        <v>1327</v>
      </c>
      <c r="AL59" s="2">
        <v>18.60379</v>
      </c>
      <c r="AQ59">
        <v>183</v>
      </c>
      <c r="AR59" s="12" t="s">
        <v>1327</v>
      </c>
      <c r="AS59" s="2">
        <v>21.94341</v>
      </c>
      <c r="AX59">
        <v>183</v>
      </c>
      <c r="AY59" s="12" t="s">
        <v>1327</v>
      </c>
      <c r="AZ59" s="2">
        <v>21.562480000000001</v>
      </c>
      <c r="BE59">
        <v>183</v>
      </c>
      <c r="BF59" s="12" t="s">
        <v>1327</v>
      </c>
      <c r="BG59" s="2">
        <v>24.809049999999999</v>
      </c>
      <c r="BL59">
        <v>183</v>
      </c>
      <c r="BM59" s="12" t="s">
        <v>1327</v>
      </c>
      <c r="BN59" s="2">
        <v>25.07619</v>
      </c>
      <c r="BS59">
        <v>183</v>
      </c>
      <c r="BT59" s="12" t="s">
        <v>1327</v>
      </c>
      <c r="BU59" s="2">
        <v>27.129090000000001</v>
      </c>
      <c r="BZ59">
        <v>183</v>
      </c>
      <c r="CA59" s="12" t="s">
        <v>1327</v>
      </c>
      <c r="CB59" s="2">
        <v>26.15906</v>
      </c>
      <c r="CG59">
        <v>183</v>
      </c>
      <c r="CH59" s="12" t="s">
        <v>1327</v>
      </c>
      <c r="CI59" s="2">
        <v>26.384899999999998</v>
      </c>
      <c r="CN59">
        <v>183</v>
      </c>
      <c r="CO59" s="12" t="s">
        <v>1327</v>
      </c>
      <c r="CP59" s="2">
        <v>26.079329999999999</v>
      </c>
      <c r="CU59">
        <v>183</v>
      </c>
      <c r="CV59" s="12" t="s">
        <v>1327</v>
      </c>
      <c r="CW59" s="2">
        <v>25.09346</v>
      </c>
      <c r="DB59">
        <v>183</v>
      </c>
      <c r="DC59" s="12" t="s">
        <v>1327</v>
      </c>
      <c r="DD59" s="2">
        <v>23.9178</v>
      </c>
      <c r="DI59">
        <v>183</v>
      </c>
      <c r="DJ59" s="12" t="s">
        <v>1327</v>
      </c>
      <c r="DK59" s="2">
        <v>22.835909999999998</v>
      </c>
      <c r="DP59">
        <v>183</v>
      </c>
      <c r="DQ59" s="12" t="s">
        <v>1327</v>
      </c>
      <c r="DR59" s="2">
        <v>22.605599999999999</v>
      </c>
      <c r="DW59">
        <v>183</v>
      </c>
      <c r="DX59" s="12" t="s">
        <v>1327</v>
      </c>
      <c r="DY59" s="2">
        <v>22.902280000000001</v>
      </c>
      <c r="ED59">
        <v>183</v>
      </c>
      <c r="EE59" s="12" t="s">
        <v>1327</v>
      </c>
      <c r="EF59" s="2"/>
      <c r="EK59">
        <v>183</v>
      </c>
      <c r="EL59" s="12" t="s">
        <v>1327</v>
      </c>
      <c r="EM59" s="2"/>
    </row>
    <row r="60" spans="1:146" x14ac:dyDescent="0.4">
      <c r="A60">
        <v>182</v>
      </c>
      <c r="B60" s="12" t="s">
        <v>1327</v>
      </c>
      <c r="C60" s="89"/>
      <c r="H60">
        <v>182</v>
      </c>
      <c r="I60" s="12" t="s">
        <v>1327</v>
      </c>
      <c r="J60" s="2">
        <v>14.303890000000001</v>
      </c>
      <c r="O60">
        <v>182</v>
      </c>
      <c r="P60" s="12" t="s">
        <v>1327</v>
      </c>
      <c r="Q60" s="2">
        <v>16.147819999999999</v>
      </c>
      <c r="V60">
        <v>182</v>
      </c>
      <c r="W60" s="12" t="s">
        <v>1327</v>
      </c>
      <c r="X60" s="2">
        <v>16.537649999999999</v>
      </c>
      <c r="AC60">
        <v>182</v>
      </c>
      <c r="AD60" s="12" t="s">
        <v>1327</v>
      </c>
      <c r="AE60" s="2">
        <v>17.110340000000001</v>
      </c>
      <c r="AJ60">
        <v>182</v>
      </c>
      <c r="AK60" s="12" t="s">
        <v>1327</v>
      </c>
      <c r="AL60" s="2">
        <v>17.73358</v>
      </c>
      <c r="AQ60">
        <v>182</v>
      </c>
      <c r="AR60" s="12" t="s">
        <v>1327</v>
      </c>
      <c r="AS60" s="2">
        <v>21.327950000000001</v>
      </c>
      <c r="AX60">
        <v>182</v>
      </c>
      <c r="AY60" s="12" t="s">
        <v>1327</v>
      </c>
      <c r="AZ60" s="2">
        <v>20.819240000000001</v>
      </c>
      <c r="BE60">
        <v>182</v>
      </c>
      <c r="BF60" s="12" t="s">
        <v>1327</v>
      </c>
      <c r="BG60" s="2">
        <v>24.357089999999999</v>
      </c>
      <c r="BL60">
        <v>182</v>
      </c>
      <c r="BM60" s="12" t="s">
        <v>1327</v>
      </c>
      <c r="BN60" s="2">
        <v>24.583690000000001</v>
      </c>
      <c r="BS60">
        <v>182</v>
      </c>
      <c r="BT60" s="12" t="s">
        <v>1327</v>
      </c>
      <c r="BU60" s="2">
        <v>26.887070000000001</v>
      </c>
      <c r="BZ60">
        <v>182</v>
      </c>
      <c r="CA60" s="12" t="s">
        <v>1327</v>
      </c>
      <c r="CB60" s="2">
        <v>25.924379999999999</v>
      </c>
      <c r="CG60">
        <v>182</v>
      </c>
      <c r="CH60" s="12" t="s">
        <v>1327</v>
      </c>
      <c r="CI60" s="2">
        <v>26.49549</v>
      </c>
      <c r="CN60">
        <v>182</v>
      </c>
      <c r="CO60" s="12" t="s">
        <v>1327</v>
      </c>
      <c r="CP60" s="2">
        <v>26.21377</v>
      </c>
      <c r="CU60">
        <v>182</v>
      </c>
      <c r="CV60" s="12" t="s">
        <v>1327</v>
      </c>
      <c r="CW60" s="2">
        <v>25.16657</v>
      </c>
      <c r="DB60">
        <v>182</v>
      </c>
      <c r="DC60" s="12" t="s">
        <v>1327</v>
      </c>
      <c r="DD60" s="2">
        <v>24.02413</v>
      </c>
      <c r="DI60">
        <v>182</v>
      </c>
      <c r="DJ60" s="12" t="s">
        <v>1327</v>
      </c>
      <c r="DK60" s="2">
        <v>22.936070000000001</v>
      </c>
      <c r="DP60">
        <v>182</v>
      </c>
      <c r="DQ60" s="12" t="s">
        <v>1327</v>
      </c>
      <c r="DR60" s="2">
        <v>22.594290000000001</v>
      </c>
      <c r="DW60">
        <v>182</v>
      </c>
      <c r="DX60" s="12" t="s">
        <v>1327</v>
      </c>
      <c r="DY60" s="2">
        <v>22.498840000000001</v>
      </c>
      <c r="ED60">
        <v>182</v>
      </c>
      <c r="EE60" s="12" t="s">
        <v>1327</v>
      </c>
      <c r="EF60" s="2"/>
      <c r="EK60">
        <v>182</v>
      </c>
      <c r="EL60" s="12" t="s">
        <v>1327</v>
      </c>
      <c r="EM60" s="2"/>
    </row>
    <row r="61" spans="1:146" x14ac:dyDescent="0.4">
      <c r="A61">
        <v>181</v>
      </c>
      <c r="B61" s="12" t="s">
        <v>724</v>
      </c>
      <c r="C61" s="89"/>
      <c r="H61">
        <v>181</v>
      </c>
      <c r="I61" s="12" t="s">
        <v>724</v>
      </c>
      <c r="J61" s="2">
        <v>13.237539999999999</v>
      </c>
      <c r="O61">
        <v>181</v>
      </c>
      <c r="P61" s="12" t="s">
        <v>724</v>
      </c>
      <c r="Q61" s="2">
        <v>17.294550000000001</v>
      </c>
      <c r="V61">
        <v>181</v>
      </c>
      <c r="W61" s="12" t="s">
        <v>724</v>
      </c>
      <c r="X61" s="2">
        <v>15.560919999999999</v>
      </c>
      <c r="AC61">
        <v>181</v>
      </c>
      <c r="AD61" s="12" t="s">
        <v>724</v>
      </c>
      <c r="AE61" s="2">
        <v>16.248000000000001</v>
      </c>
      <c r="AJ61">
        <v>181</v>
      </c>
      <c r="AK61" s="12" t="s">
        <v>724</v>
      </c>
      <c r="AL61" s="2">
        <v>16.849889999999998</v>
      </c>
      <c r="AQ61">
        <v>181</v>
      </c>
      <c r="AR61" s="12" t="s">
        <v>724</v>
      </c>
      <c r="AS61" s="2">
        <v>20.619869999999999</v>
      </c>
      <c r="AX61">
        <v>181</v>
      </c>
      <c r="AY61" s="12" t="s">
        <v>724</v>
      </c>
      <c r="AZ61" s="2">
        <v>19.94258</v>
      </c>
      <c r="BE61">
        <v>181</v>
      </c>
      <c r="BF61" s="12" t="s">
        <v>724</v>
      </c>
      <c r="BG61" s="2">
        <v>23.945869999999999</v>
      </c>
      <c r="BL61">
        <v>181</v>
      </c>
      <c r="BM61" s="12" t="s">
        <v>724</v>
      </c>
      <c r="BN61" s="2">
        <v>23.90166</v>
      </c>
      <c r="BS61">
        <v>181</v>
      </c>
      <c r="BT61" s="12" t="s">
        <v>724</v>
      </c>
      <c r="BU61" s="2">
        <v>26.436669999999999</v>
      </c>
      <c r="BZ61">
        <v>181</v>
      </c>
      <c r="CA61" s="12" t="s">
        <v>724</v>
      </c>
      <c r="CB61" s="2">
        <v>26.286960000000001</v>
      </c>
      <c r="CG61">
        <v>181</v>
      </c>
      <c r="CH61" s="12" t="s">
        <v>724</v>
      </c>
      <c r="CI61" s="2">
        <v>26.5656</v>
      </c>
      <c r="CN61">
        <v>181</v>
      </c>
      <c r="CO61" s="12" t="s">
        <v>724</v>
      </c>
      <c r="CP61" s="2">
        <v>26.421109999999999</v>
      </c>
      <c r="CU61">
        <v>181</v>
      </c>
      <c r="CV61" s="12" t="s">
        <v>724</v>
      </c>
      <c r="CW61" s="2">
        <v>25.444179999999999</v>
      </c>
      <c r="DB61">
        <v>181</v>
      </c>
      <c r="DC61" s="12" t="s">
        <v>724</v>
      </c>
      <c r="DD61" s="2">
        <v>24.38036</v>
      </c>
      <c r="DI61">
        <v>181</v>
      </c>
      <c r="DJ61" s="12" t="s">
        <v>724</v>
      </c>
      <c r="DK61" s="2">
        <v>23.443999999999999</v>
      </c>
      <c r="DP61">
        <v>181</v>
      </c>
      <c r="DQ61" s="12" t="s">
        <v>724</v>
      </c>
      <c r="DR61" s="2">
        <v>23.183140000000002</v>
      </c>
      <c r="DW61">
        <v>181</v>
      </c>
      <c r="DX61" s="12" t="s">
        <v>724</v>
      </c>
      <c r="DY61" s="2">
        <v>23.104430000000001</v>
      </c>
      <c r="ED61">
        <v>181</v>
      </c>
      <c r="EE61" s="12" t="s">
        <v>724</v>
      </c>
      <c r="EF61" s="2">
        <v>31.467790000000001</v>
      </c>
      <c r="EK61">
        <v>181</v>
      </c>
      <c r="EL61" s="12" t="s">
        <v>724</v>
      </c>
      <c r="EM61" s="2"/>
    </row>
    <row r="62" spans="1:146" x14ac:dyDescent="0.4">
      <c r="A62">
        <v>180</v>
      </c>
      <c r="B62" s="12" t="s">
        <v>1328</v>
      </c>
      <c r="C62" s="89"/>
      <c r="H62">
        <v>180</v>
      </c>
      <c r="I62" s="12" t="s">
        <v>1328</v>
      </c>
      <c r="J62" s="2">
        <v>12.007669999999999</v>
      </c>
      <c r="O62">
        <v>180</v>
      </c>
      <c r="P62" s="12" t="s">
        <v>1328</v>
      </c>
      <c r="Q62" s="2">
        <v>15.84379</v>
      </c>
      <c r="V62">
        <v>180</v>
      </c>
      <c r="W62" s="12" t="s">
        <v>1328</v>
      </c>
      <c r="X62" s="2">
        <v>14.353910000000001</v>
      </c>
      <c r="AC62">
        <v>180</v>
      </c>
      <c r="AD62" s="12" t="s">
        <v>1328</v>
      </c>
      <c r="AE62" s="2">
        <v>15.126110000000001</v>
      </c>
      <c r="AJ62">
        <v>180</v>
      </c>
      <c r="AK62" s="12" t="s">
        <v>1328</v>
      </c>
      <c r="AL62" s="2">
        <v>15.886990000000001</v>
      </c>
      <c r="AQ62">
        <v>180</v>
      </c>
      <c r="AR62" s="12" t="s">
        <v>1328</v>
      </c>
      <c r="AS62" s="2">
        <v>19.539020000000001</v>
      </c>
      <c r="AX62">
        <v>180</v>
      </c>
      <c r="AY62" s="12" t="s">
        <v>1328</v>
      </c>
      <c r="AZ62" s="2">
        <v>19.080829999999999</v>
      </c>
      <c r="BE62">
        <v>180</v>
      </c>
      <c r="BF62" s="12" t="s">
        <v>1328</v>
      </c>
      <c r="BG62" s="2">
        <v>23.036709999999999</v>
      </c>
      <c r="BL62">
        <v>180</v>
      </c>
      <c r="BM62" s="12" t="s">
        <v>1328</v>
      </c>
      <c r="BN62" s="2">
        <v>23.254069999999999</v>
      </c>
      <c r="BS62">
        <v>180</v>
      </c>
      <c r="BT62" s="12" t="s">
        <v>1328</v>
      </c>
      <c r="BU62" s="2">
        <v>26.059850000000001</v>
      </c>
      <c r="BZ62">
        <v>180</v>
      </c>
      <c r="CA62" s="12" t="s">
        <v>1328</v>
      </c>
      <c r="CB62" s="2">
        <v>26.274889999999999</v>
      </c>
      <c r="CG62">
        <v>180</v>
      </c>
      <c r="CH62" s="12" t="s">
        <v>1328</v>
      </c>
      <c r="CI62" s="2">
        <v>26.680720000000001</v>
      </c>
      <c r="CN62">
        <v>180</v>
      </c>
      <c r="CO62" s="12" t="s">
        <v>1328</v>
      </c>
      <c r="CP62" s="2">
        <v>26.433520000000001</v>
      </c>
      <c r="CU62">
        <v>180</v>
      </c>
      <c r="CV62" s="12" t="s">
        <v>1328</v>
      </c>
      <c r="CW62" s="2">
        <v>25.62717</v>
      </c>
      <c r="DB62">
        <v>180</v>
      </c>
      <c r="DC62" s="12" t="s">
        <v>1328</v>
      </c>
      <c r="DD62" s="2">
        <v>24.592790000000001</v>
      </c>
      <c r="DI62">
        <v>180</v>
      </c>
      <c r="DJ62" s="12" t="s">
        <v>1328</v>
      </c>
      <c r="DK62" s="2">
        <v>23.58419</v>
      </c>
      <c r="DP62">
        <v>180</v>
      </c>
      <c r="DQ62" s="12" t="s">
        <v>1328</v>
      </c>
      <c r="DR62" s="2">
        <v>23.344799999999999</v>
      </c>
      <c r="DW62">
        <v>180</v>
      </c>
      <c r="DX62" s="12" t="s">
        <v>1328</v>
      </c>
      <c r="DY62" s="2">
        <v>23.171500000000002</v>
      </c>
      <c r="ED62">
        <v>180</v>
      </c>
      <c r="EE62" s="12" t="s">
        <v>1328</v>
      </c>
      <c r="EF62" s="2">
        <v>25.41902</v>
      </c>
      <c r="EK62">
        <v>180</v>
      </c>
      <c r="EL62" s="12" t="s">
        <v>1328</v>
      </c>
      <c r="EM62" s="2"/>
    </row>
    <row r="63" spans="1:146" x14ac:dyDescent="0.4">
      <c r="A63">
        <v>179</v>
      </c>
      <c r="B63" s="12" t="s">
        <v>1328</v>
      </c>
      <c r="C63" s="89"/>
      <c r="H63">
        <v>179</v>
      </c>
      <c r="I63" s="12" t="s">
        <v>1328</v>
      </c>
      <c r="J63" s="2">
        <v>11.118779999999999</v>
      </c>
      <c r="O63">
        <v>179</v>
      </c>
      <c r="P63" s="12" t="s">
        <v>1328</v>
      </c>
      <c r="Q63" s="2">
        <v>13.3748</v>
      </c>
      <c r="V63">
        <v>179</v>
      </c>
      <c r="W63" s="12" t="s">
        <v>1328</v>
      </c>
      <c r="X63" s="2">
        <v>13.508520000000001</v>
      </c>
      <c r="AC63">
        <v>179</v>
      </c>
      <c r="AD63" s="12" t="s">
        <v>1328</v>
      </c>
      <c r="AE63" s="2">
        <v>14.36271</v>
      </c>
      <c r="AJ63">
        <v>179</v>
      </c>
      <c r="AK63" s="12" t="s">
        <v>1328</v>
      </c>
      <c r="AL63" s="2">
        <v>15.016859999999999</v>
      </c>
      <c r="AQ63">
        <v>179</v>
      </c>
      <c r="AR63" s="12" t="s">
        <v>1328</v>
      </c>
      <c r="AS63" s="2">
        <v>18.88429</v>
      </c>
      <c r="AX63">
        <v>179</v>
      </c>
      <c r="AY63" s="12" t="s">
        <v>1328</v>
      </c>
      <c r="AZ63" s="2">
        <v>18.261959999999998</v>
      </c>
      <c r="BE63">
        <v>179</v>
      </c>
      <c r="BF63" s="12" t="s">
        <v>1328</v>
      </c>
      <c r="BG63" s="2">
        <v>22.616679999999999</v>
      </c>
      <c r="BL63">
        <v>179</v>
      </c>
      <c r="BM63" s="12" t="s">
        <v>1328</v>
      </c>
      <c r="BN63" s="2">
        <v>22.61909</v>
      </c>
      <c r="BS63">
        <v>179</v>
      </c>
      <c r="BT63" s="12" t="s">
        <v>1328</v>
      </c>
      <c r="BU63" s="2">
        <v>25.675879999999999</v>
      </c>
      <c r="BZ63">
        <v>179</v>
      </c>
      <c r="CA63" s="12" t="s">
        <v>1328</v>
      </c>
      <c r="CB63" s="2">
        <v>26.13447</v>
      </c>
      <c r="CG63">
        <v>179</v>
      </c>
      <c r="CH63" s="12" t="s">
        <v>1328</v>
      </c>
      <c r="CI63" s="2">
        <v>26.79223</v>
      </c>
      <c r="CN63">
        <v>179</v>
      </c>
      <c r="CO63" s="12" t="s">
        <v>1328</v>
      </c>
      <c r="CP63" s="2">
        <v>26.532810000000001</v>
      </c>
      <c r="CU63">
        <v>179</v>
      </c>
      <c r="CV63" s="12" t="s">
        <v>1328</v>
      </c>
      <c r="CW63" s="2">
        <v>25.90109</v>
      </c>
      <c r="DB63">
        <v>179</v>
      </c>
      <c r="DC63" s="12" t="s">
        <v>1328</v>
      </c>
      <c r="DD63" s="2">
        <v>24.979679999999998</v>
      </c>
      <c r="DI63">
        <v>179</v>
      </c>
      <c r="DJ63" s="12" t="s">
        <v>1328</v>
      </c>
      <c r="DK63" s="2">
        <v>23.991479999999999</v>
      </c>
      <c r="DP63">
        <v>179</v>
      </c>
      <c r="DQ63" s="12" t="s">
        <v>1328</v>
      </c>
      <c r="DR63" s="2">
        <v>23.829229999999999</v>
      </c>
      <c r="DW63">
        <v>179</v>
      </c>
      <c r="DX63" s="12" t="s">
        <v>1328</v>
      </c>
      <c r="DY63" s="2">
        <v>23.847539999999999</v>
      </c>
      <c r="ED63">
        <v>179</v>
      </c>
      <c r="EE63" s="12" t="s">
        <v>1328</v>
      </c>
      <c r="EF63" s="2">
        <v>23.258089999999999</v>
      </c>
      <c r="EK63">
        <v>179</v>
      </c>
      <c r="EL63" s="12" t="s">
        <v>1328</v>
      </c>
      <c r="EM63" s="2"/>
    </row>
    <row r="64" spans="1:146" x14ac:dyDescent="0.4">
      <c r="A64">
        <v>178</v>
      </c>
      <c r="B64" s="12" t="s">
        <v>1328</v>
      </c>
      <c r="C64" s="89"/>
      <c r="H64">
        <v>178</v>
      </c>
      <c r="I64" s="12" t="s">
        <v>1328</v>
      </c>
      <c r="J64" s="2">
        <v>10.07999</v>
      </c>
      <c r="O64">
        <v>178</v>
      </c>
      <c r="P64" s="12" t="s">
        <v>1328</v>
      </c>
      <c r="Q64" s="2">
        <v>13.89518</v>
      </c>
      <c r="V64">
        <v>178</v>
      </c>
      <c r="W64" s="12" t="s">
        <v>1328</v>
      </c>
      <c r="X64" s="2">
        <v>12.43707</v>
      </c>
      <c r="AC64">
        <v>178</v>
      </c>
      <c r="AD64" s="12" t="s">
        <v>1328</v>
      </c>
      <c r="AE64" s="2">
        <v>13.344200000000001</v>
      </c>
      <c r="AJ64">
        <v>178</v>
      </c>
      <c r="AK64" s="12" t="s">
        <v>1328</v>
      </c>
      <c r="AL64" s="2">
        <v>14.084390000000001</v>
      </c>
      <c r="AQ64">
        <v>178</v>
      </c>
      <c r="AR64" s="12" t="s">
        <v>1328</v>
      </c>
      <c r="AS64" s="2">
        <v>17.88326</v>
      </c>
      <c r="AX64">
        <v>178</v>
      </c>
      <c r="AY64" s="12" t="s">
        <v>1328</v>
      </c>
      <c r="AZ64" s="2">
        <v>17.297799999999999</v>
      </c>
      <c r="BE64">
        <v>178</v>
      </c>
      <c r="BF64" s="12" t="s">
        <v>1328</v>
      </c>
      <c r="BG64" s="2">
        <v>21.824269999999999</v>
      </c>
      <c r="BL64">
        <v>178</v>
      </c>
      <c r="BM64" s="12" t="s">
        <v>1328</v>
      </c>
      <c r="BN64" s="2">
        <v>21.78021</v>
      </c>
      <c r="BS64">
        <v>178</v>
      </c>
      <c r="BT64" s="12" t="s">
        <v>1328</v>
      </c>
      <c r="BU64" s="2">
        <v>25.070550000000001</v>
      </c>
      <c r="BZ64">
        <v>178</v>
      </c>
      <c r="CA64" s="12" t="s">
        <v>1328</v>
      </c>
      <c r="CB64" s="2">
        <v>26.373190000000001</v>
      </c>
      <c r="CG64">
        <v>178</v>
      </c>
      <c r="CH64" s="12" t="s">
        <v>1328</v>
      </c>
      <c r="CI64" s="2">
        <v>26.74485</v>
      </c>
      <c r="CN64">
        <v>178</v>
      </c>
      <c r="CO64" s="12" t="s">
        <v>1328</v>
      </c>
      <c r="CP64" s="2">
        <v>26.62856</v>
      </c>
      <c r="CU64">
        <v>178</v>
      </c>
      <c r="CV64" s="12" t="s">
        <v>1328</v>
      </c>
      <c r="CW64" s="2">
        <v>25.93807</v>
      </c>
      <c r="DB64">
        <v>178</v>
      </c>
      <c r="DC64" s="12" t="s">
        <v>1328</v>
      </c>
      <c r="DD64" s="2">
        <v>25.13495</v>
      </c>
      <c r="DI64">
        <v>178</v>
      </c>
      <c r="DJ64" s="12" t="s">
        <v>1328</v>
      </c>
      <c r="DK64" s="2">
        <v>24.138760000000001</v>
      </c>
      <c r="DP64">
        <v>178</v>
      </c>
      <c r="DQ64" s="12" t="s">
        <v>1328</v>
      </c>
      <c r="DR64" s="2">
        <v>23.8706</v>
      </c>
      <c r="DW64">
        <v>178</v>
      </c>
      <c r="DX64" s="12" t="s">
        <v>1328</v>
      </c>
      <c r="DY64" s="2">
        <v>23.92145</v>
      </c>
      <c r="ED64">
        <v>178</v>
      </c>
      <c r="EE64" s="12" t="s">
        <v>1328</v>
      </c>
      <c r="EF64" s="2">
        <v>22.03012</v>
      </c>
      <c r="EK64">
        <v>178</v>
      </c>
      <c r="EL64" s="12" t="s">
        <v>1328</v>
      </c>
      <c r="EM64" s="2"/>
    </row>
    <row r="65" spans="1:143" x14ac:dyDescent="0.4">
      <c r="A65">
        <v>177</v>
      </c>
      <c r="B65" s="12" t="s">
        <v>1328</v>
      </c>
      <c r="C65" s="89"/>
      <c r="H65">
        <v>177</v>
      </c>
      <c r="I65" s="12" t="s">
        <v>1328</v>
      </c>
      <c r="J65" s="2">
        <v>9.2177589999999991</v>
      </c>
      <c r="O65">
        <v>177</v>
      </c>
      <c r="P65" s="12" t="s">
        <v>1328</v>
      </c>
      <c r="Q65" s="2">
        <v>11.964589999999999</v>
      </c>
      <c r="V65">
        <v>177</v>
      </c>
      <c r="W65" s="12" t="s">
        <v>1328</v>
      </c>
      <c r="X65" s="2">
        <v>11.53267</v>
      </c>
      <c r="AC65">
        <v>177</v>
      </c>
      <c r="AD65" s="12" t="s">
        <v>1328</v>
      </c>
      <c r="AE65" s="2">
        <v>12.475379999999999</v>
      </c>
      <c r="AJ65">
        <v>177</v>
      </c>
      <c r="AK65" s="12" t="s">
        <v>1328</v>
      </c>
      <c r="AL65" s="2">
        <v>13.195930000000001</v>
      </c>
      <c r="AQ65">
        <v>177</v>
      </c>
      <c r="AR65" s="12" t="s">
        <v>1328</v>
      </c>
      <c r="AS65" s="2">
        <v>17.00403</v>
      </c>
      <c r="AX65">
        <v>177</v>
      </c>
      <c r="AY65" s="12" t="s">
        <v>1328</v>
      </c>
      <c r="AZ65" s="2">
        <v>16.43694</v>
      </c>
      <c r="BE65">
        <v>177</v>
      </c>
      <c r="BF65" s="12" t="s">
        <v>1328</v>
      </c>
      <c r="BG65" s="2">
        <v>21.049510000000001</v>
      </c>
      <c r="BL65">
        <v>177</v>
      </c>
      <c r="BM65" s="12" t="s">
        <v>1328</v>
      </c>
      <c r="BN65" s="2">
        <v>21.05761</v>
      </c>
      <c r="BS65">
        <v>177</v>
      </c>
      <c r="BT65" s="12" t="s">
        <v>1328</v>
      </c>
      <c r="BU65" s="2">
        <v>24.603120000000001</v>
      </c>
      <c r="BZ65">
        <v>177</v>
      </c>
      <c r="CA65" s="12" t="s">
        <v>1328</v>
      </c>
      <c r="CB65" s="2">
        <v>26.072679999999998</v>
      </c>
      <c r="CG65">
        <v>177</v>
      </c>
      <c r="CH65" s="12" t="s">
        <v>1328</v>
      </c>
      <c r="CI65" s="2">
        <v>26.835070000000002</v>
      </c>
      <c r="CN65">
        <v>177</v>
      </c>
      <c r="CO65" s="12" t="s">
        <v>1328</v>
      </c>
      <c r="CP65" s="2">
        <v>26.685189999999999</v>
      </c>
      <c r="CU65">
        <v>177</v>
      </c>
      <c r="CV65" s="12" t="s">
        <v>1328</v>
      </c>
      <c r="CW65" s="2">
        <v>26.151219999999999</v>
      </c>
      <c r="DB65">
        <v>177</v>
      </c>
      <c r="DC65" s="12" t="s">
        <v>1328</v>
      </c>
      <c r="DD65" s="2">
        <v>25.376999999999999</v>
      </c>
      <c r="DI65">
        <v>177</v>
      </c>
      <c r="DJ65" s="12" t="s">
        <v>1328</v>
      </c>
      <c r="DK65" s="2">
        <v>24.545110000000001</v>
      </c>
      <c r="DP65">
        <v>177</v>
      </c>
      <c r="DQ65" s="12" t="s">
        <v>1328</v>
      </c>
      <c r="DR65" s="2">
        <v>24.301210000000001</v>
      </c>
      <c r="DW65">
        <v>177</v>
      </c>
      <c r="DX65" s="12" t="s">
        <v>1328</v>
      </c>
      <c r="DY65" s="2">
        <v>24.341650000000001</v>
      </c>
      <c r="ED65">
        <v>177</v>
      </c>
      <c r="EE65" s="12" t="s">
        <v>1328</v>
      </c>
      <c r="EF65" s="2">
        <v>21.893899999999999</v>
      </c>
      <c r="EK65">
        <v>177</v>
      </c>
      <c r="EL65" s="12" t="s">
        <v>1328</v>
      </c>
      <c r="EM65" s="2"/>
    </row>
    <row r="66" spans="1:143" x14ac:dyDescent="0.4">
      <c r="A66">
        <v>176</v>
      </c>
      <c r="B66" s="12" t="s">
        <v>1328</v>
      </c>
      <c r="C66" s="89"/>
      <c r="H66">
        <v>176</v>
      </c>
      <c r="I66" s="12" t="s">
        <v>1328</v>
      </c>
      <c r="J66" s="2">
        <v>8.4704010000000007</v>
      </c>
      <c r="O66">
        <v>176</v>
      </c>
      <c r="P66" s="12" t="s">
        <v>1328</v>
      </c>
      <c r="Q66" s="2">
        <v>11.1457</v>
      </c>
      <c r="V66">
        <v>176</v>
      </c>
      <c r="W66" s="12" t="s">
        <v>1328</v>
      </c>
      <c r="X66" s="2">
        <v>10.740919999999999</v>
      </c>
      <c r="AC66">
        <v>176</v>
      </c>
      <c r="AD66" s="12" t="s">
        <v>1328</v>
      </c>
      <c r="AE66" s="2">
        <v>11.71302</v>
      </c>
      <c r="AJ66">
        <v>176</v>
      </c>
      <c r="AK66" s="12" t="s">
        <v>1328</v>
      </c>
      <c r="AL66" s="2">
        <v>12.358980000000001</v>
      </c>
      <c r="AQ66">
        <v>176</v>
      </c>
      <c r="AR66" s="12" t="s">
        <v>1328</v>
      </c>
      <c r="AS66" s="2">
        <v>16.246690000000001</v>
      </c>
      <c r="AX66">
        <v>176</v>
      </c>
      <c r="AY66" s="12" t="s">
        <v>1328</v>
      </c>
      <c r="AZ66" s="2">
        <v>15.56282</v>
      </c>
      <c r="BE66">
        <v>176</v>
      </c>
      <c r="BF66" s="12" t="s">
        <v>1328</v>
      </c>
      <c r="BG66" s="2">
        <v>20.45335</v>
      </c>
      <c r="BL66">
        <v>176</v>
      </c>
      <c r="BM66" s="12" t="s">
        <v>1328</v>
      </c>
      <c r="BN66" s="2">
        <v>20.268360000000001</v>
      </c>
      <c r="BS66">
        <v>176</v>
      </c>
      <c r="BT66" s="12" t="s">
        <v>1328</v>
      </c>
      <c r="BU66" s="2">
        <v>24.016069999999999</v>
      </c>
      <c r="BZ66">
        <v>176</v>
      </c>
      <c r="CA66" s="12" t="s">
        <v>1328</v>
      </c>
      <c r="CB66" s="2">
        <v>26.18526</v>
      </c>
      <c r="CG66">
        <v>176</v>
      </c>
      <c r="CH66" s="12" t="s">
        <v>1328</v>
      </c>
      <c r="CI66" s="2">
        <v>26.841740000000001</v>
      </c>
      <c r="CN66">
        <v>176</v>
      </c>
      <c r="CO66" s="12" t="s">
        <v>1328</v>
      </c>
      <c r="CP66" s="2">
        <v>26.61797</v>
      </c>
      <c r="CU66">
        <v>176</v>
      </c>
      <c r="CV66" s="12" t="s">
        <v>1328</v>
      </c>
      <c r="CW66" s="2">
        <v>26.28923</v>
      </c>
      <c r="DB66">
        <v>176</v>
      </c>
      <c r="DC66" s="12" t="s">
        <v>1328</v>
      </c>
      <c r="DD66" s="2">
        <v>25.554020000000001</v>
      </c>
      <c r="DI66">
        <v>176</v>
      </c>
      <c r="DJ66" s="12" t="s">
        <v>1328</v>
      </c>
      <c r="DK66" s="2">
        <v>24.66534</v>
      </c>
      <c r="DP66">
        <v>176</v>
      </c>
      <c r="DQ66" s="12" t="s">
        <v>1328</v>
      </c>
      <c r="DR66" s="2">
        <v>24.454059999999998</v>
      </c>
      <c r="DW66">
        <v>176</v>
      </c>
      <c r="DX66" s="12" t="s">
        <v>1328</v>
      </c>
      <c r="DY66" s="2">
        <v>24.26276</v>
      </c>
      <c r="ED66">
        <v>176</v>
      </c>
      <c r="EE66" s="12" t="s">
        <v>1328</v>
      </c>
      <c r="EF66" s="2">
        <v>21.625119999999999</v>
      </c>
      <c r="EK66">
        <v>176</v>
      </c>
      <c r="EL66" s="12" t="s">
        <v>1328</v>
      </c>
      <c r="EM66" s="2"/>
    </row>
    <row r="67" spans="1:143" x14ac:dyDescent="0.4">
      <c r="A67">
        <v>175</v>
      </c>
      <c r="B67" s="12" t="s">
        <v>724</v>
      </c>
      <c r="C67" s="89"/>
      <c r="H67">
        <v>175</v>
      </c>
      <c r="I67" s="12" t="s">
        <v>724</v>
      </c>
      <c r="J67" s="2">
        <v>7.5903669999999996</v>
      </c>
      <c r="O67">
        <v>175</v>
      </c>
      <c r="P67" s="12" t="s">
        <v>724</v>
      </c>
      <c r="Q67" s="2">
        <v>10.529400000000001</v>
      </c>
      <c r="V67">
        <v>175</v>
      </c>
      <c r="W67" s="12" t="s">
        <v>724</v>
      </c>
      <c r="X67" s="2">
        <v>9.7572209999999995</v>
      </c>
      <c r="AC67">
        <v>175</v>
      </c>
      <c r="AD67" s="12" t="s">
        <v>724</v>
      </c>
      <c r="AE67" s="2">
        <v>10.729279999999999</v>
      </c>
      <c r="AJ67">
        <v>175</v>
      </c>
      <c r="AK67" s="12" t="s">
        <v>724</v>
      </c>
      <c r="AL67" s="2">
        <v>11.46536</v>
      </c>
      <c r="AQ67">
        <v>175</v>
      </c>
      <c r="AR67" s="12" t="s">
        <v>724</v>
      </c>
      <c r="AS67" s="2">
        <v>15.15734</v>
      </c>
      <c r="AX67">
        <v>175</v>
      </c>
      <c r="AY67" s="12" t="s">
        <v>724</v>
      </c>
      <c r="AZ67" s="2">
        <v>14.60848</v>
      </c>
      <c r="BE67">
        <v>175</v>
      </c>
      <c r="BF67" s="12" t="s">
        <v>724</v>
      </c>
      <c r="BG67" s="2">
        <v>19.426120000000001</v>
      </c>
      <c r="BL67">
        <v>175</v>
      </c>
      <c r="BM67" s="12" t="s">
        <v>724</v>
      </c>
      <c r="BN67" s="2">
        <v>19.371009999999998</v>
      </c>
      <c r="BS67">
        <v>175</v>
      </c>
      <c r="BT67" s="12" t="s">
        <v>724</v>
      </c>
      <c r="BU67" s="2">
        <v>23.331679999999999</v>
      </c>
      <c r="BZ67">
        <v>175</v>
      </c>
      <c r="CA67" s="12" t="s">
        <v>724</v>
      </c>
      <c r="CB67" s="2">
        <v>26.209599999999998</v>
      </c>
      <c r="CG67">
        <v>175</v>
      </c>
      <c r="CH67" s="12" t="s">
        <v>724</v>
      </c>
      <c r="CI67" s="2">
        <v>26.75244</v>
      </c>
      <c r="CN67">
        <v>175</v>
      </c>
      <c r="CO67" s="12" t="s">
        <v>724</v>
      </c>
      <c r="CP67" s="2">
        <v>26.693960000000001</v>
      </c>
      <c r="CU67">
        <v>175</v>
      </c>
      <c r="CV67" s="12" t="s">
        <v>724</v>
      </c>
      <c r="CW67" s="2">
        <v>26.44828</v>
      </c>
      <c r="DB67">
        <v>175</v>
      </c>
      <c r="DC67" s="12" t="s">
        <v>724</v>
      </c>
      <c r="DD67" s="2">
        <v>25.860589999999998</v>
      </c>
      <c r="DI67">
        <v>175</v>
      </c>
      <c r="DJ67" s="12" t="s">
        <v>724</v>
      </c>
      <c r="DK67" s="2">
        <v>24.979610000000001</v>
      </c>
      <c r="DP67">
        <v>175</v>
      </c>
      <c r="DQ67" s="12" t="s">
        <v>724</v>
      </c>
      <c r="DR67" s="2">
        <v>24.887149999999998</v>
      </c>
      <c r="DW67">
        <v>175</v>
      </c>
      <c r="DX67" s="12" t="s">
        <v>724</v>
      </c>
      <c r="DY67" s="2">
        <v>24.678280000000001</v>
      </c>
      <c r="ED67">
        <v>175</v>
      </c>
      <c r="EE67" s="12" t="s">
        <v>724</v>
      </c>
      <c r="EF67" s="2">
        <v>22.15361</v>
      </c>
      <c r="EK67">
        <v>175</v>
      </c>
      <c r="EL67" s="12" t="s">
        <v>724</v>
      </c>
      <c r="EM67" s="2">
        <v>23.815390000000001</v>
      </c>
    </row>
    <row r="68" spans="1:143" x14ac:dyDescent="0.4">
      <c r="A68">
        <v>174</v>
      </c>
      <c r="B68" s="12" t="s">
        <v>1329</v>
      </c>
      <c r="C68" s="89"/>
      <c r="H68">
        <v>174</v>
      </c>
      <c r="I68" s="12" t="s">
        <v>1329</v>
      </c>
      <c r="J68" s="2">
        <v>6.9533310000000004</v>
      </c>
      <c r="O68">
        <v>174</v>
      </c>
      <c r="P68" s="12" t="s">
        <v>1329</v>
      </c>
      <c r="Q68" s="2">
        <v>9.1789009999999998</v>
      </c>
      <c r="V68">
        <v>174</v>
      </c>
      <c r="W68" s="12" t="s">
        <v>1329</v>
      </c>
      <c r="X68" s="2">
        <v>9.0436929999999993</v>
      </c>
      <c r="AC68">
        <v>174</v>
      </c>
      <c r="AD68" s="12" t="s">
        <v>1329</v>
      </c>
      <c r="AE68" s="2">
        <v>10.017799999999999</v>
      </c>
      <c r="AJ68">
        <v>174</v>
      </c>
      <c r="AK68" s="12" t="s">
        <v>1329</v>
      </c>
      <c r="AL68" s="2">
        <v>10.66858</v>
      </c>
      <c r="AQ68">
        <v>174</v>
      </c>
      <c r="AR68" s="12" t="s">
        <v>1329</v>
      </c>
      <c r="AS68" s="2">
        <v>14.38991</v>
      </c>
      <c r="AX68">
        <v>174</v>
      </c>
      <c r="AY68" s="12" t="s">
        <v>1329</v>
      </c>
      <c r="AZ68" s="2">
        <v>13.76708</v>
      </c>
      <c r="BE68">
        <v>174</v>
      </c>
      <c r="BF68" s="12" t="s">
        <v>1329</v>
      </c>
      <c r="BG68" s="2">
        <v>18.754280000000001</v>
      </c>
      <c r="BL68">
        <v>174</v>
      </c>
      <c r="BM68" s="12" t="s">
        <v>1329</v>
      </c>
      <c r="BN68" s="2">
        <v>18.580580000000001</v>
      </c>
      <c r="BS68">
        <v>174</v>
      </c>
      <c r="BT68" s="12" t="s">
        <v>1329</v>
      </c>
      <c r="BU68" s="2">
        <v>22.734970000000001</v>
      </c>
      <c r="BZ68">
        <v>174</v>
      </c>
      <c r="CA68" s="12" t="s">
        <v>1329</v>
      </c>
      <c r="CB68" s="2">
        <v>25.86355</v>
      </c>
      <c r="CG68">
        <v>174</v>
      </c>
      <c r="CH68" s="12" t="s">
        <v>1329</v>
      </c>
      <c r="CI68" s="2">
        <v>26.74436</v>
      </c>
      <c r="CN68">
        <v>174</v>
      </c>
      <c r="CO68" s="12" t="s">
        <v>1329</v>
      </c>
      <c r="CP68" s="2">
        <v>26.65239</v>
      </c>
      <c r="CU68">
        <v>174</v>
      </c>
      <c r="CV68" s="12" t="s">
        <v>1329</v>
      </c>
      <c r="CW68" s="2">
        <v>26.436520000000002</v>
      </c>
      <c r="DB68">
        <v>174</v>
      </c>
      <c r="DC68" s="12" t="s">
        <v>1329</v>
      </c>
      <c r="DD68" s="2">
        <v>25.961600000000001</v>
      </c>
      <c r="DI68">
        <v>174</v>
      </c>
      <c r="DJ68" s="12" t="s">
        <v>1329</v>
      </c>
      <c r="DK68" s="2">
        <v>25.15146</v>
      </c>
      <c r="DP68">
        <v>174</v>
      </c>
      <c r="DQ68" s="12" t="s">
        <v>1329</v>
      </c>
      <c r="DR68" s="2">
        <v>25.012599999999999</v>
      </c>
      <c r="DW68">
        <v>174</v>
      </c>
      <c r="DX68" s="12" t="s">
        <v>1329</v>
      </c>
      <c r="DY68" s="2">
        <v>24.884779999999999</v>
      </c>
      <c r="ED68">
        <v>174</v>
      </c>
      <c r="EE68" s="12" t="s">
        <v>1329</v>
      </c>
      <c r="EF68" s="2">
        <v>22.184180000000001</v>
      </c>
      <c r="EK68">
        <v>174</v>
      </c>
      <c r="EL68" s="12" t="s">
        <v>1329</v>
      </c>
      <c r="EM68" s="2">
        <v>22.470890000000001</v>
      </c>
    </row>
    <row r="69" spans="1:143" x14ac:dyDescent="0.4">
      <c r="A69">
        <v>173</v>
      </c>
      <c r="B69" s="12" t="s">
        <v>1329</v>
      </c>
      <c r="C69" s="89"/>
      <c r="H69">
        <v>173</v>
      </c>
      <c r="I69" s="12" t="s">
        <v>1329</v>
      </c>
      <c r="J69" s="2">
        <v>6.3201850000000004</v>
      </c>
      <c r="O69">
        <v>173</v>
      </c>
      <c r="P69" s="12" t="s">
        <v>1329</v>
      </c>
      <c r="Q69" s="2">
        <v>8.8443710000000006</v>
      </c>
      <c r="V69">
        <v>173</v>
      </c>
      <c r="W69" s="12" t="s">
        <v>1329</v>
      </c>
      <c r="X69" s="2">
        <v>8.3111289999999993</v>
      </c>
      <c r="AC69">
        <v>173</v>
      </c>
      <c r="AD69" s="12" t="s">
        <v>1329</v>
      </c>
      <c r="AE69" s="2">
        <v>9.2720409999999998</v>
      </c>
      <c r="AJ69">
        <v>173</v>
      </c>
      <c r="AK69" s="12" t="s">
        <v>1329</v>
      </c>
      <c r="AL69" s="2">
        <v>9.8858309999999996</v>
      </c>
      <c r="AQ69">
        <v>173</v>
      </c>
      <c r="AR69" s="12" t="s">
        <v>1329</v>
      </c>
      <c r="AS69" s="2">
        <v>13.542619999999999</v>
      </c>
      <c r="AX69">
        <v>173</v>
      </c>
      <c r="AY69" s="12" t="s">
        <v>1329</v>
      </c>
      <c r="AZ69" s="2">
        <v>12.8596</v>
      </c>
      <c r="BE69">
        <v>173</v>
      </c>
      <c r="BF69" s="12" t="s">
        <v>1329</v>
      </c>
      <c r="BG69" s="2">
        <v>17.966349999999998</v>
      </c>
      <c r="BL69">
        <v>173</v>
      </c>
      <c r="BM69" s="12" t="s">
        <v>1329</v>
      </c>
      <c r="BN69" s="2">
        <v>17.65437</v>
      </c>
      <c r="BS69">
        <v>173</v>
      </c>
      <c r="BT69" s="12" t="s">
        <v>1329</v>
      </c>
      <c r="BU69" s="2">
        <v>21.943930000000002</v>
      </c>
      <c r="BZ69">
        <v>173</v>
      </c>
      <c r="CA69" s="12" t="s">
        <v>1329</v>
      </c>
      <c r="CB69" s="2">
        <v>25.980640000000001</v>
      </c>
      <c r="CG69">
        <v>173</v>
      </c>
      <c r="CH69" s="12" t="s">
        <v>1329</v>
      </c>
      <c r="CI69" s="2">
        <v>26.664739999999998</v>
      </c>
      <c r="CN69">
        <v>173</v>
      </c>
      <c r="CO69" s="12" t="s">
        <v>1329</v>
      </c>
      <c r="CP69" s="2">
        <v>26.525749999999999</v>
      </c>
      <c r="CU69">
        <v>173</v>
      </c>
      <c r="CV69" s="12" t="s">
        <v>1329</v>
      </c>
      <c r="CW69" s="2">
        <v>26.58258</v>
      </c>
      <c r="DB69">
        <v>173</v>
      </c>
      <c r="DC69" s="12" t="s">
        <v>1329</v>
      </c>
      <c r="DD69" s="2">
        <v>26.10641</v>
      </c>
      <c r="DI69">
        <v>173</v>
      </c>
      <c r="DJ69" s="12" t="s">
        <v>1329</v>
      </c>
      <c r="DK69" s="2">
        <v>25.42493</v>
      </c>
      <c r="DP69">
        <v>173</v>
      </c>
      <c r="DQ69" s="12" t="s">
        <v>1329</v>
      </c>
      <c r="DR69" s="2">
        <v>25.269860000000001</v>
      </c>
      <c r="DW69">
        <v>173</v>
      </c>
      <c r="DX69" s="12" t="s">
        <v>1329</v>
      </c>
      <c r="DY69" s="2">
        <v>25.30519</v>
      </c>
      <c r="ED69">
        <v>173</v>
      </c>
      <c r="EE69" s="12" t="s">
        <v>1329</v>
      </c>
      <c r="EF69" s="2">
        <v>22.73075</v>
      </c>
      <c r="EK69">
        <v>173</v>
      </c>
      <c r="EL69" s="12" t="s">
        <v>1329</v>
      </c>
      <c r="EM69" s="2">
        <v>22.506329999999998</v>
      </c>
    </row>
    <row r="70" spans="1:143" x14ac:dyDescent="0.4">
      <c r="A70">
        <v>172</v>
      </c>
      <c r="B70" s="12" t="s">
        <v>1329</v>
      </c>
      <c r="C70" s="89"/>
      <c r="H70">
        <v>172</v>
      </c>
      <c r="I70" s="12" t="s">
        <v>1329</v>
      </c>
      <c r="J70" s="2">
        <v>5.6633420000000001</v>
      </c>
      <c r="O70">
        <v>172</v>
      </c>
      <c r="P70" s="12" t="s">
        <v>1329</v>
      </c>
      <c r="Q70" s="2">
        <v>7.8876480000000004</v>
      </c>
      <c r="V70">
        <v>172</v>
      </c>
      <c r="W70" s="12" t="s">
        <v>1329</v>
      </c>
      <c r="X70" s="2">
        <v>7.5313829999999999</v>
      </c>
      <c r="AC70">
        <v>172</v>
      </c>
      <c r="AD70" s="12" t="s">
        <v>1329</v>
      </c>
      <c r="AE70" s="2">
        <v>8.4621700000000004</v>
      </c>
      <c r="AJ70">
        <v>172</v>
      </c>
      <c r="AK70" s="12" t="s">
        <v>1329</v>
      </c>
      <c r="AL70" s="2">
        <v>9.1049340000000001</v>
      </c>
      <c r="AQ70">
        <v>172</v>
      </c>
      <c r="AR70" s="12" t="s">
        <v>1329</v>
      </c>
      <c r="AS70" s="2">
        <v>12.56697</v>
      </c>
      <c r="AX70">
        <v>172</v>
      </c>
      <c r="AY70" s="12" t="s">
        <v>1329</v>
      </c>
      <c r="AZ70" s="2">
        <v>12.00638</v>
      </c>
      <c r="BE70">
        <v>172</v>
      </c>
      <c r="BF70" s="12" t="s">
        <v>1329</v>
      </c>
      <c r="BG70" s="2">
        <v>16.967449999999999</v>
      </c>
      <c r="BL70">
        <v>172</v>
      </c>
      <c r="BM70" s="12" t="s">
        <v>1329</v>
      </c>
      <c r="BN70" s="2">
        <v>16.784320000000001</v>
      </c>
      <c r="BS70">
        <v>172</v>
      </c>
      <c r="BT70" s="12" t="s">
        <v>1329</v>
      </c>
      <c r="BU70" s="2">
        <v>21.21781</v>
      </c>
      <c r="BZ70">
        <v>172</v>
      </c>
      <c r="CA70" s="12" t="s">
        <v>1329</v>
      </c>
      <c r="CB70" s="2">
        <v>25.585049999999999</v>
      </c>
      <c r="CG70">
        <v>172</v>
      </c>
      <c r="CH70" s="12" t="s">
        <v>1329</v>
      </c>
      <c r="CI70" s="2">
        <v>26.489709999999999</v>
      </c>
      <c r="CN70">
        <v>172</v>
      </c>
      <c r="CO70" s="12" t="s">
        <v>1329</v>
      </c>
      <c r="CP70" s="2">
        <v>26.493259999999999</v>
      </c>
      <c r="CU70">
        <v>172</v>
      </c>
      <c r="CV70" s="12" t="s">
        <v>1329</v>
      </c>
      <c r="CW70" s="2">
        <v>26.638590000000001</v>
      </c>
      <c r="DB70">
        <v>172</v>
      </c>
      <c r="DC70" s="12" t="s">
        <v>1329</v>
      </c>
      <c r="DD70" s="2">
        <v>26.275600000000001</v>
      </c>
      <c r="DI70">
        <v>172</v>
      </c>
      <c r="DJ70" s="12" t="s">
        <v>1329</v>
      </c>
      <c r="DK70" s="2">
        <v>25.497440000000001</v>
      </c>
      <c r="DP70">
        <v>172</v>
      </c>
      <c r="DQ70" s="12" t="s">
        <v>1329</v>
      </c>
      <c r="DR70" s="2">
        <v>25.42362</v>
      </c>
      <c r="DW70">
        <v>172</v>
      </c>
      <c r="DX70" s="12" t="s">
        <v>1329</v>
      </c>
      <c r="DY70" s="2">
        <v>25.289400000000001</v>
      </c>
      <c r="ED70">
        <v>172</v>
      </c>
      <c r="EE70" s="12" t="s">
        <v>1329</v>
      </c>
      <c r="EF70" s="2">
        <v>22.818259999999999</v>
      </c>
      <c r="EK70">
        <v>172</v>
      </c>
      <c r="EL70" s="12" t="s">
        <v>1329</v>
      </c>
      <c r="EM70" s="2">
        <v>22.012039999999999</v>
      </c>
    </row>
    <row r="71" spans="1:143" x14ac:dyDescent="0.4">
      <c r="A71">
        <v>171</v>
      </c>
      <c r="B71" s="12" t="s">
        <v>1329</v>
      </c>
      <c r="C71" s="89"/>
      <c r="H71">
        <v>171</v>
      </c>
      <c r="I71" s="12" t="s">
        <v>1329</v>
      </c>
      <c r="J71" s="2">
        <v>5.1719660000000003</v>
      </c>
      <c r="O71">
        <v>171</v>
      </c>
      <c r="P71" s="12" t="s">
        <v>1329</v>
      </c>
      <c r="Q71" s="2">
        <v>7.0886120000000004</v>
      </c>
      <c r="V71">
        <v>171</v>
      </c>
      <c r="W71" s="12" t="s">
        <v>1329</v>
      </c>
      <c r="X71" s="2">
        <v>6.9430969999999999</v>
      </c>
      <c r="AC71">
        <v>171</v>
      </c>
      <c r="AD71" s="12" t="s">
        <v>1329</v>
      </c>
      <c r="AE71" s="2">
        <v>7.8498279999999996</v>
      </c>
      <c r="AJ71">
        <v>171</v>
      </c>
      <c r="AK71" s="12" t="s">
        <v>1329</v>
      </c>
      <c r="AL71" s="2">
        <v>8.4141250000000003</v>
      </c>
      <c r="AQ71">
        <v>171</v>
      </c>
      <c r="AR71" s="12" t="s">
        <v>1329</v>
      </c>
      <c r="AS71" s="2">
        <v>11.83582</v>
      </c>
      <c r="AX71">
        <v>171</v>
      </c>
      <c r="AY71" s="12" t="s">
        <v>1329</v>
      </c>
      <c r="AZ71" s="2">
        <v>11.21551</v>
      </c>
      <c r="BE71">
        <v>171</v>
      </c>
      <c r="BF71" s="12" t="s">
        <v>1329</v>
      </c>
      <c r="BG71" s="2">
        <v>16.255389999999998</v>
      </c>
      <c r="BL71">
        <v>171</v>
      </c>
      <c r="BM71" s="12" t="s">
        <v>1329</v>
      </c>
      <c r="BN71" s="2">
        <v>15.949809999999999</v>
      </c>
      <c r="BS71">
        <v>171</v>
      </c>
      <c r="BT71" s="12" t="s">
        <v>1329</v>
      </c>
      <c r="BU71" s="2">
        <v>20.493410000000001</v>
      </c>
      <c r="BZ71">
        <v>171</v>
      </c>
      <c r="CA71" s="12" t="s">
        <v>1329</v>
      </c>
      <c r="CB71" s="2">
        <v>25.52412</v>
      </c>
      <c r="CG71">
        <v>171</v>
      </c>
      <c r="CH71" s="12" t="s">
        <v>1329</v>
      </c>
      <c r="CI71" s="2">
        <v>26.413509999999999</v>
      </c>
      <c r="CN71">
        <v>171</v>
      </c>
      <c r="CO71" s="12" t="s">
        <v>1329</v>
      </c>
      <c r="CP71" s="2">
        <v>26.371559999999999</v>
      </c>
      <c r="CU71">
        <v>171</v>
      </c>
      <c r="CV71" s="12" t="s">
        <v>1329</v>
      </c>
      <c r="CW71" s="2">
        <v>26.59186</v>
      </c>
      <c r="DB71">
        <v>171</v>
      </c>
      <c r="DC71" s="12" t="s">
        <v>1329</v>
      </c>
      <c r="DD71" s="2">
        <v>26.424569999999999</v>
      </c>
      <c r="DI71">
        <v>171</v>
      </c>
      <c r="DJ71" s="12" t="s">
        <v>1329</v>
      </c>
      <c r="DK71" s="2">
        <v>25.710039999999999</v>
      </c>
      <c r="DP71">
        <v>171</v>
      </c>
      <c r="DQ71" s="12" t="s">
        <v>1329</v>
      </c>
      <c r="DR71" s="2">
        <v>25.709389999999999</v>
      </c>
      <c r="DW71">
        <v>171</v>
      </c>
      <c r="DX71" s="12" t="s">
        <v>1329</v>
      </c>
      <c r="DY71" s="2">
        <v>25.466670000000001</v>
      </c>
      <c r="ED71">
        <v>171</v>
      </c>
      <c r="EE71" s="12" t="s">
        <v>1329</v>
      </c>
      <c r="EF71" s="2">
        <v>23.318570000000001</v>
      </c>
      <c r="EK71">
        <v>171</v>
      </c>
      <c r="EL71" s="12" t="s">
        <v>1329</v>
      </c>
      <c r="EM71" s="2">
        <v>22.490120000000001</v>
      </c>
    </row>
    <row r="72" spans="1:143" x14ac:dyDescent="0.4">
      <c r="A72">
        <v>170</v>
      </c>
      <c r="B72" s="12" t="s">
        <v>1330</v>
      </c>
      <c r="C72" s="89"/>
      <c r="H72">
        <v>170</v>
      </c>
      <c r="I72" s="12" t="s">
        <v>1330</v>
      </c>
      <c r="J72" s="2">
        <v>4.6197080000000001</v>
      </c>
      <c r="O72">
        <v>170</v>
      </c>
      <c r="P72" s="12" t="s">
        <v>1330</v>
      </c>
      <c r="Q72" s="2">
        <v>6.5571460000000004</v>
      </c>
      <c r="V72">
        <v>170</v>
      </c>
      <c r="W72" s="12" t="s">
        <v>1330</v>
      </c>
      <c r="X72" s="2">
        <v>6.2628810000000001</v>
      </c>
      <c r="AC72">
        <v>170</v>
      </c>
      <c r="AD72" s="12" t="s">
        <v>1330</v>
      </c>
      <c r="AE72" s="2">
        <v>7.1262650000000001</v>
      </c>
      <c r="AJ72">
        <v>170</v>
      </c>
      <c r="AK72" s="12" t="s">
        <v>1330</v>
      </c>
      <c r="AL72" s="2">
        <v>7.7072120000000002</v>
      </c>
      <c r="AQ72">
        <v>170</v>
      </c>
      <c r="AR72" s="12" t="s">
        <v>1330</v>
      </c>
      <c r="AS72" s="2">
        <v>10.91391</v>
      </c>
      <c r="AX72">
        <v>170</v>
      </c>
      <c r="AY72" s="12" t="s">
        <v>1330</v>
      </c>
      <c r="AZ72" s="2">
        <v>10.36218</v>
      </c>
      <c r="BE72">
        <v>170</v>
      </c>
      <c r="BF72" s="12" t="s">
        <v>1330</v>
      </c>
      <c r="BG72" s="2">
        <v>15.25892</v>
      </c>
      <c r="BL72">
        <v>170</v>
      </c>
      <c r="BM72" s="12" t="s">
        <v>1330</v>
      </c>
      <c r="BN72" s="2">
        <v>14.989710000000001</v>
      </c>
      <c r="BS72">
        <v>170</v>
      </c>
      <c r="BT72" s="12" t="s">
        <v>1330</v>
      </c>
      <c r="BU72" s="2">
        <v>19.591059999999999</v>
      </c>
      <c r="BZ72">
        <v>170</v>
      </c>
      <c r="CA72" s="12" t="s">
        <v>1330</v>
      </c>
      <c r="CB72" s="2">
        <v>25.394390000000001</v>
      </c>
      <c r="CG72">
        <v>170</v>
      </c>
      <c r="CH72" s="12" t="s">
        <v>1330</v>
      </c>
      <c r="CI72" s="2">
        <v>26.15898</v>
      </c>
      <c r="CN72">
        <v>170</v>
      </c>
      <c r="CO72" s="12" t="s">
        <v>1330</v>
      </c>
      <c r="CP72" s="2">
        <v>26.15606</v>
      </c>
      <c r="CU72">
        <v>170</v>
      </c>
      <c r="CV72" s="12" t="s">
        <v>1330</v>
      </c>
      <c r="CW72" s="2">
        <v>26.62407</v>
      </c>
      <c r="DB72">
        <v>170</v>
      </c>
      <c r="DC72" s="12" t="s">
        <v>1330</v>
      </c>
      <c r="DD72" s="2">
        <v>26.427440000000001</v>
      </c>
      <c r="DI72">
        <v>170</v>
      </c>
      <c r="DJ72" s="12" t="s">
        <v>1330</v>
      </c>
      <c r="DK72" s="2">
        <v>25.851710000000001</v>
      </c>
      <c r="DP72">
        <v>170</v>
      </c>
      <c r="DQ72" s="12" t="s">
        <v>1330</v>
      </c>
      <c r="DR72" s="2">
        <v>25.78594</v>
      </c>
      <c r="DW72">
        <v>170</v>
      </c>
      <c r="DX72" s="12" t="s">
        <v>1330</v>
      </c>
      <c r="DY72" s="2">
        <v>25.674630000000001</v>
      </c>
      <c r="ED72">
        <v>170</v>
      </c>
      <c r="EE72" s="12" t="s">
        <v>1330</v>
      </c>
      <c r="EF72" s="2">
        <v>23.448969999999999</v>
      </c>
      <c r="EK72">
        <v>170</v>
      </c>
      <c r="EL72" s="12" t="s">
        <v>1330</v>
      </c>
      <c r="EM72" s="2">
        <v>22.334610000000001</v>
      </c>
    </row>
    <row r="73" spans="1:143" x14ac:dyDescent="0.4">
      <c r="A73">
        <v>169</v>
      </c>
      <c r="B73" s="12" t="s">
        <v>724</v>
      </c>
      <c r="C73" s="89"/>
      <c r="H73">
        <v>169</v>
      </c>
      <c r="I73" s="12" t="s">
        <v>724</v>
      </c>
      <c r="J73" s="2">
        <v>4.1832209999999996</v>
      </c>
      <c r="O73">
        <v>169</v>
      </c>
      <c r="P73" s="12" t="s">
        <v>724</v>
      </c>
      <c r="Q73" s="2">
        <v>5.875051</v>
      </c>
      <c r="V73">
        <v>169</v>
      </c>
      <c r="W73" s="12" t="s">
        <v>724</v>
      </c>
      <c r="X73" s="2">
        <v>5.7176989999999996</v>
      </c>
      <c r="AC73">
        <v>169</v>
      </c>
      <c r="AD73" s="12" t="s">
        <v>724</v>
      </c>
      <c r="AE73" s="2">
        <v>6.5422589999999996</v>
      </c>
      <c r="AJ73">
        <v>169</v>
      </c>
      <c r="AK73" s="12" t="s">
        <v>724</v>
      </c>
      <c r="AL73" s="2">
        <v>7.0725300000000004</v>
      </c>
      <c r="AQ73">
        <v>169</v>
      </c>
      <c r="AR73" s="12" t="s">
        <v>724</v>
      </c>
      <c r="AS73" s="2">
        <v>10.16188</v>
      </c>
      <c r="AX73">
        <v>169</v>
      </c>
      <c r="AY73" s="12" t="s">
        <v>724</v>
      </c>
      <c r="AZ73" s="2">
        <v>9.6168490000000002</v>
      </c>
      <c r="BE73">
        <v>169</v>
      </c>
      <c r="BF73" s="12" t="s">
        <v>724</v>
      </c>
      <c r="BG73" s="2">
        <v>14.44717</v>
      </c>
      <c r="BL73">
        <v>169</v>
      </c>
      <c r="BM73" s="12" t="s">
        <v>724</v>
      </c>
      <c r="BN73" s="2">
        <v>14.15076</v>
      </c>
      <c r="BS73">
        <v>169</v>
      </c>
      <c r="BT73" s="12" t="s">
        <v>724</v>
      </c>
      <c r="BU73" s="2">
        <v>18.817910000000001</v>
      </c>
      <c r="BZ73">
        <v>169</v>
      </c>
      <c r="CA73" s="12" t="s">
        <v>724</v>
      </c>
      <c r="CB73" s="2">
        <v>24.929729999999999</v>
      </c>
      <c r="CG73">
        <v>169</v>
      </c>
      <c r="CH73" s="12" t="s">
        <v>724</v>
      </c>
      <c r="CI73" s="2">
        <v>25.967179999999999</v>
      </c>
      <c r="CN73">
        <v>169</v>
      </c>
      <c r="CO73" s="12" t="s">
        <v>724</v>
      </c>
      <c r="CP73" s="2">
        <v>26.049589999999998</v>
      </c>
      <c r="CU73">
        <v>169</v>
      </c>
      <c r="CV73" s="12" t="s">
        <v>724</v>
      </c>
      <c r="CW73" s="2">
        <v>26.655290000000001</v>
      </c>
      <c r="DB73">
        <v>169</v>
      </c>
      <c r="DC73" s="12" t="s">
        <v>724</v>
      </c>
      <c r="DD73" s="2">
        <v>26.592479999999998</v>
      </c>
      <c r="DI73">
        <v>169</v>
      </c>
      <c r="DJ73" s="12" t="s">
        <v>724</v>
      </c>
      <c r="DK73" s="2">
        <v>25.987680000000001</v>
      </c>
      <c r="DP73">
        <v>169</v>
      </c>
      <c r="DQ73" s="12" t="s">
        <v>724</v>
      </c>
      <c r="DR73" s="2">
        <v>25.95797</v>
      </c>
      <c r="DW73">
        <v>169</v>
      </c>
      <c r="DX73" s="12" t="s">
        <v>724</v>
      </c>
      <c r="DY73" s="2">
        <v>25.945589999999999</v>
      </c>
      <c r="ED73">
        <v>169</v>
      </c>
      <c r="EE73" s="12" t="s">
        <v>724</v>
      </c>
      <c r="EF73" s="2">
        <v>23.797000000000001</v>
      </c>
      <c r="EK73">
        <v>169</v>
      </c>
      <c r="EL73" s="12" t="s">
        <v>724</v>
      </c>
      <c r="EM73" s="2">
        <v>22.8612</v>
      </c>
    </row>
    <row r="74" spans="1:143" x14ac:dyDescent="0.4">
      <c r="A74">
        <v>168</v>
      </c>
      <c r="B74" s="12" t="s">
        <v>1330</v>
      </c>
      <c r="C74" s="89"/>
      <c r="H74">
        <v>168</v>
      </c>
      <c r="I74" s="12" t="s">
        <v>1330</v>
      </c>
      <c r="J74" s="2">
        <v>3.801326</v>
      </c>
      <c r="O74">
        <v>168</v>
      </c>
      <c r="P74" s="12" t="s">
        <v>1330</v>
      </c>
      <c r="Q74" s="2">
        <v>5.4103139999999996</v>
      </c>
      <c r="V74">
        <v>168</v>
      </c>
      <c r="W74" s="12" t="s">
        <v>1330</v>
      </c>
      <c r="X74" s="2">
        <v>5.2329840000000001</v>
      </c>
      <c r="AC74">
        <v>168</v>
      </c>
      <c r="AD74" s="12" t="s">
        <v>1330</v>
      </c>
      <c r="AE74" s="2">
        <v>6.0176439999999998</v>
      </c>
      <c r="AJ74">
        <v>168</v>
      </c>
      <c r="AK74" s="12" t="s">
        <v>1330</v>
      </c>
      <c r="AL74" s="2">
        <v>6.4902369999999996</v>
      </c>
      <c r="AQ74">
        <v>168</v>
      </c>
      <c r="AR74" s="12" t="s">
        <v>1330</v>
      </c>
      <c r="AS74" s="2">
        <v>9.4696250000000006</v>
      </c>
      <c r="AX74">
        <v>168</v>
      </c>
      <c r="AY74" s="12" t="s">
        <v>1330</v>
      </c>
      <c r="AZ74" s="2">
        <v>8.8877860000000002</v>
      </c>
      <c r="BE74">
        <v>168</v>
      </c>
      <c r="BF74" s="12" t="s">
        <v>1330</v>
      </c>
      <c r="BG74" s="2">
        <v>13.681990000000001</v>
      </c>
      <c r="BL74">
        <v>168</v>
      </c>
      <c r="BM74" s="12" t="s">
        <v>1330</v>
      </c>
      <c r="BN74" s="2">
        <v>13.28157</v>
      </c>
      <c r="BS74">
        <v>168</v>
      </c>
      <c r="BT74" s="12" t="s">
        <v>1330</v>
      </c>
      <c r="BU74" s="2">
        <v>17.953659999999999</v>
      </c>
      <c r="BZ74">
        <v>168</v>
      </c>
      <c r="CA74" s="12" t="s">
        <v>1330</v>
      </c>
      <c r="CB74" s="2">
        <v>24.841899999999999</v>
      </c>
      <c r="CG74">
        <v>168</v>
      </c>
      <c r="CH74" s="12" t="s">
        <v>1330</v>
      </c>
      <c r="CI74" s="2">
        <v>25.764500000000002</v>
      </c>
      <c r="CN74">
        <v>168</v>
      </c>
      <c r="CO74" s="12" t="s">
        <v>1330</v>
      </c>
      <c r="CP74" s="2">
        <v>25.7576</v>
      </c>
      <c r="CU74">
        <v>168</v>
      </c>
      <c r="CV74" s="12" t="s">
        <v>1330</v>
      </c>
      <c r="CW74" s="2">
        <v>26.5002</v>
      </c>
      <c r="DB74">
        <v>168</v>
      </c>
      <c r="DC74" s="12" t="s">
        <v>1330</v>
      </c>
      <c r="DD74" s="2">
        <v>26.642140000000001</v>
      </c>
      <c r="DI74">
        <v>168</v>
      </c>
      <c r="DJ74" s="12" t="s">
        <v>1330</v>
      </c>
      <c r="DK74" s="2">
        <v>26.038740000000001</v>
      </c>
      <c r="DP74">
        <v>168</v>
      </c>
      <c r="DQ74" s="12" t="s">
        <v>1330</v>
      </c>
      <c r="DR74" s="2">
        <v>26.117999999999999</v>
      </c>
      <c r="DW74">
        <v>168</v>
      </c>
      <c r="DX74" s="12" t="s">
        <v>1330</v>
      </c>
      <c r="DY74" s="2">
        <v>25.93995</v>
      </c>
      <c r="ED74">
        <v>168</v>
      </c>
      <c r="EE74" s="12" t="s">
        <v>1330</v>
      </c>
      <c r="EF74" s="2">
        <v>24.02336</v>
      </c>
      <c r="EK74">
        <v>168</v>
      </c>
      <c r="EL74" s="12" t="s">
        <v>1330</v>
      </c>
      <c r="EM74" s="2">
        <v>23.028970000000001</v>
      </c>
    </row>
    <row r="75" spans="1:143" x14ac:dyDescent="0.4">
      <c r="A75">
        <v>167</v>
      </c>
      <c r="B75" s="12" t="s">
        <v>1330</v>
      </c>
      <c r="C75" s="89"/>
      <c r="H75">
        <v>167</v>
      </c>
      <c r="I75" s="12" t="s">
        <v>1330</v>
      </c>
      <c r="J75" s="2">
        <v>3.3752369999999998</v>
      </c>
      <c r="O75">
        <v>167</v>
      </c>
      <c r="P75" s="12" t="s">
        <v>1330</v>
      </c>
      <c r="Q75" s="2">
        <v>4.8489420000000001</v>
      </c>
      <c r="V75">
        <v>167</v>
      </c>
      <c r="W75" s="12" t="s">
        <v>1330</v>
      </c>
      <c r="X75" s="2">
        <v>4.6850649999999998</v>
      </c>
      <c r="AC75">
        <v>167</v>
      </c>
      <c r="AD75" s="12" t="s">
        <v>1330</v>
      </c>
      <c r="AE75" s="2">
        <v>5.4169619999999998</v>
      </c>
      <c r="AJ75">
        <v>167</v>
      </c>
      <c r="AK75" s="12" t="s">
        <v>1330</v>
      </c>
      <c r="AL75" s="2">
        <v>5.8984529999999999</v>
      </c>
      <c r="AQ75">
        <v>167</v>
      </c>
      <c r="AR75" s="12" t="s">
        <v>1330</v>
      </c>
      <c r="AS75" s="2">
        <v>8.6423649999999999</v>
      </c>
      <c r="AX75">
        <v>167</v>
      </c>
      <c r="AY75" s="12" t="s">
        <v>1330</v>
      </c>
      <c r="AZ75" s="2">
        <v>8.1590419999999995</v>
      </c>
      <c r="BE75">
        <v>167</v>
      </c>
      <c r="BF75" s="12" t="s">
        <v>1330</v>
      </c>
      <c r="BG75" s="2">
        <v>12.69876</v>
      </c>
      <c r="BL75">
        <v>167</v>
      </c>
      <c r="BM75" s="12" t="s">
        <v>1330</v>
      </c>
      <c r="BN75" s="2">
        <v>12.3957</v>
      </c>
      <c r="BS75">
        <v>167</v>
      </c>
      <c r="BT75" s="12" t="s">
        <v>1330</v>
      </c>
      <c r="BU75" s="2">
        <v>17.05997</v>
      </c>
      <c r="BZ75">
        <v>167</v>
      </c>
      <c r="CA75" s="12" t="s">
        <v>1330</v>
      </c>
      <c r="CB75" s="2">
        <v>24.297419999999999</v>
      </c>
      <c r="CG75">
        <v>167</v>
      </c>
      <c r="CH75" s="12" t="s">
        <v>1330</v>
      </c>
      <c r="CI75" s="2">
        <v>25.384060000000002</v>
      </c>
      <c r="CN75">
        <v>167</v>
      </c>
      <c r="CO75" s="12" t="s">
        <v>1330</v>
      </c>
      <c r="CP75" s="2">
        <v>25.512070000000001</v>
      </c>
      <c r="CU75">
        <v>167</v>
      </c>
      <c r="CV75" s="12" t="s">
        <v>1330</v>
      </c>
      <c r="CW75" s="2">
        <v>26.477709999999998</v>
      </c>
      <c r="DB75">
        <v>167</v>
      </c>
      <c r="DC75" s="12" t="s">
        <v>1330</v>
      </c>
      <c r="DD75" s="2">
        <v>26.613720000000001</v>
      </c>
      <c r="DI75">
        <v>167</v>
      </c>
      <c r="DJ75" s="12" t="s">
        <v>1330</v>
      </c>
      <c r="DK75" s="2">
        <v>26.178239999999999</v>
      </c>
      <c r="DP75">
        <v>167</v>
      </c>
      <c r="DQ75" s="12" t="s">
        <v>1330</v>
      </c>
      <c r="DR75" s="2">
        <v>26.267379999999999</v>
      </c>
      <c r="DW75">
        <v>167</v>
      </c>
      <c r="DX75" s="12" t="s">
        <v>1330</v>
      </c>
      <c r="DY75" s="2">
        <v>26.04401</v>
      </c>
      <c r="ED75">
        <v>167</v>
      </c>
      <c r="EE75" s="12" t="s">
        <v>1330</v>
      </c>
      <c r="EF75" s="2">
        <v>24.372440000000001</v>
      </c>
      <c r="EK75">
        <v>167</v>
      </c>
      <c r="EL75" s="12" t="s">
        <v>1330</v>
      </c>
      <c r="EM75" s="2">
        <v>23.485040000000001</v>
      </c>
    </row>
    <row r="76" spans="1:143" x14ac:dyDescent="0.4">
      <c r="A76">
        <v>166</v>
      </c>
      <c r="B76" s="12" t="s">
        <v>1330</v>
      </c>
      <c r="C76" s="89"/>
      <c r="H76">
        <v>166</v>
      </c>
      <c r="I76" s="12" t="s">
        <v>1330</v>
      </c>
      <c r="J76" s="2">
        <v>3.0633910000000002</v>
      </c>
      <c r="O76">
        <v>166</v>
      </c>
      <c r="P76" s="12" t="s">
        <v>1330</v>
      </c>
      <c r="Q76" s="2">
        <v>4.3682759999999998</v>
      </c>
      <c r="V76">
        <v>166</v>
      </c>
      <c r="W76" s="12" t="s">
        <v>1330</v>
      </c>
      <c r="X76" s="2">
        <v>4.2784979999999999</v>
      </c>
      <c r="AC76">
        <v>166</v>
      </c>
      <c r="AD76" s="12" t="s">
        <v>1330</v>
      </c>
      <c r="AE76" s="2">
        <v>4.9685509999999997</v>
      </c>
      <c r="AJ76">
        <v>166</v>
      </c>
      <c r="AK76" s="12" t="s">
        <v>1330</v>
      </c>
      <c r="AL76" s="2">
        <v>5.3915449999999998</v>
      </c>
      <c r="AQ76">
        <v>166</v>
      </c>
      <c r="AR76" s="12" t="s">
        <v>1330</v>
      </c>
      <c r="AS76" s="2">
        <v>8.0206049999999998</v>
      </c>
      <c r="AX76">
        <v>166</v>
      </c>
      <c r="AY76" s="12" t="s">
        <v>1330</v>
      </c>
      <c r="AZ76" s="2">
        <v>7.5254649999999996</v>
      </c>
      <c r="BE76">
        <v>166</v>
      </c>
      <c r="BF76" s="12" t="s">
        <v>1330</v>
      </c>
      <c r="BG76" s="2">
        <v>11.967079999999999</v>
      </c>
      <c r="BL76">
        <v>166</v>
      </c>
      <c r="BM76" s="12" t="s">
        <v>1330</v>
      </c>
      <c r="BN76" s="2">
        <v>11.60824</v>
      </c>
      <c r="BS76">
        <v>166</v>
      </c>
      <c r="BT76" s="12" t="s">
        <v>1330</v>
      </c>
      <c r="BU76" s="2">
        <v>16.24925</v>
      </c>
      <c r="BZ76">
        <v>166</v>
      </c>
      <c r="CA76" s="12" t="s">
        <v>1330</v>
      </c>
      <c r="CB76" s="2">
        <v>24.054760000000002</v>
      </c>
      <c r="CG76">
        <v>166</v>
      </c>
      <c r="CH76" s="12" t="s">
        <v>1330</v>
      </c>
      <c r="CI76" s="2">
        <v>25.112780000000001</v>
      </c>
      <c r="CN76">
        <v>166</v>
      </c>
      <c r="CO76" s="12" t="s">
        <v>1330</v>
      </c>
      <c r="CP76" s="2">
        <v>25.278199999999998</v>
      </c>
      <c r="CU76">
        <v>166</v>
      </c>
      <c r="CV76" s="12" t="s">
        <v>1330</v>
      </c>
      <c r="CW76" s="2">
        <v>26.394210000000001</v>
      </c>
      <c r="DB76">
        <v>166</v>
      </c>
      <c r="DC76" s="12" t="s">
        <v>1330</v>
      </c>
      <c r="DD76" s="2">
        <v>26.680070000000001</v>
      </c>
      <c r="DI76">
        <v>166</v>
      </c>
      <c r="DJ76" s="12" t="s">
        <v>1330</v>
      </c>
      <c r="DK76" s="2">
        <v>26.20834</v>
      </c>
      <c r="DP76">
        <v>166</v>
      </c>
      <c r="DQ76" s="12" t="s">
        <v>1330</v>
      </c>
      <c r="DR76" s="2">
        <v>26.243069999999999</v>
      </c>
      <c r="DW76">
        <v>166</v>
      </c>
      <c r="DX76" s="12" t="s">
        <v>1330</v>
      </c>
      <c r="DY76" s="2">
        <v>26.20196</v>
      </c>
      <c r="ED76">
        <v>166</v>
      </c>
      <c r="EE76" s="12" t="s">
        <v>1330</v>
      </c>
      <c r="EF76" s="2">
        <v>24.480139999999999</v>
      </c>
      <c r="EK76">
        <v>166</v>
      </c>
      <c r="EL76" s="12" t="s">
        <v>1330</v>
      </c>
      <c r="EM76" s="2">
        <v>23.5396</v>
      </c>
    </row>
    <row r="77" spans="1:143" x14ac:dyDescent="0.4">
      <c r="A77">
        <v>165</v>
      </c>
      <c r="B77" s="12" t="s">
        <v>1331</v>
      </c>
      <c r="C77" s="89"/>
      <c r="H77">
        <v>165</v>
      </c>
      <c r="I77" s="12" t="s">
        <v>1331</v>
      </c>
      <c r="J77" s="2">
        <v>2.743665</v>
      </c>
      <c r="O77">
        <v>165</v>
      </c>
      <c r="P77" s="12" t="s">
        <v>1331</v>
      </c>
      <c r="Q77" s="2">
        <v>3.972054</v>
      </c>
      <c r="V77">
        <v>165</v>
      </c>
      <c r="W77" s="12" t="s">
        <v>1331</v>
      </c>
      <c r="X77" s="2">
        <v>3.8561139999999998</v>
      </c>
      <c r="AC77">
        <v>165</v>
      </c>
      <c r="AD77" s="12" t="s">
        <v>1331</v>
      </c>
      <c r="AE77" s="2">
        <v>4.4975160000000001</v>
      </c>
      <c r="AJ77">
        <v>165</v>
      </c>
      <c r="AK77" s="12" t="s">
        <v>1331</v>
      </c>
      <c r="AL77" s="2">
        <v>4.898549</v>
      </c>
      <c r="AQ77">
        <v>165</v>
      </c>
      <c r="AR77" s="12" t="s">
        <v>1331</v>
      </c>
      <c r="AS77" s="2">
        <v>7.3445499999999999</v>
      </c>
      <c r="AX77">
        <v>165</v>
      </c>
      <c r="AY77" s="12" t="s">
        <v>1331</v>
      </c>
      <c r="AZ77" s="2">
        <v>6.8743559999999997</v>
      </c>
      <c r="BE77">
        <v>165</v>
      </c>
      <c r="BF77" s="12" t="s">
        <v>1331</v>
      </c>
      <c r="BG77" s="2">
        <v>11.126289999999999</v>
      </c>
      <c r="BL77">
        <v>165</v>
      </c>
      <c r="BM77" s="12" t="s">
        <v>1331</v>
      </c>
      <c r="BN77" s="2">
        <v>10.755890000000001</v>
      </c>
      <c r="BS77">
        <v>165</v>
      </c>
      <c r="BT77" s="12" t="s">
        <v>1331</v>
      </c>
      <c r="BU77" s="2">
        <v>15.30893</v>
      </c>
      <c r="BZ77">
        <v>165</v>
      </c>
      <c r="CA77" s="12" t="s">
        <v>1331</v>
      </c>
      <c r="CB77" s="2">
        <v>23.713889999999999</v>
      </c>
      <c r="CG77">
        <v>165</v>
      </c>
      <c r="CH77" s="12" t="s">
        <v>1331</v>
      </c>
      <c r="CI77" s="2">
        <v>24.714120000000001</v>
      </c>
      <c r="CN77">
        <v>165</v>
      </c>
      <c r="CO77" s="12" t="s">
        <v>1331</v>
      </c>
      <c r="CP77" s="2">
        <v>24.84779</v>
      </c>
      <c r="CU77">
        <v>165</v>
      </c>
      <c r="CV77" s="12" t="s">
        <v>1331</v>
      </c>
      <c r="CW77" s="2">
        <v>26.169519999999999</v>
      </c>
      <c r="DB77">
        <v>165</v>
      </c>
      <c r="DC77" s="12" t="s">
        <v>1331</v>
      </c>
      <c r="DD77" s="2">
        <v>26.639479999999999</v>
      </c>
      <c r="DI77">
        <v>165</v>
      </c>
      <c r="DJ77" s="12" t="s">
        <v>1331</v>
      </c>
      <c r="DK77" s="2">
        <v>26.22315</v>
      </c>
      <c r="DP77">
        <v>165</v>
      </c>
      <c r="DQ77" s="12" t="s">
        <v>1331</v>
      </c>
      <c r="DR77" s="2">
        <v>26.406040000000001</v>
      </c>
      <c r="DW77">
        <v>165</v>
      </c>
      <c r="DX77" s="12" t="s">
        <v>1331</v>
      </c>
      <c r="DY77" s="2">
        <v>26.360240000000001</v>
      </c>
      <c r="ED77">
        <v>165</v>
      </c>
      <c r="EE77" s="12" t="s">
        <v>1331</v>
      </c>
      <c r="EF77" s="2">
        <v>24.789200000000001</v>
      </c>
      <c r="EK77">
        <v>165</v>
      </c>
      <c r="EL77" s="12" t="s">
        <v>1331</v>
      </c>
      <c r="EM77" s="2">
        <v>23.934719999999999</v>
      </c>
    </row>
    <row r="78" spans="1:143" x14ac:dyDescent="0.4">
      <c r="A78">
        <v>164</v>
      </c>
      <c r="B78" s="12" t="s">
        <v>1332</v>
      </c>
      <c r="C78" s="89"/>
      <c r="H78">
        <v>164</v>
      </c>
      <c r="I78" s="12" t="s">
        <v>1332</v>
      </c>
      <c r="J78" s="2">
        <v>2.4572259999999999</v>
      </c>
      <c r="O78">
        <v>164</v>
      </c>
      <c r="P78" s="12" t="s">
        <v>1332</v>
      </c>
      <c r="Q78" s="2">
        <v>3.5638779999999999</v>
      </c>
      <c r="V78">
        <v>164</v>
      </c>
      <c r="W78" s="12" t="s">
        <v>1332</v>
      </c>
      <c r="X78" s="2">
        <v>3.4738669999999998</v>
      </c>
      <c r="AC78">
        <v>164</v>
      </c>
      <c r="AD78" s="12" t="s">
        <v>1332</v>
      </c>
      <c r="AE78" s="2">
        <v>4.0681880000000001</v>
      </c>
      <c r="AJ78">
        <v>164</v>
      </c>
      <c r="AK78" s="12" t="s">
        <v>1332</v>
      </c>
      <c r="AL78" s="2">
        <v>4.4440619999999997</v>
      </c>
      <c r="AQ78">
        <v>164</v>
      </c>
      <c r="AR78" s="12" t="s">
        <v>1332</v>
      </c>
      <c r="AS78" s="2">
        <v>6.7162629999999996</v>
      </c>
      <c r="AX78">
        <v>164</v>
      </c>
      <c r="AY78" s="12" t="s">
        <v>1332</v>
      </c>
      <c r="AZ78" s="2">
        <v>6.2947980000000001</v>
      </c>
      <c r="BE78">
        <v>164</v>
      </c>
      <c r="BF78" s="12" t="s">
        <v>1332</v>
      </c>
      <c r="BG78" s="2">
        <v>10.32375</v>
      </c>
      <c r="BL78">
        <v>164</v>
      </c>
      <c r="BM78" s="12" t="s">
        <v>1332</v>
      </c>
      <c r="BN78" s="2">
        <v>9.9912589999999994</v>
      </c>
      <c r="BS78">
        <v>164</v>
      </c>
      <c r="BT78" s="12" t="s">
        <v>1332</v>
      </c>
      <c r="BU78" s="2">
        <v>14.463649999999999</v>
      </c>
      <c r="BZ78">
        <v>164</v>
      </c>
      <c r="CA78" s="12" t="s">
        <v>1332</v>
      </c>
      <c r="CB78" s="2">
        <v>23.100670000000001</v>
      </c>
      <c r="CG78">
        <v>164</v>
      </c>
      <c r="CH78" s="12" t="s">
        <v>1332</v>
      </c>
      <c r="CI78" s="2">
        <v>24.279789999999998</v>
      </c>
      <c r="CN78">
        <v>164</v>
      </c>
      <c r="CO78" s="12" t="s">
        <v>1332</v>
      </c>
      <c r="CP78" s="2">
        <v>24.527460000000001</v>
      </c>
      <c r="CU78">
        <v>164</v>
      </c>
      <c r="CV78" s="12" t="s">
        <v>1332</v>
      </c>
      <c r="CW78" s="2">
        <v>26.049669999999999</v>
      </c>
      <c r="DB78">
        <v>164</v>
      </c>
      <c r="DC78" s="12" t="s">
        <v>1332</v>
      </c>
      <c r="DD78" s="2">
        <v>26.56334</v>
      </c>
      <c r="DI78">
        <v>164</v>
      </c>
      <c r="DJ78" s="12" t="s">
        <v>1332</v>
      </c>
      <c r="DK78" s="2">
        <v>26.25806</v>
      </c>
      <c r="DP78">
        <v>164</v>
      </c>
      <c r="DQ78" s="12" t="s">
        <v>1332</v>
      </c>
      <c r="DR78" s="2">
        <v>26.45861</v>
      </c>
      <c r="DW78">
        <v>164</v>
      </c>
      <c r="DX78" s="12" t="s">
        <v>1332</v>
      </c>
      <c r="DY78" s="2">
        <v>26.212679999999999</v>
      </c>
      <c r="ED78">
        <v>164</v>
      </c>
      <c r="EE78" s="12" t="s">
        <v>1332</v>
      </c>
      <c r="EF78" s="2">
        <v>24.9147</v>
      </c>
      <c r="EK78">
        <v>164</v>
      </c>
      <c r="EL78" s="12" t="s">
        <v>1332</v>
      </c>
      <c r="EM78" s="2">
        <v>23.965050000000002</v>
      </c>
    </row>
    <row r="79" spans="1:143" x14ac:dyDescent="0.4">
      <c r="A79">
        <v>163</v>
      </c>
      <c r="B79" s="12" t="s">
        <v>1332</v>
      </c>
      <c r="C79" s="89"/>
      <c r="H79">
        <v>163</v>
      </c>
      <c r="I79" s="12" t="s">
        <v>1332</v>
      </c>
      <c r="J79" s="2">
        <v>2.2279529999999999</v>
      </c>
      <c r="O79">
        <v>163</v>
      </c>
      <c r="P79" s="12" t="s">
        <v>1332</v>
      </c>
      <c r="Q79" s="2">
        <v>3.2376170000000002</v>
      </c>
      <c r="V79">
        <v>163</v>
      </c>
      <c r="W79" s="12" t="s">
        <v>1332</v>
      </c>
      <c r="X79" s="2">
        <v>3.163964</v>
      </c>
      <c r="AC79">
        <v>163</v>
      </c>
      <c r="AD79" s="12" t="s">
        <v>1332</v>
      </c>
      <c r="AE79" s="2">
        <v>3.7176079999999998</v>
      </c>
      <c r="AJ79">
        <v>163</v>
      </c>
      <c r="AK79" s="12" t="s">
        <v>1332</v>
      </c>
      <c r="AL79" s="2">
        <v>4.0467740000000001</v>
      </c>
      <c r="AQ79">
        <v>163</v>
      </c>
      <c r="AR79" s="12" t="s">
        <v>1332</v>
      </c>
      <c r="AS79" s="2">
        <v>6.1954219999999998</v>
      </c>
      <c r="AX79">
        <v>163</v>
      </c>
      <c r="AY79" s="12" t="s">
        <v>1332</v>
      </c>
      <c r="AZ79" s="2">
        <v>5.7689310000000003</v>
      </c>
      <c r="BE79">
        <v>163</v>
      </c>
      <c r="BF79" s="12" t="s">
        <v>1332</v>
      </c>
      <c r="BG79" s="2">
        <v>9.6503669999999993</v>
      </c>
      <c r="BL79">
        <v>163</v>
      </c>
      <c r="BM79" s="12" t="s">
        <v>1332</v>
      </c>
      <c r="BN79" s="2">
        <v>9.2749089999999992</v>
      </c>
      <c r="BS79">
        <v>163</v>
      </c>
      <c r="BT79" s="12" t="s">
        <v>1332</v>
      </c>
      <c r="BU79" s="2">
        <v>13.639060000000001</v>
      </c>
      <c r="BZ79">
        <v>163</v>
      </c>
      <c r="CA79" s="12" t="s">
        <v>1332</v>
      </c>
      <c r="CB79" s="2">
        <v>22.788740000000001</v>
      </c>
      <c r="CG79">
        <v>163</v>
      </c>
      <c r="CH79" s="12" t="s">
        <v>1332</v>
      </c>
      <c r="CI79" s="2">
        <v>23.896840000000001</v>
      </c>
      <c r="CN79">
        <v>163</v>
      </c>
      <c r="CO79" s="12" t="s">
        <v>1332</v>
      </c>
      <c r="CP79" s="2">
        <v>24.13749</v>
      </c>
      <c r="CU79">
        <v>163</v>
      </c>
      <c r="CV79" s="12" t="s">
        <v>1332</v>
      </c>
      <c r="CW79" s="2">
        <v>25.85209</v>
      </c>
      <c r="DB79">
        <v>163</v>
      </c>
      <c r="DC79" s="12" t="s">
        <v>1332</v>
      </c>
      <c r="DD79" s="2">
        <v>26.582540000000002</v>
      </c>
      <c r="DI79">
        <v>163</v>
      </c>
      <c r="DJ79" s="12" t="s">
        <v>1332</v>
      </c>
      <c r="DK79" s="2">
        <v>26.264019999999999</v>
      </c>
      <c r="DP79">
        <v>163</v>
      </c>
      <c r="DQ79" s="12" t="s">
        <v>1332</v>
      </c>
      <c r="DR79" s="2">
        <v>26.427869999999999</v>
      </c>
      <c r="DW79">
        <v>163</v>
      </c>
      <c r="DX79" s="12" t="s">
        <v>1332</v>
      </c>
      <c r="DY79" s="2">
        <v>26.391269999999999</v>
      </c>
      <c r="ED79">
        <v>163</v>
      </c>
      <c r="EE79" s="12" t="s">
        <v>1332</v>
      </c>
      <c r="EF79" s="2">
        <v>25.242650000000001</v>
      </c>
      <c r="EK79">
        <v>163</v>
      </c>
      <c r="EL79" s="12" t="s">
        <v>1332</v>
      </c>
      <c r="EM79" s="2">
        <v>24.447230000000001</v>
      </c>
    </row>
    <row r="80" spans="1:143" x14ac:dyDescent="0.4">
      <c r="A80">
        <v>162</v>
      </c>
      <c r="B80" s="12" t="s">
        <v>1332</v>
      </c>
      <c r="C80" s="89"/>
      <c r="H80">
        <v>162</v>
      </c>
      <c r="I80" s="12" t="s">
        <v>1332</v>
      </c>
      <c r="J80" s="2">
        <v>1.974947</v>
      </c>
      <c r="O80">
        <v>162</v>
      </c>
      <c r="P80" s="12" t="s">
        <v>1332</v>
      </c>
      <c r="Q80" s="2">
        <v>2.8852000000000002</v>
      </c>
      <c r="V80">
        <v>162</v>
      </c>
      <c r="W80" s="12" t="s">
        <v>1332</v>
      </c>
      <c r="X80" s="2">
        <v>2.820376</v>
      </c>
      <c r="AC80">
        <v>162</v>
      </c>
      <c r="AD80" s="12" t="s">
        <v>1332</v>
      </c>
      <c r="AE80" s="2">
        <v>3.3262779999999998</v>
      </c>
      <c r="AJ80">
        <v>162</v>
      </c>
      <c r="AK80" s="12" t="s">
        <v>1332</v>
      </c>
      <c r="AL80" s="2">
        <v>3.6475610000000001</v>
      </c>
      <c r="AQ80">
        <v>162</v>
      </c>
      <c r="AR80" s="12" t="s">
        <v>1332</v>
      </c>
      <c r="AS80" s="2">
        <v>5.5985719999999999</v>
      </c>
      <c r="AX80">
        <v>162</v>
      </c>
      <c r="AY80" s="12" t="s">
        <v>1332</v>
      </c>
      <c r="AZ80" s="2">
        <v>5.2298309999999999</v>
      </c>
      <c r="BE80">
        <v>162</v>
      </c>
      <c r="BF80" s="12" t="s">
        <v>1332</v>
      </c>
      <c r="BG80" s="2">
        <v>8.8398939999999993</v>
      </c>
      <c r="BL80">
        <v>162</v>
      </c>
      <c r="BM80" s="12" t="s">
        <v>1332</v>
      </c>
      <c r="BN80" s="2">
        <v>8.5155270000000005</v>
      </c>
      <c r="BS80">
        <v>162</v>
      </c>
      <c r="BT80" s="12" t="s">
        <v>1332</v>
      </c>
      <c r="BU80" s="2">
        <v>12.72503</v>
      </c>
      <c r="BZ80">
        <v>162</v>
      </c>
      <c r="CA80" s="12" t="s">
        <v>1332</v>
      </c>
      <c r="CB80" s="2">
        <v>22.077770000000001</v>
      </c>
      <c r="CG80">
        <v>162</v>
      </c>
      <c r="CH80" s="12" t="s">
        <v>1332</v>
      </c>
      <c r="CI80" s="2">
        <v>23.303920000000002</v>
      </c>
      <c r="CN80">
        <v>162</v>
      </c>
      <c r="CO80" s="12" t="s">
        <v>1332</v>
      </c>
      <c r="CP80" s="2">
        <v>23.603619999999999</v>
      </c>
      <c r="CU80">
        <v>162</v>
      </c>
      <c r="CV80" s="12" t="s">
        <v>1332</v>
      </c>
      <c r="CW80" s="2">
        <v>25.54055</v>
      </c>
      <c r="DB80">
        <v>162</v>
      </c>
      <c r="DC80" s="12" t="s">
        <v>1332</v>
      </c>
      <c r="DD80" s="2">
        <v>26.375350000000001</v>
      </c>
      <c r="DI80">
        <v>162</v>
      </c>
      <c r="DJ80" s="12" t="s">
        <v>1332</v>
      </c>
      <c r="DK80" s="2">
        <v>26.164290000000001</v>
      </c>
      <c r="DP80">
        <v>162</v>
      </c>
      <c r="DQ80" s="12" t="s">
        <v>1332</v>
      </c>
      <c r="DR80" s="2">
        <v>26.464200000000002</v>
      </c>
      <c r="DW80">
        <v>162</v>
      </c>
      <c r="DX80" s="12" t="s">
        <v>1332</v>
      </c>
      <c r="DY80" s="2">
        <v>26.458880000000001</v>
      </c>
      <c r="ED80">
        <v>162</v>
      </c>
      <c r="EE80" s="12" t="s">
        <v>1332</v>
      </c>
      <c r="EF80" s="2">
        <v>25.361460000000001</v>
      </c>
      <c r="EK80">
        <v>162</v>
      </c>
      <c r="EL80" s="12" t="s">
        <v>1332</v>
      </c>
      <c r="EM80" s="2">
        <v>24.635359999999999</v>
      </c>
    </row>
    <row r="81" spans="1:143" x14ac:dyDescent="0.4">
      <c r="A81">
        <v>161</v>
      </c>
      <c r="B81" s="12" t="s">
        <v>1332</v>
      </c>
      <c r="C81" s="89"/>
      <c r="H81">
        <v>161</v>
      </c>
      <c r="I81" s="12" t="s">
        <v>1332</v>
      </c>
      <c r="J81" s="2">
        <v>1.781558</v>
      </c>
      <c r="O81">
        <v>161</v>
      </c>
      <c r="P81" s="12" t="s">
        <v>1332</v>
      </c>
      <c r="Q81" s="2">
        <v>2.6069849999999999</v>
      </c>
      <c r="V81">
        <v>161</v>
      </c>
      <c r="W81" s="12" t="s">
        <v>1332</v>
      </c>
      <c r="X81" s="2">
        <v>2.5545770000000001</v>
      </c>
      <c r="AC81">
        <v>161</v>
      </c>
      <c r="AD81" s="12" t="s">
        <v>1332</v>
      </c>
      <c r="AE81" s="2">
        <v>3.02176</v>
      </c>
      <c r="AJ81">
        <v>161</v>
      </c>
      <c r="AK81" s="12" t="s">
        <v>1332</v>
      </c>
      <c r="AL81" s="2">
        <v>3.306667</v>
      </c>
      <c r="AQ81">
        <v>161</v>
      </c>
      <c r="AR81" s="12" t="s">
        <v>1332</v>
      </c>
      <c r="AS81" s="2">
        <v>5.1290880000000003</v>
      </c>
      <c r="AX81">
        <v>161</v>
      </c>
      <c r="AY81" s="12" t="s">
        <v>1332</v>
      </c>
      <c r="AZ81" s="2">
        <v>4.7745600000000001</v>
      </c>
      <c r="BE81">
        <v>161</v>
      </c>
      <c r="BF81" s="12" t="s">
        <v>1332</v>
      </c>
      <c r="BG81" s="2">
        <v>8.1982990000000004</v>
      </c>
      <c r="BL81">
        <v>161</v>
      </c>
      <c r="BM81" s="12" t="s">
        <v>1332</v>
      </c>
      <c r="BN81" s="2">
        <v>7.8676430000000002</v>
      </c>
      <c r="BS81">
        <v>161</v>
      </c>
      <c r="BT81" s="12" t="s">
        <v>1332</v>
      </c>
      <c r="BU81" s="2">
        <v>11.937799999999999</v>
      </c>
      <c r="BZ81">
        <v>161</v>
      </c>
      <c r="CA81" s="12" t="s">
        <v>1332</v>
      </c>
      <c r="CB81" s="2">
        <v>21.60641</v>
      </c>
      <c r="CG81">
        <v>161</v>
      </c>
      <c r="CH81" s="12" t="s">
        <v>1332</v>
      </c>
      <c r="CI81" s="2">
        <v>22.817139999999998</v>
      </c>
      <c r="CN81">
        <v>161</v>
      </c>
      <c r="CO81" s="12" t="s">
        <v>1332</v>
      </c>
      <c r="CP81" s="2">
        <v>23.180959999999999</v>
      </c>
      <c r="CU81">
        <v>161</v>
      </c>
      <c r="CV81" s="12" t="s">
        <v>1332</v>
      </c>
      <c r="CW81" s="2">
        <v>25.333410000000001</v>
      </c>
      <c r="DB81">
        <v>161</v>
      </c>
      <c r="DC81" s="12" t="s">
        <v>1332</v>
      </c>
      <c r="DD81" s="2">
        <v>26.294730000000001</v>
      </c>
      <c r="DI81">
        <v>161</v>
      </c>
      <c r="DJ81" s="12" t="s">
        <v>1332</v>
      </c>
      <c r="DK81" s="2">
        <v>26.148389999999999</v>
      </c>
      <c r="DP81">
        <v>161</v>
      </c>
      <c r="DQ81" s="12" t="s">
        <v>1332</v>
      </c>
      <c r="DR81" s="2">
        <v>26.484719999999999</v>
      </c>
      <c r="DW81">
        <v>161</v>
      </c>
      <c r="DX81" s="12" t="s">
        <v>1332</v>
      </c>
      <c r="DY81" s="2">
        <v>26.284300000000002</v>
      </c>
      <c r="ED81">
        <v>161</v>
      </c>
      <c r="EE81" s="12" t="s">
        <v>1332</v>
      </c>
      <c r="EF81" s="2">
        <v>25.50301</v>
      </c>
      <c r="EK81">
        <v>161</v>
      </c>
      <c r="EL81" s="12" t="s">
        <v>1332</v>
      </c>
      <c r="EM81" s="2">
        <v>24.877569999999999</v>
      </c>
    </row>
    <row r="82" spans="1:143" x14ac:dyDescent="0.4">
      <c r="A82">
        <v>160</v>
      </c>
      <c r="B82" s="12" t="s">
        <v>1333</v>
      </c>
      <c r="C82" s="89"/>
      <c r="H82">
        <v>160</v>
      </c>
      <c r="I82" s="12" t="s">
        <v>1333</v>
      </c>
      <c r="J82" s="2">
        <v>1.6047439999999999</v>
      </c>
      <c r="O82">
        <v>160</v>
      </c>
      <c r="P82" s="12" t="s">
        <v>1333</v>
      </c>
      <c r="Q82" s="2">
        <v>2.36741</v>
      </c>
      <c r="V82">
        <v>160</v>
      </c>
      <c r="W82" s="12" t="s">
        <v>1333</v>
      </c>
      <c r="X82" s="2">
        <v>2.3092450000000002</v>
      </c>
      <c r="AC82">
        <v>160</v>
      </c>
      <c r="AD82" s="12" t="s">
        <v>1333</v>
      </c>
      <c r="AE82" s="2">
        <v>2.7387630000000001</v>
      </c>
      <c r="AJ82">
        <v>160</v>
      </c>
      <c r="AK82" s="12" t="s">
        <v>1333</v>
      </c>
      <c r="AL82" s="2">
        <v>2.9929800000000002</v>
      </c>
      <c r="AQ82">
        <v>160</v>
      </c>
      <c r="AR82" s="12" t="s">
        <v>1333</v>
      </c>
      <c r="AS82" s="2">
        <v>4.6841809999999997</v>
      </c>
      <c r="AX82">
        <v>160</v>
      </c>
      <c r="AY82" s="12" t="s">
        <v>1333</v>
      </c>
      <c r="AZ82" s="2">
        <v>4.3318180000000002</v>
      </c>
      <c r="BE82">
        <v>160</v>
      </c>
      <c r="BF82" s="12" t="s">
        <v>1333</v>
      </c>
      <c r="BG82" s="2">
        <v>7.5722870000000002</v>
      </c>
      <c r="BL82">
        <v>160</v>
      </c>
      <c r="BM82" s="12" t="s">
        <v>1333</v>
      </c>
      <c r="BN82" s="2">
        <v>7.2134980000000004</v>
      </c>
      <c r="BS82">
        <v>160</v>
      </c>
      <c r="BT82" s="12" t="s">
        <v>1333</v>
      </c>
      <c r="BU82" s="2">
        <v>11.100720000000001</v>
      </c>
      <c r="BZ82">
        <v>160</v>
      </c>
      <c r="CA82" s="12" t="s">
        <v>1333</v>
      </c>
      <c r="CB82" s="2">
        <v>21.081209999999999</v>
      </c>
      <c r="CG82">
        <v>160</v>
      </c>
      <c r="CH82" s="12" t="s">
        <v>1333</v>
      </c>
      <c r="CI82" s="2">
        <v>22.250869999999999</v>
      </c>
      <c r="CN82">
        <v>160</v>
      </c>
      <c r="CO82" s="12" t="s">
        <v>1333</v>
      </c>
      <c r="CP82" s="2">
        <v>22.56325</v>
      </c>
      <c r="CU82">
        <v>160</v>
      </c>
      <c r="CV82" s="12" t="s">
        <v>1333</v>
      </c>
      <c r="CW82" s="2">
        <v>24.92296</v>
      </c>
      <c r="DB82">
        <v>160</v>
      </c>
      <c r="DC82" s="12" t="s">
        <v>1333</v>
      </c>
      <c r="DD82" s="2">
        <v>26.171250000000001</v>
      </c>
      <c r="DI82">
        <v>160</v>
      </c>
      <c r="DJ82" s="12" t="s">
        <v>1333</v>
      </c>
      <c r="DK82" s="2">
        <v>25.99954</v>
      </c>
      <c r="DP82">
        <v>160</v>
      </c>
      <c r="DQ82" s="12" t="s">
        <v>1333</v>
      </c>
      <c r="DR82" s="2">
        <v>26.325230000000001</v>
      </c>
      <c r="DW82">
        <v>160</v>
      </c>
      <c r="DX82" s="12" t="s">
        <v>1333</v>
      </c>
      <c r="DY82" s="2">
        <v>26.311990000000002</v>
      </c>
      <c r="ED82">
        <v>160</v>
      </c>
      <c r="EE82" s="12" t="s">
        <v>1333</v>
      </c>
      <c r="EF82" s="2">
        <v>25.639520000000001</v>
      </c>
      <c r="EK82">
        <v>160</v>
      </c>
      <c r="EL82" s="12" t="s">
        <v>1333</v>
      </c>
      <c r="EM82" s="2">
        <v>24.889389999999999</v>
      </c>
    </row>
    <row r="83" spans="1:143" x14ac:dyDescent="0.4">
      <c r="A83">
        <v>159</v>
      </c>
      <c r="B83" s="12" t="s">
        <v>724</v>
      </c>
      <c r="C83" s="89"/>
      <c r="H83">
        <v>159</v>
      </c>
      <c r="I83" s="12" t="s">
        <v>724</v>
      </c>
      <c r="J83" s="2">
        <v>1.423527</v>
      </c>
      <c r="O83">
        <v>159</v>
      </c>
      <c r="P83" s="12" t="s">
        <v>724</v>
      </c>
      <c r="Q83" s="2">
        <v>2.0990530000000001</v>
      </c>
      <c r="V83">
        <v>159</v>
      </c>
      <c r="W83" s="12" t="s">
        <v>724</v>
      </c>
      <c r="X83" s="2">
        <v>2.05762</v>
      </c>
      <c r="AC83">
        <v>159</v>
      </c>
      <c r="AD83" s="12" t="s">
        <v>724</v>
      </c>
      <c r="AE83" s="2">
        <v>2.447578</v>
      </c>
      <c r="AJ83">
        <v>159</v>
      </c>
      <c r="AK83" s="12" t="s">
        <v>724</v>
      </c>
      <c r="AL83" s="2">
        <v>2.6903869999999999</v>
      </c>
      <c r="AQ83">
        <v>159</v>
      </c>
      <c r="AR83" s="12" t="s">
        <v>724</v>
      </c>
      <c r="AS83" s="2">
        <v>4.2197870000000002</v>
      </c>
      <c r="AX83">
        <v>159</v>
      </c>
      <c r="AY83" s="12" t="s">
        <v>724</v>
      </c>
      <c r="AZ83" s="2">
        <v>3.923899</v>
      </c>
      <c r="BE83">
        <v>159</v>
      </c>
      <c r="BF83" s="12" t="s">
        <v>724</v>
      </c>
      <c r="BG83" s="2">
        <v>6.89994</v>
      </c>
      <c r="BL83">
        <v>159</v>
      </c>
      <c r="BM83" s="12" t="s">
        <v>724</v>
      </c>
      <c r="BN83" s="2">
        <v>6.6057170000000003</v>
      </c>
      <c r="BS83">
        <v>159</v>
      </c>
      <c r="BT83" s="12" t="s">
        <v>724</v>
      </c>
      <c r="BU83" s="2">
        <v>10.313879999999999</v>
      </c>
      <c r="BZ83">
        <v>159</v>
      </c>
      <c r="CA83" s="12" t="s">
        <v>724</v>
      </c>
      <c r="CB83" s="2">
        <v>20.27833</v>
      </c>
      <c r="CG83">
        <v>159</v>
      </c>
      <c r="CH83" s="12" t="s">
        <v>724</v>
      </c>
      <c r="CI83" s="2">
        <v>21.565650000000002</v>
      </c>
      <c r="CN83">
        <v>159</v>
      </c>
      <c r="CO83" s="12" t="s">
        <v>724</v>
      </c>
      <c r="CP83" s="2">
        <v>22.001290000000001</v>
      </c>
      <c r="CU83">
        <v>159</v>
      </c>
      <c r="CV83" s="12" t="s">
        <v>724</v>
      </c>
      <c r="CW83" s="2">
        <v>24.58736</v>
      </c>
      <c r="DB83">
        <v>159</v>
      </c>
      <c r="DC83" s="12" t="s">
        <v>724</v>
      </c>
      <c r="DD83" s="2">
        <v>25.865639999999999</v>
      </c>
      <c r="DI83">
        <v>159</v>
      </c>
      <c r="DJ83" s="12" t="s">
        <v>724</v>
      </c>
      <c r="DK83" s="2">
        <v>25.852329999999998</v>
      </c>
      <c r="DP83">
        <v>159</v>
      </c>
      <c r="DQ83" s="12" t="s">
        <v>724</v>
      </c>
      <c r="DR83" s="2">
        <v>26.29616</v>
      </c>
      <c r="DW83">
        <v>159</v>
      </c>
      <c r="DX83" s="12" t="s">
        <v>724</v>
      </c>
      <c r="DY83" s="2">
        <v>26.33004</v>
      </c>
      <c r="ED83">
        <v>159</v>
      </c>
      <c r="EE83" s="12" t="s">
        <v>724</v>
      </c>
      <c r="EF83" s="2">
        <v>25.79204</v>
      </c>
      <c r="EK83">
        <v>159</v>
      </c>
      <c r="EL83" s="12" t="s">
        <v>724</v>
      </c>
      <c r="EM83" s="2">
        <v>25.211169999999999</v>
      </c>
    </row>
    <row r="84" spans="1:143" x14ac:dyDescent="0.4">
      <c r="A84">
        <v>158</v>
      </c>
      <c r="B84" s="12" t="s">
        <v>1333</v>
      </c>
      <c r="C84" s="89"/>
      <c r="H84">
        <v>158</v>
      </c>
      <c r="I84" s="12" t="s">
        <v>1333</v>
      </c>
      <c r="J84" s="2">
        <v>1.287134</v>
      </c>
      <c r="O84">
        <v>158</v>
      </c>
      <c r="P84" s="12" t="s">
        <v>1333</v>
      </c>
      <c r="Q84" s="2">
        <v>1.9024449999999999</v>
      </c>
      <c r="V84">
        <v>158</v>
      </c>
      <c r="W84" s="12" t="s">
        <v>1333</v>
      </c>
      <c r="X84" s="2">
        <v>1.865761</v>
      </c>
      <c r="AC84">
        <v>158</v>
      </c>
      <c r="AD84" s="12" t="s">
        <v>1333</v>
      </c>
      <c r="AE84" s="2">
        <v>2.224135</v>
      </c>
      <c r="AJ84">
        <v>158</v>
      </c>
      <c r="AK84" s="12" t="s">
        <v>1333</v>
      </c>
      <c r="AL84" s="2">
        <v>2.436372</v>
      </c>
      <c r="AQ84">
        <v>158</v>
      </c>
      <c r="AR84" s="12" t="s">
        <v>1333</v>
      </c>
      <c r="AS84" s="2">
        <v>3.8590409999999999</v>
      </c>
      <c r="AX84">
        <v>158</v>
      </c>
      <c r="AY84" s="12" t="s">
        <v>1333</v>
      </c>
      <c r="AZ84" s="2">
        <v>3.5710510000000002</v>
      </c>
      <c r="BE84">
        <v>158</v>
      </c>
      <c r="BF84" s="12" t="s">
        <v>1333</v>
      </c>
      <c r="BG84" s="2">
        <v>6.3725040000000002</v>
      </c>
      <c r="BL84">
        <v>158</v>
      </c>
      <c r="BM84" s="12" t="s">
        <v>1333</v>
      </c>
      <c r="BN84" s="2">
        <v>6.0691699999999997</v>
      </c>
      <c r="BS84">
        <v>158</v>
      </c>
      <c r="BT84" s="12" t="s">
        <v>1333</v>
      </c>
      <c r="BU84" s="2">
        <v>9.6007169999999995</v>
      </c>
      <c r="BZ84">
        <v>158</v>
      </c>
      <c r="CA84" s="12" t="s">
        <v>1333</v>
      </c>
      <c r="CB84" s="2">
        <v>19.74455</v>
      </c>
      <c r="CG84">
        <v>158</v>
      </c>
      <c r="CH84" s="12" t="s">
        <v>1333</v>
      </c>
      <c r="CI84" s="2">
        <v>20.97776</v>
      </c>
      <c r="CN84">
        <v>158</v>
      </c>
      <c r="CO84" s="12" t="s">
        <v>1333</v>
      </c>
      <c r="CP84" s="2">
        <v>21.441469999999999</v>
      </c>
      <c r="CU84">
        <v>158</v>
      </c>
      <c r="CV84" s="12" t="s">
        <v>1333</v>
      </c>
      <c r="CW84" s="2">
        <v>24.239560000000001</v>
      </c>
      <c r="DB84">
        <v>158</v>
      </c>
      <c r="DC84" s="12" t="s">
        <v>1333</v>
      </c>
      <c r="DD84" s="2">
        <v>25.716719999999999</v>
      </c>
      <c r="DI84">
        <v>158</v>
      </c>
      <c r="DJ84" s="12" t="s">
        <v>1333</v>
      </c>
      <c r="DK84" s="2">
        <v>25.737539999999999</v>
      </c>
      <c r="DP84">
        <v>158</v>
      </c>
      <c r="DQ84" s="12" t="s">
        <v>1333</v>
      </c>
      <c r="DR84" s="2">
        <v>26.20664</v>
      </c>
      <c r="DW84">
        <v>158</v>
      </c>
      <c r="DX84" s="12" t="s">
        <v>1333</v>
      </c>
      <c r="DY84" s="2">
        <v>26.064240000000002</v>
      </c>
      <c r="ED84">
        <v>158</v>
      </c>
      <c r="EE84" s="12" t="s">
        <v>1333</v>
      </c>
      <c r="EF84" s="2">
        <v>25.785720000000001</v>
      </c>
      <c r="EK84">
        <v>158</v>
      </c>
      <c r="EL84" s="12" t="s">
        <v>1333</v>
      </c>
      <c r="EM84" s="2">
        <v>25.360669999999999</v>
      </c>
    </row>
    <row r="85" spans="1:143" x14ac:dyDescent="0.4">
      <c r="A85">
        <v>157</v>
      </c>
      <c r="B85" s="12" t="s">
        <v>1333</v>
      </c>
      <c r="C85" s="89"/>
      <c r="H85">
        <v>157</v>
      </c>
      <c r="I85" s="12" t="s">
        <v>1333</v>
      </c>
      <c r="J85" s="2">
        <v>1.1430530000000001</v>
      </c>
      <c r="O85">
        <v>157</v>
      </c>
      <c r="P85" s="12" t="s">
        <v>1333</v>
      </c>
      <c r="Q85" s="2">
        <v>1.6916910000000001</v>
      </c>
      <c r="V85">
        <v>157</v>
      </c>
      <c r="W85" s="12" t="s">
        <v>1333</v>
      </c>
      <c r="X85" s="2">
        <v>1.662833</v>
      </c>
      <c r="AC85">
        <v>157</v>
      </c>
      <c r="AD85" s="12" t="s">
        <v>1333</v>
      </c>
      <c r="AE85" s="2">
        <v>1.986991</v>
      </c>
      <c r="AJ85">
        <v>157</v>
      </c>
      <c r="AK85" s="12" t="s">
        <v>1333</v>
      </c>
      <c r="AL85" s="2">
        <v>2.186369</v>
      </c>
      <c r="AQ85">
        <v>157</v>
      </c>
      <c r="AR85" s="12" t="s">
        <v>1333</v>
      </c>
      <c r="AS85" s="2">
        <v>3.4704269999999999</v>
      </c>
      <c r="AX85">
        <v>157</v>
      </c>
      <c r="AY85" s="12" t="s">
        <v>1333</v>
      </c>
      <c r="AZ85" s="2">
        <v>3.2141519999999999</v>
      </c>
      <c r="BE85">
        <v>157</v>
      </c>
      <c r="BF85" s="12" t="s">
        <v>1333</v>
      </c>
      <c r="BG85" s="2">
        <v>5.7870860000000004</v>
      </c>
      <c r="BL85">
        <v>157</v>
      </c>
      <c r="BM85" s="12" t="s">
        <v>1333</v>
      </c>
      <c r="BN85" s="2">
        <v>5.5115230000000004</v>
      </c>
      <c r="BS85">
        <v>157</v>
      </c>
      <c r="BT85" s="12" t="s">
        <v>1333</v>
      </c>
      <c r="BU85" s="2">
        <v>8.8295650000000006</v>
      </c>
      <c r="BZ85">
        <v>157</v>
      </c>
      <c r="CA85" s="12" t="s">
        <v>1333</v>
      </c>
      <c r="CB85" s="2">
        <v>18.914899999999999</v>
      </c>
      <c r="CG85">
        <v>157</v>
      </c>
      <c r="CH85" s="12" t="s">
        <v>1333</v>
      </c>
      <c r="CI85" s="2">
        <v>20.202500000000001</v>
      </c>
      <c r="CN85">
        <v>157</v>
      </c>
      <c r="CO85" s="12" t="s">
        <v>1333</v>
      </c>
      <c r="CP85" s="2">
        <v>20.681850000000001</v>
      </c>
      <c r="CU85">
        <v>157</v>
      </c>
      <c r="CV85" s="12" t="s">
        <v>1333</v>
      </c>
      <c r="CW85" s="2">
        <v>23.685839999999999</v>
      </c>
      <c r="DB85">
        <v>157</v>
      </c>
      <c r="DC85" s="12" t="s">
        <v>1333</v>
      </c>
      <c r="DD85" s="2">
        <v>25.351310000000002</v>
      </c>
      <c r="DI85">
        <v>157</v>
      </c>
      <c r="DJ85" s="12" t="s">
        <v>1333</v>
      </c>
      <c r="DK85" s="2">
        <v>25.442710000000002</v>
      </c>
      <c r="DP85">
        <v>157</v>
      </c>
      <c r="DQ85" s="12" t="s">
        <v>1333</v>
      </c>
      <c r="DR85" s="2">
        <v>25.955970000000001</v>
      </c>
      <c r="DW85">
        <v>157</v>
      </c>
      <c r="DX85" s="12" t="s">
        <v>1333</v>
      </c>
      <c r="DY85" s="2">
        <v>26.005050000000001</v>
      </c>
      <c r="ED85">
        <v>157</v>
      </c>
      <c r="EE85" s="12" t="s">
        <v>1333</v>
      </c>
      <c r="EF85" s="2">
        <v>25.857410000000002</v>
      </c>
      <c r="EK85">
        <v>157</v>
      </c>
      <c r="EL85" s="12" t="s">
        <v>1333</v>
      </c>
      <c r="EM85" s="2">
        <v>25.293019999999999</v>
      </c>
    </row>
    <row r="86" spans="1:143" x14ac:dyDescent="0.4">
      <c r="A86">
        <v>156</v>
      </c>
      <c r="B86" s="12" t="s">
        <v>1333</v>
      </c>
      <c r="C86" s="89"/>
      <c r="H86">
        <v>156</v>
      </c>
      <c r="I86" s="12" t="s">
        <v>1333</v>
      </c>
      <c r="J86" s="2">
        <v>1.025353</v>
      </c>
      <c r="O86">
        <v>156</v>
      </c>
      <c r="P86" s="12" t="s">
        <v>1333</v>
      </c>
      <c r="Q86" s="2">
        <v>1.5231460000000001</v>
      </c>
      <c r="V86">
        <v>156</v>
      </c>
      <c r="W86" s="12" t="s">
        <v>1333</v>
      </c>
      <c r="X86" s="2">
        <v>1.495905</v>
      </c>
      <c r="AC86">
        <v>156</v>
      </c>
      <c r="AD86" s="12" t="s">
        <v>1333</v>
      </c>
      <c r="AE86" s="2">
        <v>1.791177</v>
      </c>
      <c r="AJ86">
        <v>156</v>
      </c>
      <c r="AK86" s="12" t="s">
        <v>1333</v>
      </c>
      <c r="AL86" s="2">
        <v>1.9698519999999999</v>
      </c>
      <c r="AQ86">
        <v>156</v>
      </c>
      <c r="AR86" s="12" t="s">
        <v>1333</v>
      </c>
      <c r="AS86" s="2">
        <v>3.14676</v>
      </c>
      <c r="AX86">
        <v>156</v>
      </c>
      <c r="AY86" s="12" t="s">
        <v>1333</v>
      </c>
      <c r="AZ86" s="2">
        <v>2.9117799999999998</v>
      </c>
      <c r="BE86">
        <v>156</v>
      </c>
      <c r="BF86" s="12" t="s">
        <v>1333</v>
      </c>
      <c r="BG86" s="2">
        <v>5.2945659999999997</v>
      </c>
      <c r="BL86">
        <v>156</v>
      </c>
      <c r="BM86" s="12" t="s">
        <v>1333</v>
      </c>
      <c r="BN86" s="2">
        <v>5.0363069999999999</v>
      </c>
      <c r="BS86">
        <v>156</v>
      </c>
      <c r="BT86" s="12" t="s">
        <v>1333</v>
      </c>
      <c r="BU86" s="2">
        <v>8.166938</v>
      </c>
      <c r="BZ86">
        <v>156</v>
      </c>
      <c r="CA86" s="12" t="s">
        <v>1333</v>
      </c>
      <c r="CB86" s="2">
        <v>18.228190000000001</v>
      </c>
      <c r="CG86">
        <v>156</v>
      </c>
      <c r="CH86" s="12" t="s">
        <v>1333</v>
      </c>
      <c r="CI86" s="2">
        <v>19.506699999999999</v>
      </c>
      <c r="CN86">
        <v>156</v>
      </c>
      <c r="CO86" s="12" t="s">
        <v>1333</v>
      </c>
      <c r="CP86" s="2">
        <v>20.05086</v>
      </c>
      <c r="CU86">
        <v>156</v>
      </c>
      <c r="CV86" s="12" t="s">
        <v>1333</v>
      </c>
      <c r="CW86" s="2">
        <v>23.27008</v>
      </c>
      <c r="DB86">
        <v>156</v>
      </c>
      <c r="DC86" s="12" t="s">
        <v>1333</v>
      </c>
      <c r="DD86" s="2">
        <v>25.06915</v>
      </c>
      <c r="DI86">
        <v>156</v>
      </c>
      <c r="DJ86" s="12" t="s">
        <v>1333</v>
      </c>
      <c r="DK86" s="2">
        <v>25.24793</v>
      </c>
      <c r="DP86">
        <v>156</v>
      </c>
      <c r="DQ86" s="12" t="s">
        <v>1333</v>
      </c>
      <c r="DR86" s="2">
        <v>25.853729999999999</v>
      </c>
      <c r="DW86">
        <v>156</v>
      </c>
      <c r="DX86" s="12" t="s">
        <v>1333</v>
      </c>
      <c r="DY86" s="2">
        <v>25.92184</v>
      </c>
      <c r="ED86">
        <v>156</v>
      </c>
      <c r="EE86" s="12" t="s">
        <v>1333</v>
      </c>
      <c r="EF86" s="2">
        <v>25.964169999999999</v>
      </c>
      <c r="EK86">
        <v>156</v>
      </c>
      <c r="EL86" s="12" t="s">
        <v>1333</v>
      </c>
      <c r="EM86" s="2">
        <v>25.482019999999999</v>
      </c>
    </row>
    <row r="87" spans="1:143" x14ac:dyDescent="0.4">
      <c r="A87">
        <v>155</v>
      </c>
      <c r="B87" s="12" t="s">
        <v>1333</v>
      </c>
      <c r="C87" s="89"/>
      <c r="H87">
        <v>155</v>
      </c>
      <c r="I87" s="12" t="s">
        <v>1333</v>
      </c>
      <c r="J87" s="2">
        <v>0.9258885</v>
      </c>
      <c r="O87">
        <v>155</v>
      </c>
      <c r="P87" s="12" t="s">
        <v>1333</v>
      </c>
      <c r="Q87" s="2">
        <v>1.3819220000000001</v>
      </c>
      <c r="V87">
        <v>155</v>
      </c>
      <c r="W87" s="12" t="s">
        <v>1333</v>
      </c>
      <c r="X87" s="2">
        <v>1.3534189999999999</v>
      </c>
      <c r="AC87">
        <v>155</v>
      </c>
      <c r="AD87" s="12" t="s">
        <v>1333</v>
      </c>
      <c r="AE87" s="2">
        <v>1.6230560000000001</v>
      </c>
      <c r="AJ87">
        <v>155</v>
      </c>
      <c r="AK87" s="12" t="s">
        <v>1333</v>
      </c>
      <c r="AL87" s="2">
        <v>1.779854</v>
      </c>
      <c r="AQ87">
        <v>155</v>
      </c>
      <c r="AR87" s="12" t="s">
        <v>1333</v>
      </c>
      <c r="AS87" s="2">
        <v>2.864887</v>
      </c>
      <c r="AX87">
        <v>155</v>
      </c>
      <c r="AY87" s="12" t="s">
        <v>1333</v>
      </c>
      <c r="AZ87" s="2">
        <v>2.6343359999999998</v>
      </c>
      <c r="BE87">
        <v>155</v>
      </c>
      <c r="BF87" s="12" t="s">
        <v>1333</v>
      </c>
      <c r="BG87" s="2">
        <v>4.857532</v>
      </c>
      <c r="BL87">
        <v>155</v>
      </c>
      <c r="BM87" s="12" t="s">
        <v>1333</v>
      </c>
      <c r="BN87" s="2">
        <v>4.588705</v>
      </c>
      <c r="BS87">
        <v>155</v>
      </c>
      <c r="BT87" s="12" t="s">
        <v>1333</v>
      </c>
      <c r="BU87" s="2">
        <v>7.5200990000000001</v>
      </c>
      <c r="BZ87">
        <v>155</v>
      </c>
      <c r="CA87" s="12" t="s">
        <v>1333</v>
      </c>
      <c r="CB87" s="2">
        <v>17.574149999999999</v>
      </c>
      <c r="CG87">
        <v>155</v>
      </c>
      <c r="CH87" s="12" t="s">
        <v>1333</v>
      </c>
      <c r="CI87" s="2">
        <v>18.804559999999999</v>
      </c>
      <c r="CN87">
        <v>155</v>
      </c>
      <c r="CO87" s="12" t="s">
        <v>1333</v>
      </c>
      <c r="CP87" s="2">
        <v>19.305309999999999</v>
      </c>
      <c r="CU87">
        <v>155</v>
      </c>
      <c r="CV87" s="12" t="s">
        <v>1333</v>
      </c>
      <c r="CW87" s="2">
        <v>22.70712</v>
      </c>
      <c r="DB87">
        <v>155</v>
      </c>
      <c r="DC87" s="12" t="s">
        <v>1333</v>
      </c>
      <c r="DD87" s="2">
        <v>24.783770000000001</v>
      </c>
      <c r="DI87">
        <v>155</v>
      </c>
      <c r="DJ87" s="12" t="s">
        <v>1333</v>
      </c>
      <c r="DK87" s="2">
        <v>25.001059999999999</v>
      </c>
      <c r="DP87">
        <v>155</v>
      </c>
      <c r="DQ87" s="12" t="s">
        <v>1333</v>
      </c>
      <c r="DR87" s="2">
        <v>25.59225</v>
      </c>
      <c r="DW87">
        <v>155</v>
      </c>
      <c r="DX87" s="12" t="s">
        <v>1333</v>
      </c>
      <c r="DY87" s="2">
        <v>25.58501</v>
      </c>
      <c r="ED87">
        <v>155</v>
      </c>
      <c r="EE87" s="12" t="s">
        <v>1333</v>
      </c>
      <c r="EF87" s="2">
        <v>25.89264</v>
      </c>
      <c r="EK87">
        <v>155</v>
      </c>
      <c r="EL87" s="12" t="s">
        <v>1333</v>
      </c>
      <c r="EM87" s="2">
        <v>25.652629999999998</v>
      </c>
    </row>
    <row r="88" spans="1:143" x14ac:dyDescent="0.4">
      <c r="A88">
        <v>154</v>
      </c>
      <c r="B88" s="12" t="s">
        <v>1334</v>
      </c>
      <c r="C88" s="89"/>
      <c r="H88">
        <v>154</v>
      </c>
      <c r="I88" s="12" t="s">
        <v>1334</v>
      </c>
      <c r="J88" s="2">
        <v>0.81823590000000002</v>
      </c>
      <c r="O88">
        <v>154</v>
      </c>
      <c r="P88" s="12" t="s">
        <v>1334</v>
      </c>
      <c r="Q88" s="2">
        <v>1.2193860000000001</v>
      </c>
      <c r="V88">
        <v>154</v>
      </c>
      <c r="W88" s="12" t="s">
        <v>1334</v>
      </c>
      <c r="X88" s="2">
        <v>1.2000599999999999</v>
      </c>
      <c r="AC88">
        <v>154</v>
      </c>
      <c r="AD88" s="12" t="s">
        <v>1334</v>
      </c>
      <c r="AE88" s="2">
        <v>1.4421919999999999</v>
      </c>
      <c r="AJ88">
        <v>154</v>
      </c>
      <c r="AK88" s="12" t="s">
        <v>1334</v>
      </c>
      <c r="AL88" s="2">
        <v>1.590076</v>
      </c>
      <c r="AQ88">
        <v>154</v>
      </c>
      <c r="AR88" s="12" t="s">
        <v>1334</v>
      </c>
      <c r="AS88" s="2">
        <v>2.5599820000000002</v>
      </c>
      <c r="AX88">
        <v>154</v>
      </c>
      <c r="AY88" s="12" t="s">
        <v>1334</v>
      </c>
      <c r="AZ88" s="2">
        <v>2.365815</v>
      </c>
      <c r="BE88">
        <v>154</v>
      </c>
      <c r="BF88" s="12" t="s">
        <v>1334</v>
      </c>
      <c r="BG88" s="2">
        <v>4.3764599999999998</v>
      </c>
      <c r="BL88">
        <v>154</v>
      </c>
      <c r="BM88" s="12" t="s">
        <v>1334</v>
      </c>
      <c r="BN88" s="2">
        <v>4.153162</v>
      </c>
      <c r="BS88">
        <v>154</v>
      </c>
      <c r="BT88" s="12" t="s">
        <v>1334</v>
      </c>
      <c r="BU88" s="2">
        <v>6.8827480000000003</v>
      </c>
      <c r="BZ88">
        <v>154</v>
      </c>
      <c r="CA88" s="12" t="s">
        <v>1334</v>
      </c>
      <c r="CB88" s="2">
        <v>16.660350000000001</v>
      </c>
      <c r="CG88">
        <v>154</v>
      </c>
      <c r="CH88" s="12" t="s">
        <v>1334</v>
      </c>
      <c r="CI88" s="2">
        <v>17.945640000000001</v>
      </c>
      <c r="CN88">
        <v>154</v>
      </c>
      <c r="CO88" s="12" t="s">
        <v>1334</v>
      </c>
      <c r="CP88" s="2">
        <v>18.528980000000001</v>
      </c>
      <c r="CU88">
        <v>154</v>
      </c>
      <c r="CV88" s="12" t="s">
        <v>1334</v>
      </c>
      <c r="CW88" s="2">
        <v>22.112359999999999</v>
      </c>
      <c r="DB88">
        <v>154</v>
      </c>
      <c r="DC88" s="12" t="s">
        <v>1334</v>
      </c>
      <c r="DD88" s="2">
        <v>24.272320000000001</v>
      </c>
      <c r="DI88">
        <v>154</v>
      </c>
      <c r="DJ88" s="12" t="s">
        <v>1334</v>
      </c>
      <c r="DK88" s="2">
        <v>24.603770000000001</v>
      </c>
      <c r="DP88">
        <v>154</v>
      </c>
      <c r="DQ88" s="12" t="s">
        <v>1334</v>
      </c>
      <c r="DR88" s="2">
        <v>25.31814</v>
      </c>
      <c r="DW88">
        <v>154</v>
      </c>
      <c r="DX88" s="12" t="s">
        <v>1334</v>
      </c>
      <c r="DY88" s="2">
        <v>25.460319999999999</v>
      </c>
      <c r="ED88">
        <v>154</v>
      </c>
      <c r="EE88" s="12" t="s">
        <v>1334</v>
      </c>
      <c r="EF88" s="2">
        <v>25.920739999999999</v>
      </c>
      <c r="EK88">
        <v>154</v>
      </c>
      <c r="EL88" s="12" t="s">
        <v>1334</v>
      </c>
      <c r="EM88" s="2">
        <v>25.64479</v>
      </c>
    </row>
    <row r="89" spans="1:143" x14ac:dyDescent="0.4">
      <c r="A89">
        <v>153</v>
      </c>
      <c r="B89" s="12" t="s">
        <v>724</v>
      </c>
      <c r="C89" s="89"/>
      <c r="H89">
        <v>153</v>
      </c>
      <c r="I89" s="12" t="s">
        <v>724</v>
      </c>
      <c r="J89" s="2">
        <v>0.73770999999999998</v>
      </c>
      <c r="O89">
        <v>153</v>
      </c>
      <c r="P89" s="12" t="s">
        <v>724</v>
      </c>
      <c r="Q89" s="2">
        <v>1.1032759999999999</v>
      </c>
      <c r="V89">
        <v>153</v>
      </c>
      <c r="W89" s="12" t="s">
        <v>724</v>
      </c>
      <c r="X89" s="2">
        <v>1.084017</v>
      </c>
      <c r="AC89">
        <v>153</v>
      </c>
      <c r="AD89" s="12" t="s">
        <v>724</v>
      </c>
      <c r="AE89" s="2">
        <v>1.304583</v>
      </c>
      <c r="AJ89">
        <v>153</v>
      </c>
      <c r="AK89" s="12" t="s">
        <v>724</v>
      </c>
      <c r="AL89" s="2">
        <v>1.4344110000000001</v>
      </c>
      <c r="AQ89">
        <v>153</v>
      </c>
      <c r="AR89" s="12" t="s">
        <v>724</v>
      </c>
      <c r="AS89" s="2">
        <v>2.3255270000000001</v>
      </c>
      <c r="AX89">
        <v>153</v>
      </c>
      <c r="AY89" s="12" t="s">
        <v>724</v>
      </c>
      <c r="AZ89" s="2">
        <v>2.1422599999999998</v>
      </c>
      <c r="BE89">
        <v>153</v>
      </c>
      <c r="BF89" s="12" t="s">
        <v>724</v>
      </c>
      <c r="BG89" s="2">
        <v>4.0029139999999996</v>
      </c>
      <c r="BL89">
        <v>153</v>
      </c>
      <c r="BM89" s="12" t="s">
        <v>724</v>
      </c>
      <c r="BN89" s="2">
        <v>3.78566</v>
      </c>
      <c r="BS89">
        <v>153</v>
      </c>
      <c r="BT89" s="12" t="s">
        <v>724</v>
      </c>
      <c r="BU89" s="2">
        <v>6.3353260000000002</v>
      </c>
      <c r="BZ89">
        <v>153</v>
      </c>
      <c r="CA89" s="12" t="s">
        <v>724</v>
      </c>
      <c r="CB89" s="2">
        <v>15.985239999999999</v>
      </c>
      <c r="CG89">
        <v>153</v>
      </c>
      <c r="CH89" s="12" t="s">
        <v>724</v>
      </c>
      <c r="CI89" s="2">
        <v>17.218979999999998</v>
      </c>
      <c r="CN89">
        <v>153</v>
      </c>
      <c r="CO89" s="12" t="s">
        <v>724</v>
      </c>
      <c r="CP89" s="2">
        <v>17.829460000000001</v>
      </c>
      <c r="CU89">
        <v>153</v>
      </c>
      <c r="CV89" s="12" t="s">
        <v>724</v>
      </c>
      <c r="CW89" s="2">
        <v>21.579149999999998</v>
      </c>
      <c r="DB89">
        <v>153</v>
      </c>
      <c r="DC89" s="12" t="s">
        <v>724</v>
      </c>
      <c r="DD89" s="2">
        <v>23.927029999999998</v>
      </c>
      <c r="DI89">
        <v>153</v>
      </c>
      <c r="DJ89" s="12" t="s">
        <v>724</v>
      </c>
      <c r="DK89" s="2">
        <v>24.31812</v>
      </c>
      <c r="DP89">
        <v>153</v>
      </c>
      <c r="DQ89" s="12" t="s">
        <v>724</v>
      </c>
      <c r="DR89" s="2">
        <v>25.104489999999998</v>
      </c>
      <c r="DW89">
        <v>153</v>
      </c>
      <c r="DX89" s="12" t="s">
        <v>724</v>
      </c>
      <c r="DY89" s="2">
        <v>25.161729999999999</v>
      </c>
      <c r="ED89">
        <v>153</v>
      </c>
      <c r="EE89" s="12" t="s">
        <v>724</v>
      </c>
      <c r="EF89" s="2">
        <v>25.93892</v>
      </c>
      <c r="EK89">
        <v>153</v>
      </c>
      <c r="EL89" s="12" t="s">
        <v>724</v>
      </c>
      <c r="EM89" s="2">
        <v>25.672540000000001</v>
      </c>
    </row>
    <row r="90" spans="1:143" x14ac:dyDescent="0.4">
      <c r="A90">
        <v>152</v>
      </c>
      <c r="B90" s="12" t="s">
        <v>1334</v>
      </c>
      <c r="C90" s="89"/>
      <c r="H90">
        <v>152</v>
      </c>
      <c r="I90" s="12" t="s">
        <v>1334</v>
      </c>
      <c r="J90" s="2">
        <v>0.65724959999999999</v>
      </c>
      <c r="O90">
        <v>152</v>
      </c>
      <c r="P90" s="12" t="s">
        <v>1334</v>
      </c>
      <c r="Q90" s="2">
        <v>0.98351200000000005</v>
      </c>
      <c r="V90">
        <v>152</v>
      </c>
      <c r="W90" s="12" t="s">
        <v>1334</v>
      </c>
      <c r="X90" s="2">
        <v>0.96789890000000001</v>
      </c>
      <c r="AC90">
        <v>152</v>
      </c>
      <c r="AD90" s="12" t="s">
        <v>1334</v>
      </c>
      <c r="AE90" s="2">
        <v>1.166566</v>
      </c>
      <c r="AJ90">
        <v>152</v>
      </c>
      <c r="AK90" s="12" t="s">
        <v>1334</v>
      </c>
      <c r="AL90" s="2">
        <v>1.2850999999999999</v>
      </c>
      <c r="AQ90">
        <v>152</v>
      </c>
      <c r="AR90" s="12" t="s">
        <v>1334</v>
      </c>
      <c r="AS90" s="2">
        <v>2.0881959999999999</v>
      </c>
      <c r="AX90">
        <v>152</v>
      </c>
      <c r="AY90" s="12" t="s">
        <v>1334</v>
      </c>
      <c r="AZ90" s="2">
        <v>1.9212149999999999</v>
      </c>
      <c r="BE90">
        <v>152</v>
      </c>
      <c r="BF90" s="12" t="s">
        <v>1334</v>
      </c>
      <c r="BG90" s="2">
        <v>3.6178900000000001</v>
      </c>
      <c r="BL90">
        <v>152</v>
      </c>
      <c r="BM90" s="12" t="s">
        <v>1334</v>
      </c>
      <c r="BN90" s="2">
        <v>3.4150559999999999</v>
      </c>
      <c r="BS90">
        <v>152</v>
      </c>
      <c r="BT90" s="12" t="s">
        <v>1334</v>
      </c>
      <c r="BU90" s="2">
        <v>5.7669629999999996</v>
      </c>
      <c r="BZ90">
        <v>152</v>
      </c>
      <c r="CA90" s="12" t="s">
        <v>1334</v>
      </c>
      <c r="CB90" s="2">
        <v>15.137409999999999</v>
      </c>
      <c r="CG90">
        <v>152</v>
      </c>
      <c r="CH90" s="12" t="s">
        <v>1334</v>
      </c>
      <c r="CI90" s="2">
        <v>16.3675</v>
      </c>
      <c r="CN90">
        <v>152</v>
      </c>
      <c r="CO90" s="12" t="s">
        <v>1334</v>
      </c>
      <c r="CP90" s="2">
        <v>16.961760000000002</v>
      </c>
      <c r="CU90">
        <v>152</v>
      </c>
      <c r="CV90" s="12" t="s">
        <v>1334</v>
      </c>
      <c r="CW90" s="2">
        <v>20.83456</v>
      </c>
      <c r="DB90">
        <v>152</v>
      </c>
      <c r="DC90" s="12" t="s">
        <v>1334</v>
      </c>
      <c r="DD90" s="2">
        <v>23.384920000000001</v>
      </c>
      <c r="DI90">
        <v>152</v>
      </c>
      <c r="DJ90" s="12" t="s">
        <v>1334</v>
      </c>
      <c r="DK90" s="2">
        <v>23.853010000000001</v>
      </c>
      <c r="DP90">
        <v>152</v>
      </c>
      <c r="DQ90" s="12" t="s">
        <v>1334</v>
      </c>
      <c r="DR90" s="2">
        <v>24.66807</v>
      </c>
      <c r="DW90">
        <v>152</v>
      </c>
      <c r="DX90" s="12" t="s">
        <v>1334</v>
      </c>
      <c r="DY90" s="2">
        <v>24.82084</v>
      </c>
      <c r="ED90">
        <v>152</v>
      </c>
      <c r="EE90" s="12" t="s">
        <v>1334</v>
      </c>
      <c r="EF90" s="2">
        <v>25.77909</v>
      </c>
      <c r="EK90">
        <v>152</v>
      </c>
      <c r="EL90" s="12" t="s">
        <v>1334</v>
      </c>
      <c r="EM90" s="2">
        <v>25.77664</v>
      </c>
    </row>
    <row r="91" spans="1:143" x14ac:dyDescent="0.4">
      <c r="A91">
        <v>151</v>
      </c>
      <c r="B91" s="12" t="s">
        <v>724</v>
      </c>
      <c r="C91" s="89"/>
      <c r="H91">
        <v>151</v>
      </c>
      <c r="I91" s="12" t="s">
        <v>724</v>
      </c>
      <c r="J91" s="2">
        <v>0.58674649999999995</v>
      </c>
      <c r="O91">
        <v>151</v>
      </c>
      <c r="P91" s="12" t="s">
        <v>724</v>
      </c>
      <c r="Q91" s="2">
        <v>0.8799903</v>
      </c>
      <c r="V91">
        <v>151</v>
      </c>
      <c r="W91" s="12" t="s">
        <v>724</v>
      </c>
      <c r="X91" s="2">
        <v>0.86599090000000001</v>
      </c>
      <c r="AC91">
        <v>151</v>
      </c>
      <c r="AD91" s="12" t="s">
        <v>724</v>
      </c>
      <c r="AE91" s="2">
        <v>1.0452790000000001</v>
      </c>
      <c r="AJ91">
        <v>151</v>
      </c>
      <c r="AK91" s="12" t="s">
        <v>724</v>
      </c>
      <c r="AL91" s="2">
        <v>1.1523490000000001</v>
      </c>
      <c r="AQ91">
        <v>151</v>
      </c>
      <c r="AR91" s="12" t="s">
        <v>724</v>
      </c>
      <c r="AS91" s="2">
        <v>1.878717</v>
      </c>
      <c r="AX91">
        <v>151</v>
      </c>
      <c r="AY91" s="12" t="s">
        <v>724</v>
      </c>
      <c r="AZ91" s="2">
        <v>1.7305779999999999</v>
      </c>
      <c r="BE91">
        <v>151</v>
      </c>
      <c r="BF91" s="12" t="s">
        <v>724</v>
      </c>
      <c r="BG91" s="2">
        <v>3.2753890000000001</v>
      </c>
      <c r="BL91">
        <v>151</v>
      </c>
      <c r="BM91" s="12" t="s">
        <v>724</v>
      </c>
      <c r="BN91" s="2">
        <v>3.094662</v>
      </c>
      <c r="BS91">
        <v>151</v>
      </c>
      <c r="BT91" s="12" t="s">
        <v>724</v>
      </c>
      <c r="BU91" s="2">
        <v>5.272519</v>
      </c>
      <c r="BZ91">
        <v>151</v>
      </c>
      <c r="CA91" s="12" t="s">
        <v>724</v>
      </c>
      <c r="CB91" s="2">
        <v>14.34309</v>
      </c>
      <c r="CG91">
        <v>151</v>
      </c>
      <c r="CH91" s="12" t="s">
        <v>724</v>
      </c>
      <c r="CI91" s="2">
        <v>15.55965</v>
      </c>
      <c r="CN91">
        <v>151</v>
      </c>
      <c r="CO91" s="12" t="s">
        <v>724</v>
      </c>
      <c r="CP91" s="2">
        <v>16.200990000000001</v>
      </c>
      <c r="CU91">
        <v>151</v>
      </c>
      <c r="CV91" s="12" t="s">
        <v>724</v>
      </c>
      <c r="CW91" s="2">
        <v>20.200009999999999</v>
      </c>
      <c r="DB91">
        <v>151</v>
      </c>
      <c r="DC91" s="12" t="s">
        <v>724</v>
      </c>
      <c r="DD91" s="2">
        <v>22.875389999999999</v>
      </c>
      <c r="DI91">
        <v>151</v>
      </c>
      <c r="DJ91" s="12" t="s">
        <v>724</v>
      </c>
      <c r="DK91" s="2">
        <v>23.436489999999999</v>
      </c>
      <c r="DP91">
        <v>151</v>
      </c>
      <c r="DQ91" s="12" t="s">
        <v>724</v>
      </c>
      <c r="DR91" s="2">
        <v>24.35811</v>
      </c>
      <c r="DW91">
        <v>151</v>
      </c>
      <c r="DX91" s="12" t="s">
        <v>724</v>
      </c>
      <c r="DY91" s="2">
        <v>24.593900000000001</v>
      </c>
      <c r="ED91">
        <v>151</v>
      </c>
      <c r="EE91" s="12" t="s">
        <v>724</v>
      </c>
      <c r="EF91" s="2">
        <v>25.76455</v>
      </c>
      <c r="EK91">
        <v>151</v>
      </c>
      <c r="EL91" s="12" t="s">
        <v>724</v>
      </c>
      <c r="EM91" s="2">
        <v>25.77901</v>
      </c>
    </row>
    <row r="92" spans="1:143" x14ac:dyDescent="0.4">
      <c r="A92">
        <v>150</v>
      </c>
      <c r="B92" s="12" t="s">
        <v>1334</v>
      </c>
      <c r="C92" s="89"/>
      <c r="H92">
        <v>150</v>
      </c>
      <c r="I92" s="12" t="s">
        <v>1334</v>
      </c>
      <c r="J92" s="2">
        <v>0.52984070000000005</v>
      </c>
      <c r="O92">
        <v>150</v>
      </c>
      <c r="P92" s="12" t="s">
        <v>1334</v>
      </c>
      <c r="Q92" s="2">
        <v>0.7977282</v>
      </c>
      <c r="V92">
        <v>150</v>
      </c>
      <c r="W92" s="12" t="s">
        <v>1334</v>
      </c>
      <c r="X92" s="2">
        <v>0.78293990000000002</v>
      </c>
      <c r="AC92">
        <v>150</v>
      </c>
      <c r="AD92" s="12" t="s">
        <v>1334</v>
      </c>
      <c r="AE92" s="2">
        <v>0.94593269999999996</v>
      </c>
      <c r="AJ92">
        <v>150</v>
      </c>
      <c r="AK92" s="12" t="s">
        <v>1334</v>
      </c>
      <c r="AL92" s="2">
        <v>1.0396970000000001</v>
      </c>
      <c r="AQ92">
        <v>150</v>
      </c>
      <c r="AR92" s="12" t="s">
        <v>1334</v>
      </c>
      <c r="AS92" s="2">
        <v>1.7052160000000001</v>
      </c>
      <c r="AX92">
        <v>150</v>
      </c>
      <c r="AY92" s="12" t="s">
        <v>1334</v>
      </c>
      <c r="AZ92" s="2">
        <v>1.563858</v>
      </c>
      <c r="BE92">
        <v>150</v>
      </c>
      <c r="BF92" s="12" t="s">
        <v>1334</v>
      </c>
      <c r="BG92" s="2">
        <v>2.9879660000000001</v>
      </c>
      <c r="BL92">
        <v>150</v>
      </c>
      <c r="BM92" s="12" t="s">
        <v>1334</v>
      </c>
      <c r="BN92" s="2">
        <v>2.8098920000000001</v>
      </c>
      <c r="BS92">
        <v>150</v>
      </c>
      <c r="BT92" s="12" t="s">
        <v>1334</v>
      </c>
      <c r="BU92" s="2">
        <v>4.8231669999999998</v>
      </c>
      <c r="BZ92">
        <v>150</v>
      </c>
      <c r="CA92" s="12" t="s">
        <v>1334</v>
      </c>
      <c r="CB92" s="2">
        <v>13.64357</v>
      </c>
      <c r="CG92">
        <v>150</v>
      </c>
      <c r="CH92" s="12" t="s">
        <v>1334</v>
      </c>
      <c r="CI92" s="2">
        <v>14.80302</v>
      </c>
      <c r="CN92">
        <v>150</v>
      </c>
      <c r="CO92" s="12" t="s">
        <v>1334</v>
      </c>
      <c r="CP92" s="2">
        <v>15.426819999999999</v>
      </c>
      <c r="CU92">
        <v>150</v>
      </c>
      <c r="CV92" s="12" t="s">
        <v>1334</v>
      </c>
      <c r="CW92" s="2">
        <v>19.51623</v>
      </c>
      <c r="DB92">
        <v>150</v>
      </c>
      <c r="DC92" s="12" t="s">
        <v>1334</v>
      </c>
      <c r="DD92" s="2">
        <v>22.398489999999999</v>
      </c>
      <c r="DI92">
        <v>150</v>
      </c>
      <c r="DJ92" s="12" t="s">
        <v>1334</v>
      </c>
      <c r="DK92" s="2">
        <v>23.014970000000002</v>
      </c>
      <c r="DP92">
        <v>150</v>
      </c>
      <c r="DQ92" s="12" t="s">
        <v>1334</v>
      </c>
      <c r="DR92" s="2">
        <v>23.97193</v>
      </c>
      <c r="DW92">
        <v>150</v>
      </c>
      <c r="DX92" s="12" t="s">
        <v>1334</v>
      </c>
      <c r="DY92" s="2">
        <v>24.0961</v>
      </c>
      <c r="ED92">
        <v>150</v>
      </c>
      <c r="EE92" s="12" t="s">
        <v>1334</v>
      </c>
      <c r="EF92" s="2">
        <v>25.651450000000001</v>
      </c>
      <c r="EK92">
        <v>150</v>
      </c>
      <c r="EL92" s="12" t="s">
        <v>1334</v>
      </c>
      <c r="EM92" s="2">
        <v>25.711410000000001</v>
      </c>
    </row>
    <row r="93" spans="1:143" x14ac:dyDescent="0.4">
      <c r="A93">
        <v>149</v>
      </c>
      <c r="B93" s="12" t="s">
        <v>1334</v>
      </c>
      <c r="C93" s="89"/>
      <c r="H93">
        <v>149</v>
      </c>
      <c r="I93" s="12" t="s">
        <v>1334</v>
      </c>
      <c r="J93" s="2">
        <v>0.46819870000000002</v>
      </c>
      <c r="O93">
        <v>149</v>
      </c>
      <c r="P93" s="12" t="s">
        <v>1334</v>
      </c>
      <c r="Q93" s="2">
        <v>0.70367480000000004</v>
      </c>
      <c r="V93">
        <v>149</v>
      </c>
      <c r="W93" s="12" t="s">
        <v>1334</v>
      </c>
      <c r="X93" s="2">
        <v>0.69349689999999997</v>
      </c>
      <c r="AC93">
        <v>149</v>
      </c>
      <c r="AD93" s="12" t="s">
        <v>1334</v>
      </c>
      <c r="AE93" s="2">
        <v>0.83908780000000005</v>
      </c>
      <c r="AJ93">
        <v>149</v>
      </c>
      <c r="AK93" s="12" t="s">
        <v>1334</v>
      </c>
      <c r="AL93" s="2">
        <v>0.9260216</v>
      </c>
      <c r="AQ93">
        <v>149</v>
      </c>
      <c r="AR93" s="12" t="s">
        <v>1334</v>
      </c>
      <c r="AS93" s="2">
        <v>1.518335</v>
      </c>
      <c r="AX93">
        <v>149</v>
      </c>
      <c r="AY93" s="12" t="s">
        <v>1334</v>
      </c>
      <c r="AZ93" s="2">
        <v>1.396461</v>
      </c>
      <c r="BE93">
        <v>149</v>
      </c>
      <c r="BF93" s="12" t="s">
        <v>1334</v>
      </c>
      <c r="BG93" s="2">
        <v>2.6753650000000002</v>
      </c>
      <c r="BL93">
        <v>149</v>
      </c>
      <c r="BM93" s="12" t="s">
        <v>1334</v>
      </c>
      <c r="BN93" s="2">
        <v>2.521979</v>
      </c>
      <c r="BS93">
        <v>149</v>
      </c>
      <c r="BT93" s="12" t="s">
        <v>1334</v>
      </c>
      <c r="BU93" s="2">
        <v>4.3627269999999996</v>
      </c>
      <c r="BZ93">
        <v>149</v>
      </c>
      <c r="CA93" s="12" t="s">
        <v>1334</v>
      </c>
      <c r="CB93" s="2">
        <v>12.744630000000001</v>
      </c>
      <c r="CG93">
        <v>149</v>
      </c>
      <c r="CH93" s="12" t="s">
        <v>1334</v>
      </c>
      <c r="CI93" s="2">
        <v>13.908379999999999</v>
      </c>
      <c r="CN93">
        <v>149</v>
      </c>
      <c r="CO93" s="12" t="s">
        <v>1334</v>
      </c>
      <c r="CP93" s="2">
        <v>14.55109</v>
      </c>
      <c r="CU93">
        <v>149</v>
      </c>
      <c r="CV93" s="12" t="s">
        <v>1334</v>
      </c>
      <c r="CW93" s="2">
        <v>18.70149</v>
      </c>
      <c r="DB93">
        <v>149</v>
      </c>
      <c r="DC93" s="12" t="s">
        <v>1334</v>
      </c>
      <c r="DD93" s="2">
        <v>21.68028</v>
      </c>
      <c r="DI93">
        <v>149</v>
      </c>
      <c r="DJ93" s="12" t="s">
        <v>1334</v>
      </c>
      <c r="DK93" s="2">
        <v>22.397839999999999</v>
      </c>
      <c r="DP93">
        <v>149</v>
      </c>
      <c r="DQ93" s="12" t="s">
        <v>1334</v>
      </c>
      <c r="DR93" s="2">
        <v>23.437760000000001</v>
      </c>
      <c r="DW93">
        <v>149</v>
      </c>
      <c r="DX93" s="12" t="s">
        <v>1334</v>
      </c>
      <c r="DY93" s="2">
        <v>23.730830000000001</v>
      </c>
      <c r="ED93">
        <v>149</v>
      </c>
      <c r="EE93" s="12" t="s">
        <v>1334</v>
      </c>
      <c r="EF93" s="2">
        <v>25.422809999999998</v>
      </c>
      <c r="EK93">
        <v>149</v>
      </c>
      <c r="EL93" s="12" t="s">
        <v>1334</v>
      </c>
      <c r="EM93" s="2">
        <v>25.71902</v>
      </c>
    </row>
    <row r="94" spans="1:143" x14ac:dyDescent="0.4">
      <c r="A94">
        <v>148</v>
      </c>
      <c r="B94" s="12" t="s">
        <v>1334</v>
      </c>
      <c r="C94" s="89"/>
      <c r="H94">
        <v>148</v>
      </c>
      <c r="I94" s="12" t="s">
        <v>1334</v>
      </c>
      <c r="J94" s="2">
        <v>0.4209888</v>
      </c>
      <c r="O94">
        <v>148</v>
      </c>
      <c r="P94" s="12" t="s">
        <v>1334</v>
      </c>
      <c r="Q94" s="2">
        <v>0.63485499999999995</v>
      </c>
      <c r="V94">
        <v>148</v>
      </c>
      <c r="W94" s="12" t="s">
        <v>1334</v>
      </c>
      <c r="X94" s="2">
        <v>0.62445099999999998</v>
      </c>
      <c r="AC94">
        <v>148</v>
      </c>
      <c r="AD94" s="12" t="s">
        <v>1334</v>
      </c>
      <c r="AE94" s="2">
        <v>0.75629559999999996</v>
      </c>
      <c r="AJ94">
        <v>148</v>
      </c>
      <c r="AK94" s="12" t="s">
        <v>1334</v>
      </c>
      <c r="AL94" s="2">
        <v>0.83305790000000002</v>
      </c>
      <c r="AQ94">
        <v>148</v>
      </c>
      <c r="AR94" s="12" t="s">
        <v>1334</v>
      </c>
      <c r="AS94" s="2">
        <v>1.3724400000000001</v>
      </c>
      <c r="AX94">
        <v>148</v>
      </c>
      <c r="AY94" s="12" t="s">
        <v>1334</v>
      </c>
      <c r="AZ94" s="2">
        <v>1.2600499999999999</v>
      </c>
      <c r="BE94">
        <v>148</v>
      </c>
      <c r="BF94" s="12" t="s">
        <v>1334</v>
      </c>
      <c r="BG94" s="2">
        <v>2.4294720000000001</v>
      </c>
      <c r="BL94">
        <v>148</v>
      </c>
      <c r="BM94" s="12" t="s">
        <v>1334</v>
      </c>
      <c r="BN94" s="2">
        <v>2.2858480000000001</v>
      </c>
      <c r="BS94">
        <v>148</v>
      </c>
      <c r="BT94" s="12" t="s">
        <v>1334</v>
      </c>
      <c r="BU94" s="2">
        <v>3.9813480000000001</v>
      </c>
      <c r="BZ94">
        <v>148</v>
      </c>
      <c r="CA94" s="12" t="s">
        <v>1334</v>
      </c>
      <c r="CB94" s="2">
        <v>12.03642</v>
      </c>
      <c r="CG94">
        <v>148</v>
      </c>
      <c r="CH94" s="12" t="s">
        <v>1334</v>
      </c>
      <c r="CI94" s="2">
        <v>13.146929999999999</v>
      </c>
      <c r="CN94">
        <v>148</v>
      </c>
      <c r="CO94" s="12" t="s">
        <v>1334</v>
      </c>
      <c r="CP94" s="2">
        <v>13.80095</v>
      </c>
      <c r="CU94">
        <v>148</v>
      </c>
      <c r="CV94" s="12" t="s">
        <v>1334</v>
      </c>
      <c r="CW94" s="2">
        <v>18.010660000000001</v>
      </c>
      <c r="DB94">
        <v>148</v>
      </c>
      <c r="DC94" s="12" t="s">
        <v>1334</v>
      </c>
      <c r="DD94" s="2">
        <v>21.118960000000001</v>
      </c>
      <c r="DI94">
        <v>148</v>
      </c>
      <c r="DJ94" s="12" t="s">
        <v>1334</v>
      </c>
      <c r="DK94" s="2">
        <v>21.90146</v>
      </c>
      <c r="DP94">
        <v>148</v>
      </c>
      <c r="DQ94" s="12" t="s">
        <v>1334</v>
      </c>
      <c r="DR94" s="2">
        <v>23.02148</v>
      </c>
      <c r="DW94">
        <v>148</v>
      </c>
      <c r="DX94" s="12" t="s">
        <v>1334</v>
      </c>
      <c r="DY94" s="2">
        <v>23.328299999999999</v>
      </c>
      <c r="ED94">
        <v>148</v>
      </c>
      <c r="EE94" s="12" t="s">
        <v>1334</v>
      </c>
      <c r="EF94" s="2">
        <v>25.30499</v>
      </c>
      <c r="EK94">
        <v>148</v>
      </c>
      <c r="EL94" s="12" t="s">
        <v>1334</v>
      </c>
      <c r="EM94" s="2">
        <v>25.567959999999999</v>
      </c>
    </row>
    <row r="95" spans="1:143" x14ac:dyDescent="0.4">
      <c r="A95">
        <v>147</v>
      </c>
      <c r="B95" s="12" t="s">
        <v>1334</v>
      </c>
      <c r="C95" s="89"/>
      <c r="H95">
        <v>147</v>
      </c>
      <c r="I95" s="12" t="s">
        <v>1334</v>
      </c>
      <c r="J95" s="2">
        <v>0.37637159999999997</v>
      </c>
      <c r="O95">
        <v>147</v>
      </c>
      <c r="P95" s="12" t="s">
        <v>1334</v>
      </c>
      <c r="Q95" s="2">
        <v>0.56831589999999998</v>
      </c>
      <c r="V95">
        <v>147</v>
      </c>
      <c r="W95" s="12" t="s">
        <v>1334</v>
      </c>
      <c r="X95" s="2">
        <v>0.55900439999999996</v>
      </c>
      <c r="AC95">
        <v>147</v>
      </c>
      <c r="AD95" s="12" t="s">
        <v>1334</v>
      </c>
      <c r="AE95" s="2">
        <v>0.67764020000000003</v>
      </c>
      <c r="AJ95">
        <v>147</v>
      </c>
      <c r="AK95" s="12" t="s">
        <v>1334</v>
      </c>
      <c r="AL95" s="2">
        <v>0.7464539</v>
      </c>
      <c r="AQ95">
        <v>147</v>
      </c>
      <c r="AR95" s="12" t="s">
        <v>1334</v>
      </c>
      <c r="AS95" s="2">
        <v>1.232874</v>
      </c>
      <c r="AX95">
        <v>147</v>
      </c>
      <c r="AY95" s="12" t="s">
        <v>1334</v>
      </c>
      <c r="AZ95" s="2">
        <v>1.1285860000000001</v>
      </c>
      <c r="BE95">
        <v>147</v>
      </c>
      <c r="BF95" s="12" t="s">
        <v>1334</v>
      </c>
      <c r="BG95" s="2">
        <v>2.1914989999999999</v>
      </c>
      <c r="BL95">
        <v>147</v>
      </c>
      <c r="BM95" s="12" t="s">
        <v>1334</v>
      </c>
      <c r="BN95" s="2">
        <v>2.0550350000000002</v>
      </c>
      <c r="BS95">
        <v>147</v>
      </c>
      <c r="BT95" s="12" t="s">
        <v>1334</v>
      </c>
      <c r="BU95" s="2">
        <v>3.6009630000000001</v>
      </c>
      <c r="BZ95">
        <v>147</v>
      </c>
      <c r="CA95" s="12" t="s">
        <v>1334</v>
      </c>
      <c r="CB95" s="2">
        <v>11.26737</v>
      </c>
      <c r="CG95">
        <v>147</v>
      </c>
      <c r="CH95" s="12" t="s">
        <v>1334</v>
      </c>
      <c r="CI95" s="2">
        <v>12.335229999999999</v>
      </c>
      <c r="CN95">
        <v>147</v>
      </c>
      <c r="CO95" s="12" t="s">
        <v>1334</v>
      </c>
      <c r="CP95" s="2">
        <v>12.952070000000001</v>
      </c>
      <c r="CU95">
        <v>147</v>
      </c>
      <c r="CV95" s="12" t="s">
        <v>1334</v>
      </c>
      <c r="CW95" s="2">
        <v>17.171810000000001</v>
      </c>
      <c r="DB95">
        <v>147</v>
      </c>
      <c r="DC95" s="12" t="s">
        <v>1334</v>
      </c>
      <c r="DD95" s="2">
        <v>20.429040000000001</v>
      </c>
      <c r="DI95">
        <v>147</v>
      </c>
      <c r="DJ95" s="12" t="s">
        <v>1334</v>
      </c>
      <c r="DK95" s="2">
        <v>21.27854</v>
      </c>
      <c r="DP95">
        <v>147</v>
      </c>
      <c r="DQ95" s="12" t="s">
        <v>1334</v>
      </c>
      <c r="DR95" s="2">
        <v>22.423590000000001</v>
      </c>
      <c r="DW95">
        <v>147</v>
      </c>
      <c r="DX95" s="12" t="s">
        <v>1334</v>
      </c>
      <c r="DY95" s="2">
        <v>22.735489999999999</v>
      </c>
      <c r="ED95">
        <v>147</v>
      </c>
      <c r="EE95" s="12" t="s">
        <v>1334</v>
      </c>
      <c r="EF95" s="2">
        <v>25.055140000000002</v>
      </c>
      <c r="EK95">
        <v>147</v>
      </c>
      <c r="EL95" s="12" t="s">
        <v>1334</v>
      </c>
      <c r="EM95" s="2">
        <v>25.506889999999999</v>
      </c>
    </row>
    <row r="96" spans="1:143" x14ac:dyDescent="0.4">
      <c r="A96">
        <v>146</v>
      </c>
      <c r="B96" s="12" t="s">
        <v>1335</v>
      </c>
      <c r="C96" s="89"/>
      <c r="H96">
        <v>146</v>
      </c>
      <c r="I96" s="12" t="s">
        <v>1335</v>
      </c>
      <c r="J96" s="2">
        <v>0.33468589999999998</v>
      </c>
      <c r="O96">
        <v>146</v>
      </c>
      <c r="P96" s="12" t="s">
        <v>1335</v>
      </c>
      <c r="Q96" s="2">
        <v>0.5056467</v>
      </c>
      <c r="V96">
        <v>146</v>
      </c>
      <c r="W96" s="12" t="s">
        <v>1335</v>
      </c>
      <c r="X96" s="2">
        <v>0.49800610000000001</v>
      </c>
      <c r="AC96">
        <v>146</v>
      </c>
      <c r="AD96" s="12" t="s">
        <v>1335</v>
      </c>
      <c r="AE96" s="2">
        <v>0.60437799999999997</v>
      </c>
      <c r="AJ96">
        <v>146</v>
      </c>
      <c r="AK96" s="12" t="s">
        <v>1335</v>
      </c>
      <c r="AL96" s="2">
        <v>0.66677109999999995</v>
      </c>
      <c r="AQ96">
        <v>146</v>
      </c>
      <c r="AR96" s="12" t="s">
        <v>1335</v>
      </c>
      <c r="AS96" s="2">
        <v>1.1028100000000001</v>
      </c>
      <c r="AX96">
        <v>146</v>
      </c>
      <c r="AY96" s="12" t="s">
        <v>1335</v>
      </c>
      <c r="AZ96" s="2">
        <v>1.012267</v>
      </c>
      <c r="BE96">
        <v>146</v>
      </c>
      <c r="BF96" s="12" t="s">
        <v>1335</v>
      </c>
      <c r="BG96" s="2">
        <v>1.96882</v>
      </c>
      <c r="BL96">
        <v>146</v>
      </c>
      <c r="BM96" s="12" t="s">
        <v>1335</v>
      </c>
      <c r="BN96" s="2">
        <v>1.850894</v>
      </c>
      <c r="BS96">
        <v>146</v>
      </c>
      <c r="BT96" s="12" t="s">
        <v>1335</v>
      </c>
      <c r="BU96" s="2">
        <v>3.2634319999999999</v>
      </c>
      <c r="BZ96">
        <v>146</v>
      </c>
      <c r="CA96" s="12" t="s">
        <v>1335</v>
      </c>
      <c r="CB96" s="2">
        <v>10.495889999999999</v>
      </c>
      <c r="CG96">
        <v>146</v>
      </c>
      <c r="CH96" s="12" t="s">
        <v>1335</v>
      </c>
      <c r="CI96" s="2">
        <v>11.53607</v>
      </c>
      <c r="CN96">
        <v>146</v>
      </c>
      <c r="CO96" s="12" t="s">
        <v>1335</v>
      </c>
      <c r="CP96" s="2">
        <v>12.174950000000001</v>
      </c>
      <c r="CU96">
        <v>146</v>
      </c>
      <c r="CV96" s="12" t="s">
        <v>1335</v>
      </c>
      <c r="CW96" s="2">
        <v>16.400649999999999</v>
      </c>
      <c r="DB96">
        <v>146</v>
      </c>
      <c r="DC96" s="12" t="s">
        <v>1335</v>
      </c>
      <c r="DD96" s="2">
        <v>19.701799999999999</v>
      </c>
      <c r="DI96">
        <v>146</v>
      </c>
      <c r="DJ96" s="12" t="s">
        <v>1335</v>
      </c>
      <c r="DK96" s="2">
        <v>20.63381</v>
      </c>
      <c r="DP96">
        <v>146</v>
      </c>
      <c r="DQ96" s="12" t="s">
        <v>1335</v>
      </c>
      <c r="DR96" s="2">
        <v>21.881039999999999</v>
      </c>
      <c r="DW96">
        <v>146</v>
      </c>
      <c r="DX96" s="12" t="s">
        <v>1335</v>
      </c>
      <c r="DY96" s="2">
        <v>22.297339999999998</v>
      </c>
      <c r="ED96">
        <v>146</v>
      </c>
      <c r="EE96" s="12" t="s">
        <v>1335</v>
      </c>
      <c r="EF96" s="2">
        <v>24.835049999999999</v>
      </c>
      <c r="EK96">
        <v>146</v>
      </c>
      <c r="EL96" s="12" t="s">
        <v>1335</v>
      </c>
      <c r="EM96" s="2">
        <v>25.48096</v>
      </c>
    </row>
    <row r="97" spans="1:143" x14ac:dyDescent="0.4">
      <c r="A97">
        <v>145</v>
      </c>
      <c r="B97" s="12" t="s">
        <v>1335</v>
      </c>
      <c r="C97" s="89"/>
      <c r="H97">
        <v>145</v>
      </c>
      <c r="I97" s="12" t="s">
        <v>1335</v>
      </c>
      <c r="J97" s="2">
        <v>0.3020332</v>
      </c>
      <c r="O97">
        <v>145</v>
      </c>
      <c r="P97" s="12" t="s">
        <v>1335</v>
      </c>
      <c r="Q97" s="2">
        <v>0.4578525</v>
      </c>
      <c r="V97">
        <v>145</v>
      </c>
      <c r="W97" s="12" t="s">
        <v>1335</v>
      </c>
      <c r="X97" s="2">
        <v>0.44979970000000002</v>
      </c>
      <c r="AC97">
        <v>145</v>
      </c>
      <c r="AD97" s="12" t="s">
        <v>1335</v>
      </c>
      <c r="AE97" s="2">
        <v>0.54622199999999999</v>
      </c>
      <c r="AJ97">
        <v>145</v>
      </c>
      <c r="AK97" s="12" t="s">
        <v>1335</v>
      </c>
      <c r="AL97" s="2">
        <v>0.60104150000000001</v>
      </c>
      <c r="AQ97">
        <v>145</v>
      </c>
      <c r="AR97" s="12" t="s">
        <v>1335</v>
      </c>
      <c r="AS97" s="2">
        <v>0.99862320000000004</v>
      </c>
      <c r="AX97">
        <v>145</v>
      </c>
      <c r="AY97" s="12" t="s">
        <v>1335</v>
      </c>
      <c r="AZ97" s="2">
        <v>0.91369630000000002</v>
      </c>
      <c r="BE97">
        <v>145</v>
      </c>
      <c r="BF97" s="12" t="s">
        <v>1335</v>
      </c>
      <c r="BG97" s="2">
        <v>1.7886839999999999</v>
      </c>
      <c r="BL97">
        <v>145</v>
      </c>
      <c r="BM97" s="12" t="s">
        <v>1335</v>
      </c>
      <c r="BN97" s="2">
        <v>1.6759759999999999</v>
      </c>
      <c r="BS97">
        <v>145</v>
      </c>
      <c r="BT97" s="12" t="s">
        <v>1335</v>
      </c>
      <c r="BU97" s="2">
        <v>2.9699450000000001</v>
      </c>
      <c r="BZ97">
        <v>145</v>
      </c>
      <c r="CA97" s="12" t="s">
        <v>1335</v>
      </c>
      <c r="CB97" s="2">
        <v>9.8489380000000004</v>
      </c>
      <c r="CG97">
        <v>145</v>
      </c>
      <c r="CH97" s="12" t="s">
        <v>1335</v>
      </c>
      <c r="CI97" s="2">
        <v>10.82869</v>
      </c>
      <c r="CN97">
        <v>145</v>
      </c>
      <c r="CO97" s="12" t="s">
        <v>1335</v>
      </c>
      <c r="CP97" s="2">
        <v>11.448650000000001</v>
      </c>
      <c r="CU97">
        <v>145</v>
      </c>
      <c r="CV97" s="12" t="s">
        <v>1335</v>
      </c>
      <c r="CW97" s="2">
        <v>15.6602</v>
      </c>
      <c r="DB97">
        <v>145</v>
      </c>
      <c r="DC97" s="12" t="s">
        <v>1335</v>
      </c>
      <c r="DD97" s="2">
        <v>19.06617</v>
      </c>
      <c r="DI97">
        <v>145</v>
      </c>
      <c r="DJ97" s="12" t="s">
        <v>1335</v>
      </c>
      <c r="DK97" s="2">
        <v>20.045940000000002</v>
      </c>
      <c r="DP97">
        <v>145</v>
      </c>
      <c r="DQ97" s="12" t="s">
        <v>1335</v>
      </c>
      <c r="DR97" s="2">
        <v>21.344940000000001</v>
      </c>
      <c r="DW97">
        <v>145</v>
      </c>
      <c r="DX97" s="12" t="s">
        <v>1335</v>
      </c>
      <c r="DY97" s="2">
        <v>21.675429999999999</v>
      </c>
      <c r="ED97">
        <v>145</v>
      </c>
      <c r="EE97" s="12" t="s">
        <v>1335</v>
      </c>
      <c r="EF97" s="2">
        <v>24.64189</v>
      </c>
      <c r="EK97">
        <v>145</v>
      </c>
      <c r="EL97" s="12" t="s">
        <v>1335</v>
      </c>
      <c r="EM97" s="2">
        <v>25.28905</v>
      </c>
    </row>
    <row r="98" spans="1:143" x14ac:dyDescent="0.4">
      <c r="A98">
        <v>144</v>
      </c>
      <c r="B98" s="12" t="s">
        <v>1335</v>
      </c>
      <c r="C98" s="89"/>
      <c r="H98">
        <v>144</v>
      </c>
      <c r="I98" s="12" t="s">
        <v>1335</v>
      </c>
      <c r="J98" s="2">
        <v>0.26716879999999998</v>
      </c>
      <c r="O98">
        <v>144</v>
      </c>
      <c r="P98" s="12" t="s">
        <v>1335</v>
      </c>
      <c r="Q98" s="2">
        <v>0.40449960000000001</v>
      </c>
      <c r="V98">
        <v>144</v>
      </c>
      <c r="W98" s="12" t="s">
        <v>1335</v>
      </c>
      <c r="X98" s="2">
        <v>0.39855970000000002</v>
      </c>
      <c r="AC98">
        <v>144</v>
      </c>
      <c r="AD98" s="12" t="s">
        <v>1335</v>
      </c>
      <c r="AE98" s="2">
        <v>0.48448799999999997</v>
      </c>
      <c r="AJ98">
        <v>144</v>
      </c>
      <c r="AK98" s="12" t="s">
        <v>1335</v>
      </c>
      <c r="AL98" s="2">
        <v>0.53456689999999996</v>
      </c>
      <c r="AQ98">
        <v>144</v>
      </c>
      <c r="AR98" s="12" t="s">
        <v>1335</v>
      </c>
      <c r="AS98" s="2">
        <v>0.88802499999999995</v>
      </c>
      <c r="AX98">
        <v>144</v>
      </c>
      <c r="AY98" s="12" t="s">
        <v>1335</v>
      </c>
      <c r="AZ98" s="2">
        <v>0.813666</v>
      </c>
      <c r="BE98">
        <v>144</v>
      </c>
      <c r="BF98" s="12" t="s">
        <v>1335</v>
      </c>
      <c r="BG98" s="2">
        <v>1.5964799999999999</v>
      </c>
      <c r="BL98">
        <v>144</v>
      </c>
      <c r="BM98" s="12" t="s">
        <v>1335</v>
      </c>
      <c r="BN98" s="2">
        <v>1.497519</v>
      </c>
      <c r="BS98">
        <v>144</v>
      </c>
      <c r="BT98" s="12" t="s">
        <v>1335</v>
      </c>
      <c r="BU98" s="2">
        <v>2.6674850000000001</v>
      </c>
      <c r="BZ98">
        <v>144</v>
      </c>
      <c r="CA98" s="12" t="s">
        <v>1335</v>
      </c>
      <c r="CB98" s="2">
        <v>9.0780429999999992</v>
      </c>
      <c r="CG98">
        <v>144</v>
      </c>
      <c r="CH98" s="12" t="s">
        <v>1335</v>
      </c>
      <c r="CI98" s="2">
        <v>10.02655</v>
      </c>
      <c r="CN98">
        <v>144</v>
      </c>
      <c r="CO98" s="12" t="s">
        <v>1335</v>
      </c>
      <c r="CP98" s="2">
        <v>10.628690000000001</v>
      </c>
      <c r="CU98">
        <v>144</v>
      </c>
      <c r="CV98" s="12" t="s">
        <v>1335</v>
      </c>
      <c r="CW98" s="2">
        <v>14.771430000000001</v>
      </c>
      <c r="DB98">
        <v>144</v>
      </c>
      <c r="DC98" s="12" t="s">
        <v>1335</v>
      </c>
      <c r="DD98" s="2">
        <v>18.2044</v>
      </c>
      <c r="DI98">
        <v>144</v>
      </c>
      <c r="DJ98" s="12" t="s">
        <v>1335</v>
      </c>
      <c r="DK98" s="2">
        <v>19.245809999999999</v>
      </c>
      <c r="DP98">
        <v>144</v>
      </c>
      <c r="DQ98" s="12" t="s">
        <v>1335</v>
      </c>
      <c r="DR98" s="2">
        <v>20.590800000000002</v>
      </c>
      <c r="DW98">
        <v>144</v>
      </c>
      <c r="DX98" s="12" t="s">
        <v>1335</v>
      </c>
      <c r="DY98" s="2">
        <v>21.059850000000001</v>
      </c>
      <c r="ED98">
        <v>144</v>
      </c>
      <c r="EE98" s="12" t="s">
        <v>1335</v>
      </c>
      <c r="EF98" s="2">
        <v>24.19481</v>
      </c>
      <c r="EK98">
        <v>144</v>
      </c>
      <c r="EL98" s="12" t="s">
        <v>1335</v>
      </c>
      <c r="EM98" s="2">
        <v>25.11505</v>
      </c>
    </row>
    <row r="99" spans="1:143" x14ac:dyDescent="0.4">
      <c r="A99">
        <v>143</v>
      </c>
      <c r="B99" s="12" t="s">
        <v>1335</v>
      </c>
      <c r="C99" s="89"/>
      <c r="H99">
        <v>143</v>
      </c>
      <c r="I99" s="12" t="s">
        <v>1335</v>
      </c>
      <c r="J99" s="2">
        <v>0.23968149999999999</v>
      </c>
      <c r="O99">
        <v>143</v>
      </c>
      <c r="P99" s="12" t="s">
        <v>1335</v>
      </c>
      <c r="Q99" s="2">
        <v>0.36382680000000001</v>
      </c>
      <c r="V99">
        <v>143</v>
      </c>
      <c r="W99" s="12" t="s">
        <v>1335</v>
      </c>
      <c r="X99" s="2">
        <v>0.3579715</v>
      </c>
      <c r="AC99">
        <v>143</v>
      </c>
      <c r="AD99" s="12" t="s">
        <v>1335</v>
      </c>
      <c r="AE99" s="2">
        <v>0.43547659999999999</v>
      </c>
      <c r="AJ99">
        <v>143</v>
      </c>
      <c r="AK99" s="12" t="s">
        <v>1335</v>
      </c>
      <c r="AL99" s="2">
        <v>0.47991349999999999</v>
      </c>
      <c r="AQ99">
        <v>143</v>
      </c>
      <c r="AR99" s="12" t="s">
        <v>1335</v>
      </c>
      <c r="AS99" s="2">
        <v>0.79981829999999998</v>
      </c>
      <c r="AX99">
        <v>143</v>
      </c>
      <c r="AY99" s="12" t="s">
        <v>1335</v>
      </c>
      <c r="AZ99" s="2">
        <v>0.73238130000000001</v>
      </c>
      <c r="BE99">
        <v>143</v>
      </c>
      <c r="BF99" s="12" t="s">
        <v>1335</v>
      </c>
      <c r="BG99" s="2">
        <v>1.4424269999999999</v>
      </c>
      <c r="BL99">
        <v>143</v>
      </c>
      <c r="BM99" s="12" t="s">
        <v>1335</v>
      </c>
      <c r="BN99" s="2">
        <v>1.352077</v>
      </c>
      <c r="BS99">
        <v>143</v>
      </c>
      <c r="BT99" s="12" t="s">
        <v>1335</v>
      </c>
      <c r="BU99" s="2">
        <v>2.4196339999999998</v>
      </c>
      <c r="BZ99">
        <v>143</v>
      </c>
      <c r="CA99" s="12" t="s">
        <v>1335</v>
      </c>
      <c r="CB99" s="2">
        <v>8.4487769999999998</v>
      </c>
      <c r="CG99">
        <v>143</v>
      </c>
      <c r="CH99" s="12" t="s">
        <v>1335</v>
      </c>
      <c r="CI99" s="2">
        <v>9.3430940000000007</v>
      </c>
      <c r="CN99">
        <v>143</v>
      </c>
      <c r="CO99" s="12" t="s">
        <v>1335</v>
      </c>
      <c r="CP99" s="2">
        <v>9.9382260000000002</v>
      </c>
      <c r="CU99">
        <v>143</v>
      </c>
      <c r="CV99" s="12" t="s">
        <v>1335</v>
      </c>
      <c r="CW99" s="2">
        <v>14.023400000000001</v>
      </c>
      <c r="DB99">
        <v>143</v>
      </c>
      <c r="DC99" s="12" t="s">
        <v>1335</v>
      </c>
      <c r="DD99" s="2">
        <v>17.491610000000001</v>
      </c>
      <c r="DI99">
        <v>143</v>
      </c>
      <c r="DJ99" s="12" t="s">
        <v>1335</v>
      </c>
      <c r="DK99" s="2">
        <v>18.575099999999999</v>
      </c>
      <c r="DP99">
        <v>143</v>
      </c>
      <c r="DQ99" s="12" t="s">
        <v>1335</v>
      </c>
      <c r="DR99" s="2">
        <v>19.98161</v>
      </c>
      <c r="DW99">
        <v>143</v>
      </c>
      <c r="DX99" s="12" t="s">
        <v>1335</v>
      </c>
      <c r="DY99" s="2">
        <v>20.499610000000001</v>
      </c>
      <c r="ED99">
        <v>143</v>
      </c>
      <c r="EE99" s="12" t="s">
        <v>1335</v>
      </c>
      <c r="EF99" s="2">
        <v>23.90334</v>
      </c>
      <c r="EK99">
        <v>143</v>
      </c>
      <c r="EL99" s="12" t="s">
        <v>1335</v>
      </c>
      <c r="EM99" s="2">
        <v>24.956900000000001</v>
      </c>
    </row>
    <row r="100" spans="1:143" x14ac:dyDescent="0.4">
      <c r="A100">
        <v>142</v>
      </c>
      <c r="B100" s="12" t="s">
        <v>1335</v>
      </c>
      <c r="C100" s="89"/>
      <c r="H100">
        <v>142</v>
      </c>
      <c r="I100" s="12" t="s">
        <v>1335</v>
      </c>
      <c r="J100" s="2">
        <v>0.21492839999999999</v>
      </c>
      <c r="O100">
        <v>142</v>
      </c>
      <c r="P100" s="12" t="s">
        <v>1335</v>
      </c>
      <c r="Q100" s="2">
        <v>0.32689000000000001</v>
      </c>
      <c r="V100">
        <v>142</v>
      </c>
      <c r="W100" s="12" t="s">
        <v>1335</v>
      </c>
      <c r="X100" s="2">
        <v>0.32125720000000002</v>
      </c>
      <c r="AC100">
        <v>142</v>
      </c>
      <c r="AD100" s="12" t="s">
        <v>1335</v>
      </c>
      <c r="AE100" s="2">
        <v>0.3910267</v>
      </c>
      <c r="AJ100">
        <v>142</v>
      </c>
      <c r="AK100" s="12" t="s">
        <v>1335</v>
      </c>
      <c r="AL100" s="2">
        <v>0.43049460000000001</v>
      </c>
      <c r="AQ100">
        <v>142</v>
      </c>
      <c r="AR100" s="12" t="s">
        <v>1335</v>
      </c>
      <c r="AS100" s="2">
        <v>0.71930879999999997</v>
      </c>
      <c r="AX100">
        <v>142</v>
      </c>
      <c r="AY100" s="12" t="s">
        <v>1335</v>
      </c>
      <c r="AZ100" s="2">
        <v>0.65595380000000003</v>
      </c>
      <c r="BE100">
        <v>142</v>
      </c>
      <c r="BF100" s="12" t="s">
        <v>1335</v>
      </c>
      <c r="BG100" s="2">
        <v>1.3005739999999999</v>
      </c>
      <c r="BL100">
        <v>142</v>
      </c>
      <c r="BM100" s="12" t="s">
        <v>1335</v>
      </c>
      <c r="BN100" s="2">
        <v>1.2138100000000001</v>
      </c>
      <c r="BS100">
        <v>142</v>
      </c>
      <c r="BT100" s="12" t="s">
        <v>1335</v>
      </c>
      <c r="BU100" s="2">
        <v>2.1805650000000001</v>
      </c>
      <c r="BZ100">
        <v>142</v>
      </c>
      <c r="CA100" s="12" t="s">
        <v>1335</v>
      </c>
      <c r="CB100" s="2">
        <v>7.8240939999999997</v>
      </c>
      <c r="CG100">
        <v>142</v>
      </c>
      <c r="CH100" s="12" t="s">
        <v>1335</v>
      </c>
      <c r="CI100" s="2">
        <v>8.6616759999999999</v>
      </c>
      <c r="CN100">
        <v>142</v>
      </c>
      <c r="CO100" s="12" t="s">
        <v>1335</v>
      </c>
      <c r="CP100" s="2">
        <v>9.2081350000000004</v>
      </c>
      <c r="CU100">
        <v>142</v>
      </c>
      <c r="CV100" s="12" t="s">
        <v>1335</v>
      </c>
      <c r="CW100" s="2">
        <v>13.18671</v>
      </c>
      <c r="DB100">
        <v>142</v>
      </c>
      <c r="DC100" s="12" t="s">
        <v>1335</v>
      </c>
      <c r="DD100" s="2">
        <v>16.703849999999999</v>
      </c>
      <c r="DI100">
        <v>142</v>
      </c>
      <c r="DJ100" s="12" t="s">
        <v>1335</v>
      </c>
      <c r="DK100" s="2">
        <v>17.814620000000001</v>
      </c>
      <c r="DP100">
        <v>142</v>
      </c>
      <c r="DQ100" s="12" t="s">
        <v>1335</v>
      </c>
      <c r="DR100" s="2">
        <v>19.210570000000001</v>
      </c>
      <c r="DW100">
        <v>142</v>
      </c>
      <c r="DX100" s="12" t="s">
        <v>1335</v>
      </c>
      <c r="DY100" s="2">
        <v>19.695039999999999</v>
      </c>
      <c r="ED100">
        <v>142</v>
      </c>
      <c r="EE100" s="12" t="s">
        <v>1335</v>
      </c>
      <c r="EF100" s="2">
        <v>23.415089999999999</v>
      </c>
      <c r="EK100">
        <v>142</v>
      </c>
      <c r="EL100" s="12" t="s">
        <v>1335</v>
      </c>
      <c r="EM100" s="2">
        <v>24.532409999999999</v>
      </c>
    </row>
    <row r="101" spans="1:143" x14ac:dyDescent="0.4">
      <c r="A101">
        <v>141</v>
      </c>
      <c r="B101" s="12" t="s">
        <v>724</v>
      </c>
      <c r="C101" s="89"/>
      <c r="H101">
        <v>141</v>
      </c>
      <c r="I101" s="12" t="s">
        <v>724</v>
      </c>
      <c r="J101" s="2">
        <v>0.19054199999999999</v>
      </c>
      <c r="O101">
        <v>141</v>
      </c>
      <c r="P101" s="12" t="s">
        <v>724</v>
      </c>
      <c r="Q101" s="2">
        <v>0.28970659999999998</v>
      </c>
      <c r="V101">
        <v>141</v>
      </c>
      <c r="W101" s="12" t="s">
        <v>724</v>
      </c>
      <c r="X101" s="2">
        <v>0.2852634</v>
      </c>
      <c r="AC101">
        <v>141</v>
      </c>
      <c r="AD101" s="12" t="s">
        <v>724</v>
      </c>
      <c r="AE101" s="2">
        <v>0.34753440000000002</v>
      </c>
      <c r="AJ101">
        <v>141</v>
      </c>
      <c r="AK101" s="12" t="s">
        <v>724</v>
      </c>
      <c r="AL101" s="2">
        <v>0.38330500000000001</v>
      </c>
      <c r="AQ101">
        <v>141</v>
      </c>
      <c r="AR101" s="12" t="s">
        <v>724</v>
      </c>
      <c r="AS101" s="2">
        <v>0.64072600000000002</v>
      </c>
      <c r="AX101">
        <v>141</v>
      </c>
      <c r="AY101" s="12" t="s">
        <v>724</v>
      </c>
      <c r="AZ101" s="2">
        <v>0.58644339999999995</v>
      </c>
      <c r="BE101">
        <v>141</v>
      </c>
      <c r="BF101" s="12" t="s">
        <v>724</v>
      </c>
      <c r="BG101" s="2">
        <v>1.162058</v>
      </c>
      <c r="BL101">
        <v>141</v>
      </c>
      <c r="BM101" s="12" t="s">
        <v>724</v>
      </c>
      <c r="BN101" s="2">
        <v>1.0884100000000001</v>
      </c>
      <c r="BS101">
        <v>141</v>
      </c>
      <c r="BT101" s="12" t="s">
        <v>724</v>
      </c>
      <c r="BU101" s="2">
        <v>1.9636910000000001</v>
      </c>
      <c r="BZ101">
        <v>141</v>
      </c>
      <c r="CA101" s="12" t="s">
        <v>724</v>
      </c>
      <c r="CB101" s="2">
        <v>7.180612</v>
      </c>
      <c r="CG101">
        <v>141</v>
      </c>
      <c r="CH101" s="12" t="s">
        <v>724</v>
      </c>
      <c r="CI101" s="2">
        <v>7.980048</v>
      </c>
      <c r="CN101">
        <v>141</v>
      </c>
      <c r="CO101" s="12" t="s">
        <v>724</v>
      </c>
      <c r="CP101" s="2">
        <v>8.5269999999999992</v>
      </c>
      <c r="CU101">
        <v>141</v>
      </c>
      <c r="CV101" s="12" t="s">
        <v>724</v>
      </c>
      <c r="CW101" s="2">
        <v>12.39425</v>
      </c>
      <c r="DB101">
        <v>141</v>
      </c>
      <c r="DC101" s="12" t="s">
        <v>724</v>
      </c>
      <c r="DD101" s="2">
        <v>15.85948</v>
      </c>
      <c r="DI101">
        <v>141</v>
      </c>
      <c r="DJ101" s="12" t="s">
        <v>724</v>
      </c>
      <c r="DK101" s="2">
        <v>17.013390000000001</v>
      </c>
      <c r="DP101">
        <v>141</v>
      </c>
      <c r="DQ101" s="12" t="s">
        <v>724</v>
      </c>
      <c r="DR101" s="2">
        <v>18.472899999999999</v>
      </c>
      <c r="DW101">
        <v>141</v>
      </c>
      <c r="DX101" s="12" t="s">
        <v>724</v>
      </c>
      <c r="DY101" s="2">
        <v>19.046320000000001</v>
      </c>
      <c r="ED101">
        <v>141</v>
      </c>
      <c r="EE101" s="12" t="s">
        <v>724</v>
      </c>
      <c r="EF101" s="2">
        <v>22.952970000000001</v>
      </c>
      <c r="EK101">
        <v>141</v>
      </c>
      <c r="EL101" s="12" t="s">
        <v>724</v>
      </c>
      <c r="EM101" s="2">
        <v>24.29205</v>
      </c>
    </row>
    <row r="102" spans="1:143" x14ac:dyDescent="0.4">
      <c r="A102">
        <v>140</v>
      </c>
      <c r="B102" s="12" t="s">
        <v>724</v>
      </c>
      <c r="C102" s="89"/>
      <c r="H102">
        <v>140</v>
      </c>
      <c r="I102" s="12" t="s">
        <v>724</v>
      </c>
      <c r="J102" s="2">
        <v>0.17182529999999999</v>
      </c>
      <c r="O102">
        <v>140</v>
      </c>
      <c r="P102" s="12" t="s">
        <v>724</v>
      </c>
      <c r="Q102" s="2">
        <v>0.26197520000000002</v>
      </c>
      <c r="V102">
        <v>140</v>
      </c>
      <c r="W102" s="12" t="s">
        <v>724</v>
      </c>
      <c r="X102" s="2">
        <v>0.25741799999999998</v>
      </c>
      <c r="AC102">
        <v>140</v>
      </c>
      <c r="AD102" s="12" t="s">
        <v>724</v>
      </c>
      <c r="AE102" s="2">
        <v>0.31375720000000001</v>
      </c>
      <c r="AJ102">
        <v>140</v>
      </c>
      <c r="AK102" s="12" t="s">
        <v>724</v>
      </c>
      <c r="AL102" s="2">
        <v>0.3453386</v>
      </c>
      <c r="AQ102">
        <v>140</v>
      </c>
      <c r="AR102" s="12" t="s">
        <v>724</v>
      </c>
      <c r="AS102" s="2">
        <v>0.57922439999999997</v>
      </c>
      <c r="AX102">
        <v>140</v>
      </c>
      <c r="AY102" s="12" t="s">
        <v>724</v>
      </c>
      <c r="AZ102" s="2">
        <v>0.52895119999999995</v>
      </c>
      <c r="BE102">
        <v>140</v>
      </c>
      <c r="BF102" s="12" t="s">
        <v>724</v>
      </c>
      <c r="BG102" s="2">
        <v>1.0527899999999999</v>
      </c>
      <c r="BL102">
        <v>140</v>
      </c>
      <c r="BM102" s="12" t="s">
        <v>724</v>
      </c>
      <c r="BN102" s="2">
        <v>0.98380219999999996</v>
      </c>
      <c r="BS102">
        <v>140</v>
      </c>
      <c r="BT102" s="12" t="s">
        <v>724</v>
      </c>
      <c r="BU102" s="2">
        <v>1.7808459999999999</v>
      </c>
      <c r="BZ102">
        <v>140</v>
      </c>
      <c r="CA102" s="12" t="s">
        <v>724</v>
      </c>
      <c r="CB102" s="2">
        <v>6.6571020000000001</v>
      </c>
      <c r="CG102">
        <v>140</v>
      </c>
      <c r="CH102" s="12" t="s">
        <v>724</v>
      </c>
      <c r="CI102" s="2">
        <v>7.4004349999999999</v>
      </c>
      <c r="CN102">
        <v>140</v>
      </c>
      <c r="CO102" s="12" t="s">
        <v>724</v>
      </c>
      <c r="CP102" s="2">
        <v>7.9217909999999998</v>
      </c>
      <c r="CU102">
        <v>140</v>
      </c>
      <c r="CV102" s="12" t="s">
        <v>724</v>
      </c>
      <c r="CW102" s="2">
        <v>11.674099999999999</v>
      </c>
      <c r="DB102">
        <v>140</v>
      </c>
      <c r="DC102" s="12" t="s">
        <v>724</v>
      </c>
      <c r="DD102" s="2">
        <v>15.135579999999999</v>
      </c>
      <c r="DI102">
        <v>140</v>
      </c>
      <c r="DJ102" s="12" t="s">
        <v>724</v>
      </c>
      <c r="DK102" s="2">
        <v>16.306529999999999</v>
      </c>
      <c r="DP102">
        <v>140</v>
      </c>
      <c r="DQ102" s="12" t="s">
        <v>724</v>
      </c>
      <c r="DR102" s="2">
        <v>17.787210000000002</v>
      </c>
      <c r="DW102">
        <v>140</v>
      </c>
      <c r="DX102" s="12" t="s">
        <v>724</v>
      </c>
      <c r="DY102" s="2">
        <v>18.30911</v>
      </c>
      <c r="ED102">
        <v>140</v>
      </c>
      <c r="EE102" s="12" t="s">
        <v>724</v>
      </c>
      <c r="EF102" s="2">
        <v>22.52833</v>
      </c>
      <c r="EK102">
        <v>140</v>
      </c>
      <c r="EL102" s="12" t="s">
        <v>724</v>
      </c>
      <c r="EM102" s="2">
        <v>23.881810000000002</v>
      </c>
    </row>
    <row r="103" spans="1:143" x14ac:dyDescent="0.4">
      <c r="A103">
        <v>139</v>
      </c>
      <c r="B103" s="12" t="s">
        <v>724</v>
      </c>
      <c r="C103" s="89"/>
      <c r="H103">
        <v>139</v>
      </c>
      <c r="I103" s="12" t="s">
        <v>724</v>
      </c>
      <c r="J103" s="2">
        <v>0.1521633</v>
      </c>
      <c r="O103">
        <v>139</v>
      </c>
      <c r="P103" s="12" t="s">
        <v>724</v>
      </c>
      <c r="Q103" s="2">
        <v>0.23187070000000001</v>
      </c>
      <c r="V103">
        <v>139</v>
      </c>
      <c r="W103" s="12" t="s">
        <v>724</v>
      </c>
      <c r="X103" s="2">
        <v>0.2282556</v>
      </c>
      <c r="AC103">
        <v>139</v>
      </c>
      <c r="AD103" s="12" t="s">
        <v>724</v>
      </c>
      <c r="AE103" s="2">
        <v>0.27841690000000002</v>
      </c>
      <c r="AJ103">
        <v>139</v>
      </c>
      <c r="AK103" s="12" t="s">
        <v>724</v>
      </c>
      <c r="AL103" s="2">
        <v>0.30695319999999998</v>
      </c>
      <c r="AQ103">
        <v>139</v>
      </c>
      <c r="AR103" s="12" t="s">
        <v>724</v>
      </c>
      <c r="AS103" s="2">
        <v>0.51490210000000003</v>
      </c>
      <c r="AX103">
        <v>139</v>
      </c>
      <c r="AY103" s="12" t="s">
        <v>724</v>
      </c>
      <c r="AZ103" s="2">
        <v>0.47036220000000001</v>
      </c>
      <c r="BE103">
        <v>139</v>
      </c>
      <c r="BF103" s="12" t="s">
        <v>724</v>
      </c>
      <c r="BG103" s="2">
        <v>0.93820970000000004</v>
      </c>
      <c r="BL103">
        <v>139</v>
      </c>
      <c r="BM103" s="12" t="s">
        <v>724</v>
      </c>
      <c r="BN103" s="2">
        <v>0.87683120000000003</v>
      </c>
      <c r="BS103">
        <v>139</v>
      </c>
      <c r="BT103" s="12" t="s">
        <v>724</v>
      </c>
      <c r="BU103" s="2">
        <v>1.5926880000000001</v>
      </c>
      <c r="BZ103">
        <v>139</v>
      </c>
      <c r="CA103" s="12" t="s">
        <v>724</v>
      </c>
      <c r="CB103" s="2">
        <v>6.0697270000000003</v>
      </c>
      <c r="CG103">
        <v>139</v>
      </c>
      <c r="CH103" s="12" t="s">
        <v>724</v>
      </c>
      <c r="CI103" s="2">
        <v>6.7691520000000001</v>
      </c>
      <c r="CN103">
        <v>139</v>
      </c>
      <c r="CO103" s="12" t="s">
        <v>724</v>
      </c>
      <c r="CP103" s="2">
        <v>7.2581480000000003</v>
      </c>
      <c r="CU103">
        <v>139</v>
      </c>
      <c r="CV103" s="12" t="s">
        <v>724</v>
      </c>
      <c r="CW103" s="2">
        <v>10.84661</v>
      </c>
      <c r="DB103">
        <v>139</v>
      </c>
      <c r="DC103" s="12" t="s">
        <v>724</v>
      </c>
      <c r="DD103" s="2">
        <v>14.244630000000001</v>
      </c>
      <c r="DI103">
        <v>139</v>
      </c>
      <c r="DJ103" s="12" t="s">
        <v>724</v>
      </c>
      <c r="DK103" s="2">
        <v>15.43304</v>
      </c>
      <c r="DP103">
        <v>139</v>
      </c>
      <c r="DQ103" s="12" t="s">
        <v>724</v>
      </c>
      <c r="DR103" s="2">
        <v>16.913219999999999</v>
      </c>
      <c r="DW103">
        <v>139</v>
      </c>
      <c r="DX103" s="12" t="s">
        <v>724</v>
      </c>
      <c r="DY103" s="2">
        <v>17.506150000000002</v>
      </c>
      <c r="ED103">
        <v>139</v>
      </c>
      <c r="EE103" s="12" t="s">
        <v>724</v>
      </c>
      <c r="EF103" s="2">
        <v>21.870519999999999</v>
      </c>
      <c r="EK103">
        <v>139</v>
      </c>
      <c r="EL103" s="12" t="s">
        <v>724</v>
      </c>
      <c r="EM103" s="2">
        <v>23.454999999999998</v>
      </c>
    </row>
    <row r="104" spans="1:143" x14ac:dyDescent="0.4">
      <c r="A104">
        <v>138</v>
      </c>
      <c r="B104" s="12" t="s">
        <v>1336</v>
      </c>
      <c r="C104" s="89"/>
      <c r="H104">
        <v>138</v>
      </c>
      <c r="I104" s="12" t="s">
        <v>1336</v>
      </c>
      <c r="J104" s="2">
        <v>0.13626650000000001</v>
      </c>
      <c r="O104">
        <v>138</v>
      </c>
      <c r="P104" s="12" t="s">
        <v>1336</v>
      </c>
      <c r="Q104" s="2">
        <v>0.20803869999999999</v>
      </c>
      <c r="V104">
        <v>138</v>
      </c>
      <c r="W104" s="12" t="s">
        <v>1336</v>
      </c>
      <c r="X104" s="2">
        <v>0.20462150000000001</v>
      </c>
      <c r="AC104">
        <v>138</v>
      </c>
      <c r="AD104" s="12" t="s">
        <v>1336</v>
      </c>
      <c r="AE104" s="2">
        <v>0.2497433</v>
      </c>
      <c r="AJ104">
        <v>138</v>
      </c>
      <c r="AK104" s="12" t="s">
        <v>1336</v>
      </c>
      <c r="AL104" s="2">
        <v>0.27515119999999998</v>
      </c>
      <c r="AQ104">
        <v>138</v>
      </c>
      <c r="AR104" s="12" t="s">
        <v>1336</v>
      </c>
      <c r="AS104" s="2">
        <v>0.46258939999999998</v>
      </c>
      <c r="AX104">
        <v>138</v>
      </c>
      <c r="AY104" s="12" t="s">
        <v>1336</v>
      </c>
      <c r="AZ104" s="2">
        <v>0.42266629999999999</v>
      </c>
      <c r="BE104">
        <v>138</v>
      </c>
      <c r="BF104" s="12" t="s">
        <v>1336</v>
      </c>
      <c r="BG104" s="2">
        <v>0.84476229999999997</v>
      </c>
      <c r="BL104">
        <v>138</v>
      </c>
      <c r="BM104" s="12" t="s">
        <v>1336</v>
      </c>
      <c r="BN104" s="2">
        <v>0.78965099999999999</v>
      </c>
      <c r="BS104">
        <v>138</v>
      </c>
      <c r="BT104" s="12" t="s">
        <v>1336</v>
      </c>
      <c r="BU104" s="2">
        <v>1.438887</v>
      </c>
      <c r="BZ104">
        <v>138</v>
      </c>
      <c r="CA104" s="12" t="s">
        <v>1336</v>
      </c>
      <c r="CB104" s="2">
        <v>5.5816090000000003</v>
      </c>
      <c r="CG104">
        <v>138</v>
      </c>
      <c r="CH104" s="12" t="s">
        <v>1336</v>
      </c>
      <c r="CI104" s="2">
        <v>6.2323019999999998</v>
      </c>
      <c r="CN104">
        <v>138</v>
      </c>
      <c r="CO104" s="12" t="s">
        <v>1336</v>
      </c>
      <c r="CP104" s="2">
        <v>6.7034690000000001</v>
      </c>
      <c r="CU104">
        <v>138</v>
      </c>
      <c r="CV104" s="12" t="s">
        <v>1336</v>
      </c>
      <c r="CW104" s="2">
        <v>10.149789999999999</v>
      </c>
      <c r="DB104">
        <v>138</v>
      </c>
      <c r="DC104" s="12" t="s">
        <v>1336</v>
      </c>
      <c r="DD104" s="2">
        <v>13.48387</v>
      </c>
      <c r="DI104">
        <v>138</v>
      </c>
      <c r="DJ104" s="12" t="s">
        <v>1336</v>
      </c>
      <c r="DK104" s="2">
        <v>14.68065</v>
      </c>
      <c r="DP104">
        <v>138</v>
      </c>
      <c r="DQ104" s="12" t="s">
        <v>1336</v>
      </c>
      <c r="DR104" s="2">
        <v>16.1843</v>
      </c>
      <c r="DW104">
        <v>138</v>
      </c>
      <c r="DX104" s="12" t="s">
        <v>1336</v>
      </c>
      <c r="DY104" s="2">
        <v>16.814129999999999</v>
      </c>
      <c r="ED104">
        <v>138</v>
      </c>
      <c r="EE104" s="12" t="s">
        <v>1336</v>
      </c>
      <c r="EF104" s="2">
        <v>21.35633</v>
      </c>
      <c r="EK104">
        <v>138</v>
      </c>
      <c r="EL104" s="12" t="s">
        <v>1336</v>
      </c>
      <c r="EM104" s="2">
        <v>23.092880000000001</v>
      </c>
    </row>
    <row r="105" spans="1:143" x14ac:dyDescent="0.4">
      <c r="A105">
        <v>137</v>
      </c>
      <c r="B105" s="12" t="s">
        <v>1336</v>
      </c>
      <c r="C105" s="89"/>
      <c r="H105">
        <v>137</v>
      </c>
      <c r="I105" s="12" t="s">
        <v>1336</v>
      </c>
      <c r="J105" s="2">
        <v>0.1224701</v>
      </c>
      <c r="O105">
        <v>137</v>
      </c>
      <c r="P105" s="12" t="s">
        <v>1336</v>
      </c>
      <c r="Q105" s="2">
        <v>0.1873678</v>
      </c>
      <c r="V105">
        <v>137</v>
      </c>
      <c r="W105" s="12" t="s">
        <v>1336</v>
      </c>
      <c r="X105" s="2">
        <v>0.18400059999999999</v>
      </c>
      <c r="AC105">
        <v>137</v>
      </c>
      <c r="AD105" s="12" t="s">
        <v>1336</v>
      </c>
      <c r="AE105" s="2">
        <v>0.2246542</v>
      </c>
      <c r="AJ105">
        <v>137</v>
      </c>
      <c r="AK105" s="12" t="s">
        <v>1336</v>
      </c>
      <c r="AL105" s="2">
        <v>0.24716640000000001</v>
      </c>
      <c r="AQ105">
        <v>137</v>
      </c>
      <c r="AR105" s="12" t="s">
        <v>1336</v>
      </c>
      <c r="AS105" s="2">
        <v>0.41653210000000002</v>
      </c>
      <c r="AX105">
        <v>137</v>
      </c>
      <c r="AY105" s="12" t="s">
        <v>1336</v>
      </c>
      <c r="AZ105" s="2">
        <v>0.37876140000000003</v>
      </c>
      <c r="BE105">
        <v>137</v>
      </c>
      <c r="BF105" s="12" t="s">
        <v>1336</v>
      </c>
      <c r="BG105" s="2">
        <v>0.76188</v>
      </c>
      <c r="BL105">
        <v>137</v>
      </c>
      <c r="BM105" s="12" t="s">
        <v>1336</v>
      </c>
      <c r="BN105" s="2">
        <v>0.70866969999999996</v>
      </c>
      <c r="BS105">
        <v>137</v>
      </c>
      <c r="BT105" s="12" t="s">
        <v>1336</v>
      </c>
      <c r="BU105" s="2">
        <v>1.2944739999999999</v>
      </c>
      <c r="BZ105">
        <v>137</v>
      </c>
      <c r="CA105" s="12" t="s">
        <v>1336</v>
      </c>
      <c r="CB105" s="2">
        <v>5.1263509999999997</v>
      </c>
      <c r="CG105">
        <v>137</v>
      </c>
      <c r="CH105" s="12" t="s">
        <v>1336</v>
      </c>
      <c r="CI105" s="2">
        <v>5.7253299999999996</v>
      </c>
      <c r="CN105">
        <v>137</v>
      </c>
      <c r="CO105" s="12" t="s">
        <v>1336</v>
      </c>
      <c r="CP105" s="2">
        <v>6.149362</v>
      </c>
      <c r="CU105">
        <v>137</v>
      </c>
      <c r="CV105" s="12" t="s">
        <v>1336</v>
      </c>
      <c r="CW105" s="2">
        <v>9.4267409999999998</v>
      </c>
      <c r="DB105">
        <v>137</v>
      </c>
      <c r="DC105" s="12" t="s">
        <v>1336</v>
      </c>
      <c r="DD105" s="2">
        <v>12.71447</v>
      </c>
      <c r="DI105">
        <v>137</v>
      </c>
      <c r="DJ105" s="12" t="s">
        <v>1336</v>
      </c>
      <c r="DK105" s="2">
        <v>13.902760000000001</v>
      </c>
      <c r="DP105">
        <v>137</v>
      </c>
      <c r="DQ105" s="12" t="s">
        <v>1336</v>
      </c>
      <c r="DR105" s="2">
        <v>15.367850000000001</v>
      </c>
      <c r="DW105">
        <v>137</v>
      </c>
      <c r="DX105" s="12" t="s">
        <v>1336</v>
      </c>
      <c r="DY105" s="2">
        <v>15.950430000000001</v>
      </c>
      <c r="ED105">
        <v>137</v>
      </c>
      <c r="EE105" s="12" t="s">
        <v>1336</v>
      </c>
      <c r="EF105" s="2">
        <v>20.71377</v>
      </c>
      <c r="EK105">
        <v>137</v>
      </c>
      <c r="EL105" s="12" t="s">
        <v>1336</v>
      </c>
      <c r="EM105" s="2">
        <v>22.499639999999999</v>
      </c>
    </row>
    <row r="106" spans="1:143" x14ac:dyDescent="0.4">
      <c r="A106">
        <v>136</v>
      </c>
      <c r="B106" s="12" t="s">
        <v>1336</v>
      </c>
      <c r="C106" s="89"/>
      <c r="H106">
        <v>136</v>
      </c>
      <c r="I106" s="12" t="s">
        <v>1336</v>
      </c>
      <c r="J106" s="2">
        <v>0.1083344</v>
      </c>
      <c r="O106">
        <v>136</v>
      </c>
      <c r="P106" s="12" t="s">
        <v>1336</v>
      </c>
      <c r="Q106" s="2">
        <v>0.16566790000000001</v>
      </c>
      <c r="V106">
        <v>136</v>
      </c>
      <c r="W106" s="12" t="s">
        <v>1336</v>
      </c>
      <c r="X106" s="2">
        <v>0.1629977</v>
      </c>
      <c r="AC106">
        <v>136</v>
      </c>
      <c r="AD106" s="12" t="s">
        <v>1336</v>
      </c>
      <c r="AE106" s="2">
        <v>0.19916700000000001</v>
      </c>
      <c r="AJ106">
        <v>136</v>
      </c>
      <c r="AK106" s="12" t="s">
        <v>1336</v>
      </c>
      <c r="AL106" s="2">
        <v>0.21949879999999999</v>
      </c>
      <c r="AQ106">
        <v>136</v>
      </c>
      <c r="AR106" s="12" t="s">
        <v>1336</v>
      </c>
      <c r="AS106" s="2">
        <v>0.36993700000000002</v>
      </c>
      <c r="AX106">
        <v>136</v>
      </c>
      <c r="AY106" s="12" t="s">
        <v>1336</v>
      </c>
      <c r="AZ106" s="2">
        <v>0.33779940000000003</v>
      </c>
      <c r="BE106">
        <v>136</v>
      </c>
      <c r="BF106" s="12" t="s">
        <v>1336</v>
      </c>
      <c r="BG106" s="2">
        <v>0.67820480000000005</v>
      </c>
      <c r="BL106">
        <v>136</v>
      </c>
      <c r="BM106" s="12" t="s">
        <v>1336</v>
      </c>
      <c r="BN106" s="2">
        <v>0.63345050000000003</v>
      </c>
      <c r="BS106">
        <v>136</v>
      </c>
      <c r="BT106" s="12" t="s">
        <v>1336</v>
      </c>
      <c r="BU106" s="2">
        <v>1.1605989999999999</v>
      </c>
      <c r="BZ106">
        <v>136</v>
      </c>
      <c r="CA106" s="12" t="s">
        <v>1336</v>
      </c>
      <c r="CB106" s="2">
        <v>4.6510480000000003</v>
      </c>
      <c r="CG106">
        <v>136</v>
      </c>
      <c r="CH106" s="12" t="s">
        <v>1336</v>
      </c>
      <c r="CI106" s="2">
        <v>5.2114839999999996</v>
      </c>
      <c r="CN106">
        <v>136</v>
      </c>
      <c r="CO106" s="12" t="s">
        <v>1336</v>
      </c>
      <c r="CP106" s="2">
        <v>5.6249900000000004</v>
      </c>
      <c r="CU106">
        <v>136</v>
      </c>
      <c r="CV106" s="12" t="s">
        <v>1336</v>
      </c>
      <c r="CW106" s="2">
        <v>8.7292000000000005</v>
      </c>
      <c r="DB106">
        <v>136</v>
      </c>
      <c r="DC106" s="12" t="s">
        <v>1336</v>
      </c>
      <c r="DD106" s="2">
        <v>11.879479999999999</v>
      </c>
      <c r="DI106">
        <v>136</v>
      </c>
      <c r="DJ106" s="12" t="s">
        <v>1336</v>
      </c>
      <c r="DK106" s="2">
        <v>13.066240000000001</v>
      </c>
      <c r="DP106">
        <v>136</v>
      </c>
      <c r="DQ106" s="12" t="s">
        <v>1336</v>
      </c>
      <c r="DR106" s="2">
        <v>14.549390000000001</v>
      </c>
      <c r="DW106">
        <v>136</v>
      </c>
      <c r="DX106" s="12" t="s">
        <v>1336</v>
      </c>
      <c r="DY106" s="2">
        <v>15.194330000000001</v>
      </c>
      <c r="ED106">
        <v>136</v>
      </c>
      <c r="EE106" s="12" t="s">
        <v>1336</v>
      </c>
      <c r="EF106" s="2">
        <v>20.028179999999999</v>
      </c>
      <c r="EK106">
        <v>136</v>
      </c>
      <c r="EL106" s="12" t="s">
        <v>1336</v>
      </c>
      <c r="EM106" s="2">
        <v>22.026779999999999</v>
      </c>
    </row>
    <row r="107" spans="1:143" x14ac:dyDescent="0.4">
      <c r="A107">
        <v>135</v>
      </c>
      <c r="B107" s="12" t="s">
        <v>1336</v>
      </c>
      <c r="C107" s="89"/>
      <c r="H107">
        <v>135</v>
      </c>
      <c r="I107" s="12" t="s">
        <v>1336</v>
      </c>
      <c r="J107" s="2">
        <v>9.7641619999999998E-2</v>
      </c>
      <c r="O107">
        <v>135</v>
      </c>
      <c r="P107" s="12" t="s">
        <v>1336</v>
      </c>
      <c r="Q107" s="2">
        <v>0.14964479999999999</v>
      </c>
      <c r="V107">
        <v>135</v>
      </c>
      <c r="W107" s="12" t="s">
        <v>1336</v>
      </c>
      <c r="X107" s="2">
        <v>0.1470003</v>
      </c>
      <c r="AC107">
        <v>135</v>
      </c>
      <c r="AD107" s="12" t="s">
        <v>1336</v>
      </c>
      <c r="AE107" s="2">
        <v>0.1796883</v>
      </c>
      <c r="AJ107">
        <v>135</v>
      </c>
      <c r="AK107" s="12" t="s">
        <v>1336</v>
      </c>
      <c r="AL107" s="2">
        <v>0.19772790000000001</v>
      </c>
      <c r="AQ107">
        <v>135</v>
      </c>
      <c r="AR107" s="12" t="s">
        <v>1336</v>
      </c>
      <c r="AS107" s="2">
        <v>0.33409</v>
      </c>
      <c r="AX107">
        <v>135</v>
      </c>
      <c r="AY107" s="12" t="s">
        <v>1336</v>
      </c>
      <c r="AZ107" s="2">
        <v>0.30459989999999998</v>
      </c>
      <c r="BE107">
        <v>135</v>
      </c>
      <c r="BF107" s="12" t="s">
        <v>1336</v>
      </c>
      <c r="BG107" s="2">
        <v>0.6134018</v>
      </c>
      <c r="BL107">
        <v>135</v>
      </c>
      <c r="BM107" s="12" t="s">
        <v>1336</v>
      </c>
      <c r="BN107" s="2">
        <v>0.57204469999999996</v>
      </c>
      <c r="BS107">
        <v>135</v>
      </c>
      <c r="BT107" s="12" t="s">
        <v>1336</v>
      </c>
      <c r="BU107" s="2">
        <v>1.050405</v>
      </c>
      <c r="BZ107">
        <v>135</v>
      </c>
      <c r="CA107" s="12" t="s">
        <v>1336</v>
      </c>
      <c r="CB107" s="2">
        <v>4.2733730000000003</v>
      </c>
      <c r="CG107">
        <v>135</v>
      </c>
      <c r="CH107" s="12" t="s">
        <v>1336</v>
      </c>
      <c r="CI107" s="2">
        <v>4.7892320000000002</v>
      </c>
      <c r="CN107">
        <v>135</v>
      </c>
      <c r="CO107" s="12" t="s">
        <v>1336</v>
      </c>
      <c r="CP107" s="2">
        <v>5.176946</v>
      </c>
      <c r="CU107">
        <v>135</v>
      </c>
      <c r="CV107" s="12" t="s">
        <v>1336</v>
      </c>
      <c r="CW107" s="2">
        <v>8.1231200000000001</v>
      </c>
      <c r="DB107">
        <v>135</v>
      </c>
      <c r="DC107" s="12" t="s">
        <v>1336</v>
      </c>
      <c r="DD107" s="2">
        <v>11.184010000000001</v>
      </c>
      <c r="DI107">
        <v>135</v>
      </c>
      <c r="DJ107" s="12" t="s">
        <v>1336</v>
      </c>
      <c r="DK107" s="2">
        <v>12.35492</v>
      </c>
      <c r="DP107">
        <v>135</v>
      </c>
      <c r="DQ107" s="12" t="s">
        <v>1336</v>
      </c>
      <c r="DR107" s="2">
        <v>13.82554</v>
      </c>
      <c r="DW107">
        <v>135</v>
      </c>
      <c r="DX107" s="12" t="s">
        <v>1336</v>
      </c>
      <c r="DY107" s="2">
        <v>14.445729999999999</v>
      </c>
      <c r="ED107">
        <v>135</v>
      </c>
      <c r="EE107" s="12" t="s">
        <v>1336</v>
      </c>
      <c r="EF107" s="2">
        <v>19.433689999999999</v>
      </c>
      <c r="EK107">
        <v>135</v>
      </c>
      <c r="EL107" s="12" t="s">
        <v>1336</v>
      </c>
      <c r="EM107" s="2">
        <v>21.492080000000001</v>
      </c>
    </row>
    <row r="108" spans="1:143" x14ac:dyDescent="0.4">
      <c r="A108">
        <v>134</v>
      </c>
      <c r="B108" s="12" t="s">
        <v>1336</v>
      </c>
      <c r="C108" s="89"/>
      <c r="H108">
        <v>134</v>
      </c>
      <c r="I108" s="12" t="s">
        <v>1336</v>
      </c>
      <c r="J108" s="2">
        <v>8.653139E-2</v>
      </c>
      <c r="O108">
        <v>134</v>
      </c>
      <c r="P108" s="12" t="s">
        <v>1336</v>
      </c>
      <c r="Q108" s="2">
        <v>0.13261429999999999</v>
      </c>
      <c r="V108">
        <v>134</v>
      </c>
      <c r="W108" s="12" t="s">
        <v>1336</v>
      </c>
      <c r="X108" s="2">
        <v>0.1304091</v>
      </c>
      <c r="AC108">
        <v>134</v>
      </c>
      <c r="AD108" s="12" t="s">
        <v>1336</v>
      </c>
      <c r="AE108" s="2">
        <v>0.159499</v>
      </c>
      <c r="AJ108">
        <v>134</v>
      </c>
      <c r="AK108" s="12" t="s">
        <v>1336</v>
      </c>
      <c r="AL108" s="2">
        <v>0.17568639999999999</v>
      </c>
      <c r="AQ108">
        <v>134</v>
      </c>
      <c r="AR108" s="12" t="s">
        <v>1336</v>
      </c>
      <c r="AS108" s="2">
        <v>0.29694710000000002</v>
      </c>
      <c r="AX108">
        <v>134</v>
      </c>
      <c r="AY108" s="12" t="s">
        <v>1336</v>
      </c>
      <c r="AZ108" s="2">
        <v>0.27062199999999997</v>
      </c>
      <c r="BE108">
        <v>134</v>
      </c>
      <c r="BF108" s="12" t="s">
        <v>1336</v>
      </c>
      <c r="BG108" s="2">
        <v>0.54615999999999998</v>
      </c>
      <c r="BL108">
        <v>134</v>
      </c>
      <c r="BM108" s="12" t="s">
        <v>1336</v>
      </c>
      <c r="BN108" s="2">
        <v>0.50906980000000002</v>
      </c>
      <c r="BS108">
        <v>134</v>
      </c>
      <c r="BT108" s="12" t="s">
        <v>1336</v>
      </c>
      <c r="BU108" s="2">
        <v>0.93697719999999995</v>
      </c>
      <c r="BZ108">
        <v>134</v>
      </c>
      <c r="CA108" s="12" t="s">
        <v>1336</v>
      </c>
      <c r="CB108" s="2">
        <v>3.8648880000000001</v>
      </c>
      <c r="CG108">
        <v>134</v>
      </c>
      <c r="CH108" s="12" t="s">
        <v>1336</v>
      </c>
      <c r="CI108" s="2">
        <v>4.3406599999999997</v>
      </c>
      <c r="CN108">
        <v>134</v>
      </c>
      <c r="CO108" s="12" t="s">
        <v>1336</v>
      </c>
      <c r="CP108" s="2">
        <v>4.6961649999999997</v>
      </c>
      <c r="CU108">
        <v>134</v>
      </c>
      <c r="CV108" s="12" t="s">
        <v>1336</v>
      </c>
      <c r="CW108" s="2">
        <v>7.4499360000000001</v>
      </c>
      <c r="DB108">
        <v>134</v>
      </c>
      <c r="DC108" s="12" t="s">
        <v>1336</v>
      </c>
      <c r="DD108" s="2">
        <v>10.37696</v>
      </c>
      <c r="DI108">
        <v>134</v>
      </c>
      <c r="DJ108" s="12" t="s">
        <v>1336</v>
      </c>
      <c r="DK108" s="2">
        <v>11.52248</v>
      </c>
      <c r="DP108">
        <v>134</v>
      </c>
      <c r="DQ108" s="12" t="s">
        <v>1336</v>
      </c>
      <c r="DR108" s="2">
        <v>12.95163</v>
      </c>
      <c r="DW108">
        <v>134</v>
      </c>
      <c r="DX108" s="12" t="s">
        <v>1336</v>
      </c>
      <c r="DY108" s="2">
        <v>13.58286</v>
      </c>
      <c r="ED108">
        <v>134</v>
      </c>
      <c r="EE108" s="12" t="s">
        <v>1336</v>
      </c>
      <c r="EF108" s="2">
        <v>18.610109999999999</v>
      </c>
      <c r="EK108">
        <v>134</v>
      </c>
      <c r="EL108" s="12" t="s">
        <v>1336</v>
      </c>
      <c r="EM108" s="2">
        <v>20.807110000000002</v>
      </c>
    </row>
    <row r="109" spans="1:143" x14ac:dyDescent="0.4">
      <c r="A109">
        <v>133</v>
      </c>
      <c r="B109" s="12" t="s">
        <v>724</v>
      </c>
      <c r="C109" s="89"/>
      <c r="H109">
        <v>133</v>
      </c>
      <c r="I109" s="12" t="s">
        <v>724</v>
      </c>
      <c r="J109" s="2">
        <v>7.7398739999999994E-2</v>
      </c>
      <c r="O109">
        <v>133</v>
      </c>
      <c r="P109" s="12" t="s">
        <v>724</v>
      </c>
      <c r="Q109" s="2">
        <v>0.1187873</v>
      </c>
      <c r="V109">
        <v>133</v>
      </c>
      <c r="W109" s="12" t="s">
        <v>724</v>
      </c>
      <c r="X109" s="2">
        <v>0.11675820000000001</v>
      </c>
      <c r="AC109">
        <v>133</v>
      </c>
      <c r="AD109" s="12" t="s">
        <v>724</v>
      </c>
      <c r="AE109" s="2">
        <v>0.14288029999999999</v>
      </c>
      <c r="AJ109">
        <v>133</v>
      </c>
      <c r="AK109" s="12" t="s">
        <v>724</v>
      </c>
      <c r="AL109" s="2">
        <v>0.15731870000000001</v>
      </c>
      <c r="AQ109">
        <v>133</v>
      </c>
      <c r="AR109" s="12" t="s">
        <v>724</v>
      </c>
      <c r="AS109" s="2">
        <v>0.26634390000000002</v>
      </c>
      <c r="AX109">
        <v>133</v>
      </c>
      <c r="AY109" s="12" t="s">
        <v>724</v>
      </c>
      <c r="AZ109" s="2">
        <v>0.2429193</v>
      </c>
      <c r="BE109">
        <v>133</v>
      </c>
      <c r="BF109" s="12" t="s">
        <v>724</v>
      </c>
      <c r="BG109" s="2">
        <v>0.49068850000000003</v>
      </c>
      <c r="BL109">
        <v>133</v>
      </c>
      <c r="BM109" s="12" t="s">
        <v>724</v>
      </c>
      <c r="BN109" s="2">
        <v>0.45771729999999999</v>
      </c>
      <c r="BS109">
        <v>133</v>
      </c>
      <c r="BT109" s="12" t="s">
        <v>724</v>
      </c>
      <c r="BU109" s="2">
        <v>0.84434600000000004</v>
      </c>
      <c r="BZ109">
        <v>133</v>
      </c>
      <c r="CA109" s="12" t="s">
        <v>724</v>
      </c>
      <c r="CB109" s="2">
        <v>3.5235539999999999</v>
      </c>
      <c r="CG109">
        <v>133</v>
      </c>
      <c r="CH109" s="12" t="s">
        <v>724</v>
      </c>
      <c r="CI109" s="2">
        <v>3.9611329999999998</v>
      </c>
      <c r="CN109">
        <v>133</v>
      </c>
      <c r="CO109" s="12" t="s">
        <v>724</v>
      </c>
      <c r="CP109" s="2">
        <v>4.2973420000000004</v>
      </c>
      <c r="CU109">
        <v>133</v>
      </c>
      <c r="CV109" s="12" t="s">
        <v>724</v>
      </c>
      <c r="CW109" s="2">
        <v>6.8868510000000001</v>
      </c>
      <c r="DB109">
        <v>133</v>
      </c>
      <c r="DC109" s="12" t="s">
        <v>724</v>
      </c>
      <c r="DD109" s="2">
        <v>9.6857039999999994</v>
      </c>
      <c r="DI109">
        <v>133</v>
      </c>
      <c r="DJ109" s="12" t="s">
        <v>724</v>
      </c>
      <c r="DK109" s="2">
        <v>10.805070000000001</v>
      </c>
      <c r="DP109">
        <v>133</v>
      </c>
      <c r="DQ109" s="12" t="s">
        <v>724</v>
      </c>
      <c r="DR109" s="2">
        <v>12.21716</v>
      </c>
      <c r="DW109">
        <v>133</v>
      </c>
      <c r="DX109" s="12" t="s">
        <v>724</v>
      </c>
      <c r="DY109" s="2">
        <v>12.86439</v>
      </c>
      <c r="ED109">
        <v>133</v>
      </c>
      <c r="EE109" s="12" t="s">
        <v>724</v>
      </c>
      <c r="EF109" s="2">
        <v>17.940580000000001</v>
      </c>
      <c r="EK109">
        <v>133</v>
      </c>
      <c r="EL109" s="12" t="s">
        <v>724</v>
      </c>
      <c r="EM109" s="2">
        <v>20.265149999999998</v>
      </c>
    </row>
    <row r="110" spans="1:143" x14ac:dyDescent="0.4">
      <c r="A110">
        <v>132</v>
      </c>
      <c r="B110" s="12" t="s">
        <v>1336</v>
      </c>
      <c r="C110" s="89"/>
      <c r="H110">
        <v>132</v>
      </c>
      <c r="I110" s="12" t="s">
        <v>1336</v>
      </c>
      <c r="J110" s="2">
        <v>6.9650169999999997E-2</v>
      </c>
      <c r="O110">
        <v>132</v>
      </c>
      <c r="P110" s="12" t="s">
        <v>1336</v>
      </c>
      <c r="Q110" s="2">
        <v>0.10709340000000001</v>
      </c>
      <c r="V110">
        <v>132</v>
      </c>
      <c r="W110" s="12" t="s">
        <v>1336</v>
      </c>
      <c r="X110" s="2">
        <v>0.1051115</v>
      </c>
      <c r="AC110">
        <v>132</v>
      </c>
      <c r="AD110" s="12" t="s">
        <v>1336</v>
      </c>
      <c r="AE110" s="2">
        <v>0.12866050000000001</v>
      </c>
      <c r="AJ110">
        <v>132</v>
      </c>
      <c r="AK110" s="12" t="s">
        <v>1336</v>
      </c>
      <c r="AL110" s="2">
        <v>0.1414773</v>
      </c>
      <c r="AQ110">
        <v>132</v>
      </c>
      <c r="AR110" s="12" t="s">
        <v>1336</v>
      </c>
      <c r="AS110" s="2">
        <v>0.2399994</v>
      </c>
      <c r="AX110">
        <v>132</v>
      </c>
      <c r="AY110" s="12" t="s">
        <v>1336</v>
      </c>
      <c r="AZ110" s="2">
        <v>0.21778420000000001</v>
      </c>
      <c r="BE110">
        <v>132</v>
      </c>
      <c r="BF110" s="12" t="s">
        <v>1336</v>
      </c>
      <c r="BG110" s="2">
        <v>0.44261529999999999</v>
      </c>
      <c r="BL110">
        <v>132</v>
      </c>
      <c r="BM110" s="12" t="s">
        <v>1336</v>
      </c>
      <c r="BN110" s="2">
        <v>0.41075420000000001</v>
      </c>
      <c r="BS110">
        <v>132</v>
      </c>
      <c r="BT110" s="12" t="s">
        <v>1336</v>
      </c>
      <c r="BU110" s="2">
        <v>0.75890519999999995</v>
      </c>
      <c r="BZ110">
        <v>132</v>
      </c>
      <c r="CA110" s="12" t="s">
        <v>1336</v>
      </c>
      <c r="CB110" s="2">
        <v>3.2162459999999999</v>
      </c>
      <c r="CG110">
        <v>132</v>
      </c>
      <c r="CH110" s="12" t="s">
        <v>1336</v>
      </c>
      <c r="CI110" s="2">
        <v>3.6149339999999999</v>
      </c>
      <c r="CN110">
        <v>132</v>
      </c>
      <c r="CO110" s="12" t="s">
        <v>1336</v>
      </c>
      <c r="CP110" s="2">
        <v>3.9132370000000001</v>
      </c>
      <c r="CU110">
        <v>132</v>
      </c>
      <c r="CV110" s="12" t="s">
        <v>1336</v>
      </c>
      <c r="CW110" s="2">
        <v>6.3297720000000002</v>
      </c>
      <c r="DB110">
        <v>132</v>
      </c>
      <c r="DC110" s="12" t="s">
        <v>1336</v>
      </c>
      <c r="DD110" s="2">
        <v>9.0208239999999993</v>
      </c>
      <c r="DI110">
        <v>132</v>
      </c>
      <c r="DJ110" s="12" t="s">
        <v>1336</v>
      </c>
      <c r="DK110" s="2">
        <v>10.10144</v>
      </c>
      <c r="DP110">
        <v>132</v>
      </c>
      <c r="DQ110" s="12" t="s">
        <v>1336</v>
      </c>
      <c r="DR110" s="2">
        <v>11.44736</v>
      </c>
      <c r="DW110">
        <v>132</v>
      </c>
      <c r="DX110" s="12" t="s">
        <v>1336</v>
      </c>
      <c r="DY110" s="2">
        <v>12.038679999999999</v>
      </c>
      <c r="ED110">
        <v>132</v>
      </c>
      <c r="EE110" s="12" t="s">
        <v>1336</v>
      </c>
      <c r="EF110" s="2">
        <v>17.18225</v>
      </c>
      <c r="EK110">
        <v>132</v>
      </c>
      <c r="EL110" s="12" t="s">
        <v>1336</v>
      </c>
      <c r="EM110" s="2">
        <v>19.498609999999999</v>
      </c>
    </row>
    <row r="111" spans="1:143" x14ac:dyDescent="0.4">
      <c r="A111">
        <v>131</v>
      </c>
      <c r="B111" s="12" t="s">
        <v>724</v>
      </c>
      <c r="C111" s="89"/>
      <c r="H111">
        <v>131</v>
      </c>
      <c r="I111" s="12" t="s">
        <v>724</v>
      </c>
      <c r="J111" s="2">
        <v>6.1527030000000003E-2</v>
      </c>
      <c r="O111">
        <v>131</v>
      </c>
      <c r="P111" s="12" t="s">
        <v>724</v>
      </c>
      <c r="Q111" s="2">
        <v>9.4585329999999995E-2</v>
      </c>
      <c r="V111">
        <v>131</v>
      </c>
      <c r="W111" s="12" t="s">
        <v>724</v>
      </c>
      <c r="X111" s="2">
        <v>9.2975680000000005E-2</v>
      </c>
      <c r="AC111">
        <v>131</v>
      </c>
      <c r="AD111" s="12" t="s">
        <v>724</v>
      </c>
      <c r="AE111" s="2">
        <v>0.11388520000000001</v>
      </c>
      <c r="AJ111">
        <v>131</v>
      </c>
      <c r="AK111" s="12" t="s">
        <v>724</v>
      </c>
      <c r="AL111" s="2">
        <v>0.1254043</v>
      </c>
      <c r="AQ111">
        <v>131</v>
      </c>
      <c r="AR111" s="12" t="s">
        <v>724</v>
      </c>
      <c r="AS111" s="2">
        <v>0.21276120000000001</v>
      </c>
      <c r="AX111">
        <v>131</v>
      </c>
      <c r="AY111" s="12" t="s">
        <v>724</v>
      </c>
      <c r="AZ111" s="2">
        <v>0.1939052</v>
      </c>
      <c r="BE111">
        <v>131</v>
      </c>
      <c r="BF111" s="12" t="s">
        <v>724</v>
      </c>
      <c r="BG111" s="2">
        <v>0.39309460000000002</v>
      </c>
      <c r="BL111">
        <v>131</v>
      </c>
      <c r="BM111" s="12" t="s">
        <v>724</v>
      </c>
      <c r="BN111" s="2">
        <v>0.36638179999999998</v>
      </c>
      <c r="BS111">
        <v>131</v>
      </c>
      <c r="BT111" s="12" t="s">
        <v>724</v>
      </c>
      <c r="BU111" s="2">
        <v>0.67845770000000005</v>
      </c>
      <c r="BZ111">
        <v>131</v>
      </c>
      <c r="CA111" s="12" t="s">
        <v>724</v>
      </c>
      <c r="CB111" s="2">
        <v>2.8951799999999999</v>
      </c>
      <c r="CG111">
        <v>131</v>
      </c>
      <c r="CH111" s="12" t="s">
        <v>724</v>
      </c>
      <c r="CI111" s="2">
        <v>3.2622339999999999</v>
      </c>
      <c r="CN111">
        <v>131</v>
      </c>
      <c r="CO111" s="12" t="s">
        <v>724</v>
      </c>
      <c r="CP111" s="2">
        <v>3.5477630000000002</v>
      </c>
      <c r="CU111">
        <v>131</v>
      </c>
      <c r="CV111" s="12" t="s">
        <v>724</v>
      </c>
      <c r="CW111" s="2">
        <v>5.7916350000000003</v>
      </c>
      <c r="DB111">
        <v>131</v>
      </c>
      <c r="DC111" s="12" t="s">
        <v>724</v>
      </c>
      <c r="DD111" s="2">
        <v>8.309939</v>
      </c>
      <c r="DI111">
        <v>131</v>
      </c>
      <c r="DJ111" s="12" t="s">
        <v>724</v>
      </c>
      <c r="DK111" s="2">
        <v>9.3539569999999994</v>
      </c>
      <c r="DP111">
        <v>131</v>
      </c>
      <c r="DQ111" s="12" t="s">
        <v>724</v>
      </c>
      <c r="DR111" s="2">
        <v>10.67563</v>
      </c>
      <c r="DW111">
        <v>131</v>
      </c>
      <c r="DX111" s="12" t="s">
        <v>724</v>
      </c>
      <c r="DY111" s="2">
        <v>11.297409999999999</v>
      </c>
      <c r="ED111">
        <v>131</v>
      </c>
      <c r="EE111" s="12" t="s">
        <v>724</v>
      </c>
      <c r="EF111" s="2">
        <v>16.379239999999999</v>
      </c>
      <c r="EK111">
        <v>131</v>
      </c>
      <c r="EL111" s="12" t="s">
        <v>724</v>
      </c>
      <c r="EM111" s="2">
        <v>18.840589999999999</v>
      </c>
    </row>
    <row r="112" spans="1:143" x14ac:dyDescent="0.4">
      <c r="A112">
        <v>130</v>
      </c>
      <c r="B112" s="12" t="s">
        <v>1336</v>
      </c>
      <c r="C112" s="89"/>
      <c r="H112">
        <v>130</v>
      </c>
      <c r="I112" s="12" t="s">
        <v>1336</v>
      </c>
      <c r="J112" s="2">
        <v>5.55135E-2</v>
      </c>
      <c r="O112">
        <v>130</v>
      </c>
      <c r="P112" s="12" t="s">
        <v>1336</v>
      </c>
      <c r="Q112" s="2">
        <v>8.5494520000000004E-2</v>
      </c>
      <c r="V112">
        <v>130</v>
      </c>
      <c r="W112" s="12" t="s">
        <v>1336</v>
      </c>
      <c r="X112" s="2">
        <v>8.3932859999999998E-2</v>
      </c>
      <c r="AC112">
        <v>130</v>
      </c>
      <c r="AD112" s="12" t="s">
        <v>1336</v>
      </c>
      <c r="AE112" s="2">
        <v>0.10284020000000001</v>
      </c>
      <c r="AJ112">
        <v>130</v>
      </c>
      <c r="AK112" s="12" t="s">
        <v>1336</v>
      </c>
      <c r="AL112" s="2">
        <v>0.1131023</v>
      </c>
      <c r="AQ112">
        <v>130</v>
      </c>
      <c r="AR112" s="12" t="s">
        <v>1336</v>
      </c>
      <c r="AS112" s="2">
        <v>0.19227060000000001</v>
      </c>
      <c r="AX112">
        <v>130</v>
      </c>
      <c r="AY112" s="12" t="s">
        <v>1336</v>
      </c>
      <c r="AZ112" s="2">
        <v>0.17500550000000001</v>
      </c>
      <c r="BE112">
        <v>130</v>
      </c>
      <c r="BF112" s="12" t="s">
        <v>1336</v>
      </c>
      <c r="BG112" s="2">
        <v>0.35560459999999999</v>
      </c>
      <c r="BL112">
        <v>130</v>
      </c>
      <c r="BM112" s="12" t="s">
        <v>1336</v>
      </c>
      <c r="BN112" s="2">
        <v>0.33100770000000002</v>
      </c>
      <c r="BS112">
        <v>130</v>
      </c>
      <c r="BT112" s="12" t="s">
        <v>1336</v>
      </c>
      <c r="BU112" s="2">
        <v>0.61383430000000005</v>
      </c>
      <c r="BZ112">
        <v>130</v>
      </c>
      <c r="CA112" s="12" t="s">
        <v>1336</v>
      </c>
      <c r="CB112" s="2">
        <v>2.6462089999999998</v>
      </c>
      <c r="CG112">
        <v>130</v>
      </c>
      <c r="CH112" s="12" t="s">
        <v>1336</v>
      </c>
      <c r="CI112" s="2">
        <v>2.9816020000000001</v>
      </c>
      <c r="CN112">
        <v>130</v>
      </c>
      <c r="CO112" s="12" t="s">
        <v>1336</v>
      </c>
      <c r="CP112" s="2">
        <v>3.2453349999999999</v>
      </c>
      <c r="CU112">
        <v>130</v>
      </c>
      <c r="CV112" s="12" t="s">
        <v>1336</v>
      </c>
      <c r="CW112" s="2">
        <v>5.3403239999999998</v>
      </c>
      <c r="DB112">
        <v>130</v>
      </c>
      <c r="DC112" s="12" t="s">
        <v>1336</v>
      </c>
      <c r="DD112" s="2">
        <v>7.7345249999999997</v>
      </c>
      <c r="DI112">
        <v>130</v>
      </c>
      <c r="DJ112" s="12" t="s">
        <v>1336</v>
      </c>
      <c r="DK112" s="2">
        <v>8.7385099999999998</v>
      </c>
      <c r="DP112">
        <v>130</v>
      </c>
      <c r="DQ112" s="12" t="s">
        <v>1336</v>
      </c>
      <c r="DR112" s="2">
        <v>10.016</v>
      </c>
      <c r="DW112">
        <v>130</v>
      </c>
      <c r="DX112" s="12" t="s">
        <v>1336</v>
      </c>
      <c r="DY112" s="2">
        <v>10.598100000000001</v>
      </c>
      <c r="ED112">
        <v>130</v>
      </c>
      <c r="EE112" s="12" t="s">
        <v>1336</v>
      </c>
      <c r="EF112" s="2">
        <v>15.695080000000001</v>
      </c>
      <c r="EK112">
        <v>130</v>
      </c>
      <c r="EL112" s="12" t="s">
        <v>1336</v>
      </c>
      <c r="EM112" s="2">
        <v>18.16038</v>
      </c>
    </row>
    <row r="113" spans="1:143" x14ac:dyDescent="0.4">
      <c r="A113">
        <v>129</v>
      </c>
      <c r="B113" s="12" t="s">
        <v>724</v>
      </c>
      <c r="C113" s="2"/>
      <c r="H113">
        <v>129</v>
      </c>
      <c r="I113" s="12" t="s">
        <v>724</v>
      </c>
      <c r="J113" s="2">
        <v>4.9083620000000001E-2</v>
      </c>
      <c r="O113">
        <v>129</v>
      </c>
      <c r="P113" s="12" t="s">
        <v>724</v>
      </c>
      <c r="Q113" s="2">
        <v>7.5601639999999998E-2</v>
      </c>
      <c r="V113">
        <v>129</v>
      </c>
      <c r="W113" s="12" t="s">
        <v>724</v>
      </c>
      <c r="X113" s="2">
        <v>7.4287640000000002E-2</v>
      </c>
      <c r="AC113">
        <v>129</v>
      </c>
      <c r="AD113" s="12" t="s">
        <v>724</v>
      </c>
      <c r="AE113" s="2">
        <v>9.1071760000000002E-2</v>
      </c>
      <c r="AJ113">
        <v>129</v>
      </c>
      <c r="AK113" s="12" t="s">
        <v>724</v>
      </c>
      <c r="AL113" s="2">
        <v>0.1002473</v>
      </c>
      <c r="AQ113">
        <v>129</v>
      </c>
      <c r="AR113" s="12" t="s">
        <v>724</v>
      </c>
      <c r="AS113" s="2">
        <v>0.1704715</v>
      </c>
      <c r="AX113">
        <v>129</v>
      </c>
      <c r="AY113" s="12" t="s">
        <v>724</v>
      </c>
      <c r="AZ113" s="2">
        <v>0.15515609999999999</v>
      </c>
      <c r="BE113">
        <v>129</v>
      </c>
      <c r="BF113" s="12" t="s">
        <v>724</v>
      </c>
      <c r="BG113" s="2">
        <v>0.31574049999999998</v>
      </c>
      <c r="BL113">
        <v>129</v>
      </c>
      <c r="BM113" s="12" t="s">
        <v>724</v>
      </c>
      <c r="BN113" s="2">
        <v>0.29387960000000002</v>
      </c>
      <c r="BS113">
        <v>129</v>
      </c>
      <c r="BT113" s="12" t="s">
        <v>724</v>
      </c>
      <c r="BU113" s="2">
        <v>0.54598820000000003</v>
      </c>
      <c r="BZ113">
        <v>129</v>
      </c>
      <c r="CA113" s="12" t="s">
        <v>724</v>
      </c>
      <c r="CB113" s="2">
        <v>2.3757769999999998</v>
      </c>
      <c r="CG113">
        <v>129</v>
      </c>
      <c r="CH113" s="12" t="s">
        <v>724</v>
      </c>
      <c r="CI113" s="2">
        <v>2.6811690000000001</v>
      </c>
      <c r="CN113">
        <v>129</v>
      </c>
      <c r="CO113" s="12" t="s">
        <v>724</v>
      </c>
      <c r="CP113" s="2">
        <v>2.921087</v>
      </c>
      <c r="CU113">
        <v>129</v>
      </c>
      <c r="CV113" s="12" t="s">
        <v>724</v>
      </c>
      <c r="CW113" s="2">
        <v>4.8456479999999997</v>
      </c>
      <c r="DB113">
        <v>129</v>
      </c>
      <c r="DC113" s="12" t="s">
        <v>724</v>
      </c>
      <c r="DD113" s="2">
        <v>7.0806519999999997</v>
      </c>
      <c r="DI113">
        <v>129</v>
      </c>
      <c r="DJ113" s="12" t="s">
        <v>724</v>
      </c>
      <c r="DK113" s="2">
        <v>8.0348349999999993</v>
      </c>
      <c r="DP113">
        <v>129</v>
      </c>
      <c r="DQ113" s="12" t="s">
        <v>724</v>
      </c>
      <c r="DR113" s="2">
        <v>9.2489729999999994</v>
      </c>
      <c r="DW113">
        <v>129</v>
      </c>
      <c r="DX113" s="12" t="s">
        <v>724</v>
      </c>
      <c r="DY113" s="2">
        <v>9.8300999999999998</v>
      </c>
      <c r="ED113">
        <v>129</v>
      </c>
      <c r="EE113" s="12" t="s">
        <v>724</v>
      </c>
      <c r="EF113" s="2">
        <v>14.81479</v>
      </c>
      <c r="EK113">
        <v>129</v>
      </c>
      <c r="EL113" s="12" t="s">
        <v>724</v>
      </c>
      <c r="EM113" s="2">
        <v>17.35454</v>
      </c>
    </row>
    <row r="114" spans="1:143" x14ac:dyDescent="0.4">
      <c r="A114">
        <v>128</v>
      </c>
      <c r="B114" s="91" t="s">
        <v>724</v>
      </c>
      <c r="C114" s="2"/>
      <c r="H114">
        <v>128</v>
      </c>
      <c r="I114" s="91" t="s">
        <v>724</v>
      </c>
      <c r="J114" s="2">
        <v>4.4029800000000001E-2</v>
      </c>
      <c r="O114">
        <v>128</v>
      </c>
      <c r="P114" s="91" t="s">
        <v>724</v>
      </c>
      <c r="Q114" s="2">
        <v>6.7909349999999993E-2</v>
      </c>
      <c r="V114">
        <v>128</v>
      </c>
      <c r="W114" s="91" t="s">
        <v>724</v>
      </c>
      <c r="X114" s="2">
        <v>6.6692210000000002E-2</v>
      </c>
      <c r="AC114">
        <v>128</v>
      </c>
      <c r="AD114" s="91" t="s">
        <v>724</v>
      </c>
      <c r="AE114" s="2">
        <v>8.1795779999999998E-2</v>
      </c>
      <c r="AJ114">
        <v>128</v>
      </c>
      <c r="AK114" s="91" t="s">
        <v>724</v>
      </c>
      <c r="AL114" s="2">
        <v>8.9988890000000002E-2</v>
      </c>
      <c r="AQ114">
        <v>128</v>
      </c>
      <c r="AR114" s="91" t="s">
        <v>724</v>
      </c>
      <c r="AS114" s="2">
        <v>0.15325800000000001</v>
      </c>
      <c r="AX114">
        <v>128</v>
      </c>
      <c r="AY114" s="91" t="s">
        <v>724</v>
      </c>
      <c r="AZ114" s="2">
        <v>0.1395602</v>
      </c>
      <c r="BE114">
        <v>128</v>
      </c>
      <c r="BF114" s="91" t="s">
        <v>724</v>
      </c>
      <c r="BG114" s="2">
        <v>0.28420279999999998</v>
      </c>
      <c r="BL114">
        <v>128</v>
      </c>
      <c r="BM114" s="91" t="s">
        <v>724</v>
      </c>
      <c r="BN114" s="2">
        <v>0.26466040000000002</v>
      </c>
      <c r="BS114">
        <v>128</v>
      </c>
      <c r="BT114" s="91" t="s">
        <v>724</v>
      </c>
      <c r="BU114" s="2">
        <v>0.49245830000000002</v>
      </c>
      <c r="BZ114">
        <v>128</v>
      </c>
      <c r="CA114" s="91" t="s">
        <v>724</v>
      </c>
      <c r="CB114" s="2">
        <v>2.159459</v>
      </c>
      <c r="CG114">
        <v>128</v>
      </c>
      <c r="CH114" s="91" t="s">
        <v>724</v>
      </c>
      <c r="CI114" s="2">
        <v>2.4380829999999998</v>
      </c>
      <c r="CN114">
        <v>128</v>
      </c>
      <c r="CO114" s="91" t="s">
        <v>724</v>
      </c>
      <c r="CP114" s="2">
        <v>2.661454</v>
      </c>
      <c r="CU114">
        <v>128</v>
      </c>
      <c r="CV114" s="91" t="s">
        <v>724</v>
      </c>
      <c r="CW114" s="2">
        <v>4.4465029999999999</v>
      </c>
      <c r="DB114">
        <v>128</v>
      </c>
      <c r="DC114" s="91" t="s">
        <v>724</v>
      </c>
      <c r="DD114" s="2">
        <v>6.5457749999999999</v>
      </c>
      <c r="DI114">
        <v>128</v>
      </c>
      <c r="DJ114" s="91" t="s">
        <v>724</v>
      </c>
      <c r="DK114" s="2">
        <v>7.4552870000000002</v>
      </c>
      <c r="DP114">
        <v>128</v>
      </c>
      <c r="DQ114" s="91" t="s">
        <v>724</v>
      </c>
      <c r="DR114" s="2">
        <v>8.6237150000000007</v>
      </c>
      <c r="DW114">
        <v>128</v>
      </c>
      <c r="DX114" s="91" t="s">
        <v>724</v>
      </c>
      <c r="DY114" s="2">
        <v>9.1938600000000008</v>
      </c>
      <c r="ED114">
        <v>128</v>
      </c>
      <c r="EE114" s="91" t="s">
        <v>724</v>
      </c>
      <c r="EF114" s="2">
        <v>14.102259999999999</v>
      </c>
      <c r="EK114">
        <v>128</v>
      </c>
      <c r="EL114" s="91" t="s">
        <v>724</v>
      </c>
      <c r="EM114" s="2">
        <v>16.687190000000001</v>
      </c>
    </row>
    <row r="115" spans="1:143" x14ac:dyDescent="0.4">
      <c r="A115">
        <v>127</v>
      </c>
      <c r="B115" s="91" t="s">
        <v>1348</v>
      </c>
      <c r="C115" s="2"/>
      <c r="H115">
        <v>127</v>
      </c>
      <c r="I115" s="91" t="s">
        <v>1348</v>
      </c>
      <c r="J115" s="2">
        <v>3.9295209999999997E-2</v>
      </c>
      <c r="O115">
        <v>127</v>
      </c>
      <c r="P115" s="91" t="s">
        <v>1348</v>
      </c>
      <c r="Q115" s="2">
        <v>6.0655250000000001E-2</v>
      </c>
      <c r="V115">
        <v>127</v>
      </c>
      <c r="W115" s="91" t="s">
        <v>1348</v>
      </c>
      <c r="X115" s="2">
        <v>5.9557539999999999E-2</v>
      </c>
      <c r="AC115">
        <v>127</v>
      </c>
      <c r="AD115" s="91" t="s">
        <v>1348</v>
      </c>
      <c r="AE115" s="2">
        <v>7.3069770000000006E-2</v>
      </c>
      <c r="AJ115">
        <v>127</v>
      </c>
      <c r="AK115" s="91" t="s">
        <v>1348</v>
      </c>
      <c r="AL115" s="2">
        <v>8.0377180000000006E-2</v>
      </c>
      <c r="AQ115">
        <v>127</v>
      </c>
      <c r="AR115" s="91" t="s">
        <v>1348</v>
      </c>
      <c r="AS115" s="2">
        <v>0.13701199999999999</v>
      </c>
      <c r="AX115">
        <v>127</v>
      </c>
      <c r="AY115" s="91" t="s">
        <v>1348</v>
      </c>
      <c r="AZ115" s="2">
        <v>0.1244212</v>
      </c>
      <c r="BE115">
        <v>127</v>
      </c>
      <c r="BF115" s="91" t="s">
        <v>1348</v>
      </c>
      <c r="BG115" s="2">
        <v>0.25431930000000003</v>
      </c>
      <c r="BL115">
        <v>127</v>
      </c>
      <c r="BM115" s="91" t="s">
        <v>1348</v>
      </c>
      <c r="BN115" s="2">
        <v>0.2361702</v>
      </c>
      <c r="BS115">
        <v>127</v>
      </c>
      <c r="BT115" s="91" t="s">
        <v>1348</v>
      </c>
      <c r="BU115" s="2">
        <v>0.44001800000000002</v>
      </c>
      <c r="BZ115">
        <v>127</v>
      </c>
      <c r="CA115" s="91" t="s">
        <v>1348</v>
      </c>
      <c r="CB115" s="2">
        <v>1.9486410000000001</v>
      </c>
      <c r="CG115">
        <v>127</v>
      </c>
      <c r="CH115" s="91" t="s">
        <v>1348</v>
      </c>
      <c r="CI115" s="2">
        <v>2.2012049999999999</v>
      </c>
      <c r="CN115">
        <v>127</v>
      </c>
      <c r="CO115" s="91" t="s">
        <v>1348</v>
      </c>
      <c r="CP115" s="2">
        <v>2.400217</v>
      </c>
      <c r="CU115">
        <v>127</v>
      </c>
      <c r="CV115" s="91" t="s">
        <v>1348</v>
      </c>
      <c r="CW115" s="2">
        <v>4.0370169999999996</v>
      </c>
      <c r="DB115">
        <v>127</v>
      </c>
      <c r="DC115" s="91" t="s">
        <v>1348</v>
      </c>
      <c r="DD115" s="2">
        <v>5.9989299999999997</v>
      </c>
      <c r="DI115">
        <v>127</v>
      </c>
      <c r="DJ115" s="91" t="s">
        <v>1348</v>
      </c>
      <c r="DK115" s="2">
        <v>6.8560210000000001</v>
      </c>
      <c r="DP115">
        <v>127</v>
      </c>
      <c r="DQ115" s="91" t="s">
        <v>1348</v>
      </c>
      <c r="DR115" s="2">
        <v>7.9509489999999996</v>
      </c>
      <c r="DW115">
        <v>127</v>
      </c>
      <c r="DX115" s="91" t="s">
        <v>1348</v>
      </c>
      <c r="DY115" s="2">
        <v>8.4784500000000005</v>
      </c>
      <c r="ED115">
        <v>127</v>
      </c>
      <c r="EE115" s="91" t="s">
        <v>1348</v>
      </c>
      <c r="EF115" s="2">
        <v>13.275980000000001</v>
      </c>
      <c r="EK115">
        <v>127</v>
      </c>
      <c r="EL115" s="91" t="s">
        <v>1348</v>
      </c>
      <c r="EM115" s="2">
        <v>15.83156</v>
      </c>
    </row>
    <row r="116" spans="1:143" x14ac:dyDescent="0.4">
      <c r="A116">
        <v>126</v>
      </c>
      <c r="B116" s="91" t="s">
        <v>724</v>
      </c>
      <c r="C116" s="2"/>
      <c r="H116">
        <v>126</v>
      </c>
      <c r="I116" s="91" t="s">
        <v>724</v>
      </c>
      <c r="J116" s="2">
        <v>3.4959219999999999E-2</v>
      </c>
      <c r="O116">
        <v>126</v>
      </c>
      <c r="P116" s="91" t="s">
        <v>724</v>
      </c>
      <c r="Q116" s="2">
        <v>5.400402E-2</v>
      </c>
      <c r="V116">
        <v>126</v>
      </c>
      <c r="W116" s="91" t="s">
        <v>724</v>
      </c>
      <c r="X116" s="2">
        <v>5.3041480000000002E-2</v>
      </c>
      <c r="AC116">
        <v>126</v>
      </c>
      <c r="AD116" s="91" t="s">
        <v>724</v>
      </c>
      <c r="AE116" s="2">
        <v>6.5111260000000004E-2</v>
      </c>
      <c r="AJ116">
        <v>126</v>
      </c>
      <c r="AK116" s="91" t="s">
        <v>724</v>
      </c>
      <c r="AL116" s="2">
        <v>7.1642540000000005E-2</v>
      </c>
      <c r="AQ116">
        <v>126</v>
      </c>
      <c r="AR116" s="91" t="s">
        <v>724</v>
      </c>
      <c r="AS116" s="2">
        <v>0.12223390000000001</v>
      </c>
      <c r="AX116">
        <v>126</v>
      </c>
      <c r="AY116" s="91" t="s">
        <v>724</v>
      </c>
      <c r="AZ116" s="2">
        <v>0.1112696</v>
      </c>
      <c r="BE116">
        <v>126</v>
      </c>
      <c r="BF116" s="91" t="s">
        <v>724</v>
      </c>
      <c r="BG116" s="2">
        <v>0.22719929999999999</v>
      </c>
      <c r="BL116">
        <v>126</v>
      </c>
      <c r="BM116" s="91" t="s">
        <v>724</v>
      </c>
      <c r="BN116" s="2">
        <v>0.21149799999999999</v>
      </c>
      <c r="BS116">
        <v>126</v>
      </c>
      <c r="BT116" s="91" t="s">
        <v>724</v>
      </c>
      <c r="BU116" s="2">
        <v>0.3946904</v>
      </c>
      <c r="BZ116">
        <v>126</v>
      </c>
      <c r="CA116" s="91" t="s">
        <v>724</v>
      </c>
      <c r="CB116" s="2">
        <v>1.7571429999999999</v>
      </c>
      <c r="CG116">
        <v>126</v>
      </c>
      <c r="CH116" s="91" t="s">
        <v>724</v>
      </c>
      <c r="CI116" s="2">
        <v>1.9869559999999999</v>
      </c>
      <c r="CN116">
        <v>126</v>
      </c>
      <c r="CO116" s="91" t="s">
        <v>724</v>
      </c>
      <c r="CP116" s="2">
        <v>2.1732070000000001</v>
      </c>
      <c r="CU116">
        <v>126</v>
      </c>
      <c r="CV116" s="91" t="s">
        <v>724</v>
      </c>
      <c r="CW116" s="2">
        <v>3.6784750000000002</v>
      </c>
      <c r="DB116">
        <v>126</v>
      </c>
      <c r="DC116" s="91" t="s">
        <v>724</v>
      </c>
      <c r="DD116" s="2">
        <v>5.4961149999999996</v>
      </c>
      <c r="DI116">
        <v>126</v>
      </c>
      <c r="DJ116" s="91" t="s">
        <v>724</v>
      </c>
      <c r="DK116" s="2">
        <v>6.3047120000000003</v>
      </c>
      <c r="DP116">
        <v>126</v>
      </c>
      <c r="DQ116" s="91" t="s">
        <v>724</v>
      </c>
      <c r="DR116" s="2">
        <v>7.3508990000000001</v>
      </c>
      <c r="DW116">
        <v>126</v>
      </c>
      <c r="DX116" s="91" t="s">
        <v>724</v>
      </c>
      <c r="DY116" s="2">
        <v>7.8747439999999997</v>
      </c>
      <c r="ED116">
        <v>126</v>
      </c>
      <c r="EE116" s="91" t="s">
        <v>724</v>
      </c>
      <c r="EF116" s="2">
        <v>12.521599999999999</v>
      </c>
      <c r="EK116">
        <v>126</v>
      </c>
      <c r="EL116" s="91" t="s">
        <v>724</v>
      </c>
      <c r="EM116" s="2">
        <v>15.116680000000001</v>
      </c>
    </row>
    <row r="117" spans="1:143" x14ac:dyDescent="0.4">
      <c r="A117">
        <v>125</v>
      </c>
      <c r="B117" s="91" t="s">
        <v>724</v>
      </c>
      <c r="C117" s="2"/>
      <c r="H117">
        <v>125</v>
      </c>
      <c r="I117" s="91" t="s">
        <v>724</v>
      </c>
      <c r="J117" s="2">
        <v>3.1267690000000001E-2</v>
      </c>
      <c r="O117">
        <v>125</v>
      </c>
      <c r="P117" s="91" t="s">
        <v>724</v>
      </c>
      <c r="Q117" s="2">
        <v>4.8881920000000002E-2</v>
      </c>
      <c r="V117">
        <v>125</v>
      </c>
      <c r="W117" s="91" t="s">
        <v>724</v>
      </c>
      <c r="X117" s="2">
        <v>4.7956220000000001E-2</v>
      </c>
      <c r="AC117">
        <v>125</v>
      </c>
      <c r="AD117" s="91" t="s">
        <v>724</v>
      </c>
      <c r="AE117" s="2">
        <v>5.8878710000000001E-2</v>
      </c>
      <c r="AJ117">
        <v>125</v>
      </c>
      <c r="AK117" s="91" t="s">
        <v>724</v>
      </c>
      <c r="AL117" s="2">
        <v>6.4714709999999995E-2</v>
      </c>
      <c r="AQ117">
        <v>125</v>
      </c>
      <c r="AR117" s="91" t="s">
        <v>724</v>
      </c>
      <c r="AS117" s="2">
        <v>0.1105788</v>
      </c>
      <c r="AX117">
        <v>125</v>
      </c>
      <c r="AY117" s="91" t="s">
        <v>724</v>
      </c>
      <c r="AZ117" s="2">
        <v>0.10013320000000001</v>
      </c>
      <c r="BE117">
        <v>125</v>
      </c>
      <c r="BF117" s="91" t="s">
        <v>724</v>
      </c>
      <c r="BG117" s="2">
        <v>0.20565369999999999</v>
      </c>
      <c r="BL117">
        <v>125</v>
      </c>
      <c r="BM117" s="91" t="s">
        <v>724</v>
      </c>
      <c r="BN117" s="2">
        <v>0.19042490000000001</v>
      </c>
      <c r="BS117">
        <v>125</v>
      </c>
      <c r="BT117" s="91" t="s">
        <v>724</v>
      </c>
      <c r="BU117" s="2">
        <v>0.35566330000000002</v>
      </c>
      <c r="BZ117">
        <v>125</v>
      </c>
      <c r="CA117" s="91" t="s">
        <v>724</v>
      </c>
      <c r="CB117" s="2">
        <v>1.600258</v>
      </c>
      <c r="CG117">
        <v>125</v>
      </c>
      <c r="CH117" s="91" t="s">
        <v>724</v>
      </c>
      <c r="CI117" s="2">
        <v>1.8088880000000001</v>
      </c>
      <c r="CN117">
        <v>125</v>
      </c>
      <c r="CO117" s="91" t="s">
        <v>724</v>
      </c>
      <c r="CP117" s="2">
        <v>1.9723839999999999</v>
      </c>
      <c r="CU117">
        <v>125</v>
      </c>
      <c r="CV117" s="91" t="s">
        <v>724</v>
      </c>
      <c r="CW117" s="2">
        <v>3.3570890000000002</v>
      </c>
      <c r="DB117">
        <v>125</v>
      </c>
      <c r="DC117" s="91" t="s">
        <v>724</v>
      </c>
      <c r="DD117" s="2">
        <v>5.065658</v>
      </c>
      <c r="DI117">
        <v>125</v>
      </c>
      <c r="DJ117" s="91" t="s">
        <v>724</v>
      </c>
      <c r="DK117" s="2">
        <v>5.8260769999999997</v>
      </c>
      <c r="DP117">
        <v>125</v>
      </c>
      <c r="DQ117" s="91" t="s">
        <v>724</v>
      </c>
      <c r="DR117" s="2">
        <v>6.7989110000000004</v>
      </c>
      <c r="DW117">
        <v>125</v>
      </c>
      <c r="DX117" s="91" t="s">
        <v>724</v>
      </c>
      <c r="DY117" s="2">
        <v>7.2624959999999996</v>
      </c>
      <c r="ED117">
        <v>125</v>
      </c>
      <c r="EE117" s="91" t="s">
        <v>724</v>
      </c>
      <c r="EF117" s="2">
        <v>11.80949</v>
      </c>
      <c r="EK117">
        <v>125</v>
      </c>
      <c r="EL117" s="91" t="s">
        <v>724</v>
      </c>
      <c r="EM117" s="2">
        <v>14.31466</v>
      </c>
    </row>
    <row r="118" spans="1:143" x14ac:dyDescent="0.4">
      <c r="A118">
        <v>124</v>
      </c>
      <c r="B118" s="91" t="s">
        <v>1351</v>
      </c>
      <c r="C118" s="2"/>
      <c r="H118">
        <v>124</v>
      </c>
      <c r="I118" s="91" t="s">
        <v>1351</v>
      </c>
      <c r="J118" s="2">
        <v>2.7885460000000001E-2</v>
      </c>
      <c r="O118">
        <v>124</v>
      </c>
      <c r="P118" s="91" t="s">
        <v>1351</v>
      </c>
      <c r="Q118" s="2">
        <v>4.3036320000000003E-2</v>
      </c>
      <c r="V118">
        <v>124</v>
      </c>
      <c r="W118" s="91" t="s">
        <v>1351</v>
      </c>
      <c r="X118" s="2">
        <v>4.2266860000000003E-2</v>
      </c>
      <c r="AC118">
        <v>124</v>
      </c>
      <c r="AD118" s="91" t="s">
        <v>1351</v>
      </c>
      <c r="AE118" s="2">
        <v>5.1927099999999997E-2</v>
      </c>
      <c r="AJ118">
        <v>124</v>
      </c>
      <c r="AK118" s="91" t="s">
        <v>1351</v>
      </c>
      <c r="AL118" s="2">
        <v>5.7134490000000003E-2</v>
      </c>
      <c r="AQ118">
        <v>124</v>
      </c>
      <c r="AR118" s="91" t="s">
        <v>1351</v>
      </c>
      <c r="AS118" s="2">
        <v>9.7655130000000007E-2</v>
      </c>
      <c r="AX118">
        <v>124</v>
      </c>
      <c r="AY118" s="91" t="s">
        <v>1351</v>
      </c>
      <c r="AZ118" s="2">
        <v>8.8826710000000003E-2</v>
      </c>
      <c r="BE118">
        <v>124</v>
      </c>
      <c r="BF118" s="91" t="s">
        <v>1351</v>
      </c>
      <c r="BG118" s="2">
        <v>0.18188979999999999</v>
      </c>
      <c r="BL118">
        <v>124</v>
      </c>
      <c r="BM118" s="91" t="s">
        <v>1351</v>
      </c>
      <c r="BN118" s="2">
        <v>0.16918639999999999</v>
      </c>
      <c r="BS118">
        <v>124</v>
      </c>
      <c r="BT118" s="91" t="s">
        <v>1351</v>
      </c>
      <c r="BU118" s="2">
        <v>0.31653589999999998</v>
      </c>
      <c r="BZ118">
        <v>124</v>
      </c>
      <c r="CA118" s="91" t="s">
        <v>1351</v>
      </c>
      <c r="CB118" s="2">
        <v>1.4280200000000001</v>
      </c>
      <c r="CG118">
        <v>124</v>
      </c>
      <c r="CH118" s="91" t="s">
        <v>1351</v>
      </c>
      <c r="CI118" s="2">
        <v>1.616676</v>
      </c>
      <c r="CN118">
        <v>124</v>
      </c>
      <c r="CO118" s="91" t="s">
        <v>1351</v>
      </c>
      <c r="CP118" s="2">
        <v>1.770597</v>
      </c>
      <c r="CU118">
        <v>124</v>
      </c>
      <c r="CV118" s="91" t="s">
        <v>1351</v>
      </c>
      <c r="CW118" s="2">
        <v>3.0304630000000001</v>
      </c>
      <c r="DB118">
        <v>124</v>
      </c>
      <c r="DC118" s="91" t="s">
        <v>1351</v>
      </c>
      <c r="DD118" s="2">
        <v>4.5878629999999996</v>
      </c>
      <c r="DI118">
        <v>124</v>
      </c>
      <c r="DJ118" s="91" t="s">
        <v>1351</v>
      </c>
      <c r="DK118" s="2">
        <v>5.2957729999999996</v>
      </c>
      <c r="DP118">
        <v>124</v>
      </c>
      <c r="DQ118" s="91" t="s">
        <v>1351</v>
      </c>
      <c r="DR118" s="2">
        <v>6.2172039999999997</v>
      </c>
      <c r="DW118">
        <v>124</v>
      </c>
      <c r="DX118" s="91" t="s">
        <v>1351</v>
      </c>
      <c r="DY118" s="2">
        <v>6.6855180000000001</v>
      </c>
      <c r="ED118">
        <v>124</v>
      </c>
      <c r="EE118" s="91" t="s">
        <v>1351</v>
      </c>
      <c r="EF118" s="2">
        <v>11.001659999999999</v>
      </c>
      <c r="EK118">
        <v>124</v>
      </c>
      <c r="EL118" s="91" t="s">
        <v>1351</v>
      </c>
      <c r="EM118" s="2">
        <v>13.536490000000001</v>
      </c>
    </row>
    <row r="119" spans="1:143" x14ac:dyDescent="0.4">
      <c r="A119">
        <v>123</v>
      </c>
      <c r="B119" s="91" t="s">
        <v>724</v>
      </c>
      <c r="C119" s="2"/>
      <c r="H119">
        <v>123</v>
      </c>
      <c r="I119" s="91" t="s">
        <v>724</v>
      </c>
      <c r="J119" s="2">
        <v>2.5109369999999999E-2</v>
      </c>
      <c r="O119">
        <v>123</v>
      </c>
      <c r="P119" s="91" t="s">
        <v>724</v>
      </c>
      <c r="Q119" s="2">
        <v>3.8642740000000002E-2</v>
      </c>
      <c r="V119">
        <v>123</v>
      </c>
      <c r="W119" s="91" t="s">
        <v>724</v>
      </c>
      <c r="X119" s="2">
        <v>3.813863E-2</v>
      </c>
      <c r="AC119">
        <v>123</v>
      </c>
      <c r="AD119" s="91" t="s">
        <v>724</v>
      </c>
      <c r="AE119" s="2">
        <v>4.6869519999999998E-2</v>
      </c>
      <c r="AJ119">
        <v>123</v>
      </c>
      <c r="AK119" s="91" t="s">
        <v>724</v>
      </c>
      <c r="AL119" s="2">
        <v>5.1536169999999999E-2</v>
      </c>
      <c r="AQ119">
        <v>123</v>
      </c>
      <c r="AR119" s="91" t="s">
        <v>724</v>
      </c>
      <c r="AS119" s="2">
        <v>8.8202069999999994E-2</v>
      </c>
      <c r="AX119">
        <v>123</v>
      </c>
      <c r="AY119" s="91" t="s">
        <v>724</v>
      </c>
      <c r="AZ119" s="2">
        <v>8.0195249999999996E-2</v>
      </c>
      <c r="BE119">
        <v>123</v>
      </c>
      <c r="BF119" s="91" t="s">
        <v>724</v>
      </c>
      <c r="BG119" s="2">
        <v>0.16441269999999999</v>
      </c>
      <c r="BL119">
        <v>123</v>
      </c>
      <c r="BM119" s="91" t="s">
        <v>724</v>
      </c>
      <c r="BN119" s="2">
        <v>0.15286240000000001</v>
      </c>
      <c r="BS119">
        <v>123</v>
      </c>
      <c r="BT119" s="91" t="s">
        <v>724</v>
      </c>
      <c r="BU119" s="2">
        <v>0.28626550000000001</v>
      </c>
      <c r="BZ119">
        <v>123</v>
      </c>
      <c r="CA119" s="91" t="s">
        <v>724</v>
      </c>
      <c r="CB119" s="2">
        <v>1.298667</v>
      </c>
      <c r="CG119">
        <v>123</v>
      </c>
      <c r="CH119" s="91" t="s">
        <v>724</v>
      </c>
      <c r="CI119" s="2">
        <v>1.470226</v>
      </c>
      <c r="CN119">
        <v>123</v>
      </c>
      <c r="CO119" s="91" t="s">
        <v>724</v>
      </c>
      <c r="CP119" s="2">
        <v>1.611308</v>
      </c>
      <c r="CU119">
        <v>123</v>
      </c>
      <c r="CV119" s="91" t="s">
        <v>724</v>
      </c>
      <c r="CW119" s="2">
        <v>2.7706629999999999</v>
      </c>
      <c r="DB119">
        <v>123</v>
      </c>
      <c r="DC119" s="91" t="s">
        <v>724</v>
      </c>
      <c r="DD119" s="2">
        <v>4.2185290000000002</v>
      </c>
      <c r="DI119">
        <v>123</v>
      </c>
      <c r="DJ119" s="91" t="s">
        <v>724</v>
      </c>
      <c r="DK119" s="2">
        <v>4.881869</v>
      </c>
      <c r="DP119">
        <v>123</v>
      </c>
      <c r="DQ119" s="91" t="s">
        <v>724</v>
      </c>
      <c r="DR119" s="2">
        <v>5.7495620000000001</v>
      </c>
      <c r="DW119">
        <v>123</v>
      </c>
      <c r="DX119" s="91" t="s">
        <v>724</v>
      </c>
      <c r="DY119" s="2">
        <v>6.1866969999999997</v>
      </c>
      <c r="ED119">
        <v>123</v>
      </c>
      <c r="EE119" s="91" t="s">
        <v>724</v>
      </c>
      <c r="EF119" s="2">
        <v>10.35327</v>
      </c>
      <c r="EK119">
        <v>123</v>
      </c>
      <c r="EL119" s="91" t="s">
        <v>724</v>
      </c>
      <c r="EM119" s="2">
        <v>12.839829999999999</v>
      </c>
    </row>
    <row r="120" spans="1:143" x14ac:dyDescent="0.4">
      <c r="A120">
        <v>122</v>
      </c>
      <c r="B120" s="91" t="s">
        <v>1351</v>
      </c>
      <c r="C120" s="2"/>
      <c r="H120">
        <v>122</v>
      </c>
      <c r="I120" s="91" t="s">
        <v>1351</v>
      </c>
      <c r="J120" s="2">
        <v>2.2166390000000001E-2</v>
      </c>
      <c r="O120">
        <v>122</v>
      </c>
      <c r="P120" s="91" t="s">
        <v>1351</v>
      </c>
      <c r="Q120" s="2">
        <v>3.4411860000000002E-2</v>
      </c>
      <c r="V120">
        <v>122</v>
      </c>
      <c r="W120" s="91" t="s">
        <v>1351</v>
      </c>
      <c r="X120" s="2">
        <v>3.3732159999999997E-2</v>
      </c>
      <c r="AC120">
        <v>122</v>
      </c>
      <c r="AD120" s="91" t="s">
        <v>1351</v>
      </c>
      <c r="AE120" s="2">
        <v>4.1520920000000003E-2</v>
      </c>
      <c r="AJ120">
        <v>122</v>
      </c>
      <c r="AK120" s="91" t="s">
        <v>1351</v>
      </c>
      <c r="AL120" s="2">
        <v>4.5677450000000001E-2</v>
      </c>
      <c r="AQ120">
        <v>122</v>
      </c>
      <c r="AR120" s="91" t="s">
        <v>1351</v>
      </c>
      <c r="AS120" s="2">
        <v>7.8211249999999996E-2</v>
      </c>
      <c r="AX120">
        <v>122</v>
      </c>
      <c r="AY120" s="91" t="s">
        <v>1351</v>
      </c>
      <c r="AZ120" s="2">
        <v>7.1046799999999993E-2</v>
      </c>
      <c r="BE120">
        <v>122</v>
      </c>
      <c r="BF120" s="91" t="s">
        <v>1351</v>
      </c>
      <c r="BG120" s="2">
        <v>0.14594489999999999</v>
      </c>
      <c r="BL120">
        <v>122</v>
      </c>
      <c r="BM120" s="91" t="s">
        <v>1351</v>
      </c>
      <c r="BN120" s="2">
        <v>0.13557179999999999</v>
      </c>
      <c r="BS120">
        <v>122</v>
      </c>
      <c r="BT120" s="91" t="s">
        <v>1351</v>
      </c>
      <c r="BU120" s="2">
        <v>0.25421729999999998</v>
      </c>
      <c r="BZ120">
        <v>122</v>
      </c>
      <c r="CA120" s="91" t="s">
        <v>1351</v>
      </c>
      <c r="CB120" s="2">
        <v>1.160614</v>
      </c>
      <c r="CG120">
        <v>122</v>
      </c>
      <c r="CH120" s="91" t="s">
        <v>1351</v>
      </c>
      <c r="CI120" s="2">
        <v>1.3150189999999999</v>
      </c>
      <c r="CN120">
        <v>122</v>
      </c>
      <c r="CO120" s="91" t="s">
        <v>1351</v>
      </c>
      <c r="CP120" s="2">
        <v>1.4412469999999999</v>
      </c>
      <c r="CU120">
        <v>122</v>
      </c>
      <c r="CV120" s="91" t="s">
        <v>1351</v>
      </c>
      <c r="CW120" s="2">
        <v>2.4901330000000002</v>
      </c>
      <c r="DB120">
        <v>122</v>
      </c>
      <c r="DC120" s="91" t="s">
        <v>1351</v>
      </c>
      <c r="DD120" s="2">
        <v>3.8142160000000001</v>
      </c>
      <c r="DI120">
        <v>122</v>
      </c>
      <c r="DJ120" s="91" t="s">
        <v>1351</v>
      </c>
      <c r="DK120" s="2">
        <v>4.4264089999999996</v>
      </c>
      <c r="DP120">
        <v>122</v>
      </c>
      <c r="DQ120" s="91" t="s">
        <v>1351</v>
      </c>
      <c r="DR120" s="2">
        <v>5.2268230000000004</v>
      </c>
      <c r="DW120">
        <v>122</v>
      </c>
      <c r="DX120" s="91" t="s">
        <v>1351</v>
      </c>
      <c r="DY120" s="2">
        <v>5.6363620000000001</v>
      </c>
      <c r="ED120">
        <v>122</v>
      </c>
      <c r="EE120" s="91" t="s">
        <v>1351</v>
      </c>
      <c r="EF120" s="2">
        <v>9.5783640000000005</v>
      </c>
      <c r="EK120">
        <v>122</v>
      </c>
      <c r="EL120" s="91" t="s">
        <v>1351</v>
      </c>
      <c r="EM120" s="2">
        <v>11.996420000000001</v>
      </c>
    </row>
    <row r="121" spans="1:143" x14ac:dyDescent="0.4">
      <c r="A121">
        <v>121</v>
      </c>
      <c r="B121" s="91" t="s">
        <v>724</v>
      </c>
      <c r="C121" s="2"/>
      <c r="H121">
        <v>121</v>
      </c>
      <c r="I121" s="91" t="s">
        <v>724</v>
      </c>
      <c r="J121" s="2">
        <v>2.0034329999999999E-2</v>
      </c>
      <c r="O121">
        <v>121</v>
      </c>
      <c r="P121" s="91" t="s">
        <v>724</v>
      </c>
      <c r="Q121" s="2">
        <v>3.1125340000000001E-2</v>
      </c>
      <c r="V121">
        <v>121</v>
      </c>
      <c r="W121" s="91" t="s">
        <v>724</v>
      </c>
      <c r="X121" s="2">
        <v>3.0484000000000001E-2</v>
      </c>
      <c r="AC121">
        <v>121</v>
      </c>
      <c r="AD121" s="91" t="s">
        <v>724</v>
      </c>
      <c r="AE121" s="2">
        <v>3.7479430000000001E-2</v>
      </c>
      <c r="AJ121">
        <v>121</v>
      </c>
      <c r="AK121" s="91" t="s">
        <v>724</v>
      </c>
      <c r="AL121" s="2">
        <v>4.0955610000000003E-2</v>
      </c>
      <c r="AQ121">
        <v>121</v>
      </c>
      <c r="AR121" s="91" t="s">
        <v>724</v>
      </c>
      <c r="AS121" s="2">
        <v>7.0198739999999996E-2</v>
      </c>
      <c r="AX121">
        <v>121</v>
      </c>
      <c r="AY121" s="91" t="s">
        <v>724</v>
      </c>
      <c r="AZ121" s="2">
        <v>6.3852060000000002E-2</v>
      </c>
      <c r="BE121">
        <v>121</v>
      </c>
      <c r="BF121" s="91" t="s">
        <v>724</v>
      </c>
      <c r="BG121" s="2">
        <v>0.1311262</v>
      </c>
      <c r="BL121">
        <v>121</v>
      </c>
      <c r="BM121" s="91" t="s">
        <v>724</v>
      </c>
      <c r="BN121" s="2">
        <v>0.12196559999999999</v>
      </c>
      <c r="BS121">
        <v>121</v>
      </c>
      <c r="BT121" s="91" t="s">
        <v>724</v>
      </c>
      <c r="BU121" s="2">
        <v>0.22896269999999999</v>
      </c>
      <c r="BZ121">
        <v>121</v>
      </c>
      <c r="CA121" s="91" t="s">
        <v>724</v>
      </c>
      <c r="CB121" s="2">
        <v>1.0493410000000001</v>
      </c>
      <c r="CG121">
        <v>121</v>
      </c>
      <c r="CH121" s="91" t="s">
        <v>724</v>
      </c>
      <c r="CI121" s="2">
        <v>1.189406</v>
      </c>
      <c r="CN121">
        <v>121</v>
      </c>
      <c r="CO121" s="91" t="s">
        <v>724</v>
      </c>
      <c r="CP121" s="2">
        <v>1.3059970000000001</v>
      </c>
      <c r="CU121">
        <v>121</v>
      </c>
      <c r="CV121" s="91" t="s">
        <v>724</v>
      </c>
      <c r="CW121" s="2">
        <v>2.265854</v>
      </c>
      <c r="DB121">
        <v>121</v>
      </c>
      <c r="DC121" s="91" t="s">
        <v>724</v>
      </c>
      <c r="DD121" s="2">
        <v>3.4846490000000001</v>
      </c>
      <c r="DI121">
        <v>121</v>
      </c>
      <c r="DJ121" s="91" t="s">
        <v>724</v>
      </c>
      <c r="DK121" s="2">
        <v>4.0540430000000001</v>
      </c>
      <c r="DP121">
        <v>121</v>
      </c>
      <c r="DQ121" s="91" t="s">
        <v>724</v>
      </c>
      <c r="DR121" s="2">
        <v>4.8047930000000001</v>
      </c>
      <c r="DW121">
        <v>121</v>
      </c>
      <c r="DX121" s="91" t="s">
        <v>724</v>
      </c>
      <c r="DY121" s="2">
        <v>5.1962539999999997</v>
      </c>
      <c r="ED121">
        <v>121</v>
      </c>
      <c r="EE121" s="91" t="s">
        <v>724</v>
      </c>
      <c r="EF121" s="2">
        <v>8.9481470000000005</v>
      </c>
      <c r="EK121">
        <v>121</v>
      </c>
      <c r="EL121" s="91" t="s">
        <v>724</v>
      </c>
      <c r="EM121" s="2">
        <v>11.321569999999999</v>
      </c>
    </row>
    <row r="122" spans="1:143" x14ac:dyDescent="0.4">
      <c r="A122">
        <v>120</v>
      </c>
      <c r="B122" s="91" t="s">
        <v>1351</v>
      </c>
      <c r="C122" s="2"/>
      <c r="H122">
        <v>120</v>
      </c>
      <c r="I122" s="91" t="s">
        <v>1351</v>
      </c>
      <c r="J122" s="2">
        <v>1.766119E-2</v>
      </c>
      <c r="O122">
        <v>120</v>
      </c>
      <c r="P122" s="91" t="s">
        <v>1351</v>
      </c>
      <c r="Q122" s="2">
        <v>2.7402099999999999E-2</v>
      </c>
      <c r="V122">
        <v>120</v>
      </c>
      <c r="W122" s="91" t="s">
        <v>1351</v>
      </c>
      <c r="X122" s="2">
        <v>2.692605E-2</v>
      </c>
      <c r="AC122">
        <v>120</v>
      </c>
      <c r="AD122" s="91" t="s">
        <v>1351</v>
      </c>
      <c r="AE122" s="2">
        <v>3.3135900000000003E-2</v>
      </c>
      <c r="AJ122">
        <v>120</v>
      </c>
      <c r="AK122" s="91" t="s">
        <v>1351</v>
      </c>
      <c r="AL122" s="2">
        <v>3.6570110000000003E-2</v>
      </c>
      <c r="AQ122">
        <v>120</v>
      </c>
      <c r="AR122" s="91" t="s">
        <v>1351</v>
      </c>
      <c r="AS122" s="2">
        <v>6.286477E-2</v>
      </c>
      <c r="AX122">
        <v>120</v>
      </c>
      <c r="AY122" s="91" t="s">
        <v>1351</v>
      </c>
      <c r="AZ122" s="2">
        <v>5.698011E-2</v>
      </c>
      <c r="BE122">
        <v>120</v>
      </c>
      <c r="BF122" s="91" t="s">
        <v>1351</v>
      </c>
      <c r="BG122" s="2">
        <v>0.1175051</v>
      </c>
      <c r="BL122">
        <v>120</v>
      </c>
      <c r="BM122" s="91" t="s">
        <v>1351</v>
      </c>
      <c r="BN122" s="2">
        <v>0.1089113</v>
      </c>
      <c r="BS122">
        <v>120</v>
      </c>
      <c r="BT122" s="91" t="s">
        <v>1351</v>
      </c>
      <c r="BU122" s="2">
        <v>0.20463519999999999</v>
      </c>
      <c r="BZ122">
        <v>120</v>
      </c>
      <c r="CA122" s="91" t="s">
        <v>1351</v>
      </c>
      <c r="CB122" s="2">
        <v>0.94481590000000004</v>
      </c>
      <c r="CG122">
        <v>120</v>
      </c>
      <c r="CH122" s="91" t="s">
        <v>1351</v>
      </c>
      <c r="CI122" s="2">
        <v>1.071027</v>
      </c>
      <c r="CN122">
        <v>120</v>
      </c>
      <c r="CO122" s="91" t="s">
        <v>1351</v>
      </c>
      <c r="CP122" s="2">
        <v>1.1736310000000001</v>
      </c>
      <c r="CU122">
        <v>120</v>
      </c>
      <c r="CV122" s="91" t="s">
        <v>1351</v>
      </c>
      <c r="CW122" s="2">
        <v>2.0440830000000001</v>
      </c>
      <c r="DB122">
        <v>120</v>
      </c>
      <c r="DC122" s="91" t="s">
        <v>1351</v>
      </c>
      <c r="DD122" s="2">
        <v>3.1646709999999998</v>
      </c>
      <c r="DI122">
        <v>120</v>
      </c>
      <c r="DJ122" s="91" t="s">
        <v>1351</v>
      </c>
      <c r="DK122" s="2">
        <v>3.6892559999999999</v>
      </c>
      <c r="DP122">
        <v>120</v>
      </c>
      <c r="DQ122" s="91" t="s">
        <v>1351</v>
      </c>
      <c r="DR122" s="2">
        <v>4.3762970000000001</v>
      </c>
      <c r="DW122">
        <v>120</v>
      </c>
      <c r="DX122" s="91" t="s">
        <v>1351</v>
      </c>
      <c r="DY122" s="2">
        <v>4.7272930000000004</v>
      </c>
      <c r="ED122">
        <v>120</v>
      </c>
      <c r="EE122" s="91" t="s">
        <v>1351</v>
      </c>
      <c r="EF122" s="2">
        <v>8.2780240000000003</v>
      </c>
      <c r="EK122">
        <v>120</v>
      </c>
      <c r="EL122" s="91" t="s">
        <v>1351</v>
      </c>
      <c r="EM122" s="2">
        <v>10.53449</v>
      </c>
    </row>
    <row r="123" spans="1:143" x14ac:dyDescent="0.4">
      <c r="A123">
        <v>119</v>
      </c>
      <c r="B123" s="91" t="s">
        <v>1351</v>
      </c>
      <c r="C123" s="2"/>
      <c r="H123">
        <v>119</v>
      </c>
      <c r="I123" s="91" t="s">
        <v>1351</v>
      </c>
      <c r="J123" s="2">
        <v>1.5868259999999999E-2</v>
      </c>
      <c r="O123">
        <v>119</v>
      </c>
      <c r="P123" s="91" t="s">
        <v>1351</v>
      </c>
      <c r="Q123" s="2">
        <v>2.4778959999999999E-2</v>
      </c>
      <c r="V123">
        <v>119</v>
      </c>
      <c r="W123" s="91" t="s">
        <v>1351</v>
      </c>
      <c r="X123" s="2">
        <v>2.4186800000000001E-2</v>
      </c>
      <c r="AC123">
        <v>119</v>
      </c>
      <c r="AD123" s="91" t="s">
        <v>1351</v>
      </c>
      <c r="AE123" s="2">
        <v>2.976384E-2</v>
      </c>
      <c r="AJ123">
        <v>119</v>
      </c>
      <c r="AK123" s="91" t="s">
        <v>1351</v>
      </c>
      <c r="AL123" s="2">
        <v>3.2621129999999998E-2</v>
      </c>
      <c r="AQ123">
        <v>119</v>
      </c>
      <c r="AR123" s="91" t="s">
        <v>1351</v>
      </c>
      <c r="AS123" s="2">
        <v>5.5937500000000001E-2</v>
      </c>
      <c r="AX123">
        <v>119</v>
      </c>
      <c r="AY123" s="91" t="s">
        <v>1351</v>
      </c>
      <c r="AZ123" s="2">
        <v>5.0865220000000003E-2</v>
      </c>
      <c r="BE123">
        <v>119</v>
      </c>
      <c r="BF123" s="91" t="s">
        <v>1351</v>
      </c>
      <c r="BG123" s="2">
        <v>0.1046832</v>
      </c>
      <c r="BL123">
        <v>119</v>
      </c>
      <c r="BM123" s="91" t="s">
        <v>1351</v>
      </c>
      <c r="BN123" s="2">
        <v>9.7341330000000004E-2</v>
      </c>
      <c r="BS123">
        <v>119</v>
      </c>
      <c r="BT123" s="91" t="s">
        <v>1351</v>
      </c>
      <c r="BU123" s="2">
        <v>0.1831314</v>
      </c>
      <c r="BZ123">
        <v>119</v>
      </c>
      <c r="CA123" s="91" t="s">
        <v>1351</v>
      </c>
      <c r="CB123" s="2">
        <v>0.84717350000000002</v>
      </c>
      <c r="CG123">
        <v>119</v>
      </c>
      <c r="CH123" s="91" t="s">
        <v>1351</v>
      </c>
      <c r="CI123" s="2">
        <v>0.96118049999999999</v>
      </c>
      <c r="CN123">
        <v>119</v>
      </c>
      <c r="CO123" s="91" t="s">
        <v>1351</v>
      </c>
      <c r="CP123" s="2">
        <v>1.0565530000000001</v>
      </c>
      <c r="CU123">
        <v>119</v>
      </c>
      <c r="CV123" s="91" t="s">
        <v>1351</v>
      </c>
      <c r="CW123" s="2">
        <v>1.8470439999999999</v>
      </c>
      <c r="DB123">
        <v>119</v>
      </c>
      <c r="DC123" s="91" t="s">
        <v>1351</v>
      </c>
      <c r="DD123" s="2">
        <v>2.866168</v>
      </c>
      <c r="DI123">
        <v>119</v>
      </c>
      <c r="DJ123" s="91" t="s">
        <v>1351</v>
      </c>
      <c r="DK123" s="2">
        <v>3.3496269999999999</v>
      </c>
      <c r="DP123">
        <v>119</v>
      </c>
      <c r="DQ123" s="91" t="s">
        <v>1351</v>
      </c>
      <c r="DR123" s="2">
        <v>3.9903759999999999</v>
      </c>
      <c r="DW123">
        <v>119</v>
      </c>
      <c r="DX123" s="91" t="s">
        <v>1351</v>
      </c>
      <c r="DY123" s="2">
        <v>4.3287120000000003</v>
      </c>
      <c r="ED123">
        <v>119</v>
      </c>
      <c r="EE123" s="91" t="s">
        <v>1351</v>
      </c>
      <c r="EF123" s="2">
        <v>7.6597660000000003</v>
      </c>
      <c r="EK123">
        <v>119</v>
      </c>
      <c r="EL123" s="91" t="s">
        <v>1351</v>
      </c>
      <c r="EM123" s="2">
        <v>9.8616899999999994</v>
      </c>
    </row>
    <row r="124" spans="1:143" x14ac:dyDescent="0.4">
      <c r="A124">
        <v>118</v>
      </c>
      <c r="B124" s="91" t="s">
        <v>1351</v>
      </c>
      <c r="C124" s="2"/>
      <c r="H124">
        <v>118</v>
      </c>
      <c r="I124" s="91" t="s">
        <v>1351</v>
      </c>
      <c r="J124" s="2">
        <v>1.411519E-2</v>
      </c>
      <c r="O124">
        <v>118</v>
      </c>
      <c r="P124" s="91" t="s">
        <v>1351</v>
      </c>
      <c r="Q124" s="2">
        <v>2.1869659999999999E-2</v>
      </c>
      <c r="V124">
        <v>118</v>
      </c>
      <c r="W124" s="91" t="s">
        <v>1351</v>
      </c>
      <c r="X124" s="2">
        <v>2.156133E-2</v>
      </c>
      <c r="AC124">
        <v>118</v>
      </c>
      <c r="AD124" s="91" t="s">
        <v>1351</v>
      </c>
      <c r="AE124" s="2">
        <v>2.655909E-2</v>
      </c>
      <c r="AJ124">
        <v>118</v>
      </c>
      <c r="AK124" s="91" t="s">
        <v>1351</v>
      </c>
      <c r="AL124" s="2">
        <v>2.943749E-2</v>
      </c>
      <c r="AQ124">
        <v>118</v>
      </c>
      <c r="AR124" s="91" t="s">
        <v>1351</v>
      </c>
      <c r="AS124" s="2">
        <v>5.0219769999999997E-2</v>
      </c>
      <c r="AX124">
        <v>118</v>
      </c>
      <c r="AY124" s="91" t="s">
        <v>1351</v>
      </c>
      <c r="AZ124" s="2">
        <v>4.5883970000000003E-2</v>
      </c>
      <c r="BE124">
        <v>118</v>
      </c>
      <c r="BF124" s="91" t="s">
        <v>1351</v>
      </c>
      <c r="BG124" s="2">
        <v>9.4902249999999994E-2</v>
      </c>
      <c r="BL124">
        <v>118</v>
      </c>
      <c r="BM124" s="91" t="s">
        <v>1351</v>
      </c>
      <c r="BN124" s="2">
        <v>8.783328E-2</v>
      </c>
      <c r="BS124">
        <v>118</v>
      </c>
      <c r="BT124" s="91" t="s">
        <v>1351</v>
      </c>
      <c r="BU124" s="2">
        <v>0.1653297</v>
      </c>
      <c r="BZ124">
        <v>118</v>
      </c>
      <c r="CA124" s="91" t="s">
        <v>1351</v>
      </c>
      <c r="CB124" s="2">
        <v>0.7705786</v>
      </c>
      <c r="CG124">
        <v>118</v>
      </c>
      <c r="CH124" s="91" t="s">
        <v>1351</v>
      </c>
      <c r="CI124" s="2">
        <v>0.87398799999999999</v>
      </c>
      <c r="CN124">
        <v>118</v>
      </c>
      <c r="CO124" s="91" t="s">
        <v>1351</v>
      </c>
      <c r="CP124" s="2">
        <v>0.95785900000000002</v>
      </c>
      <c r="CU124">
        <v>118</v>
      </c>
      <c r="CV124" s="91" t="s">
        <v>1351</v>
      </c>
      <c r="CW124" s="2">
        <v>1.6798500000000001</v>
      </c>
      <c r="DB124">
        <v>118</v>
      </c>
      <c r="DC124" s="91" t="s">
        <v>1351</v>
      </c>
      <c r="DD124" s="2">
        <v>2.6237279999999998</v>
      </c>
      <c r="DI124">
        <v>118</v>
      </c>
      <c r="DJ124" s="91" t="s">
        <v>1351</v>
      </c>
      <c r="DK124" s="2">
        <v>3.070872</v>
      </c>
      <c r="DP124">
        <v>118</v>
      </c>
      <c r="DQ124" s="91" t="s">
        <v>1351</v>
      </c>
      <c r="DR124" s="2">
        <v>3.658941</v>
      </c>
      <c r="DW124">
        <v>118</v>
      </c>
      <c r="DX124" s="91" t="s">
        <v>1351</v>
      </c>
      <c r="DY124" s="2">
        <v>3.9518179999999998</v>
      </c>
      <c r="ED124">
        <v>118</v>
      </c>
      <c r="EE124" s="91" t="s">
        <v>1351</v>
      </c>
      <c r="EF124" s="2">
        <v>7.12019</v>
      </c>
      <c r="EK124">
        <v>118</v>
      </c>
      <c r="EL124" s="91" t="s">
        <v>1351</v>
      </c>
      <c r="EM124" s="2">
        <v>9.1837739999999997</v>
      </c>
    </row>
    <row r="125" spans="1:143" x14ac:dyDescent="0.4">
      <c r="A125">
        <v>117</v>
      </c>
      <c r="B125" s="91" t="s">
        <v>1351</v>
      </c>
      <c r="C125" s="2"/>
      <c r="H125">
        <v>117</v>
      </c>
      <c r="I125" s="91" t="s">
        <v>1351</v>
      </c>
      <c r="J125" s="2">
        <v>1.2578850000000001E-2</v>
      </c>
      <c r="O125">
        <v>117</v>
      </c>
      <c r="P125" s="91" t="s">
        <v>1351</v>
      </c>
      <c r="Q125" s="2">
        <v>1.964525E-2</v>
      </c>
      <c r="V125">
        <v>117</v>
      </c>
      <c r="W125" s="91" t="s">
        <v>1351</v>
      </c>
      <c r="X125" s="2">
        <v>1.9209110000000001E-2</v>
      </c>
      <c r="AC125">
        <v>117</v>
      </c>
      <c r="AD125" s="91" t="s">
        <v>1351</v>
      </c>
      <c r="AE125" s="2">
        <v>2.3660480000000001E-2</v>
      </c>
      <c r="AJ125">
        <v>117</v>
      </c>
      <c r="AK125" s="91" t="s">
        <v>1351</v>
      </c>
      <c r="AL125" s="2">
        <v>2.5990619999999999E-2</v>
      </c>
      <c r="AQ125">
        <v>117</v>
      </c>
      <c r="AR125" s="91" t="s">
        <v>1351</v>
      </c>
      <c r="AS125" s="2">
        <v>4.474268E-2</v>
      </c>
      <c r="AX125">
        <v>117</v>
      </c>
      <c r="AY125" s="91" t="s">
        <v>1351</v>
      </c>
      <c r="AZ125" s="2">
        <v>4.0588699999999998E-2</v>
      </c>
      <c r="BE125">
        <v>117</v>
      </c>
      <c r="BF125" s="91" t="s">
        <v>1351</v>
      </c>
      <c r="BG125" s="2">
        <v>8.3735939999999995E-2</v>
      </c>
      <c r="BL125">
        <v>117</v>
      </c>
      <c r="BM125" s="91" t="s">
        <v>1351</v>
      </c>
      <c r="BN125" s="2">
        <v>7.780774E-2</v>
      </c>
      <c r="BS125">
        <v>117</v>
      </c>
      <c r="BT125" s="91" t="s">
        <v>1351</v>
      </c>
      <c r="BU125" s="2">
        <v>0.14666660000000001</v>
      </c>
      <c r="BZ125">
        <v>117</v>
      </c>
      <c r="CA125" s="91" t="s">
        <v>1351</v>
      </c>
      <c r="CB125" s="2">
        <v>0.68426019999999999</v>
      </c>
      <c r="CG125">
        <v>117</v>
      </c>
      <c r="CH125" s="91" t="s">
        <v>1351</v>
      </c>
      <c r="CI125" s="2">
        <v>0.77695270000000005</v>
      </c>
      <c r="CN125">
        <v>117</v>
      </c>
      <c r="CO125" s="91" t="s">
        <v>1351</v>
      </c>
      <c r="CP125" s="2">
        <v>0.85453610000000002</v>
      </c>
      <c r="CU125">
        <v>117</v>
      </c>
      <c r="CV125" s="91" t="s">
        <v>1351</v>
      </c>
      <c r="CW125" s="2">
        <v>1.503506</v>
      </c>
      <c r="DB125">
        <v>117</v>
      </c>
      <c r="DC125" s="91" t="s">
        <v>1351</v>
      </c>
      <c r="DD125" s="2">
        <v>2.351556</v>
      </c>
      <c r="DI125">
        <v>117</v>
      </c>
      <c r="DJ125" s="91" t="s">
        <v>1351</v>
      </c>
      <c r="DK125" s="2">
        <v>2.7587920000000001</v>
      </c>
      <c r="DP125">
        <v>117</v>
      </c>
      <c r="DQ125" s="91" t="s">
        <v>1351</v>
      </c>
      <c r="DR125" s="2">
        <v>3.3002549999999999</v>
      </c>
      <c r="DW125">
        <v>117</v>
      </c>
      <c r="DX125" s="91" t="s">
        <v>1351</v>
      </c>
      <c r="DY125" s="2">
        <v>3.5879690000000002</v>
      </c>
      <c r="ED125">
        <v>117</v>
      </c>
      <c r="EE125" s="91" t="s">
        <v>1351</v>
      </c>
      <c r="EF125" s="2">
        <v>6.5067000000000004</v>
      </c>
      <c r="EK125">
        <v>117</v>
      </c>
      <c r="EL125" s="91" t="s">
        <v>1351</v>
      </c>
      <c r="EM125" s="2">
        <v>8.5064779999999995</v>
      </c>
    </row>
    <row r="126" spans="1:143" x14ac:dyDescent="0.4">
      <c r="A126">
        <v>116</v>
      </c>
      <c r="B126" s="91" t="s">
        <v>1351</v>
      </c>
      <c r="C126" s="2"/>
      <c r="H126">
        <v>116</v>
      </c>
      <c r="I126" s="91" t="s">
        <v>1351</v>
      </c>
      <c r="J126" s="2">
        <v>1.1332170000000001E-2</v>
      </c>
      <c r="O126">
        <v>116</v>
      </c>
      <c r="P126" s="91" t="s">
        <v>1351</v>
      </c>
      <c r="Q126" s="2">
        <v>1.7508059999999999E-2</v>
      </c>
      <c r="V126">
        <v>116</v>
      </c>
      <c r="W126" s="91" t="s">
        <v>1351</v>
      </c>
      <c r="X126" s="2">
        <v>1.7347040000000001E-2</v>
      </c>
      <c r="AC126">
        <v>116</v>
      </c>
      <c r="AD126" s="91" t="s">
        <v>1351</v>
      </c>
      <c r="AE126" s="2">
        <v>2.1390630000000001E-2</v>
      </c>
      <c r="AJ126">
        <v>116</v>
      </c>
      <c r="AK126" s="91" t="s">
        <v>1351</v>
      </c>
      <c r="AL126" s="2">
        <v>2.350054E-2</v>
      </c>
      <c r="AQ126">
        <v>116</v>
      </c>
      <c r="AR126" s="91" t="s">
        <v>1351</v>
      </c>
      <c r="AS126" s="2">
        <v>4.0528830000000002E-2</v>
      </c>
      <c r="AX126">
        <v>116</v>
      </c>
      <c r="AY126" s="91" t="s">
        <v>1351</v>
      </c>
      <c r="AZ126" s="2">
        <v>3.666879E-2</v>
      </c>
      <c r="BE126">
        <v>116</v>
      </c>
      <c r="BF126" s="91" t="s">
        <v>1351</v>
      </c>
      <c r="BG126" s="2">
        <v>7.5669120000000006E-2</v>
      </c>
      <c r="BL126">
        <v>116</v>
      </c>
      <c r="BM126" s="91" t="s">
        <v>1351</v>
      </c>
      <c r="BN126" s="2">
        <v>7.0338880000000006E-2</v>
      </c>
      <c r="BS126">
        <v>116</v>
      </c>
      <c r="BT126" s="91" t="s">
        <v>1351</v>
      </c>
      <c r="BU126" s="2">
        <v>0.1326822</v>
      </c>
      <c r="BZ126">
        <v>116</v>
      </c>
      <c r="CA126" s="91" t="s">
        <v>1351</v>
      </c>
      <c r="CB126" s="2">
        <v>0.62081399999999998</v>
      </c>
      <c r="CG126">
        <v>116</v>
      </c>
      <c r="CH126" s="91" t="s">
        <v>1351</v>
      </c>
      <c r="CI126" s="2">
        <v>0.70494310000000004</v>
      </c>
      <c r="CN126">
        <v>116</v>
      </c>
      <c r="CO126" s="91" t="s">
        <v>1351</v>
      </c>
      <c r="CP126" s="2">
        <v>0.77593909999999999</v>
      </c>
      <c r="CU126">
        <v>116</v>
      </c>
      <c r="CV126" s="91" t="s">
        <v>1351</v>
      </c>
      <c r="CW126" s="2">
        <v>1.3687389999999999</v>
      </c>
      <c r="DB126">
        <v>116</v>
      </c>
      <c r="DC126" s="91" t="s">
        <v>1351</v>
      </c>
      <c r="DD126" s="2">
        <v>2.1471200000000001</v>
      </c>
      <c r="DI126">
        <v>116</v>
      </c>
      <c r="DJ126" s="91" t="s">
        <v>1351</v>
      </c>
      <c r="DK126" s="2">
        <v>2.5228009999999998</v>
      </c>
      <c r="DP126">
        <v>116</v>
      </c>
      <c r="DQ126" s="91" t="s">
        <v>1351</v>
      </c>
      <c r="DR126" s="2">
        <v>3.024438</v>
      </c>
      <c r="DW126">
        <v>116</v>
      </c>
      <c r="DX126" s="91" t="s">
        <v>1351</v>
      </c>
      <c r="DY126" s="2">
        <v>3.2905519999999999</v>
      </c>
      <c r="ED126">
        <v>116</v>
      </c>
      <c r="EE126" s="91" t="s">
        <v>1351</v>
      </c>
      <c r="EF126" s="2">
        <v>6.0329110000000004</v>
      </c>
      <c r="EK126">
        <v>116</v>
      </c>
      <c r="EL126" s="91" t="s">
        <v>1351</v>
      </c>
      <c r="EM126" s="2">
        <v>7.9406220000000003</v>
      </c>
    </row>
    <row r="127" spans="1:143" x14ac:dyDescent="0.4">
      <c r="A127">
        <v>115</v>
      </c>
      <c r="B127" s="91" t="s">
        <v>1351</v>
      </c>
      <c r="C127" s="2"/>
      <c r="H127">
        <v>115</v>
      </c>
      <c r="I127" s="91" t="s">
        <v>1351</v>
      </c>
      <c r="J127" s="2">
        <v>9.9910369999999995E-3</v>
      </c>
      <c r="O127">
        <v>115</v>
      </c>
      <c r="P127" s="91" t="s">
        <v>1351</v>
      </c>
      <c r="Q127" s="2">
        <v>1.5590730000000001E-2</v>
      </c>
      <c r="V127">
        <v>115</v>
      </c>
      <c r="W127" s="91" t="s">
        <v>1351</v>
      </c>
      <c r="X127" s="2">
        <v>1.5285999999999999E-2</v>
      </c>
      <c r="AC127">
        <v>115</v>
      </c>
      <c r="AD127" s="91" t="s">
        <v>1351</v>
      </c>
      <c r="AE127" s="2">
        <v>1.884566E-2</v>
      </c>
      <c r="AJ127">
        <v>115</v>
      </c>
      <c r="AK127" s="91" t="s">
        <v>1351</v>
      </c>
      <c r="AL127" s="2">
        <v>2.076163E-2</v>
      </c>
      <c r="AQ127">
        <v>115</v>
      </c>
      <c r="AR127" s="91" t="s">
        <v>1351</v>
      </c>
      <c r="AS127" s="2">
        <v>3.5703369999999998E-2</v>
      </c>
      <c r="AX127">
        <v>115</v>
      </c>
      <c r="AY127" s="91" t="s">
        <v>1351</v>
      </c>
      <c r="AZ127" s="2">
        <v>3.2458790000000001E-2</v>
      </c>
      <c r="BE127">
        <v>115</v>
      </c>
      <c r="BF127" s="91" t="s">
        <v>1351</v>
      </c>
      <c r="BG127" s="2">
        <v>6.7043370000000005E-2</v>
      </c>
      <c r="BL127">
        <v>115</v>
      </c>
      <c r="BM127" s="91" t="s">
        <v>1351</v>
      </c>
      <c r="BN127" s="2">
        <v>6.2321059999999998E-2</v>
      </c>
      <c r="BS127">
        <v>115</v>
      </c>
      <c r="BT127" s="91" t="s">
        <v>1351</v>
      </c>
      <c r="BU127" s="2">
        <v>0.11768339999999999</v>
      </c>
      <c r="BZ127">
        <v>115</v>
      </c>
      <c r="CA127" s="91" t="s">
        <v>1351</v>
      </c>
      <c r="CB127" s="2">
        <v>0.55348679999999995</v>
      </c>
      <c r="CG127">
        <v>115</v>
      </c>
      <c r="CH127" s="91" t="s">
        <v>1351</v>
      </c>
      <c r="CI127" s="2">
        <v>0.62886889999999995</v>
      </c>
      <c r="CN127">
        <v>115</v>
      </c>
      <c r="CO127" s="91" t="s">
        <v>1351</v>
      </c>
      <c r="CP127" s="2">
        <v>0.69162219999999996</v>
      </c>
      <c r="CU127">
        <v>115</v>
      </c>
      <c r="CV127" s="91" t="s">
        <v>1351</v>
      </c>
      <c r="CW127" s="2">
        <v>1.223616</v>
      </c>
      <c r="DB127">
        <v>115</v>
      </c>
      <c r="DC127" s="91" t="s">
        <v>1351</v>
      </c>
      <c r="DD127" s="2">
        <v>1.9274210000000001</v>
      </c>
      <c r="DI127">
        <v>115</v>
      </c>
      <c r="DJ127" s="91" t="s">
        <v>1351</v>
      </c>
      <c r="DK127" s="2">
        <v>2.2685369999999998</v>
      </c>
      <c r="DP127">
        <v>115</v>
      </c>
      <c r="DQ127" s="91" t="s">
        <v>1351</v>
      </c>
      <c r="DR127" s="2">
        <v>2.7226089999999998</v>
      </c>
      <c r="DW127">
        <v>115</v>
      </c>
      <c r="DX127" s="91" t="s">
        <v>1351</v>
      </c>
      <c r="DY127" s="2">
        <v>2.9638</v>
      </c>
      <c r="ED127">
        <v>115</v>
      </c>
      <c r="EE127" s="91" t="s">
        <v>1351</v>
      </c>
      <c r="EF127" s="2">
        <v>5.4952589999999999</v>
      </c>
      <c r="EK127">
        <v>115</v>
      </c>
      <c r="EL127" s="91" t="s">
        <v>1351</v>
      </c>
      <c r="EM127" s="2">
        <v>7.2809270000000001</v>
      </c>
    </row>
    <row r="128" spans="1:143" x14ac:dyDescent="0.4">
      <c r="A128">
        <v>114</v>
      </c>
      <c r="B128" s="91" t="s">
        <v>1351</v>
      </c>
      <c r="C128" s="2"/>
      <c r="H128">
        <v>114</v>
      </c>
      <c r="I128" s="91" t="s">
        <v>1351</v>
      </c>
      <c r="J128" s="2">
        <v>9.0435259999999996E-3</v>
      </c>
      <c r="O128">
        <v>114</v>
      </c>
      <c r="P128" s="91" t="s">
        <v>1351</v>
      </c>
      <c r="Q128" s="2">
        <v>1.408151E-2</v>
      </c>
      <c r="V128">
        <v>114</v>
      </c>
      <c r="W128" s="91" t="s">
        <v>1351</v>
      </c>
      <c r="X128" s="2">
        <v>1.383213E-2</v>
      </c>
      <c r="AC128">
        <v>114</v>
      </c>
      <c r="AD128" s="91" t="s">
        <v>1351</v>
      </c>
      <c r="AE128" s="2">
        <v>1.7051449999999999E-2</v>
      </c>
      <c r="AJ128">
        <v>114</v>
      </c>
      <c r="AK128" s="91" t="s">
        <v>1351</v>
      </c>
      <c r="AL128" s="2">
        <v>1.8652789999999999E-2</v>
      </c>
      <c r="AQ128">
        <v>114</v>
      </c>
      <c r="AR128" s="91" t="s">
        <v>1351</v>
      </c>
      <c r="AS128" s="2">
        <v>3.230119E-2</v>
      </c>
      <c r="AX128">
        <v>114</v>
      </c>
      <c r="AY128" s="91" t="s">
        <v>1351</v>
      </c>
      <c r="AZ128" s="2">
        <v>2.915893E-2</v>
      </c>
      <c r="BE128">
        <v>114</v>
      </c>
      <c r="BF128" s="91" t="s">
        <v>1351</v>
      </c>
      <c r="BG128" s="2">
        <v>6.0659900000000003E-2</v>
      </c>
      <c r="BL128">
        <v>114</v>
      </c>
      <c r="BM128" s="91" t="s">
        <v>1351</v>
      </c>
      <c r="BN128" s="2">
        <v>5.6036170000000003E-2</v>
      </c>
      <c r="BS128">
        <v>114</v>
      </c>
      <c r="BT128" s="91" t="s">
        <v>1351</v>
      </c>
      <c r="BU128" s="2">
        <v>0.1059132</v>
      </c>
      <c r="BZ128">
        <v>114</v>
      </c>
      <c r="CA128" s="91" t="s">
        <v>1351</v>
      </c>
      <c r="CB128" s="2">
        <v>0.49882559999999998</v>
      </c>
      <c r="CG128">
        <v>114</v>
      </c>
      <c r="CH128" s="91" t="s">
        <v>1351</v>
      </c>
      <c r="CI128" s="2">
        <v>0.56700189999999995</v>
      </c>
      <c r="CN128">
        <v>114</v>
      </c>
      <c r="CO128" s="91" t="s">
        <v>1351</v>
      </c>
      <c r="CP128" s="2">
        <v>0.62488460000000001</v>
      </c>
      <c r="CU128">
        <v>114</v>
      </c>
      <c r="CV128" s="91" t="s">
        <v>1351</v>
      </c>
      <c r="CW128" s="2">
        <v>1.108114</v>
      </c>
      <c r="DB128">
        <v>114</v>
      </c>
      <c r="DC128" s="91" t="s">
        <v>1351</v>
      </c>
      <c r="DD128" s="2">
        <v>1.7482439999999999</v>
      </c>
      <c r="DI128">
        <v>114</v>
      </c>
      <c r="DJ128" s="91" t="s">
        <v>1351</v>
      </c>
      <c r="DK128" s="2">
        <v>2.060867</v>
      </c>
      <c r="DP128">
        <v>114</v>
      </c>
      <c r="DQ128" s="91" t="s">
        <v>1351</v>
      </c>
      <c r="DR128" s="2">
        <v>2.480181</v>
      </c>
      <c r="DW128">
        <v>114</v>
      </c>
      <c r="DX128" s="91" t="s">
        <v>1351</v>
      </c>
      <c r="DY128" s="2">
        <v>2.7067480000000002</v>
      </c>
      <c r="ED128">
        <v>114</v>
      </c>
      <c r="EE128" s="91" t="s">
        <v>1351</v>
      </c>
      <c r="EF128" s="2">
        <v>5.0580340000000001</v>
      </c>
      <c r="EK128">
        <v>114</v>
      </c>
      <c r="EL128" s="91" t="s">
        <v>1351</v>
      </c>
      <c r="EM128" s="2">
        <v>6.7569090000000003</v>
      </c>
    </row>
    <row r="129" spans="1:143" x14ac:dyDescent="0.4">
      <c r="A129">
        <v>113</v>
      </c>
      <c r="B129" s="91" t="s">
        <v>724</v>
      </c>
      <c r="C129" s="2"/>
      <c r="H129">
        <v>113</v>
      </c>
      <c r="I129" s="91" t="s">
        <v>724</v>
      </c>
      <c r="J129" s="2">
        <v>7.9550780000000008E-3</v>
      </c>
      <c r="O129">
        <v>113</v>
      </c>
      <c r="P129" s="91" t="s">
        <v>724</v>
      </c>
      <c r="Q129" s="2">
        <v>1.239617E-2</v>
      </c>
      <c r="V129">
        <v>113</v>
      </c>
      <c r="W129" s="91" t="s">
        <v>724</v>
      </c>
      <c r="X129" s="2">
        <v>1.219426E-2</v>
      </c>
      <c r="AC129">
        <v>113</v>
      </c>
      <c r="AD129" s="91" t="s">
        <v>724</v>
      </c>
      <c r="AE129" s="2">
        <v>1.5047919999999999E-2</v>
      </c>
      <c r="AJ129">
        <v>113</v>
      </c>
      <c r="AK129" s="91" t="s">
        <v>724</v>
      </c>
      <c r="AL129" s="2">
        <v>1.6641300000000001E-2</v>
      </c>
      <c r="AQ129">
        <v>113</v>
      </c>
      <c r="AR129" s="91" t="s">
        <v>724</v>
      </c>
      <c r="AS129" s="2">
        <v>2.856071E-2</v>
      </c>
      <c r="AX129">
        <v>113</v>
      </c>
      <c r="AY129" s="91" t="s">
        <v>724</v>
      </c>
      <c r="AZ129" s="2">
        <v>2.604006E-2</v>
      </c>
      <c r="BE129">
        <v>113</v>
      </c>
      <c r="BF129" s="91" t="s">
        <v>724</v>
      </c>
      <c r="BG129" s="2">
        <v>5.3729590000000001E-2</v>
      </c>
      <c r="BL129">
        <v>113</v>
      </c>
      <c r="BM129" s="91" t="s">
        <v>724</v>
      </c>
      <c r="BN129" s="2">
        <v>5.0069130000000003E-2</v>
      </c>
      <c r="BS129">
        <v>113</v>
      </c>
      <c r="BT129" s="91" t="s">
        <v>724</v>
      </c>
      <c r="BU129" s="2">
        <v>9.4700980000000004E-2</v>
      </c>
      <c r="BZ129">
        <v>113</v>
      </c>
      <c r="CA129" s="91" t="s">
        <v>724</v>
      </c>
      <c r="CB129" s="2">
        <v>0.4490094</v>
      </c>
      <c r="CG129">
        <v>113</v>
      </c>
      <c r="CH129" s="91" t="s">
        <v>724</v>
      </c>
      <c r="CI129" s="2">
        <v>0.51037619999999995</v>
      </c>
      <c r="CN129">
        <v>113</v>
      </c>
      <c r="CO129" s="91" t="s">
        <v>724</v>
      </c>
      <c r="CP129" s="2">
        <v>0.56082679999999996</v>
      </c>
      <c r="CU129">
        <v>113</v>
      </c>
      <c r="CV129" s="91" t="s">
        <v>724</v>
      </c>
      <c r="CW129" s="2">
        <v>0.9968728</v>
      </c>
      <c r="DB129">
        <v>113</v>
      </c>
      <c r="DC129" s="91" t="s">
        <v>724</v>
      </c>
      <c r="DD129" s="2">
        <v>1.5810299999999999</v>
      </c>
      <c r="DI129">
        <v>113</v>
      </c>
      <c r="DJ129" s="91" t="s">
        <v>724</v>
      </c>
      <c r="DK129" s="2">
        <v>1.8658360000000001</v>
      </c>
      <c r="DP129">
        <v>113</v>
      </c>
      <c r="DQ129" s="91" t="s">
        <v>724</v>
      </c>
      <c r="DR129" s="2">
        <v>2.2442129999999998</v>
      </c>
      <c r="DW129">
        <v>113</v>
      </c>
      <c r="DX129" s="91" t="s">
        <v>724</v>
      </c>
      <c r="DY129" s="2">
        <v>2.4433470000000002</v>
      </c>
      <c r="ED129">
        <v>113</v>
      </c>
      <c r="EE129" s="91" t="s">
        <v>724</v>
      </c>
      <c r="EF129" s="2">
        <v>4.6240420000000002</v>
      </c>
      <c r="EK129">
        <v>113</v>
      </c>
      <c r="EL129" s="91" t="s">
        <v>724</v>
      </c>
      <c r="EM129" s="2">
        <v>6.1942789999999999</v>
      </c>
    </row>
    <row r="130" spans="1:143" x14ac:dyDescent="0.4">
      <c r="A130">
        <v>112</v>
      </c>
      <c r="B130" s="91" t="s">
        <v>1351</v>
      </c>
      <c r="C130" s="2"/>
      <c r="H130">
        <v>112</v>
      </c>
      <c r="I130" s="91" t="s">
        <v>1351</v>
      </c>
      <c r="J130" s="2">
        <v>7.1515950000000002E-3</v>
      </c>
      <c r="O130">
        <v>112</v>
      </c>
      <c r="P130" s="91" t="s">
        <v>1351</v>
      </c>
      <c r="Q130" s="2">
        <v>1.123303E-2</v>
      </c>
      <c r="V130">
        <v>112</v>
      </c>
      <c r="W130" s="91" t="s">
        <v>1351</v>
      </c>
      <c r="X130" s="2">
        <v>1.095761E-2</v>
      </c>
      <c r="AC130">
        <v>112</v>
      </c>
      <c r="AD130" s="91" t="s">
        <v>1351</v>
      </c>
      <c r="AE130" s="2">
        <v>1.3520010000000001E-2</v>
      </c>
      <c r="AJ130">
        <v>112</v>
      </c>
      <c r="AK130" s="91" t="s">
        <v>1351</v>
      </c>
      <c r="AL130" s="2">
        <v>1.482349E-2</v>
      </c>
      <c r="AQ130">
        <v>112</v>
      </c>
      <c r="AR130" s="91" t="s">
        <v>1351</v>
      </c>
      <c r="AS130" s="2">
        <v>2.5658239999999999E-2</v>
      </c>
      <c r="AX130">
        <v>112</v>
      </c>
      <c r="AY130" s="91" t="s">
        <v>1351</v>
      </c>
      <c r="AZ130" s="2">
        <v>2.321175E-2</v>
      </c>
      <c r="BE130">
        <v>112</v>
      </c>
      <c r="BF130" s="91" t="s">
        <v>1351</v>
      </c>
      <c r="BG130" s="2">
        <v>4.8275779999999997E-2</v>
      </c>
      <c r="BL130">
        <v>112</v>
      </c>
      <c r="BM130" s="91" t="s">
        <v>1351</v>
      </c>
      <c r="BN130" s="2">
        <v>4.4681270000000002E-2</v>
      </c>
      <c r="BS130">
        <v>112</v>
      </c>
      <c r="BT130" s="91" t="s">
        <v>1351</v>
      </c>
      <c r="BU130" s="2">
        <v>8.4603709999999999E-2</v>
      </c>
      <c r="BZ130">
        <v>112</v>
      </c>
      <c r="CA130" s="91" t="s">
        <v>1351</v>
      </c>
      <c r="CB130" s="2">
        <v>0.4010108</v>
      </c>
      <c r="CG130">
        <v>112</v>
      </c>
      <c r="CH130" s="91" t="s">
        <v>1351</v>
      </c>
      <c r="CI130" s="2">
        <v>0.45624039999999999</v>
      </c>
      <c r="CN130">
        <v>112</v>
      </c>
      <c r="CO130" s="91" t="s">
        <v>1351</v>
      </c>
      <c r="CP130" s="2">
        <v>0.50307100000000005</v>
      </c>
      <c r="CU130">
        <v>112</v>
      </c>
      <c r="CV130" s="91" t="s">
        <v>1351</v>
      </c>
      <c r="CW130" s="2">
        <v>0.89616609999999997</v>
      </c>
      <c r="DB130">
        <v>112</v>
      </c>
      <c r="DC130" s="91" t="s">
        <v>1351</v>
      </c>
      <c r="DD130" s="2">
        <v>1.42137</v>
      </c>
      <c r="DI130">
        <v>112</v>
      </c>
      <c r="DJ130" s="91" t="s">
        <v>1351</v>
      </c>
      <c r="DK130" s="2">
        <v>1.68025</v>
      </c>
      <c r="DP130">
        <v>112</v>
      </c>
      <c r="DQ130" s="91" t="s">
        <v>1351</v>
      </c>
      <c r="DR130" s="2">
        <v>2.0280019999999999</v>
      </c>
      <c r="DW130">
        <v>112</v>
      </c>
      <c r="DX130" s="91" t="s">
        <v>1351</v>
      </c>
      <c r="DY130" s="2">
        <v>2.2169690000000002</v>
      </c>
      <c r="ED130">
        <v>112</v>
      </c>
      <c r="EE130" s="91" t="s">
        <v>1351</v>
      </c>
      <c r="EF130" s="2">
        <v>4.2165530000000002</v>
      </c>
      <c r="EK130">
        <v>112</v>
      </c>
      <c r="EL130" s="91" t="s">
        <v>1351</v>
      </c>
      <c r="EM130" s="2">
        <v>5.7011440000000002</v>
      </c>
    </row>
    <row r="131" spans="1:143" x14ac:dyDescent="0.4">
      <c r="AT131" s="5"/>
    </row>
    <row r="132" spans="1:143" x14ac:dyDescent="0.4">
      <c r="AT132" s="5"/>
    </row>
    <row r="133" spans="1:143" x14ac:dyDescent="0.4">
      <c r="O133" s="40"/>
      <c r="AT133" s="5"/>
    </row>
    <row r="134" spans="1:143" x14ac:dyDescent="0.4">
      <c r="O134" s="40"/>
      <c r="AT134" s="5"/>
      <c r="CM134" s="40"/>
    </row>
    <row r="135" spans="1:143" x14ac:dyDescent="0.4">
      <c r="H135" s="40"/>
      <c r="U135" s="40"/>
      <c r="AT135" s="5"/>
      <c r="CM135" s="40"/>
    </row>
    <row r="136" spans="1:143" x14ac:dyDescent="0.4">
      <c r="H136" s="40"/>
      <c r="U136" s="40"/>
      <c r="AT136" s="5"/>
      <c r="CM136" s="40"/>
    </row>
    <row r="137" spans="1:143" x14ac:dyDescent="0.4">
      <c r="H137" s="40"/>
      <c r="U137" s="40"/>
      <c r="AT137" s="5"/>
      <c r="CM137" s="40"/>
    </row>
    <row r="138" spans="1:143" x14ac:dyDescent="0.4">
      <c r="H138" s="40"/>
      <c r="O138" s="40"/>
      <c r="U138" s="40"/>
      <c r="AT138" s="5"/>
      <c r="CM138" s="40"/>
    </row>
    <row r="139" spans="1:143" x14ac:dyDescent="0.4">
      <c r="H139" s="40"/>
      <c r="U139" s="40"/>
      <c r="CM139" s="40"/>
    </row>
    <row r="140" spans="1:143" x14ac:dyDescent="0.4">
      <c r="H140" s="40"/>
      <c r="CM140" s="40"/>
    </row>
    <row r="141" spans="1:143" x14ac:dyDescent="0.4">
      <c r="O141" s="40"/>
      <c r="CM141" s="40"/>
    </row>
    <row r="142" spans="1:143" x14ac:dyDescent="0.4">
      <c r="CM142" s="40"/>
    </row>
    <row r="143" spans="1:143" x14ac:dyDescent="0.4">
      <c r="CM143" s="40"/>
    </row>
    <row r="144" spans="1:143" x14ac:dyDescent="0.4">
      <c r="CM144" s="40"/>
    </row>
    <row r="145" spans="91:91" x14ac:dyDescent="0.4">
      <c r="CM145" s="40"/>
    </row>
    <row r="146" spans="91:91" x14ac:dyDescent="0.4">
      <c r="CM146" s="40"/>
    </row>
    <row r="147" spans="91:91" x14ac:dyDescent="0.4">
      <c r="CM147" s="40"/>
    </row>
    <row r="148" spans="91:91" x14ac:dyDescent="0.4">
      <c r="CM148" s="40"/>
    </row>
    <row r="149" spans="91:91" x14ac:dyDescent="0.4">
      <c r="CM149" s="40"/>
    </row>
    <row r="150" spans="91:91" x14ac:dyDescent="0.4">
      <c r="CM150" s="40"/>
    </row>
    <row r="151" spans="91:91" x14ac:dyDescent="0.4">
      <c r="CM151" s="40"/>
    </row>
    <row r="152" spans="91:91" x14ac:dyDescent="0.4">
      <c r="CM152" s="40"/>
    </row>
    <row r="153" spans="91:91" x14ac:dyDescent="0.4">
      <c r="CM153" s="40"/>
    </row>
    <row r="154" spans="91:91" x14ac:dyDescent="0.4">
      <c r="CM154" s="40"/>
    </row>
    <row r="155" spans="91:91" x14ac:dyDescent="0.4">
      <c r="CM155" s="40"/>
    </row>
    <row r="156" spans="91:91" x14ac:dyDescent="0.4">
      <c r="CM156" s="40"/>
    </row>
    <row r="157" spans="91:91" x14ac:dyDescent="0.4">
      <c r="CM157" s="40"/>
    </row>
    <row r="158" spans="91:91" x14ac:dyDescent="0.4">
      <c r="CM158" s="40"/>
    </row>
    <row r="159" spans="91:91" x14ac:dyDescent="0.4">
      <c r="CM159" s="40"/>
    </row>
    <row r="160" spans="91:91" x14ac:dyDescent="0.4">
      <c r="CM160" s="40"/>
    </row>
    <row r="161" spans="6:91" x14ac:dyDescent="0.4">
      <c r="F161" s="40"/>
      <c r="CM161" s="40"/>
    </row>
    <row r="162" spans="6:91" x14ac:dyDescent="0.4">
      <c r="CM162" s="40"/>
    </row>
    <row r="163" spans="6:91" x14ac:dyDescent="0.4">
      <c r="CM163" s="40"/>
    </row>
    <row r="164" spans="6:91" x14ac:dyDescent="0.4">
      <c r="CM164" s="40"/>
    </row>
    <row r="165" spans="6:91" x14ac:dyDescent="0.4">
      <c r="CM165" s="40"/>
    </row>
    <row r="166" spans="6:91" x14ac:dyDescent="0.4">
      <c r="CM166" s="40"/>
    </row>
    <row r="167" spans="6:91" x14ac:dyDescent="0.4">
      <c r="CM167" s="40"/>
    </row>
    <row r="168" spans="6:91" x14ac:dyDescent="0.4">
      <c r="CM168" s="40"/>
    </row>
    <row r="169" spans="6:91" x14ac:dyDescent="0.4">
      <c r="CM169" s="40"/>
    </row>
    <row r="170" spans="6:91" x14ac:dyDescent="0.4">
      <c r="CM170" s="40"/>
    </row>
    <row r="171" spans="6:91" x14ac:dyDescent="0.4">
      <c r="CM171" s="40"/>
    </row>
    <row r="172" spans="6:91" x14ac:dyDescent="0.4">
      <c r="CM172" s="40"/>
    </row>
    <row r="173" spans="6:91" x14ac:dyDescent="0.4">
      <c r="CM173" s="40"/>
    </row>
    <row r="174" spans="6:91" x14ac:dyDescent="0.4">
      <c r="CM174" s="40"/>
    </row>
    <row r="175" spans="6:91" x14ac:dyDescent="0.4">
      <c r="CM175" s="40"/>
    </row>
    <row r="176" spans="6:91" x14ac:dyDescent="0.4">
      <c r="CM176" s="40"/>
    </row>
    <row r="177" spans="6:91" x14ac:dyDescent="0.4">
      <c r="CM177" s="40"/>
    </row>
    <row r="178" spans="6:91" x14ac:dyDescent="0.4">
      <c r="F178" s="40"/>
      <c r="CM178" s="40"/>
    </row>
    <row r="179" spans="6:91" x14ac:dyDescent="0.4">
      <c r="F179" s="40"/>
      <c r="CM179" s="40"/>
    </row>
    <row r="180" spans="6:91" x14ac:dyDescent="0.4">
      <c r="F180" s="40"/>
      <c r="CM180" s="40"/>
    </row>
    <row r="181" spans="6:91" x14ac:dyDescent="0.4">
      <c r="CM181" s="40"/>
    </row>
    <row r="182" spans="6:91" x14ac:dyDescent="0.4">
      <c r="CM182" s="40"/>
    </row>
    <row r="183" spans="6:91" x14ac:dyDescent="0.4">
      <c r="CM183" s="40"/>
    </row>
    <row r="184" spans="6:91" x14ac:dyDescent="0.4">
      <c r="CM184" s="40"/>
    </row>
    <row r="185" spans="6:91" x14ac:dyDescent="0.4">
      <c r="CM185" s="40"/>
    </row>
    <row r="186" spans="6:91" x14ac:dyDescent="0.4">
      <c r="CM186" s="40"/>
    </row>
    <row r="187" spans="6:91" x14ac:dyDescent="0.4">
      <c r="CM187" s="40"/>
    </row>
    <row r="188" spans="6:91" x14ac:dyDescent="0.4">
      <c r="CM188" s="40"/>
    </row>
    <row r="189" spans="6:91" x14ac:dyDescent="0.4">
      <c r="CM189" s="40"/>
    </row>
    <row r="190" spans="6:91" x14ac:dyDescent="0.4">
      <c r="CM190" s="40"/>
    </row>
    <row r="191" spans="6:91" x14ac:dyDescent="0.4">
      <c r="CM191" s="40"/>
    </row>
    <row r="192" spans="6:91" x14ac:dyDescent="0.4">
      <c r="CM192" s="40"/>
    </row>
    <row r="193" spans="91:152" x14ac:dyDescent="0.4">
      <c r="CM193" s="40"/>
    </row>
    <row r="194" spans="91:152" x14ac:dyDescent="0.4">
      <c r="CM194" s="40"/>
      <c r="EV194" s="40"/>
    </row>
    <row r="195" spans="91:152" x14ac:dyDescent="0.4">
      <c r="CM195" s="40"/>
      <c r="EV195" s="40"/>
    </row>
    <row r="196" spans="91:152" x14ac:dyDescent="0.4">
      <c r="CM196" s="40"/>
      <c r="EV196" s="40"/>
    </row>
    <row r="197" spans="91:152" x14ac:dyDescent="0.4">
      <c r="CM197" s="40"/>
      <c r="EV197" s="40"/>
    </row>
    <row r="198" spans="91:152" x14ac:dyDescent="0.4">
      <c r="CM198" s="40"/>
      <c r="EV198" s="40"/>
    </row>
    <row r="199" spans="91:152" x14ac:dyDescent="0.4">
      <c r="CM199" s="40"/>
    </row>
    <row r="200" spans="91:152" x14ac:dyDescent="0.4">
      <c r="CM200" s="40"/>
    </row>
    <row r="201" spans="91:152" x14ac:dyDescent="0.4">
      <c r="CM201" s="40"/>
    </row>
    <row r="202" spans="91:152" x14ac:dyDescent="0.4">
      <c r="CM202" s="40"/>
    </row>
    <row r="203" spans="91:152" x14ac:dyDescent="0.4">
      <c r="CM203" s="40"/>
    </row>
    <row r="204" spans="91:152" x14ac:dyDescent="0.4">
      <c r="CM204" s="40"/>
    </row>
    <row r="205" spans="91:152" x14ac:dyDescent="0.4">
      <c r="CM205" s="40"/>
    </row>
    <row r="206" spans="91:152" x14ac:dyDescent="0.4">
      <c r="CM206" s="40"/>
    </row>
    <row r="207" spans="91:152" x14ac:dyDescent="0.4">
      <c r="CM207" s="40"/>
    </row>
    <row r="208" spans="91:152" x14ac:dyDescent="0.4">
      <c r="CM208" s="40"/>
    </row>
    <row r="209" spans="7:133" x14ac:dyDescent="0.4">
      <c r="CM209" s="40"/>
    </row>
    <row r="210" spans="7:133" x14ac:dyDescent="0.4">
      <c r="CM210" s="40"/>
    </row>
    <row r="211" spans="7:133" x14ac:dyDescent="0.4">
      <c r="CM211" s="40"/>
    </row>
    <row r="212" spans="7:133" x14ac:dyDescent="0.4">
      <c r="CM212" s="40"/>
      <c r="EB212" s="5"/>
    </row>
    <row r="213" spans="7:133" x14ac:dyDescent="0.4">
      <c r="CM213" s="40"/>
      <c r="EC213" s="40"/>
    </row>
    <row r="214" spans="7:133" x14ac:dyDescent="0.4">
      <c r="CM214" s="40"/>
    </row>
    <row r="215" spans="7:133" x14ac:dyDescent="0.4">
      <c r="CM215" s="40"/>
      <c r="EC215" s="40"/>
    </row>
    <row r="216" spans="7:133" x14ac:dyDescent="0.4">
      <c r="CM216" s="40"/>
    </row>
    <row r="217" spans="7:133" x14ac:dyDescent="0.4">
      <c r="CM217" s="40"/>
      <c r="EC217" s="40"/>
    </row>
    <row r="218" spans="7:133" x14ac:dyDescent="0.4">
      <c r="CM218" s="40"/>
      <c r="EC218" s="40"/>
    </row>
    <row r="219" spans="7:133" x14ac:dyDescent="0.4">
      <c r="CM219" s="40"/>
      <c r="EC219" s="40"/>
    </row>
    <row r="220" spans="7:133" x14ac:dyDescent="0.4">
      <c r="G220" s="40"/>
      <c r="CM220" s="40"/>
      <c r="EC220" s="40"/>
    </row>
    <row r="221" spans="7:133" x14ac:dyDescent="0.4">
      <c r="CM221" s="40"/>
      <c r="EC221" s="40"/>
    </row>
    <row r="222" spans="7:133" x14ac:dyDescent="0.4">
      <c r="CM222" s="40"/>
      <c r="EC222" s="40"/>
    </row>
    <row r="223" spans="7:133" x14ac:dyDescent="0.4">
      <c r="CM223" s="40"/>
      <c r="EC223" s="40"/>
    </row>
    <row r="224" spans="7:133" x14ac:dyDescent="0.4">
      <c r="CM224" s="40"/>
      <c r="EC224" s="40"/>
    </row>
    <row r="225" spans="7:140" x14ac:dyDescent="0.4">
      <c r="CM225" s="40"/>
      <c r="EC225" s="40"/>
    </row>
    <row r="226" spans="7:140" x14ac:dyDescent="0.4">
      <c r="CM226" s="40"/>
      <c r="EC226" s="40"/>
    </row>
    <row r="227" spans="7:140" x14ac:dyDescent="0.4">
      <c r="CM227" s="40"/>
      <c r="EC227" s="40"/>
    </row>
    <row r="228" spans="7:140" x14ac:dyDescent="0.4">
      <c r="CM228" s="40"/>
      <c r="EC228" s="40"/>
    </row>
    <row r="229" spans="7:140" x14ac:dyDescent="0.4">
      <c r="CM229" s="40"/>
    </row>
    <row r="230" spans="7:140" x14ac:dyDescent="0.4">
      <c r="CM230" s="40"/>
    </row>
    <row r="231" spans="7:140" x14ac:dyDescent="0.4">
      <c r="CM231" s="40"/>
    </row>
    <row r="232" spans="7:140" x14ac:dyDescent="0.4">
      <c r="CM232" s="40"/>
    </row>
    <row r="233" spans="7:140" x14ac:dyDescent="0.4">
      <c r="CM233" s="40"/>
    </row>
    <row r="234" spans="7:140" x14ac:dyDescent="0.4">
      <c r="G234" s="40"/>
      <c r="CM234" s="40"/>
    </row>
    <row r="235" spans="7:140" x14ac:dyDescent="0.4">
      <c r="CM235" s="40"/>
      <c r="EJ235" s="40"/>
    </row>
    <row r="236" spans="7:140" x14ac:dyDescent="0.4">
      <c r="CM236" s="40"/>
    </row>
    <row r="237" spans="7:140" x14ac:dyDescent="0.4">
      <c r="CM237" s="40"/>
      <c r="EJ237" s="40"/>
    </row>
    <row r="238" spans="7:140" x14ac:dyDescent="0.4">
      <c r="CM238" s="40"/>
    </row>
    <row r="239" spans="7:140" x14ac:dyDescent="0.4">
      <c r="CM239" s="40"/>
      <c r="EJ239" s="40"/>
    </row>
    <row r="240" spans="7:140" x14ac:dyDescent="0.4">
      <c r="G240" s="40"/>
      <c r="CM240" s="40"/>
    </row>
    <row r="241" spans="7:140" x14ac:dyDescent="0.4">
      <c r="G241" s="40"/>
      <c r="CM241" s="40"/>
      <c r="EJ241" s="40"/>
    </row>
    <row r="242" spans="7:140" x14ac:dyDescent="0.4">
      <c r="G242" s="40"/>
      <c r="CM242" s="40"/>
      <c r="EJ242" s="40"/>
    </row>
    <row r="243" spans="7:140" x14ac:dyDescent="0.4">
      <c r="CM243" s="40"/>
      <c r="EJ243" s="40"/>
    </row>
    <row r="244" spans="7:140" x14ac:dyDescent="0.4">
      <c r="CM244" s="40"/>
      <c r="EJ244" s="40"/>
    </row>
    <row r="245" spans="7:140" x14ac:dyDescent="0.4">
      <c r="CM245" s="40"/>
      <c r="EJ245" s="40"/>
    </row>
    <row r="246" spans="7:140" x14ac:dyDescent="0.4">
      <c r="CM246" s="40"/>
    </row>
    <row r="247" spans="7:140" x14ac:dyDescent="0.4">
      <c r="CM247" s="40"/>
    </row>
    <row r="248" spans="7:140" x14ac:dyDescent="0.4">
      <c r="CM248" s="40"/>
    </row>
    <row r="249" spans="7:140" x14ac:dyDescent="0.4">
      <c r="CM249" s="40"/>
    </row>
    <row r="250" spans="7:140" x14ac:dyDescent="0.4">
      <c r="CM250" s="40"/>
    </row>
    <row r="251" spans="7:140" x14ac:dyDescent="0.4">
      <c r="CM251" s="40"/>
    </row>
    <row r="252" spans="7:140" x14ac:dyDescent="0.4">
      <c r="CM252" s="40"/>
    </row>
    <row r="253" spans="7:140" x14ac:dyDescent="0.4">
      <c r="CM253" s="40"/>
    </row>
    <row r="254" spans="7:140" x14ac:dyDescent="0.4">
      <c r="CM254" s="40"/>
    </row>
    <row r="255" spans="7:140" x14ac:dyDescent="0.4">
      <c r="CM255" s="40"/>
    </row>
    <row r="256" spans="7:140" x14ac:dyDescent="0.4">
      <c r="CM256" s="40"/>
    </row>
    <row r="257" spans="91:91" x14ac:dyDescent="0.4">
      <c r="CM257" s="40"/>
    </row>
    <row r="258" spans="91:91" x14ac:dyDescent="0.4">
      <c r="CM258" s="40"/>
    </row>
    <row r="259" spans="91:91" x14ac:dyDescent="0.4">
      <c r="CM259" s="40"/>
    </row>
    <row r="260" spans="91:91" x14ac:dyDescent="0.4">
      <c r="CM260" s="40"/>
    </row>
    <row r="261" spans="91:91" x14ac:dyDescent="0.4">
      <c r="CM261" s="40"/>
    </row>
    <row r="262" spans="91:91" x14ac:dyDescent="0.4">
      <c r="CM262" s="40"/>
    </row>
    <row r="263" spans="91:91" x14ac:dyDescent="0.4">
      <c r="CM263" s="40"/>
    </row>
    <row r="264" spans="91:91" x14ac:dyDescent="0.4">
      <c r="CM264" s="40"/>
    </row>
    <row r="265" spans="91:91" x14ac:dyDescent="0.4">
      <c r="CM265" s="40"/>
    </row>
    <row r="266" spans="91:91" x14ac:dyDescent="0.4">
      <c r="CM266" s="40"/>
    </row>
    <row r="267" spans="91:91" x14ac:dyDescent="0.4">
      <c r="CM267" s="40"/>
    </row>
    <row r="268" spans="91:91" x14ac:dyDescent="0.4">
      <c r="CM268" s="40"/>
    </row>
    <row r="269" spans="91:91" x14ac:dyDescent="0.4">
      <c r="CM269" s="40"/>
    </row>
    <row r="270" spans="91:91" x14ac:dyDescent="0.4">
      <c r="CM270" s="40"/>
    </row>
    <row r="271" spans="91:91" x14ac:dyDescent="0.4">
      <c r="CM271" s="40"/>
    </row>
    <row r="272" spans="91:91" x14ac:dyDescent="0.4">
      <c r="CM272" s="40"/>
    </row>
    <row r="273" spans="91:91" x14ac:dyDescent="0.4">
      <c r="CM273" s="40"/>
    </row>
    <row r="274" spans="91:91" x14ac:dyDescent="0.4">
      <c r="CM274" s="40"/>
    </row>
    <row r="275" spans="91:91" x14ac:dyDescent="0.4">
      <c r="CM275" s="40"/>
    </row>
    <row r="276" spans="91:91" x14ac:dyDescent="0.4">
      <c r="CM276" s="40"/>
    </row>
    <row r="277" spans="91:91" x14ac:dyDescent="0.4">
      <c r="CM277" s="40"/>
    </row>
    <row r="278" spans="91:91" x14ac:dyDescent="0.4">
      <c r="CM278" s="40"/>
    </row>
    <row r="279" spans="91:91" x14ac:dyDescent="0.4">
      <c r="CM279" s="40"/>
    </row>
    <row r="280" spans="91:91" x14ac:dyDescent="0.4">
      <c r="CM280" s="40"/>
    </row>
    <row r="281" spans="91:91" x14ac:dyDescent="0.4">
      <c r="CM281" s="40"/>
    </row>
    <row r="282" spans="91:91" x14ac:dyDescent="0.4">
      <c r="CM282" s="40"/>
    </row>
    <row r="283" spans="91:91" x14ac:dyDescent="0.4">
      <c r="CM283" s="40"/>
    </row>
    <row r="284" spans="91:91" x14ac:dyDescent="0.4">
      <c r="CM284" s="40"/>
    </row>
    <row r="285" spans="91:91" x14ac:dyDescent="0.4">
      <c r="CM285" s="40"/>
    </row>
    <row r="286" spans="91:91" x14ac:dyDescent="0.4">
      <c r="CM286" s="40"/>
    </row>
    <row r="287" spans="91:91" x14ac:dyDescent="0.4">
      <c r="CM287" s="40"/>
    </row>
    <row r="288" spans="91:91" x14ac:dyDescent="0.4">
      <c r="CM288" s="40"/>
    </row>
    <row r="289" spans="8:91" x14ac:dyDescent="0.4">
      <c r="CM289" s="40"/>
    </row>
    <row r="290" spans="8:91" x14ac:dyDescent="0.4">
      <c r="CM290" s="40"/>
    </row>
    <row r="291" spans="8:91" x14ac:dyDescent="0.4">
      <c r="CM291" s="40"/>
    </row>
    <row r="292" spans="8:91" x14ac:dyDescent="0.4">
      <c r="O292" s="40"/>
      <c r="CM292" s="40"/>
    </row>
    <row r="293" spans="8:91" x14ac:dyDescent="0.4">
      <c r="O293" s="40"/>
      <c r="CM293" s="40"/>
    </row>
    <row r="294" spans="8:91" x14ac:dyDescent="0.4">
      <c r="O294" s="40"/>
      <c r="CM294" s="40"/>
    </row>
    <row r="295" spans="8:91" x14ac:dyDescent="0.4">
      <c r="O295" s="40"/>
      <c r="CM295" s="40"/>
    </row>
    <row r="296" spans="8:91" x14ac:dyDescent="0.4">
      <c r="O296" s="40"/>
      <c r="CM296" s="40"/>
    </row>
    <row r="297" spans="8:91" x14ac:dyDescent="0.4">
      <c r="O297" s="40"/>
      <c r="CM297" s="40"/>
    </row>
    <row r="298" spans="8:91" x14ac:dyDescent="0.4">
      <c r="O298" s="40"/>
      <c r="CM298" s="40"/>
    </row>
    <row r="299" spans="8:91" x14ac:dyDescent="0.4">
      <c r="H299" s="40"/>
      <c r="O299" s="40"/>
      <c r="CM299" s="40"/>
    </row>
    <row r="300" spans="8:91" x14ac:dyDescent="0.4">
      <c r="H300" s="40"/>
      <c r="O300" s="40"/>
      <c r="CM300" s="40"/>
    </row>
    <row r="301" spans="8:91" x14ac:dyDescent="0.4">
      <c r="H301" s="40"/>
      <c r="O301" s="40"/>
      <c r="CM301" s="40"/>
    </row>
    <row r="302" spans="8:91" x14ac:dyDescent="0.4">
      <c r="H302" s="40"/>
      <c r="O302" s="40"/>
      <c r="CM302" s="40"/>
    </row>
    <row r="303" spans="8:91" x14ac:dyDescent="0.4">
      <c r="H303" s="40"/>
      <c r="O303" s="40"/>
      <c r="CM303" s="40"/>
    </row>
    <row r="304" spans="8:91" x14ac:dyDescent="0.4">
      <c r="H304" s="40"/>
      <c r="O304" s="40"/>
      <c r="CM304" s="40"/>
    </row>
    <row r="305" spans="8:127" x14ac:dyDescent="0.4">
      <c r="H305" s="40"/>
      <c r="O305" s="40"/>
      <c r="CM305" s="40"/>
    </row>
    <row r="306" spans="8:127" x14ac:dyDescent="0.4">
      <c r="H306" s="40"/>
      <c r="O306" s="40"/>
      <c r="AC306" s="40"/>
      <c r="CA306" s="40"/>
      <c r="CM306" s="40"/>
    </row>
    <row r="307" spans="8:127" x14ac:dyDescent="0.4">
      <c r="H307" s="40"/>
      <c r="O307" s="40"/>
      <c r="AC307" s="40"/>
      <c r="AW307" s="40"/>
      <c r="CA307" s="40"/>
      <c r="CM307" s="40"/>
    </row>
    <row r="308" spans="8:127" x14ac:dyDescent="0.4">
      <c r="H308" s="40"/>
      <c r="O308" s="40"/>
      <c r="AC308" s="40"/>
      <c r="AP308" s="40"/>
      <c r="AW308" s="40"/>
      <c r="CA308" s="40"/>
      <c r="CM308" s="40"/>
      <c r="CT308" s="40"/>
      <c r="DA308" s="40"/>
    </row>
    <row r="309" spans="8:127" x14ac:dyDescent="0.4">
      <c r="H309" s="40"/>
      <c r="O309" s="40"/>
      <c r="AC309" s="40"/>
      <c r="AI309" s="40"/>
      <c r="AP309" s="40"/>
      <c r="AW309" s="40"/>
      <c r="BL309" s="40"/>
      <c r="BT309" s="40"/>
      <c r="CA309" s="40"/>
      <c r="CM309" s="40"/>
      <c r="CN309" s="40"/>
      <c r="CT309" s="40"/>
      <c r="DH309" s="40"/>
    </row>
    <row r="310" spans="8:127" x14ac:dyDescent="0.4">
      <c r="H310" s="40"/>
      <c r="O310" s="40"/>
      <c r="U310" s="40"/>
      <c r="AC310" s="40"/>
      <c r="AI310" s="40"/>
      <c r="AP310" s="40"/>
      <c r="AW310" s="40"/>
      <c r="BF310" s="40"/>
      <c r="BL310" s="40"/>
      <c r="BT310" s="40"/>
      <c r="CA310" s="40"/>
      <c r="CH310" s="40"/>
      <c r="CM310" s="40"/>
      <c r="CN310" s="40"/>
      <c r="CT310" s="40"/>
      <c r="DA310" s="40"/>
      <c r="DH310" s="40"/>
    </row>
    <row r="311" spans="8:127" x14ac:dyDescent="0.4">
      <c r="H311" s="40"/>
      <c r="O311" s="40"/>
      <c r="U311" s="40"/>
      <c r="AC311" s="40"/>
      <c r="AI311" s="40"/>
      <c r="AP311" s="40"/>
      <c r="AW311" s="40"/>
      <c r="BF311" s="40"/>
      <c r="BL311" s="40"/>
      <c r="BT311" s="40"/>
      <c r="CA311" s="40"/>
      <c r="CH311" s="40"/>
      <c r="CN311" s="40"/>
      <c r="CT311" s="40"/>
      <c r="DA311" s="40"/>
      <c r="DH311" s="40"/>
    </row>
    <row r="312" spans="8:127" x14ac:dyDescent="0.4">
      <c r="H312" s="40"/>
      <c r="O312" s="40"/>
      <c r="U312" s="40"/>
      <c r="AC312" s="40"/>
      <c r="AI312" s="40"/>
      <c r="AP312" s="40"/>
      <c r="AW312" s="40"/>
      <c r="BF312" s="40"/>
      <c r="BL312" s="40"/>
      <c r="BT312" s="40"/>
      <c r="CA312" s="40"/>
      <c r="CH312" s="40"/>
      <c r="CN312" s="40"/>
      <c r="CT312" s="40"/>
      <c r="DA312" s="40"/>
      <c r="DH312" s="40"/>
    </row>
    <row r="313" spans="8:127" x14ac:dyDescent="0.4">
      <c r="H313" s="40"/>
      <c r="O313" s="40"/>
      <c r="U313" s="40"/>
      <c r="AC313" s="40"/>
      <c r="AI313" s="40"/>
      <c r="AP313" s="40"/>
      <c r="AW313" s="40"/>
      <c r="BF313" s="40"/>
      <c r="BL313" s="40"/>
      <c r="BT313" s="40"/>
      <c r="CA313" s="40"/>
      <c r="CH313" s="40"/>
      <c r="CN313" s="40"/>
      <c r="CT313" s="40"/>
      <c r="DA313" s="40"/>
      <c r="DH313" s="40"/>
    </row>
    <row r="314" spans="8:127" x14ac:dyDescent="0.4">
      <c r="H314" s="40"/>
      <c r="O314" s="40"/>
      <c r="U314" s="40"/>
      <c r="AC314" s="40"/>
      <c r="AI314" s="40"/>
      <c r="AP314" s="40"/>
      <c r="AW314" s="40"/>
      <c r="BF314" s="40"/>
      <c r="BL314" s="40"/>
      <c r="BT314" s="40"/>
      <c r="CA314" s="40"/>
      <c r="CH314" s="40"/>
      <c r="CN314" s="40"/>
      <c r="CT314" s="40"/>
      <c r="DA314" s="40"/>
      <c r="DH314" s="40"/>
    </row>
    <row r="315" spans="8:127" x14ac:dyDescent="0.4">
      <c r="H315" s="40"/>
      <c r="O315" s="40"/>
      <c r="U315" s="40"/>
      <c r="AC315" s="40"/>
      <c r="AI315" s="40"/>
      <c r="AP315" s="40"/>
      <c r="AW315" s="40"/>
      <c r="BF315" s="40"/>
      <c r="BL315" s="40"/>
      <c r="BT315" s="40"/>
      <c r="CA315" s="40"/>
      <c r="CH315" s="40"/>
      <c r="CN315" s="40"/>
      <c r="CT315" s="40"/>
      <c r="DA315" s="40"/>
      <c r="DH315" s="40"/>
      <c r="DW315" s="40"/>
    </row>
    <row r="316" spans="8:127" x14ac:dyDescent="0.4">
      <c r="H316" s="40"/>
      <c r="O316" s="40"/>
      <c r="U316" s="40"/>
      <c r="AC316" s="40"/>
      <c r="AI316" s="40"/>
      <c r="AP316" s="40"/>
      <c r="AW316" s="40"/>
      <c r="BF316" s="40"/>
      <c r="BL316" s="40"/>
      <c r="BT316" s="40"/>
      <c r="CA316" s="40"/>
      <c r="CH316" s="40"/>
      <c r="CN316" s="40"/>
      <c r="CT316" s="40"/>
      <c r="DA316" s="40"/>
      <c r="DH316" s="40"/>
      <c r="DW316" s="40"/>
    </row>
    <row r="317" spans="8:127" x14ac:dyDescent="0.4">
      <c r="H317" s="40"/>
      <c r="O317" s="40"/>
      <c r="U317" s="40"/>
      <c r="AC317" s="40"/>
      <c r="AI317" s="40"/>
      <c r="AP317" s="40"/>
      <c r="AW317" s="40"/>
      <c r="BF317" s="40"/>
      <c r="BL317" s="40"/>
      <c r="BT317" s="40"/>
      <c r="CA317" s="40"/>
      <c r="CH317" s="40"/>
      <c r="CN317" s="40"/>
      <c r="CT317" s="40"/>
      <c r="DA317" s="40"/>
      <c r="DH317" s="40"/>
      <c r="DW317" s="40"/>
    </row>
    <row r="318" spans="8:127" x14ac:dyDescent="0.4">
      <c r="H318" s="40"/>
      <c r="O318" s="40"/>
      <c r="U318" s="40"/>
      <c r="AC318" s="40"/>
      <c r="AI318" s="40"/>
      <c r="AP318" s="40"/>
      <c r="AW318" s="40"/>
      <c r="BF318" s="40"/>
      <c r="BL318" s="40"/>
      <c r="BT318" s="40"/>
      <c r="CA318" s="40"/>
      <c r="CH318" s="40"/>
      <c r="CN318" s="40"/>
      <c r="CT318" s="40"/>
      <c r="DA318" s="40"/>
      <c r="DH318" s="40"/>
      <c r="DW318" s="40"/>
    </row>
    <row r="319" spans="8:127" x14ac:dyDescent="0.4">
      <c r="H319" s="40"/>
      <c r="O319" s="40"/>
      <c r="U319" s="40"/>
      <c r="AC319" s="40"/>
      <c r="AI319" s="40"/>
      <c r="AP319" s="40"/>
      <c r="AW319" s="40"/>
      <c r="BF319" s="40"/>
      <c r="BL319" s="40"/>
      <c r="BT319" s="40"/>
      <c r="CA319" s="40"/>
      <c r="CH319" s="40"/>
      <c r="CN319" s="40"/>
      <c r="CT319" s="40"/>
      <c r="DA319" s="40"/>
      <c r="DH319" s="40"/>
      <c r="DW319" s="40"/>
    </row>
    <row r="320" spans="8:127" x14ac:dyDescent="0.4">
      <c r="H320" s="40"/>
      <c r="O320" s="40"/>
      <c r="U320" s="40"/>
      <c r="AC320" s="40"/>
      <c r="AI320" s="40"/>
      <c r="AP320" s="40"/>
      <c r="AW320" s="40"/>
      <c r="BF320" s="40"/>
      <c r="BL320" s="40"/>
      <c r="BT320" s="40"/>
      <c r="CA320" s="40"/>
      <c r="CH320" s="40"/>
      <c r="CN320" s="40"/>
      <c r="CT320" s="40"/>
      <c r="DA320" s="40"/>
      <c r="DH320" s="40"/>
      <c r="DW320" s="40"/>
    </row>
    <row r="321" spans="8:127" x14ac:dyDescent="0.4">
      <c r="H321" s="40"/>
      <c r="O321" s="40"/>
      <c r="U321" s="40"/>
      <c r="AC321" s="40"/>
      <c r="AI321" s="40"/>
      <c r="AP321" s="40"/>
      <c r="AW321" s="40"/>
      <c r="BF321" s="40"/>
      <c r="BL321" s="40"/>
      <c r="BT321" s="40"/>
      <c r="CA321" s="40"/>
      <c r="CH321" s="40"/>
      <c r="CN321" s="40"/>
      <c r="CT321" s="40"/>
      <c r="DA321" s="40"/>
      <c r="DH321" s="40"/>
      <c r="DW321" s="40"/>
    </row>
    <row r="322" spans="8:127" x14ac:dyDescent="0.4">
      <c r="H322" s="40"/>
      <c r="O322" s="40"/>
      <c r="U322" s="40"/>
      <c r="AC322" s="40"/>
      <c r="AI322" s="40"/>
      <c r="AP322" s="40"/>
      <c r="AW322" s="40"/>
      <c r="BF322" s="40"/>
      <c r="BL322" s="40"/>
      <c r="BT322" s="40"/>
      <c r="CA322" s="40"/>
      <c r="CH322" s="40"/>
      <c r="CN322" s="40"/>
      <c r="CT322" s="40"/>
      <c r="DA322" s="40"/>
      <c r="DH322" s="40"/>
      <c r="DW322" s="40"/>
    </row>
    <row r="323" spans="8:127" x14ac:dyDescent="0.4">
      <c r="H323" s="40"/>
      <c r="O323" s="40"/>
      <c r="U323" s="40"/>
      <c r="AC323" s="40"/>
      <c r="AI323" s="40"/>
      <c r="AP323" s="40"/>
      <c r="AW323" s="40"/>
      <c r="BF323" s="40"/>
      <c r="BL323" s="40"/>
      <c r="BT323" s="40"/>
      <c r="CA323" s="40"/>
      <c r="CH323" s="40"/>
      <c r="CN323" s="40"/>
      <c r="CT323" s="40"/>
      <c r="DA323" s="40"/>
      <c r="DH323" s="40"/>
      <c r="DW323" s="40"/>
    </row>
    <row r="324" spans="8:127" x14ac:dyDescent="0.4">
      <c r="H324" s="40"/>
      <c r="O324" s="40"/>
      <c r="U324" s="40"/>
      <c r="AC324" s="40"/>
      <c r="AI324" s="40"/>
      <c r="AP324" s="40"/>
      <c r="AW324" s="40"/>
      <c r="BF324" s="40"/>
      <c r="BL324" s="40"/>
      <c r="BT324" s="40"/>
      <c r="CA324" s="40"/>
      <c r="CH324" s="40"/>
      <c r="CN324" s="40"/>
      <c r="CT324" s="40"/>
      <c r="DA324" s="40"/>
      <c r="DH324" s="40"/>
      <c r="DW324" s="40"/>
    </row>
    <row r="325" spans="8:127" x14ac:dyDescent="0.4">
      <c r="H325" s="40"/>
      <c r="O325" s="40"/>
      <c r="U325" s="40"/>
      <c r="AC325" s="40"/>
      <c r="AI325" s="40"/>
      <c r="AP325" s="40"/>
      <c r="AW325" s="40"/>
      <c r="BF325" s="40"/>
      <c r="BL325" s="40"/>
      <c r="BT325" s="40"/>
      <c r="CA325" s="40"/>
      <c r="CH325" s="40"/>
      <c r="CN325" s="40"/>
      <c r="CT325" s="40"/>
      <c r="DA325" s="40"/>
      <c r="DH325" s="40"/>
      <c r="DW325" s="40"/>
    </row>
    <row r="326" spans="8:127" x14ac:dyDescent="0.4">
      <c r="H326" s="40"/>
      <c r="O326" s="40"/>
      <c r="U326" s="40"/>
      <c r="AC326" s="40"/>
      <c r="AI326" s="40"/>
      <c r="AP326" s="40"/>
      <c r="AW326" s="40"/>
      <c r="BF326" s="40"/>
      <c r="BL326" s="40"/>
      <c r="BT326" s="40"/>
      <c r="CA326" s="40"/>
      <c r="CH326" s="40"/>
      <c r="CN326" s="40"/>
      <c r="CT326" s="40"/>
      <c r="DA326" s="40"/>
      <c r="DH326" s="40"/>
      <c r="DW326" s="40"/>
    </row>
    <row r="327" spans="8:127" x14ac:dyDescent="0.4">
      <c r="H327" s="40"/>
      <c r="O327" s="40"/>
      <c r="U327" s="40"/>
      <c r="AC327" s="40"/>
      <c r="AI327" s="40"/>
      <c r="AP327" s="40"/>
      <c r="AW327" s="40"/>
      <c r="BF327" s="40"/>
      <c r="BL327" s="40"/>
      <c r="BT327" s="40"/>
      <c r="CA327" s="40"/>
      <c r="CH327" s="40"/>
      <c r="CN327" s="40"/>
      <c r="CT327" s="40"/>
      <c r="DA327" s="40"/>
      <c r="DW327" s="40"/>
    </row>
    <row r="328" spans="8:127" x14ac:dyDescent="0.4">
      <c r="H328" s="40"/>
      <c r="O328" s="40"/>
      <c r="U328" s="40"/>
      <c r="AC328" s="40"/>
      <c r="AI328" s="40"/>
      <c r="AP328" s="40"/>
      <c r="AW328" s="40"/>
      <c r="BF328" s="40"/>
      <c r="BL328" s="40"/>
      <c r="BT328" s="40"/>
      <c r="CA328" s="40"/>
      <c r="CH328" s="40"/>
      <c r="CN328" s="40"/>
      <c r="CT328" s="40"/>
      <c r="DW328" s="40"/>
    </row>
    <row r="329" spans="8:127" x14ac:dyDescent="0.4">
      <c r="H329" s="40"/>
      <c r="O329" s="40"/>
      <c r="U329" s="40"/>
      <c r="AC329" s="40"/>
      <c r="AI329" s="40"/>
      <c r="AP329" s="40"/>
      <c r="AW329" s="40"/>
      <c r="BF329" s="40"/>
      <c r="BL329" s="40"/>
      <c r="BT329" s="40"/>
      <c r="CA329" s="40"/>
      <c r="CH329" s="40"/>
      <c r="CN329" s="40"/>
      <c r="CT329" s="40"/>
      <c r="DW329" s="40"/>
    </row>
    <row r="330" spans="8:127" x14ac:dyDescent="0.4">
      <c r="H330" s="40"/>
      <c r="O330" s="40"/>
      <c r="U330" s="40"/>
      <c r="AC330" s="40"/>
      <c r="AI330" s="40"/>
      <c r="AP330" s="40"/>
      <c r="AW330" s="40"/>
      <c r="BF330" s="40"/>
      <c r="BL330" s="40"/>
      <c r="BT330" s="40"/>
      <c r="CA330" s="40"/>
      <c r="CH330" s="40"/>
      <c r="CN330" s="40"/>
      <c r="CT330" s="40"/>
      <c r="DW330" s="40"/>
    </row>
    <row r="331" spans="8:127" x14ac:dyDescent="0.4">
      <c r="H331" s="40"/>
      <c r="O331" s="40"/>
      <c r="U331" s="40"/>
      <c r="AC331" s="40"/>
      <c r="AI331" s="40"/>
      <c r="AP331" s="40"/>
      <c r="AW331" s="40"/>
      <c r="BF331" s="40"/>
      <c r="BL331" s="40"/>
      <c r="BT331" s="40"/>
      <c r="CA331" s="40"/>
      <c r="CH331" s="40"/>
      <c r="CN331" s="40"/>
      <c r="CT331" s="40"/>
    </row>
    <row r="332" spans="8:127" x14ac:dyDescent="0.4">
      <c r="H332" s="40"/>
      <c r="O332" s="40"/>
      <c r="U332" s="40"/>
      <c r="AC332" s="40"/>
      <c r="AI332" s="40"/>
      <c r="AP332" s="40"/>
      <c r="AW332" s="40"/>
      <c r="BF332" s="40"/>
      <c r="BL332" s="40"/>
      <c r="BT332" s="40"/>
      <c r="CA332" s="40"/>
      <c r="CH332" s="40"/>
      <c r="CN332" s="40"/>
    </row>
    <row r="333" spans="8:127" x14ac:dyDescent="0.4">
      <c r="H333" s="40"/>
      <c r="O333" s="40"/>
      <c r="U333" s="40"/>
      <c r="AC333" s="40"/>
      <c r="AI333" s="40"/>
      <c r="AP333" s="40"/>
      <c r="AW333" s="40"/>
      <c r="BF333" s="40"/>
      <c r="BL333" s="40"/>
      <c r="BT333" s="40"/>
      <c r="CA333" s="40"/>
      <c r="CH333" s="40"/>
      <c r="CN333" s="40"/>
    </row>
    <row r="334" spans="8:127" x14ac:dyDescent="0.4">
      <c r="H334" s="40"/>
      <c r="O334" s="40"/>
      <c r="U334" s="40"/>
      <c r="AC334" s="40"/>
      <c r="AI334" s="40"/>
      <c r="AP334" s="40"/>
      <c r="AW334" s="40"/>
      <c r="BF334" s="40"/>
      <c r="BL334" s="40"/>
      <c r="BT334" s="40"/>
      <c r="CA334" s="40"/>
      <c r="CH334" s="40"/>
      <c r="CN334" s="40"/>
    </row>
    <row r="335" spans="8:127" x14ac:dyDescent="0.4">
      <c r="H335" s="40"/>
      <c r="O335" s="40"/>
      <c r="U335" s="40"/>
      <c r="AC335" s="40"/>
      <c r="AI335" s="40"/>
      <c r="AP335" s="40"/>
      <c r="AW335" s="40"/>
      <c r="BF335" s="40"/>
      <c r="BL335" s="40"/>
      <c r="BT335" s="40"/>
      <c r="CA335" s="40"/>
      <c r="CH335" s="40"/>
      <c r="CN335" s="40"/>
    </row>
    <row r="336" spans="8:127" x14ac:dyDescent="0.4">
      <c r="H336" s="40"/>
      <c r="O336" s="40"/>
      <c r="U336" s="40"/>
      <c r="AC336" s="40"/>
      <c r="AI336" s="40"/>
      <c r="AP336" s="40"/>
      <c r="AW336" s="40"/>
      <c r="BF336" s="40"/>
      <c r="BL336" s="40"/>
      <c r="BT336" s="40"/>
      <c r="CA336" s="40"/>
      <c r="CH336" s="40"/>
      <c r="CN336" s="40"/>
    </row>
    <row r="337" spans="8:92" x14ac:dyDescent="0.4">
      <c r="H337" s="40"/>
      <c r="O337" s="40"/>
      <c r="U337" s="40"/>
      <c r="AC337" s="40"/>
      <c r="AI337" s="40"/>
      <c r="AP337" s="40"/>
      <c r="AW337" s="40"/>
      <c r="BF337" s="40"/>
      <c r="BL337" s="40"/>
      <c r="BT337" s="40"/>
      <c r="CA337" s="40"/>
      <c r="CH337" s="40"/>
      <c r="CN337" s="40"/>
    </row>
    <row r="338" spans="8:92" x14ac:dyDescent="0.4">
      <c r="H338" s="40"/>
      <c r="O338" s="40"/>
      <c r="U338" s="40"/>
      <c r="AC338" s="40"/>
      <c r="AI338" s="40"/>
      <c r="AP338" s="40"/>
      <c r="AW338" s="40"/>
      <c r="BF338" s="40"/>
      <c r="BL338" s="40"/>
      <c r="BT338" s="40"/>
      <c r="CH338" s="40"/>
    </row>
    <row r="339" spans="8:92" x14ac:dyDescent="0.4">
      <c r="H339" s="40"/>
      <c r="O339" s="40"/>
      <c r="U339" s="40"/>
      <c r="AC339" s="40"/>
      <c r="AI339" s="40"/>
      <c r="AP339" s="40"/>
      <c r="AW339" s="40"/>
      <c r="BF339" s="40"/>
      <c r="BL339" s="40"/>
      <c r="BT339" s="40"/>
      <c r="CH339" s="40"/>
    </row>
    <row r="340" spans="8:92" x14ac:dyDescent="0.4">
      <c r="H340" s="40"/>
      <c r="O340" s="40"/>
      <c r="U340" s="40"/>
      <c r="AC340" s="40"/>
      <c r="AI340" s="40"/>
      <c r="AP340" s="40"/>
      <c r="AW340" s="40"/>
      <c r="BF340" s="40"/>
      <c r="BL340" s="40"/>
      <c r="BT340" s="40"/>
      <c r="CH340" s="40"/>
    </row>
    <row r="341" spans="8:92" x14ac:dyDescent="0.4">
      <c r="H341" s="40"/>
      <c r="O341" s="40"/>
      <c r="U341" s="40"/>
      <c r="AC341" s="40"/>
      <c r="AI341" s="40"/>
      <c r="AP341" s="40"/>
      <c r="AW341" s="40"/>
      <c r="BF341" s="40"/>
      <c r="BL341" s="40"/>
      <c r="BT341" s="40"/>
    </row>
    <row r="342" spans="8:92" x14ac:dyDescent="0.4">
      <c r="H342" s="40"/>
      <c r="O342" s="40"/>
      <c r="U342" s="40"/>
      <c r="AC342" s="40"/>
      <c r="AI342" s="40"/>
      <c r="AP342" s="40"/>
      <c r="AW342" s="40"/>
      <c r="BF342" s="40"/>
      <c r="BL342" s="40"/>
      <c r="BT342" s="40"/>
    </row>
    <row r="343" spans="8:92" x14ac:dyDescent="0.4">
      <c r="H343" s="40"/>
      <c r="O343" s="40"/>
      <c r="U343" s="40"/>
      <c r="AC343" s="40"/>
      <c r="AI343" s="40"/>
      <c r="AP343" s="40"/>
      <c r="AW343" s="40"/>
      <c r="BF343" s="40"/>
      <c r="BL343" s="40"/>
      <c r="BT343" s="40"/>
    </row>
    <row r="344" spans="8:92" x14ac:dyDescent="0.4">
      <c r="H344" s="40"/>
      <c r="O344" s="40"/>
      <c r="U344" s="40"/>
      <c r="AC344" s="40"/>
      <c r="AI344" s="40"/>
      <c r="AP344" s="40"/>
      <c r="AW344" s="40"/>
      <c r="BF344" s="40"/>
      <c r="BL344" s="40"/>
      <c r="BT344" s="40"/>
    </row>
    <row r="345" spans="8:92" x14ac:dyDescent="0.4">
      <c r="H345" s="40"/>
      <c r="O345" s="40"/>
      <c r="U345" s="40"/>
      <c r="AC345" s="40"/>
      <c r="AI345" s="40"/>
      <c r="AP345" s="40"/>
      <c r="AW345" s="40"/>
      <c r="BF345" s="40"/>
      <c r="BL345" s="40"/>
      <c r="BT345" s="40"/>
    </row>
    <row r="346" spans="8:92" x14ac:dyDescent="0.4">
      <c r="H346" s="40"/>
      <c r="O346" s="40"/>
      <c r="U346" s="40"/>
      <c r="AC346" s="40"/>
      <c r="AI346" s="40"/>
      <c r="AP346" s="40"/>
      <c r="AW346" s="40"/>
      <c r="BF346" s="40"/>
      <c r="BL346" s="40"/>
      <c r="BT346" s="40"/>
    </row>
    <row r="347" spans="8:92" x14ac:dyDescent="0.4">
      <c r="H347" s="40"/>
      <c r="O347" s="40"/>
      <c r="U347" s="40"/>
      <c r="AC347" s="40"/>
      <c r="AI347" s="40"/>
      <c r="AP347" s="40"/>
      <c r="AW347" s="40"/>
      <c r="BF347" s="40"/>
      <c r="BL347" s="40"/>
      <c r="BT347" s="40"/>
    </row>
    <row r="348" spans="8:92" x14ac:dyDescent="0.4">
      <c r="H348" s="40"/>
      <c r="O348" s="40"/>
      <c r="U348" s="40"/>
      <c r="AC348" s="40"/>
      <c r="AI348" s="40"/>
      <c r="AP348" s="40"/>
      <c r="AW348" s="40"/>
      <c r="BF348" s="40"/>
      <c r="BL348" s="40"/>
      <c r="BT348" s="40"/>
    </row>
    <row r="349" spans="8:92" x14ac:dyDescent="0.4">
      <c r="H349" s="40"/>
      <c r="O349" s="40"/>
      <c r="U349" s="40"/>
      <c r="AC349" s="40"/>
      <c r="AI349" s="40"/>
      <c r="AP349" s="40"/>
      <c r="AW349" s="40"/>
      <c r="BF349" s="40"/>
      <c r="BL349" s="40"/>
      <c r="BT349" s="40"/>
    </row>
    <row r="350" spans="8:92" x14ac:dyDescent="0.4">
      <c r="H350" s="40"/>
      <c r="O350" s="40"/>
      <c r="U350" s="40"/>
      <c r="AC350" s="40"/>
      <c r="AI350" s="40"/>
      <c r="AP350" s="40"/>
      <c r="AW350" s="40"/>
      <c r="BF350" s="40"/>
      <c r="BL350" s="40"/>
      <c r="BT350" s="40"/>
    </row>
    <row r="351" spans="8:92" x14ac:dyDescent="0.4">
      <c r="H351" s="40"/>
      <c r="O351" s="40"/>
      <c r="U351" s="40"/>
      <c r="AC351" s="40"/>
      <c r="AI351" s="40"/>
      <c r="AP351" s="40"/>
      <c r="AW351" s="40"/>
      <c r="BF351" s="40"/>
      <c r="BL351" s="40"/>
      <c r="BT351" s="40"/>
    </row>
    <row r="352" spans="8:92" x14ac:dyDescent="0.4">
      <c r="H352" s="40"/>
      <c r="O352" s="40"/>
      <c r="U352" s="40"/>
      <c r="AC352" s="40"/>
      <c r="AI352" s="40"/>
      <c r="AP352" s="40"/>
      <c r="AW352" s="40"/>
      <c r="BF352" s="40"/>
      <c r="BL352" s="40"/>
      <c r="BT352" s="40"/>
    </row>
    <row r="353" spans="8:72" x14ac:dyDescent="0.4">
      <c r="H353" s="40"/>
      <c r="O353" s="40"/>
      <c r="U353" s="40"/>
      <c r="AC353" s="40"/>
      <c r="AI353" s="40"/>
      <c r="AP353" s="40"/>
      <c r="AW353" s="40"/>
      <c r="BF353" s="40"/>
      <c r="BL353" s="40"/>
      <c r="BT353" s="40"/>
    </row>
    <row r="354" spans="8:72" x14ac:dyDescent="0.4">
      <c r="H354" s="40"/>
      <c r="O354" s="40"/>
      <c r="U354" s="40"/>
      <c r="AC354" s="40"/>
      <c r="AI354" s="40"/>
      <c r="AP354" s="40"/>
      <c r="AW354" s="40"/>
      <c r="BF354" s="40"/>
      <c r="BL354" s="40"/>
      <c r="BT354" s="40"/>
    </row>
    <row r="355" spans="8:72" x14ac:dyDescent="0.4">
      <c r="H355" s="40"/>
      <c r="O355" s="40"/>
      <c r="U355" s="40"/>
      <c r="AC355" s="40"/>
      <c r="AI355" s="40"/>
      <c r="AP355" s="40"/>
      <c r="AW355" s="40"/>
      <c r="BF355" s="40"/>
      <c r="BL355" s="40"/>
      <c r="BT355" s="40"/>
    </row>
    <row r="356" spans="8:72" x14ac:dyDescent="0.4">
      <c r="H356" s="40"/>
      <c r="O356" s="40"/>
      <c r="U356" s="40"/>
      <c r="AC356" s="40"/>
      <c r="AI356" s="40"/>
      <c r="AP356" s="40"/>
      <c r="AW356" s="40"/>
      <c r="BF356" s="40"/>
      <c r="BL356" s="40"/>
    </row>
    <row r="357" spans="8:72" x14ac:dyDescent="0.4">
      <c r="H357" s="40"/>
      <c r="O357" s="40"/>
      <c r="U357" s="40"/>
      <c r="AC357" s="40"/>
      <c r="AI357" s="40"/>
      <c r="AP357" s="40"/>
      <c r="AW357" s="40"/>
      <c r="BF357" s="40"/>
      <c r="BL357" s="40"/>
    </row>
    <row r="358" spans="8:72" x14ac:dyDescent="0.4">
      <c r="H358" s="40"/>
      <c r="U358" s="40"/>
      <c r="AC358" s="40"/>
      <c r="AI358" s="40"/>
      <c r="AP358" s="40"/>
      <c r="AW358" s="40"/>
      <c r="BF358" s="40"/>
      <c r="BL358" s="40"/>
    </row>
    <row r="359" spans="8:72" x14ac:dyDescent="0.4">
      <c r="H359" s="40"/>
      <c r="U359" s="40"/>
      <c r="AC359" s="40"/>
      <c r="AI359" s="40"/>
      <c r="AP359" s="40"/>
      <c r="AW359" s="40"/>
      <c r="BF359" s="40"/>
      <c r="BL359" s="40"/>
    </row>
    <row r="360" spans="8:72" x14ac:dyDescent="0.4">
      <c r="H360" s="40"/>
      <c r="U360" s="40"/>
      <c r="AC360" s="40"/>
      <c r="AI360" s="40"/>
      <c r="AP360" s="40"/>
      <c r="AW360" s="40"/>
      <c r="BF360" s="40"/>
      <c r="BL360" s="40"/>
    </row>
    <row r="361" spans="8:72" x14ac:dyDescent="0.4">
      <c r="H361" s="40"/>
      <c r="U361" s="40"/>
      <c r="AC361" s="40"/>
      <c r="AI361" s="40"/>
      <c r="AP361" s="40"/>
      <c r="AW361" s="40"/>
      <c r="BF361" s="40"/>
      <c r="BL361" s="40"/>
    </row>
    <row r="362" spans="8:72" x14ac:dyDescent="0.4">
      <c r="H362" s="40"/>
      <c r="U362" s="40"/>
      <c r="AC362" s="40"/>
      <c r="AI362" s="40"/>
      <c r="AP362" s="40"/>
      <c r="AW362" s="40"/>
      <c r="BF362" s="40"/>
    </row>
    <row r="363" spans="8:72" x14ac:dyDescent="0.4">
      <c r="H363" s="40"/>
      <c r="U363" s="40"/>
      <c r="AC363" s="40"/>
      <c r="AI363" s="40"/>
      <c r="AP363" s="40"/>
      <c r="AW363" s="40"/>
    </row>
    <row r="364" spans="8:72" x14ac:dyDescent="0.4">
      <c r="H364" s="40"/>
      <c r="U364" s="40"/>
      <c r="AC364" s="40"/>
      <c r="AI364" s="40"/>
      <c r="AP364" s="40"/>
      <c r="AW364" s="40"/>
    </row>
    <row r="365" spans="8:72" x14ac:dyDescent="0.4">
      <c r="H365" s="40"/>
      <c r="U365" s="40"/>
      <c r="AC365" s="40"/>
      <c r="AI365" s="40"/>
      <c r="AP365" s="40"/>
      <c r="AW365" s="40"/>
    </row>
    <row r="366" spans="8:72" x14ac:dyDescent="0.4">
      <c r="H366" s="40"/>
      <c r="U366" s="40"/>
      <c r="AC366" s="40"/>
      <c r="AI366" s="40"/>
    </row>
    <row r="367" spans="8:72" x14ac:dyDescent="0.4">
      <c r="H367" s="40"/>
      <c r="U367" s="40"/>
      <c r="AC367" s="40"/>
      <c r="AI367" s="40"/>
    </row>
    <row r="368" spans="8:72" x14ac:dyDescent="0.4">
      <c r="H368" s="40"/>
      <c r="U368" s="40"/>
      <c r="AC368" s="40"/>
      <c r="AI368" s="40"/>
    </row>
    <row r="369" spans="21:35" x14ac:dyDescent="0.4">
      <c r="U369" s="40"/>
      <c r="AC369" s="40"/>
      <c r="AI369" s="40"/>
    </row>
    <row r="370" spans="21:35" x14ac:dyDescent="0.4">
      <c r="U370" s="40"/>
      <c r="AI370" s="40"/>
    </row>
    <row r="371" spans="21:35" x14ac:dyDescent="0.4">
      <c r="U371" s="40"/>
      <c r="AI371" s="40"/>
    </row>
    <row r="372" spans="21:35" x14ac:dyDescent="0.4">
      <c r="U372" s="40"/>
    </row>
    <row r="373" spans="21:35" x14ac:dyDescent="0.4">
      <c r="U373" s="40"/>
    </row>
    <row r="374" spans="21:35" x14ac:dyDescent="0.4">
      <c r="U374" s="40"/>
    </row>
    <row r="375" spans="21:35" x14ac:dyDescent="0.4">
      <c r="U375" s="40"/>
    </row>
  </sheetData>
  <sortState xmlns:xlrd2="http://schemas.microsoft.com/office/spreadsheetml/2017/richdata2" ref="F60:G193">
    <sortCondition descending="1" ref="F60:F193"/>
  </sortState>
  <mergeCells count="22">
    <mergeCell ref="DW14:EB14"/>
    <mergeCell ref="ED14:EI14"/>
    <mergeCell ref="EK14:EP14"/>
    <mergeCell ref="DB14:DG14"/>
    <mergeCell ref="DI14:DN14"/>
    <mergeCell ref="DP14:DU14"/>
    <mergeCell ref="CG14:CL14"/>
    <mergeCell ref="CN14:CS14"/>
    <mergeCell ref="CU14:CZ14"/>
    <mergeCell ref="BL14:BQ14"/>
    <mergeCell ref="BS14:BX14"/>
    <mergeCell ref="BZ14:CE14"/>
    <mergeCell ref="AX14:BC14"/>
    <mergeCell ref="BE14:BJ14"/>
    <mergeCell ref="V14:AA14"/>
    <mergeCell ref="AC14:AH14"/>
    <mergeCell ref="AJ14:AO14"/>
    <mergeCell ref="A1:F2"/>
    <mergeCell ref="A3:F11"/>
    <mergeCell ref="H14:M14"/>
    <mergeCell ref="O14:T14"/>
    <mergeCell ref="AQ14:AV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762A5-9B93-4A16-A935-C6097A37E76B}">
  <dimension ref="A1:EV1056"/>
  <sheetViews>
    <sheetView workbookViewId="0">
      <selection activeCell="X21" sqref="X21:X22"/>
    </sheetView>
  </sheetViews>
  <sheetFormatPr defaultRowHeight="14.6" x14ac:dyDescent="0.4"/>
  <cols>
    <col min="1" max="2" width="3.84375" bestFit="1" customWidth="1"/>
    <col min="3" max="3" width="2.84375" bestFit="1" customWidth="1"/>
    <col min="4" max="5" width="14.69140625" bestFit="1" customWidth="1"/>
    <col min="6" max="6" width="3.84375" bestFit="1" customWidth="1"/>
    <col min="7" max="7" width="2.84375" bestFit="1" customWidth="1"/>
    <col min="8" max="8" width="6.3828125" bestFit="1" customWidth="1"/>
    <col min="9" max="9" width="14.69140625" bestFit="1" customWidth="1"/>
    <col min="10" max="10" width="6.3828125" bestFit="1" customWidth="1"/>
    <col min="11" max="11" width="7.23046875" bestFit="1" customWidth="1"/>
    <col min="14" max="14" width="3.84375" bestFit="1" customWidth="1"/>
    <col min="15" max="15" width="2.84375" bestFit="1" customWidth="1"/>
    <col min="16" max="16" width="1.84375" bestFit="1" customWidth="1"/>
    <col min="17" max="17" width="14.53515625" bestFit="1" customWidth="1"/>
    <col min="18" max="18" width="14.69140625" bestFit="1" customWidth="1"/>
    <col min="19" max="19" width="3.84375" bestFit="1" customWidth="1"/>
    <col min="20" max="20" width="2.84375" bestFit="1" customWidth="1"/>
    <col min="21" max="21" width="6.3828125" bestFit="1" customWidth="1"/>
    <col min="22" max="22" width="14.69140625" bestFit="1" customWidth="1"/>
    <col min="23" max="23" width="6.3828125" bestFit="1" customWidth="1"/>
    <col min="24" max="24" width="6.84375" bestFit="1" customWidth="1"/>
    <col min="26" max="26" width="3.84375" bestFit="1" customWidth="1"/>
    <col min="27" max="27" width="4" customWidth="1"/>
    <col min="28" max="28" width="3.3828125" customWidth="1"/>
    <col min="29" max="30" width="14.69140625" bestFit="1" customWidth="1"/>
    <col min="31" max="31" width="3.84375" bestFit="1" customWidth="1"/>
    <col min="32" max="32" width="3.69140625" customWidth="1"/>
    <col min="33" max="33" width="6.3828125" bestFit="1" customWidth="1"/>
    <col min="34" max="34" width="14.69140625" bestFit="1" customWidth="1"/>
    <col min="35" max="35" width="6.3828125" bestFit="1" customWidth="1"/>
    <col min="36" max="36" width="8.53515625" customWidth="1"/>
    <col min="38" max="38" width="3.84375" bestFit="1" customWidth="1"/>
    <col min="39" max="39" width="2.84375" bestFit="1" customWidth="1"/>
    <col min="40" max="40" width="1.84375" bestFit="1" customWidth="1"/>
    <col min="41" max="42" width="14.69140625" bestFit="1" customWidth="1"/>
    <col min="43" max="43" width="3.84375" bestFit="1" customWidth="1"/>
    <col min="44" max="44" width="2.84375" bestFit="1" customWidth="1"/>
    <col min="45" max="45" width="6.3828125" bestFit="1" customWidth="1"/>
    <col min="46" max="46" width="14.69140625" bestFit="1" customWidth="1"/>
    <col min="47" max="47" width="6.3828125" bestFit="1" customWidth="1"/>
    <col min="48" max="48" width="7.921875" customWidth="1"/>
    <col min="50" max="50" width="3.84375" bestFit="1" customWidth="1"/>
    <col min="51" max="51" width="2.84375" bestFit="1" customWidth="1"/>
    <col min="52" max="52" width="1.84375" bestFit="1" customWidth="1"/>
    <col min="53" max="54" width="14.69140625" bestFit="1" customWidth="1"/>
    <col min="55" max="55" width="3.84375" bestFit="1" customWidth="1"/>
    <col min="56" max="56" width="2.84375" bestFit="1" customWidth="1"/>
    <col min="57" max="57" width="6.3828125" bestFit="1" customWidth="1"/>
    <col min="58" max="58" width="14.69140625" bestFit="1" customWidth="1"/>
    <col min="59" max="59" width="6.3828125" bestFit="1" customWidth="1"/>
    <col min="60" max="60" width="6.84375" bestFit="1" customWidth="1"/>
    <col min="62" max="62" width="3.84375" bestFit="1" customWidth="1"/>
    <col min="63" max="63" width="2.84375" bestFit="1" customWidth="1"/>
    <col min="64" max="64" width="1.84375" bestFit="1" customWidth="1"/>
    <col min="65" max="66" width="14.69140625" bestFit="1" customWidth="1"/>
    <col min="67" max="67" width="3.84375" bestFit="1" customWidth="1"/>
    <col min="68" max="68" width="2.84375" bestFit="1" customWidth="1"/>
    <col min="69" max="69" width="6.3828125" bestFit="1" customWidth="1"/>
    <col min="70" max="70" width="14.69140625" bestFit="1" customWidth="1"/>
    <col min="71" max="71" width="6.3828125" bestFit="1" customWidth="1"/>
    <col min="72" max="72" width="6.84375" bestFit="1" customWidth="1"/>
    <col min="74" max="74" width="3.84375" bestFit="1" customWidth="1"/>
    <col min="75" max="75" width="2.84375" bestFit="1" customWidth="1"/>
    <col min="76" max="76" width="1.84375" bestFit="1" customWidth="1"/>
    <col min="77" max="78" width="14.69140625" bestFit="1" customWidth="1"/>
    <col min="79" max="79" width="3.84375" bestFit="1" customWidth="1"/>
    <col min="80" max="80" width="2.84375" bestFit="1" customWidth="1"/>
    <col min="81" max="81" width="6.3828125" bestFit="1" customWidth="1"/>
    <col min="82" max="82" width="14.69140625" bestFit="1" customWidth="1"/>
    <col min="83" max="83" width="6.3828125" bestFit="1" customWidth="1"/>
    <col min="84" max="84" width="6.84375" bestFit="1" customWidth="1"/>
    <col min="86" max="86" width="3.84375" bestFit="1" customWidth="1"/>
    <col min="87" max="87" width="2.84375" bestFit="1" customWidth="1"/>
    <col min="88" max="88" width="1.84375" bestFit="1" customWidth="1"/>
    <col min="89" max="90" width="14.69140625" bestFit="1" customWidth="1"/>
    <col min="91" max="91" width="3.84375" bestFit="1" customWidth="1"/>
    <col min="92" max="92" width="2.84375" bestFit="1" customWidth="1"/>
    <col min="93" max="93" width="6.3828125" bestFit="1" customWidth="1"/>
    <col min="94" max="94" width="14.69140625" bestFit="1" customWidth="1"/>
    <col min="95" max="95" width="8.84375" bestFit="1" customWidth="1"/>
    <col min="96" max="96" width="5.84375" bestFit="1" customWidth="1"/>
    <col min="98" max="98" width="3.84375" bestFit="1" customWidth="1"/>
    <col min="99" max="99" width="2.84375" bestFit="1" customWidth="1"/>
    <col min="100" max="100" width="1.84375" bestFit="1" customWidth="1"/>
    <col min="101" max="102" width="14.69140625" bestFit="1" customWidth="1"/>
    <col min="103" max="103" width="3.84375" bestFit="1" customWidth="1"/>
    <col min="104" max="104" width="2.84375" bestFit="1" customWidth="1"/>
    <col min="105" max="105" width="6.3828125" bestFit="1" customWidth="1"/>
    <col min="106" max="106" width="14.69140625" bestFit="1" customWidth="1"/>
    <col min="107" max="107" width="6.3828125" bestFit="1" customWidth="1"/>
    <col min="108" max="108" width="5.84375" bestFit="1" customWidth="1"/>
    <col min="110" max="110" width="3.84375" bestFit="1" customWidth="1"/>
    <col min="111" max="111" width="2.84375" bestFit="1" customWidth="1"/>
    <col min="112" max="112" width="1.84375" bestFit="1" customWidth="1"/>
    <col min="113" max="114" width="14.69140625" bestFit="1" customWidth="1"/>
    <col min="115" max="115" width="3.84375" bestFit="1" customWidth="1"/>
    <col min="116" max="116" width="2.84375" bestFit="1" customWidth="1"/>
    <col min="117" max="117" width="6.3828125" bestFit="1" customWidth="1"/>
    <col min="118" max="118" width="19.765625" bestFit="1" customWidth="1"/>
    <col min="119" max="119" width="11.84375" bestFit="1" customWidth="1"/>
    <col min="120" max="120" width="5.84375" bestFit="1" customWidth="1"/>
    <col min="122" max="122" width="3.84375" bestFit="1" customWidth="1"/>
    <col min="123" max="123" width="2.84375" bestFit="1" customWidth="1"/>
    <col min="124" max="124" width="1.84375" bestFit="1" customWidth="1"/>
    <col min="125" max="126" width="14.69140625" bestFit="1" customWidth="1"/>
    <col min="127" max="127" width="3.84375" bestFit="1" customWidth="1"/>
    <col min="128" max="128" width="2.84375" bestFit="1" customWidth="1"/>
    <col min="129" max="129" width="6.3828125" bestFit="1" customWidth="1"/>
    <col min="130" max="130" width="19.765625" bestFit="1" customWidth="1"/>
    <col min="131" max="131" width="11.84375" bestFit="1" customWidth="1"/>
    <col min="132" max="132" width="5.84375" bestFit="1" customWidth="1"/>
    <col min="134" max="134" width="3.84375" bestFit="1" customWidth="1"/>
    <col min="135" max="135" width="2.84375" bestFit="1" customWidth="1"/>
    <col min="136" max="136" width="1.84375" bestFit="1" customWidth="1"/>
    <col min="137" max="138" width="14.69140625" bestFit="1" customWidth="1"/>
    <col min="139" max="139" width="3.84375" bestFit="1" customWidth="1"/>
    <col min="140" max="140" width="2.84375" bestFit="1" customWidth="1"/>
    <col min="141" max="141" width="6.3828125" bestFit="1" customWidth="1"/>
    <col min="142" max="142" width="19.765625" bestFit="1" customWidth="1"/>
    <col min="143" max="143" width="11.84375" bestFit="1" customWidth="1"/>
    <col min="144" max="144" width="5.84375" bestFit="1" customWidth="1"/>
  </cols>
  <sheetData>
    <row r="1" spans="1:152" x14ac:dyDescent="0.4">
      <c r="A1" s="129" t="s">
        <v>1391</v>
      </c>
      <c r="B1" s="129"/>
      <c r="C1" s="129"/>
      <c r="D1" s="129"/>
      <c r="E1" s="129"/>
      <c r="F1" s="129"/>
      <c r="G1" s="129"/>
      <c r="H1" s="129"/>
      <c r="I1" s="129"/>
      <c r="J1" s="129"/>
      <c r="K1" s="129"/>
      <c r="Z1" s="40"/>
      <c r="AA1" s="40"/>
    </row>
    <row r="2" spans="1:152" x14ac:dyDescent="0.4">
      <c r="A2" s="129"/>
      <c r="B2" s="129"/>
      <c r="C2" s="129"/>
      <c r="D2" s="129"/>
      <c r="E2" s="129"/>
      <c r="F2" s="129"/>
      <c r="G2" s="129"/>
      <c r="H2" s="129"/>
      <c r="I2" s="129"/>
      <c r="J2" s="129"/>
      <c r="K2" s="129"/>
      <c r="Z2" s="40"/>
      <c r="AA2" s="40"/>
    </row>
    <row r="3" spans="1:152" ht="14.6" customHeight="1" x14ac:dyDescent="0.4">
      <c r="A3" s="130" t="s">
        <v>1402</v>
      </c>
      <c r="B3" s="130"/>
      <c r="C3" s="130"/>
      <c r="D3" s="130"/>
      <c r="E3" s="130"/>
      <c r="F3" s="130"/>
      <c r="G3" s="130"/>
      <c r="H3" s="130"/>
      <c r="I3" s="130"/>
      <c r="J3" s="130"/>
      <c r="K3" s="130"/>
      <c r="Z3" s="40"/>
      <c r="AA3" s="40"/>
    </row>
    <row r="4" spans="1:152" x14ac:dyDescent="0.4">
      <c r="A4" s="130"/>
      <c r="B4" s="130"/>
      <c r="C4" s="130"/>
      <c r="D4" s="130"/>
      <c r="E4" s="130"/>
      <c r="F4" s="130"/>
      <c r="G4" s="130"/>
      <c r="H4" s="130"/>
      <c r="I4" s="130"/>
      <c r="J4" s="130"/>
      <c r="K4" s="130"/>
      <c r="Z4" s="40"/>
      <c r="AA4" s="40"/>
    </row>
    <row r="5" spans="1:152" x14ac:dyDescent="0.4">
      <c r="A5" s="130"/>
      <c r="B5" s="130"/>
      <c r="C5" s="130"/>
      <c r="D5" s="130"/>
      <c r="E5" s="130"/>
      <c r="F5" s="130"/>
      <c r="G5" s="130"/>
      <c r="H5" s="130"/>
      <c r="I5" s="130"/>
      <c r="J5" s="130"/>
      <c r="K5" s="130"/>
      <c r="Z5" s="40"/>
      <c r="AA5" s="40"/>
    </row>
    <row r="6" spans="1:152" x14ac:dyDescent="0.4">
      <c r="A6" s="130"/>
      <c r="B6" s="130"/>
      <c r="C6" s="130"/>
      <c r="D6" s="130"/>
      <c r="E6" s="130"/>
      <c r="F6" s="130"/>
      <c r="G6" s="130"/>
      <c r="H6" s="130"/>
      <c r="I6" s="130"/>
      <c r="J6" s="130"/>
      <c r="K6" s="130"/>
      <c r="Z6" s="40"/>
      <c r="AA6" s="40"/>
    </row>
    <row r="7" spans="1:152" x14ac:dyDescent="0.4">
      <c r="A7" s="130"/>
      <c r="B7" s="130"/>
      <c r="C7" s="130"/>
      <c r="D7" s="130"/>
      <c r="E7" s="130"/>
      <c r="F7" s="130"/>
      <c r="G7" s="130"/>
      <c r="H7" s="130"/>
      <c r="I7" s="130"/>
      <c r="J7" s="130"/>
      <c r="K7" s="130"/>
      <c r="Z7" s="40"/>
      <c r="AA7" s="40"/>
    </row>
    <row r="8" spans="1:152" x14ac:dyDescent="0.4">
      <c r="A8" s="130"/>
      <c r="B8" s="130"/>
      <c r="C8" s="130"/>
      <c r="D8" s="130"/>
      <c r="E8" s="130"/>
      <c r="F8" s="130"/>
      <c r="G8" s="130"/>
      <c r="H8" s="130"/>
      <c r="I8" s="130"/>
      <c r="J8" s="130"/>
      <c r="K8" s="130"/>
      <c r="Z8" s="40"/>
      <c r="AA8" s="40"/>
    </row>
    <row r="9" spans="1:152" x14ac:dyDescent="0.4">
      <c r="A9" s="130"/>
      <c r="B9" s="130"/>
      <c r="C9" s="130"/>
      <c r="D9" s="130"/>
      <c r="E9" s="130"/>
      <c r="F9" s="130"/>
      <c r="G9" s="130"/>
      <c r="H9" s="130"/>
      <c r="I9" s="130"/>
      <c r="J9" s="130"/>
      <c r="K9" s="130"/>
      <c r="Z9" s="40"/>
      <c r="AA9" s="40"/>
    </row>
    <row r="10" spans="1:152" x14ac:dyDescent="0.4">
      <c r="A10" s="130"/>
      <c r="B10" s="130"/>
      <c r="C10" s="130"/>
      <c r="D10" s="130"/>
      <c r="E10" s="130"/>
      <c r="F10" s="130"/>
      <c r="G10" s="130"/>
      <c r="H10" s="130"/>
      <c r="I10" s="130"/>
      <c r="J10" s="130"/>
      <c r="K10" s="130"/>
      <c r="Z10" s="40"/>
      <c r="AA10" s="40"/>
    </row>
    <row r="11" spans="1:152" x14ac:dyDescent="0.4">
      <c r="A11" s="130"/>
      <c r="B11" s="130"/>
      <c r="C11" s="130"/>
      <c r="D11" s="130"/>
      <c r="E11" s="130"/>
      <c r="F11" s="130"/>
      <c r="G11" s="130"/>
      <c r="H11" s="130"/>
      <c r="I11" s="130"/>
      <c r="J11" s="130"/>
      <c r="K11" s="130"/>
      <c r="Z11" s="40"/>
    </row>
    <row r="12" spans="1:152" x14ac:dyDescent="0.4">
      <c r="A12" s="128"/>
      <c r="B12" s="128"/>
      <c r="C12" s="128"/>
      <c r="D12" s="128"/>
      <c r="E12" s="128"/>
      <c r="F12" s="128"/>
      <c r="G12" s="128"/>
      <c r="H12" s="128"/>
      <c r="I12" s="128"/>
      <c r="J12" s="128"/>
      <c r="K12" s="128"/>
      <c r="N12" s="128" t="s">
        <v>1387</v>
      </c>
      <c r="O12" s="128"/>
      <c r="P12" s="128"/>
      <c r="Q12" s="128"/>
      <c r="R12" s="128"/>
      <c r="S12" s="128"/>
      <c r="T12" s="128"/>
      <c r="U12" s="128"/>
      <c r="V12" s="128"/>
      <c r="W12" s="128"/>
      <c r="X12" s="128"/>
      <c r="Z12" s="128" t="s">
        <v>1384</v>
      </c>
      <c r="AA12" s="128"/>
      <c r="AB12" s="128"/>
      <c r="AC12" s="128"/>
      <c r="AD12" s="128"/>
      <c r="AE12" s="128"/>
      <c r="AF12" s="128"/>
      <c r="AG12" s="128"/>
      <c r="AH12" s="128"/>
      <c r="AI12" s="128"/>
      <c r="AJ12" s="128"/>
      <c r="AL12" s="128" t="s">
        <v>1383</v>
      </c>
      <c r="AM12" s="128"/>
      <c r="AN12" s="128"/>
      <c r="AO12" s="128"/>
      <c r="AP12" s="128"/>
      <c r="AQ12" s="128"/>
      <c r="AR12" s="128"/>
      <c r="AS12" s="128"/>
      <c r="AT12" s="128"/>
      <c r="AU12" s="128"/>
      <c r="AV12" s="128"/>
      <c r="AX12" s="128" t="s">
        <v>1385</v>
      </c>
      <c r="AY12" s="128"/>
      <c r="AZ12" s="128"/>
      <c r="BA12" s="128"/>
      <c r="BB12" s="128"/>
      <c r="BC12" s="128"/>
      <c r="BD12" s="128"/>
      <c r="BE12" s="128"/>
      <c r="BF12" s="128"/>
      <c r="BG12" s="128"/>
      <c r="BH12" s="128"/>
      <c r="BJ12" s="128" t="s">
        <v>1382</v>
      </c>
      <c r="BK12" s="128"/>
      <c r="BL12" s="128"/>
      <c r="BM12" s="128"/>
      <c r="BN12" s="128"/>
      <c r="BO12" s="128"/>
      <c r="BP12" s="128"/>
      <c r="BQ12" s="128"/>
      <c r="BR12" s="128"/>
      <c r="BS12" s="128"/>
      <c r="BT12" s="128"/>
      <c r="BV12" s="128" t="s">
        <v>1388</v>
      </c>
      <c r="BW12" s="128"/>
      <c r="BX12" s="128"/>
      <c r="BY12" s="128"/>
      <c r="BZ12" s="128"/>
      <c r="CA12" s="128"/>
      <c r="CB12" s="128"/>
      <c r="CC12" s="128"/>
      <c r="CD12" s="128"/>
      <c r="CE12" s="128"/>
      <c r="CF12" s="128"/>
      <c r="CH12" s="128" t="s">
        <v>1389</v>
      </c>
      <c r="CI12" s="128"/>
      <c r="CJ12" s="128"/>
      <c r="CK12" s="128"/>
      <c r="CL12" s="128"/>
      <c r="CM12" s="128"/>
      <c r="CN12" s="128"/>
      <c r="CO12" s="128"/>
      <c r="CP12" s="128"/>
      <c r="CQ12" s="128"/>
      <c r="CR12" s="128"/>
      <c r="CT12" s="128" t="s">
        <v>1386</v>
      </c>
      <c r="CU12" s="128"/>
      <c r="CV12" s="128"/>
      <c r="CW12" s="128"/>
      <c r="CX12" s="128"/>
      <c r="CY12" s="128"/>
      <c r="CZ12" s="128"/>
      <c r="DA12" s="128"/>
      <c r="DB12" s="128"/>
      <c r="DC12" s="128"/>
      <c r="DD12" s="128"/>
      <c r="DF12" s="128" t="s">
        <v>1394</v>
      </c>
      <c r="DG12" s="128"/>
      <c r="DH12" s="128"/>
      <c r="DI12" s="128"/>
      <c r="DJ12" s="128"/>
      <c r="DK12" s="128"/>
      <c r="DL12" s="128"/>
      <c r="DM12" s="128"/>
      <c r="DN12" s="128"/>
      <c r="DO12" s="128"/>
      <c r="DP12" s="128"/>
      <c r="DR12" s="128" t="s">
        <v>1395</v>
      </c>
      <c r="DS12" s="128"/>
      <c r="DT12" s="128"/>
      <c r="DU12" s="128"/>
      <c r="DV12" s="128"/>
      <c r="DW12" s="128"/>
      <c r="DX12" s="128"/>
      <c r="DY12" s="128"/>
      <c r="DZ12" s="128"/>
      <c r="EA12" s="128"/>
      <c r="EB12" s="128"/>
      <c r="ED12" s="128" t="s">
        <v>1396</v>
      </c>
      <c r="EE12" s="128"/>
      <c r="EF12" s="128"/>
      <c r="EG12" s="128"/>
      <c r="EH12" s="128"/>
      <c r="EI12" s="128"/>
      <c r="EJ12" s="128"/>
      <c r="EK12" s="128"/>
      <c r="EL12" s="128"/>
      <c r="EM12" s="128"/>
      <c r="EN12" s="128"/>
    </row>
    <row r="13" spans="1:152" x14ac:dyDescent="0.4">
      <c r="A13" s="1" t="s">
        <v>205</v>
      </c>
      <c r="B13" s="1" t="s">
        <v>1144</v>
      </c>
      <c r="C13" s="1" t="s">
        <v>1368</v>
      </c>
      <c r="D13" s="1" t="s">
        <v>1381</v>
      </c>
      <c r="E13" s="1" t="s">
        <v>1379</v>
      </c>
      <c r="F13" s="1" t="s">
        <v>205</v>
      </c>
      <c r="G13" s="1" t="s">
        <v>1144</v>
      </c>
      <c r="H13" s="1" t="s">
        <v>1339</v>
      </c>
      <c r="I13" s="1" t="s">
        <v>1380</v>
      </c>
      <c r="J13" s="1" t="s">
        <v>1339</v>
      </c>
      <c r="K13" s="1" t="s">
        <v>1339</v>
      </c>
      <c r="N13" s="1" t="s">
        <v>205</v>
      </c>
      <c r="O13" s="1" t="s">
        <v>1144</v>
      </c>
      <c r="P13" s="1" t="s">
        <v>1368</v>
      </c>
      <c r="Q13" s="1" t="s">
        <v>1381</v>
      </c>
      <c r="R13" s="1" t="s">
        <v>1379</v>
      </c>
      <c r="S13" s="1" t="s">
        <v>205</v>
      </c>
      <c r="T13" s="1" t="s">
        <v>1144</v>
      </c>
      <c r="U13" s="1" t="s">
        <v>1339</v>
      </c>
      <c r="V13" s="1" t="s">
        <v>1380</v>
      </c>
      <c r="W13" s="1" t="s">
        <v>1339</v>
      </c>
      <c r="X13" s="1" t="s">
        <v>1339</v>
      </c>
      <c r="Z13" s="1" t="s">
        <v>205</v>
      </c>
      <c r="AA13" s="1" t="s">
        <v>1144</v>
      </c>
      <c r="AB13" s="1" t="s">
        <v>1368</v>
      </c>
      <c r="AC13" s="1" t="s">
        <v>1381</v>
      </c>
      <c r="AD13" s="1" t="s">
        <v>1379</v>
      </c>
      <c r="AE13" s="1" t="s">
        <v>205</v>
      </c>
      <c r="AF13" s="1" t="s">
        <v>1144</v>
      </c>
      <c r="AG13" s="1" t="s">
        <v>1339</v>
      </c>
      <c r="AH13" s="1" t="s">
        <v>1380</v>
      </c>
      <c r="AI13" s="1" t="s">
        <v>1339</v>
      </c>
      <c r="AJ13" s="1" t="s">
        <v>1339</v>
      </c>
      <c r="AL13" s="1" t="s">
        <v>205</v>
      </c>
      <c r="AM13" s="1" t="s">
        <v>1144</v>
      </c>
      <c r="AN13" s="1" t="s">
        <v>1368</v>
      </c>
      <c r="AO13" s="1" t="s">
        <v>1381</v>
      </c>
      <c r="AP13" s="1" t="s">
        <v>1379</v>
      </c>
      <c r="AQ13" s="1" t="s">
        <v>205</v>
      </c>
      <c r="AR13" s="1" t="s">
        <v>1144</v>
      </c>
      <c r="AS13" s="1" t="s">
        <v>1339</v>
      </c>
      <c r="AT13" s="1" t="s">
        <v>1380</v>
      </c>
      <c r="AU13" s="1" t="s">
        <v>1339</v>
      </c>
      <c r="AV13" s="1" t="s">
        <v>1339</v>
      </c>
      <c r="AX13" s="1" t="s">
        <v>205</v>
      </c>
      <c r="AY13" s="1" t="s">
        <v>1144</v>
      </c>
      <c r="AZ13" s="1" t="s">
        <v>1368</v>
      </c>
      <c r="BA13" s="1" t="s">
        <v>1381</v>
      </c>
      <c r="BB13" s="1" t="s">
        <v>1379</v>
      </c>
      <c r="BC13" s="1" t="s">
        <v>205</v>
      </c>
      <c r="BD13" s="1" t="s">
        <v>1144</v>
      </c>
      <c r="BE13" s="1" t="s">
        <v>1339</v>
      </c>
      <c r="BF13" s="1" t="s">
        <v>1380</v>
      </c>
      <c r="BG13" s="1" t="s">
        <v>1339</v>
      </c>
      <c r="BH13" s="1" t="s">
        <v>1339</v>
      </c>
      <c r="BJ13" s="1" t="s">
        <v>205</v>
      </c>
      <c r="BK13" s="1" t="s">
        <v>1144</v>
      </c>
      <c r="BL13" s="1" t="s">
        <v>1368</v>
      </c>
      <c r="BM13" s="1" t="s">
        <v>1381</v>
      </c>
      <c r="BN13" s="1" t="s">
        <v>1379</v>
      </c>
      <c r="BO13" s="1" t="s">
        <v>205</v>
      </c>
      <c r="BP13" s="1" t="s">
        <v>1144</v>
      </c>
      <c r="BQ13" s="1" t="s">
        <v>1339</v>
      </c>
      <c r="BR13" s="1" t="s">
        <v>1380</v>
      </c>
      <c r="BS13" s="1" t="s">
        <v>1339</v>
      </c>
      <c r="BT13" s="1" t="s">
        <v>1339</v>
      </c>
      <c r="BV13" s="1" t="s">
        <v>205</v>
      </c>
      <c r="BW13" s="1" t="s">
        <v>1144</v>
      </c>
      <c r="BX13" s="1" t="s">
        <v>1368</v>
      </c>
      <c r="BY13" s="1" t="s">
        <v>1381</v>
      </c>
      <c r="BZ13" s="1" t="s">
        <v>1379</v>
      </c>
      <c r="CA13" s="1" t="s">
        <v>205</v>
      </c>
      <c r="CB13" s="1" t="s">
        <v>1144</v>
      </c>
      <c r="CC13" s="1" t="s">
        <v>1339</v>
      </c>
      <c r="CD13" s="1" t="s">
        <v>1380</v>
      </c>
      <c r="CE13" s="1" t="s">
        <v>1339</v>
      </c>
      <c r="CF13" s="1" t="s">
        <v>1339</v>
      </c>
      <c r="CH13" s="1" t="s">
        <v>205</v>
      </c>
      <c r="CI13" s="1" t="s">
        <v>1144</v>
      </c>
      <c r="CJ13" s="1" t="s">
        <v>1368</v>
      </c>
      <c r="CK13" s="1" t="s">
        <v>1381</v>
      </c>
      <c r="CL13" s="1" t="s">
        <v>1379</v>
      </c>
      <c r="CM13" s="1" t="s">
        <v>205</v>
      </c>
      <c r="CN13" s="1" t="s">
        <v>1144</v>
      </c>
      <c r="CO13" s="1" t="s">
        <v>1339</v>
      </c>
      <c r="CP13" s="1" t="s">
        <v>1380</v>
      </c>
      <c r="CQ13" s="1" t="s">
        <v>1339</v>
      </c>
      <c r="CR13" s="1" t="s">
        <v>1339</v>
      </c>
      <c r="CT13" s="1" t="s">
        <v>205</v>
      </c>
      <c r="CU13" s="1" t="s">
        <v>1144</v>
      </c>
      <c r="CV13" s="1" t="s">
        <v>1368</v>
      </c>
      <c r="CW13" s="1" t="s">
        <v>1381</v>
      </c>
      <c r="CX13" s="1" t="s">
        <v>1379</v>
      </c>
      <c r="CY13" s="1" t="s">
        <v>205</v>
      </c>
      <c r="CZ13" s="1" t="s">
        <v>1144</v>
      </c>
      <c r="DA13" s="1" t="s">
        <v>1339</v>
      </c>
      <c r="DB13" s="1" t="s">
        <v>1380</v>
      </c>
      <c r="DC13" s="1" t="s">
        <v>1339</v>
      </c>
      <c r="DD13" s="1" t="s">
        <v>1339</v>
      </c>
      <c r="DF13" s="1" t="s">
        <v>205</v>
      </c>
      <c r="DG13" s="1" t="s">
        <v>1144</v>
      </c>
      <c r="DH13" s="1" t="s">
        <v>1368</v>
      </c>
      <c r="DI13" s="1" t="s">
        <v>1381</v>
      </c>
      <c r="DJ13" s="1" t="s">
        <v>1379</v>
      </c>
      <c r="DK13" s="1" t="s">
        <v>205</v>
      </c>
      <c r="DL13" s="1" t="s">
        <v>1144</v>
      </c>
      <c r="DM13" s="1" t="s">
        <v>1339</v>
      </c>
      <c r="DN13" s="1" t="s">
        <v>1380</v>
      </c>
      <c r="DO13" s="1" t="s">
        <v>1339</v>
      </c>
      <c r="DP13" s="1" t="s">
        <v>1339</v>
      </c>
      <c r="DR13" s="1" t="s">
        <v>205</v>
      </c>
      <c r="DS13" s="1" t="s">
        <v>1144</v>
      </c>
      <c r="DT13" s="1" t="s">
        <v>1368</v>
      </c>
      <c r="DU13" s="1" t="s">
        <v>1381</v>
      </c>
      <c r="DV13" s="1" t="s">
        <v>1379</v>
      </c>
      <c r="DW13" s="1" t="s">
        <v>205</v>
      </c>
      <c r="DX13" s="1" t="s">
        <v>1144</v>
      </c>
      <c r="DY13" s="1" t="s">
        <v>1339</v>
      </c>
      <c r="DZ13" s="1" t="s">
        <v>1380</v>
      </c>
      <c r="EA13" s="1" t="s">
        <v>1339</v>
      </c>
      <c r="EB13" s="1" t="s">
        <v>1339</v>
      </c>
      <c r="ED13" s="1" t="s">
        <v>205</v>
      </c>
      <c r="EE13" s="1" t="s">
        <v>1144</v>
      </c>
      <c r="EF13" s="1" t="s">
        <v>1368</v>
      </c>
      <c r="EG13" s="1" t="s">
        <v>1381</v>
      </c>
      <c r="EH13" s="1" t="s">
        <v>1379</v>
      </c>
      <c r="EI13" s="1" t="s">
        <v>205</v>
      </c>
      <c r="EJ13" s="1" t="s">
        <v>1144</v>
      </c>
      <c r="EK13" s="1" t="s">
        <v>1339</v>
      </c>
      <c r="EL13" s="1" t="s">
        <v>1380</v>
      </c>
      <c r="EM13" s="1" t="s">
        <v>1339</v>
      </c>
      <c r="EN13" s="1" t="s">
        <v>1339</v>
      </c>
      <c r="ES13" s="1" t="s">
        <v>205</v>
      </c>
      <c r="ET13" s="1" t="s">
        <v>1144</v>
      </c>
      <c r="EU13" s="1" t="s">
        <v>1368</v>
      </c>
      <c r="EV13" s="1" t="s">
        <v>1381</v>
      </c>
    </row>
    <row r="14" spans="1:152" x14ac:dyDescent="0.4">
      <c r="A14" s="89"/>
      <c r="B14" s="2"/>
      <c r="C14" s="2"/>
      <c r="D14" s="2"/>
      <c r="E14" s="43" t="s">
        <v>1369</v>
      </c>
      <c r="F14" s="43">
        <v>54</v>
      </c>
      <c r="G14" s="43">
        <v>26</v>
      </c>
      <c r="H14" s="74" cm="1">
        <f t="array" ref="H14">SUM(SUMIFS(D$14:D$1004,B$14:B$1004,G14:G17,A$14:A$1004,F14:F17,C$14:C$1004,0))</f>
        <v>0</v>
      </c>
      <c r="I14" s="55" t="s">
        <v>1369</v>
      </c>
      <c r="J14" s="74">
        <f>H14</f>
        <v>0</v>
      </c>
      <c r="K14" s="6" t="e">
        <f>IF(J14&gt;=LARGE(J$14:J$44,8),2*J14/J$47,0)</f>
        <v>#DIV/0!</v>
      </c>
      <c r="N14" s="89">
        <v>56</v>
      </c>
      <c r="O14" s="2">
        <v>26</v>
      </c>
      <c r="P14" s="2">
        <v>0</v>
      </c>
      <c r="Q14" s="2">
        <v>3.8385669999999997E-2</v>
      </c>
      <c r="R14" s="43" t="s">
        <v>1369</v>
      </c>
      <c r="S14" s="43">
        <v>54</v>
      </c>
      <c r="T14" s="43">
        <v>26</v>
      </c>
      <c r="U14" s="74" cm="1">
        <f t="array" ref="U14">SUM(SUMIFS(Q$14:Q$1004,O$14:O$1004,T14:T17,N$14:N$1004,S14:S17,P$14:P$1004,0))</f>
        <v>0.126</v>
      </c>
      <c r="V14" s="55" t="s">
        <v>1369</v>
      </c>
      <c r="W14" s="74">
        <f>U14</f>
        <v>0.126</v>
      </c>
      <c r="X14" s="90">
        <f t="shared" ref="X14:X44" si="0">IF(W14&gt;=LARGE(W$14:W$44,8),2*W14/W$47,0)</f>
        <v>0</v>
      </c>
      <c r="Z14" s="89">
        <v>56</v>
      </c>
      <c r="AA14" s="2">
        <v>26</v>
      </c>
      <c r="AB14" s="2">
        <v>0</v>
      </c>
      <c r="AC14" s="2">
        <v>1.6036959999999999E-2</v>
      </c>
      <c r="AD14" s="43" t="s">
        <v>1369</v>
      </c>
      <c r="AE14" s="43">
        <v>54</v>
      </c>
      <c r="AF14" s="43">
        <v>26</v>
      </c>
      <c r="AG14" s="74" cm="1">
        <f t="array" ref="AG14">SUM(SUMIFS(AC$14:AC$1004,AA$14:AA$1004,AF14:AF17,Z$14:Z$1004,AE14:AE17,AB$14:AB$1004,0))</f>
        <v>6.6000000000000003E-2</v>
      </c>
      <c r="AH14" s="55" t="s">
        <v>1369</v>
      </c>
      <c r="AI14" s="74">
        <f>AG14</f>
        <v>6.6000000000000003E-2</v>
      </c>
      <c r="AJ14" s="90">
        <f>IF(AI14&gt;=LARGE(AI$14:AI$44,8),2*AI14/AI$47,0)</f>
        <v>0</v>
      </c>
      <c r="AL14" s="89">
        <v>56</v>
      </c>
      <c r="AM14" s="2">
        <v>26</v>
      </c>
      <c r="AN14" s="2">
        <v>0</v>
      </c>
      <c r="AO14" s="2">
        <v>1.8008E-2</v>
      </c>
      <c r="AP14" s="43" t="s">
        <v>1369</v>
      </c>
      <c r="AQ14" s="43">
        <v>54</v>
      </c>
      <c r="AR14" s="43">
        <v>26</v>
      </c>
      <c r="AS14" s="74" cm="1">
        <f t="array" ref="AS14">SUM(SUMIFS(AO$14:AO$1004,AM$14:AM$1004,AR14:AR17,AL$14:AL$1004,AQ14:AQ17,AN$14:AN$1004,0))</f>
        <v>5.2999999999999999E-2</v>
      </c>
      <c r="AT14" s="55" t="s">
        <v>1369</v>
      </c>
      <c r="AU14" s="74">
        <f>AS14</f>
        <v>5.2999999999999999E-2</v>
      </c>
      <c r="AV14" s="90">
        <f>IF(AU14&gt;=LARGE(AU$14:AU$44,8),2*AU14/AU$47,0)</f>
        <v>0</v>
      </c>
      <c r="AX14" s="89">
        <v>58</v>
      </c>
      <c r="AY14" s="2">
        <v>26</v>
      </c>
      <c r="AZ14" s="2">
        <v>0</v>
      </c>
      <c r="BA14" s="2">
        <v>1E-3</v>
      </c>
      <c r="BB14" s="43" t="s">
        <v>1369</v>
      </c>
      <c r="BC14" s="43">
        <v>54</v>
      </c>
      <c r="BD14" s="43">
        <v>26</v>
      </c>
      <c r="BE14" s="74" cm="1">
        <f t="array" ref="BE14">SUM(SUMIFS(BA$14:BA$1004,AY$14:AY$1004,BD14:BD17,AX$14:AX$1004,BC14:BC17,AZ$14:AZ$1004,0))</f>
        <v>1E-3</v>
      </c>
      <c r="BF14" s="55" t="s">
        <v>1369</v>
      </c>
      <c r="BG14" s="74">
        <f>BE14</f>
        <v>1E-3</v>
      </c>
      <c r="BH14" s="90">
        <f>IF(BG14&gt;=LARGE(BG$14:BG$44,8),2*BG14/BG$47,0)</f>
        <v>0</v>
      </c>
      <c r="BJ14" s="89">
        <v>56</v>
      </c>
      <c r="BK14" s="2">
        <v>26</v>
      </c>
      <c r="BL14" s="2">
        <v>0</v>
      </c>
      <c r="BM14" s="2">
        <v>1E-3</v>
      </c>
      <c r="BN14" s="43" t="s">
        <v>1369</v>
      </c>
      <c r="BO14" s="43">
        <v>54</v>
      </c>
      <c r="BP14" s="43">
        <v>26</v>
      </c>
      <c r="BQ14" s="74" cm="1">
        <f t="array" ref="BQ14">SUM(SUMIFS(BM$14:BM$1004,BK$14:BK$1004,BP14:BP17,BJ$14:BJ$1004,BO14:BO17,BL$14:BL$1004,0))</f>
        <v>1E-3</v>
      </c>
      <c r="BR14" s="55" t="s">
        <v>1369</v>
      </c>
      <c r="BS14" s="74">
        <f>BQ14</f>
        <v>1E-3</v>
      </c>
      <c r="BT14" s="90">
        <f>IF(BS14&gt;=LARGE(BS$14:BS$44,8),2*BS14/BS$47,0)</f>
        <v>0</v>
      </c>
      <c r="BV14" s="89">
        <v>57</v>
      </c>
      <c r="BW14" s="2">
        <v>26</v>
      </c>
      <c r="BX14" s="2">
        <v>0</v>
      </c>
      <c r="BY14" s="2">
        <v>1E-3</v>
      </c>
      <c r="BZ14" s="43" t="s">
        <v>1369</v>
      </c>
      <c r="CA14" s="43">
        <v>54</v>
      </c>
      <c r="CB14" s="43">
        <v>26</v>
      </c>
      <c r="CC14" s="74" cm="1">
        <f t="array" ref="CC14">SUM(SUMIFS(BY$14:BY$1004,BW$14:BW$1004,CB14:CB17,BV$14:BV$1004,CA14:CA17,BX$14:BX$1004,0))</f>
        <v>1E-3</v>
      </c>
      <c r="CD14" s="55" t="s">
        <v>1369</v>
      </c>
      <c r="CE14" s="74">
        <f>CC14</f>
        <v>1E-3</v>
      </c>
      <c r="CF14" s="90">
        <f>IF(CE14&gt;=LARGE(CE$14:CE$44,8),2*CE14/CE$47,0)</f>
        <v>0</v>
      </c>
      <c r="CH14" s="89">
        <v>56</v>
      </c>
      <c r="CI14" s="2">
        <v>26</v>
      </c>
      <c r="CJ14" s="2">
        <v>0</v>
      </c>
      <c r="CK14" s="2">
        <v>1E-3</v>
      </c>
      <c r="CL14" s="43" t="s">
        <v>1369</v>
      </c>
      <c r="CM14" s="43">
        <v>54</v>
      </c>
      <c r="CN14" s="43">
        <v>26</v>
      </c>
      <c r="CO14" s="74" cm="1">
        <f t="array" ref="CO14">SUM(SUMIFS(CK$14:CK$1004,CI$14:CI$1004,CN14:CN17,CH$14:CH$1004,CM14:CM17,CJ$14:CJ$1004,0))</f>
        <v>3.0000000000000001E-3</v>
      </c>
      <c r="CP14" s="55" t="s">
        <v>1369</v>
      </c>
      <c r="CQ14" s="74">
        <f>CO14</f>
        <v>3.0000000000000001E-3</v>
      </c>
      <c r="CR14" s="90">
        <f>IF(CQ14&gt;=LARGE(CQ$14:CQ$44,8),2*CQ14/CQ$47,0)</f>
        <v>0</v>
      </c>
      <c r="CT14" s="89">
        <v>56</v>
      </c>
      <c r="CU14" s="2">
        <v>26</v>
      </c>
      <c r="CV14" s="2">
        <v>0</v>
      </c>
      <c r="CW14" s="2">
        <v>1.0039999999999999E-3</v>
      </c>
      <c r="CX14" s="43" t="s">
        <v>1369</v>
      </c>
      <c r="CY14" s="43">
        <v>54</v>
      </c>
      <c r="CZ14" s="43">
        <v>26</v>
      </c>
      <c r="DA14" s="74" cm="1">
        <f t="array" ref="DA14">SUM(SUMIFS(CW$14:CW$1004,CU$14:CU$1004,CZ14:CZ17,CT$14:CT$1004,CY14:CY17,CV$14:CV$1004,0))</f>
        <v>4.0000000000000001E-3</v>
      </c>
      <c r="DB14" s="55" t="s">
        <v>1369</v>
      </c>
      <c r="DC14" s="74">
        <f>DA14</f>
        <v>4.0000000000000001E-3</v>
      </c>
      <c r="DD14" s="90">
        <f>IF(DC14&gt;=LARGE(DC$14:DC$44,8),2*DC14/DC$47,0)</f>
        <v>0</v>
      </c>
      <c r="DF14" s="89">
        <v>58</v>
      </c>
      <c r="DG14" s="2">
        <v>26</v>
      </c>
      <c r="DH14" s="2">
        <v>0</v>
      </c>
      <c r="DI14" s="2">
        <v>1E-3</v>
      </c>
      <c r="DJ14" s="43" t="s">
        <v>1369</v>
      </c>
      <c r="DK14" s="43">
        <v>54</v>
      </c>
      <c r="DL14" s="43">
        <v>26</v>
      </c>
      <c r="DM14" s="74" cm="1">
        <f t="array" ref="DM14">SUM(SUMIFS(DI$14:DI$1004,DG$14:DG$1004,DL14:DL17,DF$14:DF$1004,DK14:DK17,DH$14:DH$1004,0))</f>
        <v>1E-3</v>
      </c>
      <c r="DN14" s="55" t="s">
        <v>1369</v>
      </c>
      <c r="DO14" s="74">
        <f>DM14</f>
        <v>1E-3</v>
      </c>
      <c r="DP14" s="90">
        <f>IF(DO14&gt;=LARGE(DO$14:DO$44,8),2*DO14/DO$47,0)</f>
        <v>0</v>
      </c>
      <c r="DR14" s="89">
        <v>56</v>
      </c>
      <c r="DS14" s="2">
        <v>26</v>
      </c>
      <c r="DT14" s="2">
        <v>0</v>
      </c>
      <c r="DU14" s="2">
        <v>2.7053979999999998E-2</v>
      </c>
      <c r="DV14" s="43" t="s">
        <v>1369</v>
      </c>
      <c r="DW14" s="43">
        <v>54</v>
      </c>
      <c r="DX14" s="43">
        <v>26</v>
      </c>
      <c r="DY14" s="74" cm="1">
        <f t="array" ref="DY14">SUM(SUMIFS(DU$14:DU$1004,DS$14:DS$1004,DX14:DX17,DR$14:DR$1004,DW14:DW17,DT$14:DT$1004,0))</f>
        <v>9.6000009999999997E-2</v>
      </c>
      <c r="DZ14" s="55" t="s">
        <v>1369</v>
      </c>
      <c r="EA14" s="74">
        <f>DY14</f>
        <v>9.6000009999999997E-2</v>
      </c>
      <c r="EB14" s="90">
        <f>IF(EA14&gt;=LARGE(EA$14:EA$44,8),2*EA14/EA$47,0)</f>
        <v>0</v>
      </c>
      <c r="ED14" s="89">
        <v>56</v>
      </c>
      <c r="EE14" s="2">
        <v>26</v>
      </c>
      <c r="EF14" s="2">
        <v>0</v>
      </c>
      <c r="EG14" s="2">
        <v>1.008E-3</v>
      </c>
      <c r="EH14" s="43" t="s">
        <v>1369</v>
      </c>
      <c r="EI14" s="43">
        <v>54</v>
      </c>
      <c r="EJ14" s="43">
        <v>26</v>
      </c>
      <c r="EK14" s="74" cm="1">
        <f t="array" ref="EK14">SUM(SUMIFS(EG$14:EG$1004,EE$14:EE$1004,EJ14:EJ17,ED$14:ED$1004,EI14:EI17,EF$14:EF$1004,0))</f>
        <v>4.0000000000000001E-3</v>
      </c>
      <c r="EL14" s="55" t="s">
        <v>1369</v>
      </c>
      <c r="EM14" s="74">
        <f>EK14</f>
        <v>4.0000000000000001E-3</v>
      </c>
      <c r="EN14" s="90">
        <f>IF(EM14&gt;=LARGE(EM$14:EM$44,8),2*EM14/EM$47,0)</f>
        <v>0</v>
      </c>
      <c r="ES14">
        <v>56</v>
      </c>
      <c r="ET14">
        <v>26</v>
      </c>
      <c r="EU14">
        <v>0</v>
      </c>
      <c r="EV14">
        <v>1.008E-3</v>
      </c>
    </row>
    <row r="15" spans="1:152" x14ac:dyDescent="0.4">
      <c r="A15" s="89"/>
      <c r="B15" s="2"/>
      <c r="C15" s="2"/>
      <c r="D15" s="2"/>
      <c r="E15" s="43" t="s">
        <v>1369</v>
      </c>
      <c r="F15" s="43">
        <v>56</v>
      </c>
      <c r="G15" s="43">
        <v>26</v>
      </c>
      <c r="H15" s="74"/>
      <c r="I15" s="55" t="s">
        <v>1370</v>
      </c>
      <c r="J15" s="74">
        <f>H18</f>
        <v>0</v>
      </c>
      <c r="K15" s="6" t="e">
        <f t="shared" ref="K15:K44" si="1">IF(J15&gt;=LARGE(J$14:J$44,8),2*J15/J$47,0)</f>
        <v>#DIV/0!</v>
      </c>
      <c r="N15" s="89">
        <v>57</v>
      </c>
      <c r="O15" s="2">
        <v>26</v>
      </c>
      <c r="P15" s="2">
        <v>0</v>
      </c>
      <c r="Q15" s="2">
        <v>4.2614329999999999E-2</v>
      </c>
      <c r="R15" s="43" t="s">
        <v>1369</v>
      </c>
      <c r="S15" s="43">
        <v>56</v>
      </c>
      <c r="T15" s="43">
        <v>26</v>
      </c>
      <c r="U15" s="74"/>
      <c r="V15" s="55" t="s">
        <v>1370</v>
      </c>
      <c r="W15" s="74">
        <f>U18</f>
        <v>7.6999999999999999E-2</v>
      </c>
      <c r="X15" s="90">
        <f t="shared" si="0"/>
        <v>0</v>
      </c>
      <c r="Z15" s="89">
        <v>57</v>
      </c>
      <c r="AA15" s="2">
        <v>26</v>
      </c>
      <c r="AB15" s="2">
        <v>0</v>
      </c>
      <c r="AC15" s="2">
        <v>2.5763040000000001E-2</v>
      </c>
      <c r="AD15" s="43" t="s">
        <v>1369</v>
      </c>
      <c r="AE15" s="43">
        <v>56</v>
      </c>
      <c r="AF15" s="43">
        <v>26</v>
      </c>
      <c r="AG15" s="74"/>
      <c r="AH15" s="55" t="s">
        <v>1370</v>
      </c>
      <c r="AI15" s="74">
        <f>AG18</f>
        <v>3.4000000000000002E-2</v>
      </c>
      <c r="AJ15" s="90">
        <f t="shared" ref="AJ15:AJ44" si="2">IF(AI15&gt;=LARGE(AI$14:AI$44,8),2*AI15/AI$47,0)</f>
        <v>0</v>
      </c>
      <c r="AL15" s="89">
        <v>57</v>
      </c>
      <c r="AM15" s="2">
        <v>26</v>
      </c>
      <c r="AN15" s="2">
        <v>0</v>
      </c>
      <c r="AO15" s="2">
        <v>1.6792000000000001E-2</v>
      </c>
      <c r="AP15" s="43" t="s">
        <v>1369</v>
      </c>
      <c r="AQ15" s="43">
        <v>56</v>
      </c>
      <c r="AR15" s="43">
        <v>26</v>
      </c>
      <c r="AS15" s="74"/>
      <c r="AT15" s="55" t="s">
        <v>1370</v>
      </c>
      <c r="AU15" s="74">
        <f>AS18</f>
        <v>2.8000000000000001E-2</v>
      </c>
      <c r="AV15" s="90">
        <f t="shared" ref="AV15:AV44" si="3">IF(AU15&gt;=LARGE(AU$14:AU$44,8),2*AU15/AU$47,0)</f>
        <v>0</v>
      </c>
      <c r="AX15" s="89">
        <v>62</v>
      </c>
      <c r="AY15" s="2">
        <v>26</v>
      </c>
      <c r="AZ15" s="2">
        <v>0</v>
      </c>
      <c r="BA15" s="2">
        <v>3.0000000000000001E-3</v>
      </c>
      <c r="BB15" s="43" t="s">
        <v>1369</v>
      </c>
      <c r="BC15" s="43">
        <v>56</v>
      </c>
      <c r="BD15" s="43">
        <v>26</v>
      </c>
      <c r="BE15" s="74"/>
      <c r="BF15" s="55" t="s">
        <v>1370</v>
      </c>
      <c r="BG15" s="74">
        <f>BE18</f>
        <v>0</v>
      </c>
      <c r="BH15" s="90">
        <f t="shared" ref="BH15:BH44" si="4">IF(BG15&gt;=LARGE(BG$14:BG$44,8),2*BG15/BG$47,0)</f>
        <v>0</v>
      </c>
      <c r="BJ15" s="89">
        <v>59</v>
      </c>
      <c r="BK15" s="2">
        <v>26</v>
      </c>
      <c r="BL15" s="2">
        <v>0</v>
      </c>
      <c r="BM15" s="2">
        <v>1E-3</v>
      </c>
      <c r="BN15" s="43" t="s">
        <v>1369</v>
      </c>
      <c r="BO15" s="43">
        <v>56</v>
      </c>
      <c r="BP15" s="43">
        <v>26</v>
      </c>
      <c r="BQ15" s="74"/>
      <c r="BR15" s="55" t="s">
        <v>1370</v>
      </c>
      <c r="BS15" s="74">
        <f>BQ18</f>
        <v>1E-3</v>
      </c>
      <c r="BT15" s="90">
        <f t="shared" ref="BT15:BT44" si="5">IF(BS15&gt;=LARGE(BS$14:BS$44,8),2*BS15/BS$47,0)</f>
        <v>0</v>
      </c>
      <c r="BV15" s="89">
        <v>61</v>
      </c>
      <c r="BW15" s="2">
        <v>26</v>
      </c>
      <c r="BX15" s="2">
        <v>0</v>
      </c>
      <c r="BY15" s="2">
        <v>2E-3</v>
      </c>
      <c r="BZ15" s="43" t="s">
        <v>1369</v>
      </c>
      <c r="CA15" s="43">
        <v>56</v>
      </c>
      <c r="CB15" s="43">
        <v>26</v>
      </c>
      <c r="CC15" s="74"/>
      <c r="CD15" s="55" t="s">
        <v>1370</v>
      </c>
      <c r="CE15" s="74">
        <f>CC18</f>
        <v>0</v>
      </c>
      <c r="CF15" s="90">
        <f t="shared" ref="CF15:CF43" si="6">IF(CE15&gt;=LARGE(CE$14:CE$44,8),2*CE15/CE$47,0)</f>
        <v>0</v>
      </c>
      <c r="CH15" s="89">
        <v>57</v>
      </c>
      <c r="CI15" s="2">
        <v>26</v>
      </c>
      <c r="CJ15" s="2">
        <v>0</v>
      </c>
      <c r="CK15" s="2">
        <v>1E-3</v>
      </c>
      <c r="CL15" s="43" t="s">
        <v>1369</v>
      </c>
      <c r="CM15" s="43">
        <v>56</v>
      </c>
      <c r="CN15" s="43">
        <v>26</v>
      </c>
      <c r="CO15" s="74"/>
      <c r="CP15" s="55" t="s">
        <v>1370</v>
      </c>
      <c r="CQ15" s="74">
        <f>CO18</f>
        <v>2E-3</v>
      </c>
      <c r="CR15" s="90">
        <f t="shared" ref="CR15:CR44" si="7">IF(CQ15&gt;=LARGE(CQ$14:CQ$44,8),2*CQ15/CQ$47,0)</f>
        <v>0</v>
      </c>
      <c r="CT15" s="89">
        <v>57</v>
      </c>
      <c r="CU15" s="2">
        <v>26</v>
      </c>
      <c r="CV15" s="2">
        <v>0</v>
      </c>
      <c r="CW15" s="2">
        <v>1.9959999999999999E-3</v>
      </c>
      <c r="CX15" s="43" t="s">
        <v>1369</v>
      </c>
      <c r="CY15" s="43">
        <v>56</v>
      </c>
      <c r="CZ15" s="43">
        <v>26</v>
      </c>
      <c r="DA15" s="74"/>
      <c r="DB15" s="55" t="s">
        <v>1370</v>
      </c>
      <c r="DC15" s="74">
        <f>DA18</f>
        <v>1E-3</v>
      </c>
      <c r="DD15" s="90">
        <f t="shared" ref="DD15:DD43" si="8">IF(DC15&gt;=LARGE(DC$14:DC$44,8),2*DC15/DC$47,0)</f>
        <v>0</v>
      </c>
      <c r="DF15" s="89">
        <v>62</v>
      </c>
      <c r="DG15" s="2">
        <v>26</v>
      </c>
      <c r="DH15" s="2">
        <v>0</v>
      </c>
      <c r="DI15" s="2">
        <v>1E-3</v>
      </c>
      <c r="DJ15" s="43" t="s">
        <v>1369</v>
      </c>
      <c r="DK15" s="43">
        <v>56</v>
      </c>
      <c r="DL15" s="43">
        <v>26</v>
      </c>
      <c r="DM15" s="74"/>
      <c r="DN15" s="55" t="s">
        <v>1370</v>
      </c>
      <c r="DO15" s="74">
        <f>DM18</f>
        <v>0</v>
      </c>
      <c r="DP15" s="90">
        <f t="shared" ref="DP15:DP34" si="9">IF(DO15&gt;=LARGE(DO$14:DO$44,8),2*DO15/DO$47,0)</f>
        <v>0</v>
      </c>
      <c r="DR15" s="89">
        <v>57</v>
      </c>
      <c r="DS15" s="2">
        <v>26</v>
      </c>
      <c r="DT15" s="2">
        <v>0</v>
      </c>
      <c r="DU15" s="2">
        <v>3.7946029999999999E-2</v>
      </c>
      <c r="DV15" s="43" t="s">
        <v>1369</v>
      </c>
      <c r="DW15" s="43">
        <v>56</v>
      </c>
      <c r="DX15" s="43">
        <v>26</v>
      </c>
      <c r="DY15" s="74"/>
      <c r="DZ15" s="55" t="s">
        <v>1370</v>
      </c>
      <c r="EA15" s="74">
        <f>DY18</f>
        <v>5.1000009999999998E-2</v>
      </c>
      <c r="EB15" s="90">
        <f t="shared" ref="EB15:EB44" si="10">IF(EA15&gt;=LARGE(EA$14:EA$44,8),2*EA15/EA$47,0)</f>
        <v>0</v>
      </c>
      <c r="ED15" s="89">
        <v>57</v>
      </c>
      <c r="EE15" s="2">
        <v>26</v>
      </c>
      <c r="EF15" s="2">
        <v>0</v>
      </c>
      <c r="EG15" s="2">
        <v>1.9919999999999998E-3</v>
      </c>
      <c r="EH15" s="43" t="s">
        <v>1369</v>
      </c>
      <c r="EI15" s="43">
        <v>56</v>
      </c>
      <c r="EJ15" s="43">
        <v>26</v>
      </c>
      <c r="EK15" s="74"/>
      <c r="EL15" s="55" t="s">
        <v>1370</v>
      </c>
      <c r="EM15" s="74">
        <f>EK18</f>
        <v>1E-3</v>
      </c>
      <c r="EN15" s="90">
        <f t="shared" ref="EN15:EN28" si="11">IF(EM15&gt;=LARGE(EM$14:EM$44,8),2*EM15/EM$47,0)</f>
        <v>0</v>
      </c>
      <c r="ES15">
        <v>57</v>
      </c>
      <c r="ET15">
        <v>26</v>
      </c>
      <c r="EU15">
        <v>0</v>
      </c>
      <c r="EV15">
        <v>1.9919999999999998E-3</v>
      </c>
    </row>
    <row r="16" spans="1:152" x14ac:dyDescent="0.4">
      <c r="A16" s="89"/>
      <c r="B16" s="2"/>
      <c r="C16" s="2"/>
      <c r="D16" s="2"/>
      <c r="E16" s="43" t="s">
        <v>1369</v>
      </c>
      <c r="F16" s="43">
        <v>57</v>
      </c>
      <c r="G16" s="43">
        <v>26</v>
      </c>
      <c r="H16" s="74"/>
      <c r="I16" s="55" t="s">
        <v>491</v>
      </c>
      <c r="J16" s="74">
        <f>H19</f>
        <v>0</v>
      </c>
      <c r="K16" s="6" t="e">
        <f t="shared" si="1"/>
        <v>#DIV/0!</v>
      </c>
      <c r="N16" s="89">
        <v>58</v>
      </c>
      <c r="O16" s="2">
        <v>26</v>
      </c>
      <c r="P16" s="2">
        <v>0</v>
      </c>
      <c r="Q16" s="2">
        <v>4.4999999999999998E-2</v>
      </c>
      <c r="R16" s="43" t="s">
        <v>1369</v>
      </c>
      <c r="S16" s="43">
        <v>57</v>
      </c>
      <c r="T16" s="43">
        <v>26</v>
      </c>
      <c r="U16" s="74"/>
      <c r="V16" s="55" t="s">
        <v>491</v>
      </c>
      <c r="W16" s="74">
        <f>U19</f>
        <v>8.9960730000000003E-3</v>
      </c>
      <c r="X16" s="90">
        <f t="shared" si="0"/>
        <v>0</v>
      </c>
      <c r="Z16" s="89">
        <v>58</v>
      </c>
      <c r="AA16" s="2">
        <v>26</v>
      </c>
      <c r="AB16" s="2">
        <v>0</v>
      </c>
      <c r="AC16" s="2">
        <v>2.4199999999999999E-2</v>
      </c>
      <c r="AD16" s="43" t="s">
        <v>1369</v>
      </c>
      <c r="AE16" s="43">
        <v>57</v>
      </c>
      <c r="AF16" s="43">
        <v>26</v>
      </c>
      <c r="AG16" s="74"/>
      <c r="AH16" s="55" t="s">
        <v>491</v>
      </c>
      <c r="AI16" s="74">
        <f>AG19</f>
        <v>0</v>
      </c>
      <c r="AJ16" s="90">
        <f t="shared" si="2"/>
        <v>0</v>
      </c>
      <c r="AL16" s="89">
        <v>58</v>
      </c>
      <c r="AM16" s="2">
        <v>26</v>
      </c>
      <c r="AN16" s="2">
        <v>0</v>
      </c>
      <c r="AO16" s="2">
        <v>1.8200000000000001E-2</v>
      </c>
      <c r="AP16" s="43" t="s">
        <v>1369</v>
      </c>
      <c r="AQ16" s="43">
        <v>57</v>
      </c>
      <c r="AR16" s="43">
        <v>26</v>
      </c>
      <c r="AS16" s="74"/>
      <c r="AT16" s="55" t="s">
        <v>491</v>
      </c>
      <c r="AU16" s="74">
        <f>AS19</f>
        <v>1E-3</v>
      </c>
      <c r="AV16" s="90">
        <f t="shared" si="3"/>
        <v>0</v>
      </c>
      <c r="AX16" s="89">
        <v>63</v>
      </c>
      <c r="AY16" s="2">
        <v>26</v>
      </c>
      <c r="AZ16" s="2">
        <v>0</v>
      </c>
      <c r="BA16" s="2">
        <v>1E-3</v>
      </c>
      <c r="BB16" s="43" t="s">
        <v>1369</v>
      </c>
      <c r="BC16" s="43">
        <v>57</v>
      </c>
      <c r="BD16" s="43">
        <v>26</v>
      </c>
      <c r="BE16" s="74"/>
      <c r="BF16" s="55" t="s">
        <v>491</v>
      </c>
      <c r="BG16" s="74">
        <f>BE19</f>
        <v>0</v>
      </c>
      <c r="BH16" s="90">
        <f t="shared" si="4"/>
        <v>0</v>
      </c>
      <c r="BJ16" s="89">
        <v>61</v>
      </c>
      <c r="BK16" s="2">
        <v>26</v>
      </c>
      <c r="BL16" s="2">
        <v>0</v>
      </c>
      <c r="BM16" s="2">
        <v>3.0000000000000001E-3</v>
      </c>
      <c r="BN16" s="43" t="s">
        <v>1369</v>
      </c>
      <c r="BO16" s="43">
        <v>57</v>
      </c>
      <c r="BP16" s="43">
        <v>26</v>
      </c>
      <c r="BQ16" s="74"/>
      <c r="BR16" s="55" t="s">
        <v>491</v>
      </c>
      <c r="BS16" s="74">
        <f>BQ19</f>
        <v>0</v>
      </c>
      <c r="BT16" s="90">
        <f t="shared" si="5"/>
        <v>0</v>
      </c>
      <c r="BV16" s="89">
        <v>63</v>
      </c>
      <c r="BW16" s="2">
        <v>26</v>
      </c>
      <c r="BX16" s="2">
        <v>0</v>
      </c>
      <c r="BY16" s="2">
        <v>1E-3</v>
      </c>
      <c r="BZ16" s="43" t="s">
        <v>1369</v>
      </c>
      <c r="CA16" s="43">
        <v>57</v>
      </c>
      <c r="CB16" s="43">
        <v>26</v>
      </c>
      <c r="CC16" s="74"/>
      <c r="CD16" s="55" t="s">
        <v>491</v>
      </c>
      <c r="CE16" s="74">
        <f>CC19</f>
        <v>0</v>
      </c>
      <c r="CF16" s="90">
        <f t="shared" si="6"/>
        <v>0</v>
      </c>
      <c r="CH16" s="89">
        <v>58</v>
      </c>
      <c r="CI16" s="2">
        <v>26</v>
      </c>
      <c r="CJ16" s="2">
        <v>0</v>
      </c>
      <c r="CK16" s="2">
        <v>1E-3</v>
      </c>
      <c r="CL16" s="43" t="s">
        <v>1369</v>
      </c>
      <c r="CM16" s="43">
        <v>57</v>
      </c>
      <c r="CN16" s="43">
        <v>26</v>
      </c>
      <c r="CO16" s="74"/>
      <c r="CP16" s="55" t="s">
        <v>491</v>
      </c>
      <c r="CQ16" s="74">
        <f>CO19</f>
        <v>1E-3</v>
      </c>
      <c r="CR16" s="90">
        <f t="shared" si="7"/>
        <v>0</v>
      </c>
      <c r="CT16" s="89">
        <v>58</v>
      </c>
      <c r="CU16" s="2">
        <v>26</v>
      </c>
      <c r="CV16" s="2">
        <v>0</v>
      </c>
      <c r="CW16" s="2">
        <v>1E-3</v>
      </c>
      <c r="CX16" s="43" t="s">
        <v>1369</v>
      </c>
      <c r="CY16" s="43">
        <v>57</v>
      </c>
      <c r="CZ16" s="43">
        <v>26</v>
      </c>
      <c r="DA16" s="74"/>
      <c r="DB16" s="55" t="s">
        <v>491</v>
      </c>
      <c r="DC16" s="74">
        <f>DA19</f>
        <v>0</v>
      </c>
      <c r="DD16" s="90">
        <f t="shared" si="8"/>
        <v>0</v>
      </c>
      <c r="DF16" s="89">
        <v>66</v>
      </c>
      <c r="DG16" s="2">
        <v>26</v>
      </c>
      <c r="DH16" s="2">
        <v>0</v>
      </c>
      <c r="DI16" s="2">
        <v>3.0000000000000001E-3</v>
      </c>
      <c r="DJ16" s="43" t="s">
        <v>1369</v>
      </c>
      <c r="DK16" s="43">
        <v>57</v>
      </c>
      <c r="DL16" s="43">
        <v>26</v>
      </c>
      <c r="DM16" s="74"/>
      <c r="DN16" s="55" t="s">
        <v>491</v>
      </c>
      <c r="DO16" s="74">
        <f>DM19</f>
        <v>0</v>
      </c>
      <c r="DP16" s="90">
        <f t="shared" si="9"/>
        <v>0</v>
      </c>
      <c r="DR16" s="89">
        <v>58</v>
      </c>
      <c r="DS16" s="2">
        <v>26</v>
      </c>
      <c r="DT16" s="2">
        <v>0</v>
      </c>
      <c r="DU16" s="2">
        <v>3.1E-2</v>
      </c>
      <c r="DV16" s="43" t="s">
        <v>1369</v>
      </c>
      <c r="DW16" s="43">
        <v>57</v>
      </c>
      <c r="DX16" s="43">
        <v>26</v>
      </c>
      <c r="DY16" s="74"/>
      <c r="DZ16" s="55" t="s">
        <v>491</v>
      </c>
      <c r="EA16" s="74">
        <f>DY19</f>
        <v>0</v>
      </c>
      <c r="EB16" s="90">
        <f t="shared" si="10"/>
        <v>0</v>
      </c>
      <c r="ED16" s="89">
        <v>58</v>
      </c>
      <c r="EE16" s="2">
        <v>26</v>
      </c>
      <c r="EF16" s="2">
        <v>0</v>
      </c>
      <c r="EG16" s="2">
        <v>1E-3</v>
      </c>
      <c r="EH16" s="43" t="s">
        <v>1369</v>
      </c>
      <c r="EI16" s="43">
        <v>57</v>
      </c>
      <c r="EJ16" s="43">
        <v>26</v>
      </c>
      <c r="EK16" s="74"/>
      <c r="EL16" s="55" t="s">
        <v>491</v>
      </c>
      <c r="EM16" s="74">
        <f>EK19</f>
        <v>0</v>
      </c>
      <c r="EN16" s="90">
        <f t="shared" si="11"/>
        <v>0</v>
      </c>
      <c r="ES16">
        <v>58</v>
      </c>
      <c r="ET16">
        <v>26</v>
      </c>
      <c r="EU16">
        <v>0</v>
      </c>
      <c r="EV16">
        <v>1E-3</v>
      </c>
    </row>
    <row r="17" spans="1:152" x14ac:dyDescent="0.4">
      <c r="A17" s="89"/>
      <c r="B17" s="2"/>
      <c r="C17" s="2"/>
      <c r="D17" s="2"/>
      <c r="E17" s="43" t="s">
        <v>1369</v>
      </c>
      <c r="F17" s="43">
        <v>58</v>
      </c>
      <c r="G17" s="43">
        <v>26</v>
      </c>
      <c r="H17" s="74"/>
      <c r="I17" s="55" t="s">
        <v>1371</v>
      </c>
      <c r="J17" s="74">
        <f>H20</f>
        <v>0</v>
      </c>
      <c r="K17" s="6" t="e">
        <f t="shared" si="1"/>
        <v>#DIV/0!</v>
      </c>
      <c r="N17" s="89">
        <v>59</v>
      </c>
      <c r="O17" s="2">
        <v>26</v>
      </c>
      <c r="P17" s="2">
        <v>0</v>
      </c>
      <c r="Q17" s="2">
        <v>7.4999999999999997E-2</v>
      </c>
      <c r="R17" s="43" t="s">
        <v>1369</v>
      </c>
      <c r="S17" s="43">
        <v>58</v>
      </c>
      <c r="T17" s="43">
        <v>26</v>
      </c>
      <c r="U17" s="74"/>
      <c r="V17" s="55" t="s">
        <v>1371</v>
      </c>
      <c r="W17" s="74">
        <f>U20</f>
        <v>0.38494393700000001</v>
      </c>
      <c r="X17" s="90">
        <f t="shared" si="0"/>
        <v>0</v>
      </c>
      <c r="Z17" s="89">
        <v>59</v>
      </c>
      <c r="AA17" s="2">
        <v>26</v>
      </c>
      <c r="AB17" s="2">
        <v>0</v>
      </c>
      <c r="AC17" s="2">
        <v>3.4000000000000002E-2</v>
      </c>
      <c r="AD17" s="43" t="s">
        <v>1369</v>
      </c>
      <c r="AE17" s="43">
        <v>58</v>
      </c>
      <c r="AF17" s="43">
        <v>26</v>
      </c>
      <c r="AG17" s="74"/>
      <c r="AH17" s="55" t="s">
        <v>1371</v>
      </c>
      <c r="AI17" s="74">
        <f>AG20</f>
        <v>0.14000001000000001</v>
      </c>
      <c r="AJ17" s="90">
        <f t="shared" si="2"/>
        <v>0</v>
      </c>
      <c r="AL17" s="89">
        <v>59</v>
      </c>
      <c r="AM17" s="2">
        <v>26</v>
      </c>
      <c r="AN17" s="2">
        <v>0</v>
      </c>
      <c r="AO17" s="2">
        <v>2.5999999999999999E-2</v>
      </c>
      <c r="AP17" s="43" t="s">
        <v>1369</v>
      </c>
      <c r="AQ17" s="43">
        <v>58</v>
      </c>
      <c r="AR17" s="43">
        <v>26</v>
      </c>
      <c r="AS17" s="74"/>
      <c r="AT17" s="55" t="s">
        <v>1371</v>
      </c>
      <c r="AU17" s="74">
        <f>AS20</f>
        <v>0.16</v>
      </c>
      <c r="AV17" s="90">
        <f t="shared" si="3"/>
        <v>0</v>
      </c>
      <c r="AX17" s="89">
        <v>64</v>
      </c>
      <c r="AY17" s="2">
        <v>26</v>
      </c>
      <c r="AZ17" s="2">
        <v>0</v>
      </c>
      <c r="BA17" s="2">
        <v>1E-3</v>
      </c>
      <c r="BB17" s="43" t="s">
        <v>1369</v>
      </c>
      <c r="BC17" s="43">
        <v>58</v>
      </c>
      <c r="BD17" s="43">
        <v>26</v>
      </c>
      <c r="BE17" s="74"/>
      <c r="BF17" s="55" t="s">
        <v>1371</v>
      </c>
      <c r="BG17" s="74">
        <f>BE20</f>
        <v>4.0000000000000001E-3</v>
      </c>
      <c r="BH17" s="90">
        <f t="shared" si="4"/>
        <v>0</v>
      </c>
      <c r="BJ17" s="89">
        <v>62</v>
      </c>
      <c r="BK17" s="2">
        <v>26</v>
      </c>
      <c r="BL17" s="2">
        <v>0</v>
      </c>
      <c r="BM17" s="2">
        <v>3.0000000000000001E-3</v>
      </c>
      <c r="BN17" s="43" t="s">
        <v>1369</v>
      </c>
      <c r="BO17" s="43">
        <v>58</v>
      </c>
      <c r="BP17" s="43">
        <v>26</v>
      </c>
      <c r="BQ17" s="74"/>
      <c r="BR17" s="55" t="s">
        <v>1371</v>
      </c>
      <c r="BS17" s="74">
        <f>BQ20</f>
        <v>1.0000001000000001E-2</v>
      </c>
      <c r="BT17" s="90">
        <f t="shared" si="5"/>
        <v>0</v>
      </c>
      <c r="BV17" s="89">
        <v>64</v>
      </c>
      <c r="BW17" s="2">
        <v>26</v>
      </c>
      <c r="BX17" s="2">
        <v>0</v>
      </c>
      <c r="BY17" s="2">
        <v>2E-3</v>
      </c>
      <c r="BZ17" s="43" t="s">
        <v>1369</v>
      </c>
      <c r="CA17" s="43">
        <v>58</v>
      </c>
      <c r="CB17" s="43">
        <v>26</v>
      </c>
      <c r="CC17" s="74"/>
      <c r="CD17" s="55" t="s">
        <v>1371</v>
      </c>
      <c r="CE17" s="74">
        <f>CC20</f>
        <v>3.0000000000000001E-3</v>
      </c>
      <c r="CF17" s="90">
        <f t="shared" si="6"/>
        <v>0</v>
      </c>
      <c r="CH17" s="89">
        <v>59</v>
      </c>
      <c r="CI17" s="2">
        <v>26</v>
      </c>
      <c r="CJ17" s="2">
        <v>0</v>
      </c>
      <c r="CK17" s="2">
        <v>2E-3</v>
      </c>
      <c r="CL17" s="43" t="s">
        <v>1369</v>
      </c>
      <c r="CM17" s="43">
        <v>58</v>
      </c>
      <c r="CN17" s="43">
        <v>26</v>
      </c>
      <c r="CO17" s="74"/>
      <c r="CP17" s="55" t="s">
        <v>1371</v>
      </c>
      <c r="CQ17" s="74">
        <f>CO20</f>
        <v>1.0999999999999999E-2</v>
      </c>
      <c r="CR17" s="90">
        <f t="shared" si="7"/>
        <v>0</v>
      </c>
      <c r="CT17" s="89">
        <v>59</v>
      </c>
      <c r="CU17" s="2">
        <v>26</v>
      </c>
      <c r="CV17" s="2">
        <v>0</v>
      </c>
      <c r="CW17" s="2">
        <v>1E-3</v>
      </c>
      <c r="CX17" s="43" t="s">
        <v>1369</v>
      </c>
      <c r="CY17" s="43">
        <v>58</v>
      </c>
      <c r="CZ17" s="43">
        <v>26</v>
      </c>
      <c r="DA17" s="74"/>
      <c r="DB17" s="55" t="s">
        <v>1371</v>
      </c>
      <c r="DC17" s="74">
        <f>DA20</f>
        <v>8.0000000000000002E-3</v>
      </c>
      <c r="DD17" s="90">
        <f t="shared" si="8"/>
        <v>0</v>
      </c>
      <c r="DF17" s="89">
        <v>67</v>
      </c>
      <c r="DG17" s="2">
        <v>26</v>
      </c>
      <c r="DH17" s="2">
        <v>0</v>
      </c>
      <c r="DI17" s="2">
        <v>1E-3</v>
      </c>
      <c r="DJ17" s="43" t="s">
        <v>1369</v>
      </c>
      <c r="DK17" s="43">
        <v>58</v>
      </c>
      <c r="DL17" s="43">
        <v>26</v>
      </c>
      <c r="DM17" s="74"/>
      <c r="DN17" s="55" t="s">
        <v>1371</v>
      </c>
      <c r="DO17" s="74">
        <f>DM20</f>
        <v>1E-3</v>
      </c>
      <c r="DP17" s="90">
        <f t="shared" si="9"/>
        <v>0</v>
      </c>
      <c r="DR17" s="89">
        <v>59</v>
      </c>
      <c r="DS17" s="2">
        <v>26</v>
      </c>
      <c r="DT17" s="2">
        <v>0</v>
      </c>
      <c r="DU17" s="2">
        <v>5.1000009999999998E-2</v>
      </c>
      <c r="DV17" s="43" t="s">
        <v>1369</v>
      </c>
      <c r="DW17" s="43">
        <v>58</v>
      </c>
      <c r="DX17" s="43">
        <v>26</v>
      </c>
      <c r="DY17" s="74"/>
      <c r="DZ17" s="55" t="s">
        <v>1371</v>
      </c>
      <c r="EA17" s="74">
        <f>DY20</f>
        <v>0.31294</v>
      </c>
      <c r="EB17" s="90">
        <f t="shared" si="10"/>
        <v>0</v>
      </c>
      <c r="ED17" s="89">
        <v>59</v>
      </c>
      <c r="EE17" s="2">
        <v>26</v>
      </c>
      <c r="EF17" s="2">
        <v>0</v>
      </c>
      <c r="EG17" s="2">
        <v>1E-3</v>
      </c>
      <c r="EH17" s="43" t="s">
        <v>1369</v>
      </c>
      <c r="EI17" s="43">
        <v>58</v>
      </c>
      <c r="EJ17" s="43">
        <v>26</v>
      </c>
      <c r="EK17" s="74"/>
      <c r="EL17" s="55" t="s">
        <v>1371</v>
      </c>
      <c r="EM17" s="74">
        <f>EK20</f>
        <v>4.0000000000000001E-3</v>
      </c>
      <c r="EN17" s="90">
        <f t="shared" si="11"/>
        <v>0</v>
      </c>
      <c r="ES17">
        <v>59</v>
      </c>
      <c r="ET17">
        <v>26</v>
      </c>
      <c r="EU17">
        <v>0</v>
      </c>
      <c r="EV17">
        <v>1E-3</v>
      </c>
    </row>
    <row r="18" spans="1:152" x14ac:dyDescent="0.4">
      <c r="A18" s="89"/>
      <c r="B18" s="2"/>
      <c r="C18" s="2"/>
      <c r="D18" s="2"/>
      <c r="E18" s="42" t="s">
        <v>1370</v>
      </c>
      <c r="F18" s="42">
        <v>59</v>
      </c>
      <c r="G18" s="42">
        <v>27</v>
      </c>
      <c r="H18" s="74">
        <f>SUM(SUMIFS(D$14:D$1004,B$14:B$1004,G18,A$14:A$1004,F18,C$14:C$1004,0))</f>
        <v>0</v>
      </c>
      <c r="I18" s="55" t="s">
        <v>1372</v>
      </c>
      <c r="J18" s="74">
        <f>H25</f>
        <v>0</v>
      </c>
      <c r="K18" s="6" t="e">
        <f t="shared" si="1"/>
        <v>#DIV/0!</v>
      </c>
      <c r="N18" s="89">
        <v>60</v>
      </c>
      <c r="O18" s="2">
        <v>26</v>
      </c>
      <c r="P18" s="2">
        <v>0</v>
      </c>
      <c r="Q18" s="2">
        <v>8.3059999999999995E-2</v>
      </c>
      <c r="R18" s="42" t="s">
        <v>1370</v>
      </c>
      <c r="S18" s="42">
        <v>59</v>
      </c>
      <c r="T18" s="42">
        <v>27</v>
      </c>
      <c r="U18" s="74">
        <f>SUM(SUMIFS(Q$14:Q$1004,O$14:O$1004,T18,N$14:N$1004,S18,P$14:P$1004,0))</f>
        <v>7.6999999999999999E-2</v>
      </c>
      <c r="V18" s="55" t="s">
        <v>1372</v>
      </c>
      <c r="W18" s="74">
        <f>U25</f>
        <v>0.378</v>
      </c>
      <c r="X18" s="90">
        <f t="shared" si="0"/>
        <v>0</v>
      </c>
      <c r="Z18" s="89">
        <v>60</v>
      </c>
      <c r="AA18" s="2">
        <v>26</v>
      </c>
      <c r="AB18" s="2">
        <v>0</v>
      </c>
      <c r="AC18" s="2">
        <v>3.4000000000000002E-2</v>
      </c>
      <c r="AD18" s="42" t="s">
        <v>1370</v>
      </c>
      <c r="AE18" s="42">
        <v>59</v>
      </c>
      <c r="AF18" s="42">
        <v>27</v>
      </c>
      <c r="AG18" s="74">
        <f>SUM(SUMIFS(AC$14:AC$1004,AA$14:AA$1004,AF18,Z$14:Z$1004,AE18,AB$14:AB$1004,0))</f>
        <v>3.4000000000000002E-2</v>
      </c>
      <c r="AH18" s="55" t="s">
        <v>1372</v>
      </c>
      <c r="AI18" s="74">
        <f>AG25</f>
        <v>0.185</v>
      </c>
      <c r="AJ18" s="90">
        <f t="shared" si="2"/>
        <v>0</v>
      </c>
      <c r="AL18" s="89">
        <v>60</v>
      </c>
      <c r="AM18" s="2">
        <v>26</v>
      </c>
      <c r="AN18" s="2">
        <v>0</v>
      </c>
      <c r="AO18" s="2">
        <v>0.02</v>
      </c>
      <c r="AP18" s="42" t="s">
        <v>1370</v>
      </c>
      <c r="AQ18" s="42">
        <v>59</v>
      </c>
      <c r="AR18" s="42">
        <v>27</v>
      </c>
      <c r="AS18" s="74">
        <f>SUM(SUMIFS(AO$14:AO$1004,AM$14:AM$1004,AR18,AL$14:AL$1004,AQ18,AN$14:AN$1004,0))</f>
        <v>2.8000000000000001E-2</v>
      </c>
      <c r="AT18" s="55" t="s">
        <v>1372</v>
      </c>
      <c r="AU18" s="74">
        <f>AS25</f>
        <v>0.15500000999999999</v>
      </c>
      <c r="AV18" s="90">
        <f t="shared" si="3"/>
        <v>0</v>
      </c>
      <c r="AX18" s="89">
        <v>66</v>
      </c>
      <c r="AY18" s="2">
        <v>26</v>
      </c>
      <c r="AZ18" s="2">
        <v>0</v>
      </c>
      <c r="BA18" s="2">
        <v>1E-3</v>
      </c>
      <c r="BB18" s="42" t="s">
        <v>1370</v>
      </c>
      <c r="BC18" s="42">
        <v>59</v>
      </c>
      <c r="BD18" s="42">
        <v>27</v>
      </c>
      <c r="BE18" s="74">
        <f>SUM(SUMIFS(BA$14:BA$1004,AY$14:AY$1004,BD18,AX$14:AX$1004,BC18,AZ$14:AZ$1004,0))</f>
        <v>0</v>
      </c>
      <c r="BF18" s="55" t="s">
        <v>1372</v>
      </c>
      <c r="BG18" s="74">
        <f>BE25</f>
        <v>2E-3</v>
      </c>
      <c r="BH18" s="90">
        <f t="shared" si="4"/>
        <v>0</v>
      </c>
      <c r="BJ18" s="89">
        <v>63</v>
      </c>
      <c r="BK18" s="2">
        <v>26</v>
      </c>
      <c r="BL18" s="2">
        <v>0</v>
      </c>
      <c r="BM18" s="2">
        <v>3.0000000000000001E-3</v>
      </c>
      <c r="BN18" s="42" t="s">
        <v>1370</v>
      </c>
      <c r="BO18" s="42">
        <v>59</v>
      </c>
      <c r="BP18" s="42">
        <v>27</v>
      </c>
      <c r="BQ18" s="74">
        <f>SUM(SUMIFS(BM$14:BM$1004,BK$14:BK$1004,BP18,BJ$14:BJ$1004,BO18,BL$14:BL$1004,0))</f>
        <v>1E-3</v>
      </c>
      <c r="BR18" s="55" t="s">
        <v>1372</v>
      </c>
      <c r="BS18" s="74">
        <f>BQ25</f>
        <v>1.0000001E-2</v>
      </c>
      <c r="BT18" s="90">
        <f t="shared" si="5"/>
        <v>0</v>
      </c>
      <c r="BV18" s="89">
        <v>65</v>
      </c>
      <c r="BW18" s="2">
        <v>26</v>
      </c>
      <c r="BX18" s="2">
        <v>0</v>
      </c>
      <c r="BY18" s="2">
        <v>3.0000000000000001E-3</v>
      </c>
      <c r="BZ18" s="42" t="s">
        <v>1370</v>
      </c>
      <c r="CA18" s="42">
        <v>59</v>
      </c>
      <c r="CB18" s="42">
        <v>27</v>
      </c>
      <c r="CC18" s="74">
        <f>SUM(SUMIFS(BY$14:BY$1004,BW$14:BW$1004,CB18,BV$14:BV$1004,CA18,BX$14:BX$1004,0))</f>
        <v>0</v>
      </c>
      <c r="CD18" s="55" t="s">
        <v>1372</v>
      </c>
      <c r="CE18" s="74">
        <f>CC25</f>
        <v>6.0000000000000001E-3</v>
      </c>
      <c r="CF18" s="90">
        <f t="shared" si="6"/>
        <v>0</v>
      </c>
      <c r="CH18" s="89">
        <v>60</v>
      </c>
      <c r="CI18" s="2">
        <v>26</v>
      </c>
      <c r="CJ18" s="2">
        <v>0</v>
      </c>
      <c r="CK18" s="2">
        <v>3.0000000000000001E-3</v>
      </c>
      <c r="CL18" s="42" t="s">
        <v>1370</v>
      </c>
      <c r="CM18" s="42">
        <v>59</v>
      </c>
      <c r="CN18" s="42">
        <v>27</v>
      </c>
      <c r="CO18" s="74">
        <f>SUM(SUMIFS(CK$14:CK$1004,CI$14:CI$1004,CN18,CH$14:CH$1004,CM18,CJ$14:CJ$1004,0))</f>
        <v>2E-3</v>
      </c>
      <c r="CP18" s="55" t="s">
        <v>1372</v>
      </c>
      <c r="CQ18" s="74">
        <f>CO25</f>
        <v>1.7000000000000001E-2</v>
      </c>
      <c r="CR18" s="90">
        <f t="shared" si="7"/>
        <v>0</v>
      </c>
      <c r="CT18" s="89">
        <v>60</v>
      </c>
      <c r="CU18" s="2">
        <v>26</v>
      </c>
      <c r="CV18" s="2">
        <v>0</v>
      </c>
      <c r="CW18" s="2">
        <v>1E-3</v>
      </c>
      <c r="CX18" s="42" t="s">
        <v>1370</v>
      </c>
      <c r="CY18" s="42">
        <v>59</v>
      </c>
      <c r="CZ18" s="42">
        <v>27</v>
      </c>
      <c r="DA18" s="74">
        <f>SUM(SUMIFS(CW$14:CW$1004,CU$14:CU$1004,CZ18,CT$14:CT$1004,CY18,CV$14:CV$1004,0))</f>
        <v>1E-3</v>
      </c>
      <c r="DB18" s="55" t="s">
        <v>1372</v>
      </c>
      <c r="DC18" s="74">
        <f>DA25</f>
        <v>1.7000000000000001E-2</v>
      </c>
      <c r="DD18" s="90">
        <f t="shared" si="8"/>
        <v>0</v>
      </c>
      <c r="DF18" s="89">
        <v>68</v>
      </c>
      <c r="DG18" s="2">
        <v>26</v>
      </c>
      <c r="DH18" s="2">
        <v>0</v>
      </c>
      <c r="DI18" s="2">
        <v>1E-3</v>
      </c>
      <c r="DJ18" s="42" t="s">
        <v>1370</v>
      </c>
      <c r="DK18" s="42">
        <v>59</v>
      </c>
      <c r="DL18" s="42">
        <v>27</v>
      </c>
      <c r="DM18" s="74">
        <f>SUM(SUMIFS(DI$14:DI$1004,DG$14:DG$1004,DL18,DF$14:DF$1004,DK18,DH$14:DH$1004,0))</f>
        <v>0</v>
      </c>
      <c r="DN18" s="55" t="s">
        <v>1372</v>
      </c>
      <c r="DO18" s="74">
        <f>DM25</f>
        <v>0</v>
      </c>
      <c r="DP18" s="90">
        <f t="shared" si="9"/>
        <v>0</v>
      </c>
      <c r="DR18" s="89">
        <v>60</v>
      </c>
      <c r="DS18" s="2">
        <v>26</v>
      </c>
      <c r="DT18" s="2">
        <v>0</v>
      </c>
      <c r="DU18" s="2">
        <v>5.6059999999999999E-2</v>
      </c>
      <c r="DV18" s="42" t="s">
        <v>1370</v>
      </c>
      <c r="DW18" s="42">
        <v>59</v>
      </c>
      <c r="DX18" s="42">
        <v>27</v>
      </c>
      <c r="DY18" s="74">
        <f>SUM(SUMIFS(DU$14:DU$1004,DS$14:DS$1004,DX18,DR$14:DR$1004,DW18,DT$14:DT$1004,0))</f>
        <v>5.1000009999999998E-2</v>
      </c>
      <c r="DZ18" s="55" t="s">
        <v>1372</v>
      </c>
      <c r="EA18" s="74">
        <f>DY25</f>
        <v>0.30399999999999999</v>
      </c>
      <c r="EB18" s="90">
        <f t="shared" si="10"/>
        <v>0</v>
      </c>
      <c r="ED18" s="89">
        <v>60</v>
      </c>
      <c r="EE18" s="2">
        <v>26</v>
      </c>
      <c r="EF18" s="2">
        <v>0</v>
      </c>
      <c r="EG18" s="2">
        <v>2E-3</v>
      </c>
      <c r="EH18" s="42" t="s">
        <v>1370</v>
      </c>
      <c r="EI18" s="42">
        <v>59</v>
      </c>
      <c r="EJ18" s="42">
        <v>27</v>
      </c>
      <c r="EK18" s="74">
        <f>SUM(SUMIFS(EG$14:EG$1004,EE$14:EE$1004,EJ18,ED$14:ED$1004,EI18,EF$14:EF$1004,0))</f>
        <v>1E-3</v>
      </c>
      <c r="EL18" s="55" t="s">
        <v>1372</v>
      </c>
      <c r="EM18" s="74">
        <f>EK25</f>
        <v>4.0000000000000001E-3</v>
      </c>
      <c r="EN18" s="90">
        <f t="shared" si="11"/>
        <v>0</v>
      </c>
      <c r="ES18">
        <v>60</v>
      </c>
      <c r="ET18">
        <v>26</v>
      </c>
      <c r="EU18">
        <v>0</v>
      </c>
      <c r="EV18">
        <v>2E-3</v>
      </c>
    </row>
    <row r="19" spans="1:152" x14ac:dyDescent="0.4">
      <c r="A19" s="89"/>
      <c r="B19" s="2"/>
      <c r="C19" s="2"/>
      <c r="D19" s="2"/>
      <c r="E19" s="43" t="s">
        <v>491</v>
      </c>
      <c r="F19" s="43">
        <v>60</v>
      </c>
      <c r="G19" s="43">
        <v>27</v>
      </c>
      <c r="H19" s="74">
        <f>SUM(SUMIFS(D$14:D$1004,B$14:B$1004,G19,A$14:A$1004,F19,C$14:C$1004,0))</f>
        <v>0</v>
      </c>
      <c r="I19" s="55" t="s">
        <v>1373</v>
      </c>
      <c r="J19" s="74">
        <f>H27</f>
        <v>0</v>
      </c>
      <c r="K19" s="6" t="e">
        <f t="shared" si="1"/>
        <v>#DIV/0!</v>
      </c>
      <c r="N19" s="89">
        <v>61</v>
      </c>
      <c r="O19" s="2">
        <v>26</v>
      </c>
      <c r="P19" s="2">
        <v>0</v>
      </c>
      <c r="Q19" s="2">
        <v>8.1939999999999999E-2</v>
      </c>
      <c r="R19" s="43" t="s">
        <v>491</v>
      </c>
      <c r="S19" s="43">
        <v>60</v>
      </c>
      <c r="T19" s="43">
        <v>27</v>
      </c>
      <c r="U19" s="74">
        <f>SUM(SUMIFS(Q$14:Q$1004,O$14:O$1004,T19,N$14:N$1004,S19,P$14:P$1004,0))</f>
        <v>8.9960730000000003E-3</v>
      </c>
      <c r="V19" s="55" t="s">
        <v>1373</v>
      </c>
      <c r="W19" s="74">
        <f>U27</f>
        <v>1.5357612</v>
      </c>
      <c r="X19" s="90">
        <f t="shared" si="0"/>
        <v>0</v>
      </c>
      <c r="Z19" s="89">
        <v>61</v>
      </c>
      <c r="AA19" s="2">
        <v>26</v>
      </c>
      <c r="AB19" s="2">
        <v>0</v>
      </c>
      <c r="AC19" s="2">
        <v>2.5000000000000001E-2</v>
      </c>
      <c r="AD19" s="43" t="s">
        <v>491</v>
      </c>
      <c r="AE19" s="43">
        <v>60</v>
      </c>
      <c r="AF19" s="43">
        <v>27</v>
      </c>
      <c r="AG19" s="74">
        <f>SUM(SUMIFS(AC$14:AC$1004,AA$14:AA$1004,AF19,Z$14:Z$1004,AE19,AB$14:AB$1004,0))</f>
        <v>0</v>
      </c>
      <c r="AH19" s="55" t="s">
        <v>1373</v>
      </c>
      <c r="AI19" s="74">
        <f>AG27</f>
        <v>0.75628209999999996</v>
      </c>
      <c r="AJ19" s="90">
        <f t="shared" si="2"/>
        <v>0</v>
      </c>
      <c r="AL19" s="89">
        <v>61</v>
      </c>
      <c r="AM19" s="2">
        <v>26</v>
      </c>
      <c r="AN19" s="2">
        <v>0</v>
      </c>
      <c r="AO19" s="2">
        <v>4.1000000000000002E-2</v>
      </c>
      <c r="AP19" s="43" t="s">
        <v>491</v>
      </c>
      <c r="AQ19" s="43">
        <v>60</v>
      </c>
      <c r="AR19" s="43">
        <v>27</v>
      </c>
      <c r="AS19" s="74">
        <f>SUM(SUMIFS(AO$14:AO$1004,AM$14:AM$1004,AR19,AL$14:AL$1004,AQ19,AN$14:AN$1004,0))</f>
        <v>1E-3</v>
      </c>
      <c r="AT19" s="55" t="s">
        <v>1373</v>
      </c>
      <c r="AU19" s="74">
        <f>AS27</f>
        <v>0.79992850000000004</v>
      </c>
      <c r="AV19" s="90">
        <f t="shared" si="3"/>
        <v>0</v>
      </c>
      <c r="AX19" s="89">
        <v>67</v>
      </c>
      <c r="AY19" s="2">
        <v>26</v>
      </c>
      <c r="AZ19" s="2">
        <v>0</v>
      </c>
      <c r="BA19" s="2">
        <v>3.0000000000000001E-3</v>
      </c>
      <c r="BB19" s="43" t="s">
        <v>491</v>
      </c>
      <c r="BC19" s="43">
        <v>60</v>
      </c>
      <c r="BD19" s="43">
        <v>27</v>
      </c>
      <c r="BE19" s="74">
        <f>SUM(SUMIFS(BA$14:BA$1004,AY$14:AY$1004,BD19,AX$14:AX$1004,BC19,AZ$14:AZ$1004,0))</f>
        <v>0</v>
      </c>
      <c r="BF19" s="55" t="s">
        <v>1373</v>
      </c>
      <c r="BG19" s="74">
        <f>BE27</f>
        <v>2.801E-2</v>
      </c>
      <c r="BH19" s="90">
        <f t="shared" si="4"/>
        <v>0</v>
      </c>
      <c r="BJ19" s="89">
        <v>64</v>
      </c>
      <c r="BK19" s="2">
        <v>26</v>
      </c>
      <c r="BL19" s="2">
        <v>0</v>
      </c>
      <c r="BM19" s="2">
        <v>2E-3</v>
      </c>
      <c r="BN19" s="43" t="s">
        <v>491</v>
      </c>
      <c r="BO19" s="43">
        <v>60</v>
      </c>
      <c r="BP19" s="43">
        <v>27</v>
      </c>
      <c r="BQ19" s="74">
        <f>SUM(SUMIFS(BM$14:BM$1004,BK$14:BK$1004,BP19,BJ$14:BJ$1004,BO19,BL$14:BL$1004,0))</f>
        <v>0</v>
      </c>
      <c r="BR19" s="55" t="s">
        <v>1373</v>
      </c>
      <c r="BS19" s="74">
        <f>BQ27</f>
        <v>4.4010000000000001E-2</v>
      </c>
      <c r="BT19" s="90">
        <f t="shared" si="5"/>
        <v>0</v>
      </c>
      <c r="BV19" s="89">
        <v>66</v>
      </c>
      <c r="BW19" s="2">
        <v>26</v>
      </c>
      <c r="BX19" s="2">
        <v>0</v>
      </c>
      <c r="BY19" s="2">
        <v>1E-3</v>
      </c>
      <c r="BZ19" s="43" t="s">
        <v>491</v>
      </c>
      <c r="CA19" s="43">
        <v>60</v>
      </c>
      <c r="CB19" s="43">
        <v>27</v>
      </c>
      <c r="CC19" s="74">
        <f>SUM(SUMIFS(BY$14:BY$1004,BW$14:BW$1004,CB19,BV$14:BV$1004,CA19,BX$14:BX$1004,0))</f>
        <v>0</v>
      </c>
      <c r="CD19" s="55" t="s">
        <v>1373</v>
      </c>
      <c r="CE19" s="74">
        <f>CC27</f>
        <v>3.2000001E-2</v>
      </c>
      <c r="CF19" s="90">
        <f t="shared" si="6"/>
        <v>0</v>
      </c>
      <c r="CH19" s="89">
        <v>61</v>
      </c>
      <c r="CI19" s="2">
        <v>26</v>
      </c>
      <c r="CJ19" s="2">
        <v>0</v>
      </c>
      <c r="CK19" s="2">
        <v>3.0000000000000001E-3</v>
      </c>
      <c r="CL19" s="43" t="s">
        <v>491</v>
      </c>
      <c r="CM19" s="43">
        <v>60</v>
      </c>
      <c r="CN19" s="43">
        <v>27</v>
      </c>
      <c r="CO19" s="74">
        <f>SUM(SUMIFS(CK$14:CK$1004,CI$14:CI$1004,CN19,CH$14:CH$1004,CM19,CJ$14:CJ$1004,0))</f>
        <v>1E-3</v>
      </c>
      <c r="CP19" s="55" t="s">
        <v>1373</v>
      </c>
      <c r="CQ19" s="74">
        <f>CO27</f>
        <v>6.6014100000000006E-2</v>
      </c>
      <c r="CR19" s="90">
        <f t="shared" si="7"/>
        <v>0</v>
      </c>
      <c r="CT19" s="89">
        <v>61</v>
      </c>
      <c r="CU19" s="2">
        <v>26</v>
      </c>
      <c r="CV19" s="2">
        <v>0</v>
      </c>
      <c r="CW19" s="2">
        <v>3.0000000000000001E-3</v>
      </c>
      <c r="CX19" s="43" t="s">
        <v>491</v>
      </c>
      <c r="CY19" s="43">
        <v>60</v>
      </c>
      <c r="CZ19" s="43">
        <v>27</v>
      </c>
      <c r="DA19" s="74">
        <f>SUM(SUMIFS(CW$14:CW$1004,CU$14:CU$1004,CZ19,CT$14:CT$1004,CY19,CV$14:CV$1004,0))</f>
        <v>0</v>
      </c>
      <c r="DB19" s="55" t="s">
        <v>1373</v>
      </c>
      <c r="DC19" s="74">
        <f>DA27</f>
        <v>6.40241E-2</v>
      </c>
      <c r="DD19" s="90">
        <f t="shared" si="8"/>
        <v>0</v>
      </c>
      <c r="DF19" s="89">
        <v>62</v>
      </c>
      <c r="DG19" s="2">
        <v>27</v>
      </c>
      <c r="DH19" s="2">
        <v>0</v>
      </c>
      <c r="DI19" s="2">
        <v>1E-3</v>
      </c>
      <c r="DJ19" s="43" t="s">
        <v>491</v>
      </c>
      <c r="DK19" s="43">
        <v>60</v>
      </c>
      <c r="DL19" s="43">
        <v>27</v>
      </c>
      <c r="DM19" s="74">
        <f>SUM(SUMIFS(DI$14:DI$1004,DG$14:DG$1004,DL19,DF$14:DF$1004,DK19,DH$14:DH$1004,0))</f>
        <v>0</v>
      </c>
      <c r="DN19" s="55" t="s">
        <v>1373</v>
      </c>
      <c r="DO19" s="74">
        <f>DM27</f>
        <v>2.4E-2</v>
      </c>
      <c r="DP19" s="90">
        <f t="shared" si="9"/>
        <v>0</v>
      </c>
      <c r="DR19" s="89">
        <v>61</v>
      </c>
      <c r="DS19" s="2">
        <v>26</v>
      </c>
      <c r="DT19" s="2">
        <v>0</v>
      </c>
      <c r="DU19" s="2">
        <v>8.1939999999999999E-2</v>
      </c>
      <c r="DV19" s="43" t="s">
        <v>491</v>
      </c>
      <c r="DW19" s="43">
        <v>60</v>
      </c>
      <c r="DX19" s="43">
        <v>27</v>
      </c>
      <c r="DY19" s="74">
        <f>SUM(SUMIFS(DU$14:DU$1004,DS$14:DS$1004,DX19,DR$14:DR$1004,DW19,DT$14:DT$1004,0))</f>
        <v>0</v>
      </c>
      <c r="DZ19" s="55" t="s">
        <v>1373</v>
      </c>
      <c r="EA19" s="74">
        <f>DY27</f>
        <v>1.1786443</v>
      </c>
      <c r="EB19" s="90">
        <f t="shared" si="10"/>
        <v>0</v>
      </c>
      <c r="ED19" s="89">
        <v>61</v>
      </c>
      <c r="EE19" s="2">
        <v>26</v>
      </c>
      <c r="EF19" s="2">
        <v>0</v>
      </c>
      <c r="EG19" s="2">
        <v>1E-3</v>
      </c>
      <c r="EH19" s="43" t="s">
        <v>491</v>
      </c>
      <c r="EI19" s="43">
        <v>60</v>
      </c>
      <c r="EJ19" s="43">
        <v>27</v>
      </c>
      <c r="EK19" s="74">
        <f>SUM(SUMIFS(EG$14:EG$1004,EE$14:EE$1004,EJ19,ED$14:ED$1004,EI19,EF$14:EF$1004,0))</f>
        <v>0</v>
      </c>
      <c r="EL19" s="55" t="s">
        <v>1373</v>
      </c>
      <c r="EM19" s="74">
        <f>EK27</f>
        <v>4.4089299999999998E-2</v>
      </c>
      <c r="EN19" s="90">
        <f t="shared" si="11"/>
        <v>0</v>
      </c>
      <c r="ES19">
        <v>61</v>
      </c>
      <c r="ET19">
        <v>26</v>
      </c>
      <c r="EU19">
        <v>0</v>
      </c>
      <c r="EV19">
        <v>1E-3</v>
      </c>
    </row>
    <row r="20" spans="1:152" x14ac:dyDescent="0.4">
      <c r="A20" s="89"/>
      <c r="B20" s="2"/>
      <c r="C20" s="2"/>
      <c r="D20" s="2"/>
      <c r="E20" s="42" t="s">
        <v>1371</v>
      </c>
      <c r="F20" s="42">
        <v>58</v>
      </c>
      <c r="G20" s="42">
        <v>28</v>
      </c>
      <c r="H20" s="74" cm="1">
        <f t="array" ref="H20">SUM(SUMIFS(D$14:D$1004,B$14:B$1004,G20:G24,A$14:A$1004,F20:F24,C$14:C$1004,0))-H19</f>
        <v>0</v>
      </c>
      <c r="I20" s="55" t="s">
        <v>1367</v>
      </c>
      <c r="J20" s="74">
        <f>H39</f>
        <v>0</v>
      </c>
      <c r="K20" s="6" t="e">
        <f t="shared" si="1"/>
        <v>#DIV/0!</v>
      </c>
      <c r="N20" s="89">
        <v>62</v>
      </c>
      <c r="O20" s="2">
        <v>26</v>
      </c>
      <c r="P20" s="2">
        <v>0</v>
      </c>
      <c r="Q20" s="2">
        <v>0.107</v>
      </c>
      <c r="R20" s="42" t="s">
        <v>1371</v>
      </c>
      <c r="S20" s="42">
        <v>58</v>
      </c>
      <c r="T20" s="42">
        <v>28</v>
      </c>
      <c r="U20" s="74" cm="1">
        <f t="array" ref="U20">SUM(SUMIFS(Q$14:Q$1004,O$14:O$1004,T20:T24,N$14:N$1004,S20:S24,P$14:P$1004,0))-U19</f>
        <v>0.38494393700000001</v>
      </c>
      <c r="V20" s="55" t="s">
        <v>1367</v>
      </c>
      <c r="W20" s="74">
        <f>U39</f>
        <v>1.085464</v>
      </c>
      <c r="X20" s="90">
        <f t="shared" si="0"/>
        <v>0</v>
      </c>
      <c r="Z20" s="89">
        <v>62</v>
      </c>
      <c r="AA20" s="2">
        <v>26</v>
      </c>
      <c r="AB20" s="2">
        <v>0</v>
      </c>
      <c r="AC20" s="2">
        <v>3.6999999999999998E-2</v>
      </c>
      <c r="AD20" s="42" t="s">
        <v>1371</v>
      </c>
      <c r="AE20" s="42">
        <v>58</v>
      </c>
      <c r="AF20" s="42">
        <v>28</v>
      </c>
      <c r="AG20" s="74" cm="1">
        <f t="array" ref="AG20">SUM(SUMIFS(AC$14:AC$1004,AA$14:AA$1004,AF20:AF24,Z$14:Z$1004,AE20:AE24,AB$14:AB$1004,0))-AG19</f>
        <v>0.14000001000000001</v>
      </c>
      <c r="AH20" s="55" t="s">
        <v>1367</v>
      </c>
      <c r="AI20" s="74">
        <f>AG39</f>
        <v>0.63858879999999996</v>
      </c>
      <c r="AJ20" s="90">
        <f t="shared" si="2"/>
        <v>0</v>
      </c>
      <c r="AL20" s="89">
        <v>62</v>
      </c>
      <c r="AM20" s="2">
        <v>26</v>
      </c>
      <c r="AN20" s="2">
        <v>0</v>
      </c>
      <c r="AO20" s="2">
        <v>3.9E-2</v>
      </c>
      <c r="AP20" s="42" t="s">
        <v>1371</v>
      </c>
      <c r="AQ20" s="42">
        <v>58</v>
      </c>
      <c r="AR20" s="42">
        <v>28</v>
      </c>
      <c r="AS20" s="74" cm="1">
        <f t="array" ref="AS20">SUM(SUMIFS(AO$14:AO$1004,AM$14:AM$1004,AR20:AR24,AL$14:AL$1004,AQ20:AQ24,AN$14:AN$1004,0))-AS19</f>
        <v>0.16</v>
      </c>
      <c r="AT20" s="55" t="s">
        <v>1367</v>
      </c>
      <c r="AU20" s="74">
        <f>AS39</f>
        <v>0.657663</v>
      </c>
      <c r="AV20" s="90">
        <f t="shared" si="3"/>
        <v>0</v>
      </c>
      <c r="AX20" s="89">
        <v>68</v>
      </c>
      <c r="AY20" s="2">
        <v>26</v>
      </c>
      <c r="AZ20" s="2">
        <v>0</v>
      </c>
      <c r="BA20" s="2">
        <v>1E-3</v>
      </c>
      <c r="BB20" s="42" t="s">
        <v>1371</v>
      </c>
      <c r="BC20" s="42">
        <v>58</v>
      </c>
      <c r="BD20" s="42">
        <v>28</v>
      </c>
      <c r="BE20" s="74" cm="1">
        <f t="array" ref="BE20">SUM(SUMIFS(BA$14:BA$1004,AY$14:AY$1004,BD20:BD24,AX$14:AX$1004,BC20:BC24,AZ$14:AZ$1004,0))-BE19</f>
        <v>4.0000000000000001E-3</v>
      </c>
      <c r="BF20" s="55" t="s">
        <v>1367</v>
      </c>
      <c r="BG20" s="74">
        <f>BE39</f>
        <v>7.9880000000000007E-2</v>
      </c>
      <c r="BH20" s="90">
        <f t="shared" si="4"/>
        <v>0</v>
      </c>
      <c r="BJ20" s="89">
        <v>65</v>
      </c>
      <c r="BK20" s="2">
        <v>26</v>
      </c>
      <c r="BL20" s="2">
        <v>0</v>
      </c>
      <c r="BM20" s="2">
        <v>1E-3</v>
      </c>
      <c r="BN20" s="42" t="s">
        <v>1371</v>
      </c>
      <c r="BO20" s="42">
        <v>58</v>
      </c>
      <c r="BP20" s="42">
        <v>28</v>
      </c>
      <c r="BQ20" s="74" cm="1">
        <f t="array" ref="BQ20">SUM(SUMIFS(BM$14:BM$1004,BK$14:BK$1004,BP20:BP24,BJ$14:BJ$1004,BO20:BO24,BL$14:BL$1004,0))-BQ19</f>
        <v>1.0000001000000001E-2</v>
      </c>
      <c r="BR20" s="55" t="s">
        <v>1367</v>
      </c>
      <c r="BS20" s="74">
        <f>BQ39</f>
        <v>7.1999999999999995E-2</v>
      </c>
      <c r="BT20" s="90">
        <f t="shared" si="5"/>
        <v>0</v>
      </c>
      <c r="BV20" s="89">
        <v>61</v>
      </c>
      <c r="BW20" s="2">
        <v>27</v>
      </c>
      <c r="BX20" s="2">
        <v>0</v>
      </c>
      <c r="BY20" s="2">
        <v>2E-3</v>
      </c>
      <c r="BZ20" s="42" t="s">
        <v>1371</v>
      </c>
      <c r="CA20" s="42">
        <v>58</v>
      </c>
      <c r="CB20" s="42">
        <v>28</v>
      </c>
      <c r="CC20" s="74" cm="1">
        <f t="array" ref="CC20">SUM(SUMIFS(BY$14:BY$1004,BW$14:BW$1004,CB20:CB24,BV$14:BV$1004,CA20:CA24,BX$14:BX$1004,0))-CC19</f>
        <v>3.0000000000000001E-3</v>
      </c>
      <c r="CD20" s="55" t="s">
        <v>1367</v>
      </c>
      <c r="CE20" s="74">
        <f>CC39</f>
        <v>4.704001E-2</v>
      </c>
      <c r="CF20" s="90">
        <f t="shared" si="6"/>
        <v>0</v>
      </c>
      <c r="CH20" s="89">
        <v>63</v>
      </c>
      <c r="CI20" s="2">
        <v>26</v>
      </c>
      <c r="CJ20" s="2">
        <v>0</v>
      </c>
      <c r="CK20" s="2">
        <v>4.0000000000000001E-3</v>
      </c>
      <c r="CL20" s="42" t="s">
        <v>1371</v>
      </c>
      <c r="CM20" s="42">
        <v>58</v>
      </c>
      <c r="CN20" s="42">
        <v>28</v>
      </c>
      <c r="CO20" s="74" cm="1">
        <f t="array" ref="CO20">SUM(SUMIFS(CK$14:CK$1004,CI$14:CI$1004,CN20:CN24,CH$14:CH$1004,CM20:CM24,CJ$14:CJ$1004,0))-CO19</f>
        <v>1.0999999999999999E-2</v>
      </c>
      <c r="CP20" s="55" t="s">
        <v>1367</v>
      </c>
      <c r="CQ20" s="74">
        <f>CO39</f>
        <v>7.7999990000000005E-2</v>
      </c>
      <c r="CR20" s="90">
        <f t="shared" si="7"/>
        <v>0</v>
      </c>
      <c r="CT20" s="89">
        <v>62</v>
      </c>
      <c r="CU20" s="2">
        <v>26</v>
      </c>
      <c r="CV20" s="2">
        <v>0</v>
      </c>
      <c r="CW20" s="2">
        <v>1E-3</v>
      </c>
      <c r="CX20" s="42" t="s">
        <v>1371</v>
      </c>
      <c r="CY20" s="42">
        <v>58</v>
      </c>
      <c r="CZ20" s="42">
        <v>28</v>
      </c>
      <c r="DA20" s="74" cm="1">
        <f t="array" ref="DA20">SUM(SUMIFS(CW$14:CW$1004,CU$14:CU$1004,CZ20:CZ24,CT$14:CT$1004,CY20:CY24,CV$14:CV$1004,0))-DA19</f>
        <v>8.0000000000000002E-3</v>
      </c>
      <c r="DB20" s="55" t="s">
        <v>1367</v>
      </c>
      <c r="DC20" s="74">
        <f>DA39</f>
        <v>6.4924999999999997E-2</v>
      </c>
      <c r="DD20" s="90">
        <f t="shared" si="8"/>
        <v>0</v>
      </c>
      <c r="DF20" s="89">
        <v>66</v>
      </c>
      <c r="DG20" s="2">
        <v>27</v>
      </c>
      <c r="DH20" s="2">
        <v>0</v>
      </c>
      <c r="DI20" s="2">
        <v>3.0000000000000001E-3</v>
      </c>
      <c r="DJ20" s="42" t="s">
        <v>1371</v>
      </c>
      <c r="DK20" s="42">
        <v>58</v>
      </c>
      <c r="DL20" s="42">
        <v>28</v>
      </c>
      <c r="DM20" s="74" cm="1">
        <f t="array" ref="DM20">SUM(SUMIFS(DI$14:DI$1004,DG$14:DG$1004,DL20:DL24,DF$14:DF$1004,DK20:DK24,DH$14:DH$1004,0))-DM19</f>
        <v>1E-3</v>
      </c>
      <c r="DN20" s="55" t="s">
        <v>1367</v>
      </c>
      <c r="DO20" s="74">
        <f>DM39</f>
        <v>4.0099999999999997E-2</v>
      </c>
      <c r="DP20" s="90">
        <f t="shared" si="9"/>
        <v>0</v>
      </c>
      <c r="DR20" s="89">
        <v>62</v>
      </c>
      <c r="DS20" s="2">
        <v>26</v>
      </c>
      <c r="DT20" s="2">
        <v>0</v>
      </c>
      <c r="DU20" s="2">
        <v>9.7000000000000003E-2</v>
      </c>
      <c r="DV20" s="42" t="s">
        <v>1371</v>
      </c>
      <c r="DW20" s="42">
        <v>58</v>
      </c>
      <c r="DX20" s="42">
        <v>28</v>
      </c>
      <c r="DY20" s="74" cm="1">
        <f t="array" ref="DY20">SUM(SUMIFS(DU$14:DU$1004,DS$14:DS$1004,DX20:DX24,DR$14:DR$1004,DW20:DW24,DT$14:DT$1004,0))-DY19</f>
        <v>0.31294</v>
      </c>
      <c r="DZ20" s="55" t="s">
        <v>1367</v>
      </c>
      <c r="EA20" s="74">
        <f>DY39</f>
        <v>0.85331920000000006</v>
      </c>
      <c r="EB20" s="90">
        <f t="shared" si="10"/>
        <v>0</v>
      </c>
      <c r="ED20" s="89">
        <v>62</v>
      </c>
      <c r="EE20" s="2">
        <v>26</v>
      </c>
      <c r="EF20" s="2">
        <v>0</v>
      </c>
      <c r="EG20" s="2">
        <v>1E-3</v>
      </c>
      <c r="EH20" s="42" t="s">
        <v>1371</v>
      </c>
      <c r="EI20" s="42">
        <v>58</v>
      </c>
      <c r="EJ20" s="42">
        <v>28</v>
      </c>
      <c r="EK20" s="74" cm="1">
        <f t="array" ref="EK20">SUM(SUMIFS(EG$14:EG$1004,EE$14:EE$1004,EJ20:EJ24,ED$14:ED$1004,EI20:EI24,EF$14:EF$1004,0))-EK19</f>
        <v>4.0000000000000001E-3</v>
      </c>
      <c r="EL20" s="55" t="s">
        <v>1367</v>
      </c>
      <c r="EM20" s="74">
        <f>EK39</f>
        <v>5.7924999999999997E-2</v>
      </c>
      <c r="EN20" s="90">
        <f t="shared" si="11"/>
        <v>0</v>
      </c>
      <c r="ES20">
        <v>62</v>
      </c>
      <c r="ET20">
        <v>26</v>
      </c>
      <c r="EU20">
        <v>0</v>
      </c>
      <c r="EV20">
        <v>1E-3</v>
      </c>
    </row>
    <row r="21" spans="1:152" x14ac:dyDescent="0.4">
      <c r="A21" s="89"/>
      <c r="B21" s="2"/>
      <c r="C21" s="2"/>
      <c r="D21" s="2"/>
      <c r="E21" s="42" t="s">
        <v>1371</v>
      </c>
      <c r="F21" s="42">
        <v>60</v>
      </c>
      <c r="G21" s="42">
        <v>28</v>
      </c>
      <c r="H21" s="74"/>
      <c r="I21" s="55" t="s">
        <v>1362</v>
      </c>
      <c r="J21" s="74">
        <f>H56</f>
        <v>0</v>
      </c>
      <c r="K21" s="6" t="e">
        <f t="shared" si="1"/>
        <v>#DIV/0!</v>
      </c>
      <c r="N21" s="89">
        <v>63</v>
      </c>
      <c r="O21" s="2">
        <v>26</v>
      </c>
      <c r="P21" s="2">
        <v>0</v>
      </c>
      <c r="Q21" s="2">
        <v>8.2000000000000003E-2</v>
      </c>
      <c r="R21" s="42" t="s">
        <v>1371</v>
      </c>
      <c r="S21" s="42">
        <v>60</v>
      </c>
      <c r="T21" s="42">
        <v>28</v>
      </c>
      <c r="U21" s="74"/>
      <c r="V21" s="55" t="s">
        <v>1362</v>
      </c>
      <c r="W21" s="74">
        <f>U56</f>
        <v>4.7456513999999999</v>
      </c>
      <c r="X21" s="90">
        <f t="shared" si="0"/>
        <v>0.14339461958161581</v>
      </c>
      <c r="Z21" s="89">
        <v>63</v>
      </c>
      <c r="AA21" s="2">
        <v>26</v>
      </c>
      <c r="AB21" s="2">
        <v>0</v>
      </c>
      <c r="AC21" s="2">
        <v>3.5999999999999997E-2</v>
      </c>
      <c r="AD21" s="42" t="s">
        <v>1371</v>
      </c>
      <c r="AE21" s="42">
        <v>60</v>
      </c>
      <c r="AF21" s="42">
        <v>28</v>
      </c>
      <c r="AG21" s="74"/>
      <c r="AH21" s="55" t="s">
        <v>1362</v>
      </c>
      <c r="AI21" s="74">
        <f>AG56</f>
        <v>3.4895804999999998</v>
      </c>
      <c r="AJ21" s="90">
        <f t="shared" si="2"/>
        <v>0.1027325495470074</v>
      </c>
      <c r="AL21" s="89">
        <v>63</v>
      </c>
      <c r="AM21" s="2">
        <v>26</v>
      </c>
      <c r="AN21" s="2">
        <v>0</v>
      </c>
      <c r="AO21" s="2">
        <v>2.5000000000000001E-2</v>
      </c>
      <c r="AP21" s="42" t="s">
        <v>1371</v>
      </c>
      <c r="AQ21" s="42">
        <v>60</v>
      </c>
      <c r="AR21" s="42">
        <v>28</v>
      </c>
      <c r="AS21" s="74"/>
      <c r="AT21" s="55" t="s">
        <v>1362</v>
      </c>
      <c r="AU21" s="74">
        <f>AS56</f>
        <v>4.6745140999999997</v>
      </c>
      <c r="AV21" s="90">
        <f t="shared" si="3"/>
        <v>0.1234312367745341</v>
      </c>
      <c r="AX21" s="89">
        <v>62</v>
      </c>
      <c r="AY21" s="2">
        <v>27</v>
      </c>
      <c r="AZ21" s="2">
        <v>0</v>
      </c>
      <c r="BA21" s="2">
        <v>3.0000000000000001E-3</v>
      </c>
      <c r="BB21" s="42" t="s">
        <v>1371</v>
      </c>
      <c r="BC21" s="42">
        <v>60</v>
      </c>
      <c r="BD21" s="42">
        <v>28</v>
      </c>
      <c r="BE21" s="74"/>
      <c r="BF21" s="55" t="s">
        <v>1362</v>
      </c>
      <c r="BG21" s="74">
        <f>BE56</f>
        <v>2.3189349999999997</v>
      </c>
      <c r="BH21" s="90">
        <f t="shared" si="4"/>
        <v>0</v>
      </c>
      <c r="BJ21" s="89">
        <v>66</v>
      </c>
      <c r="BK21" s="2">
        <v>26</v>
      </c>
      <c r="BL21" s="2">
        <v>0</v>
      </c>
      <c r="BM21" s="2">
        <v>2E-3</v>
      </c>
      <c r="BN21" s="42" t="s">
        <v>1371</v>
      </c>
      <c r="BO21" s="42">
        <v>60</v>
      </c>
      <c r="BP21" s="42">
        <v>28</v>
      </c>
      <c r="BQ21" s="74"/>
      <c r="BR21" s="55" t="s">
        <v>1362</v>
      </c>
      <c r="BS21" s="74">
        <f>BQ56</f>
        <v>1.6336647999999998</v>
      </c>
      <c r="BT21" s="90">
        <f t="shared" si="5"/>
        <v>0</v>
      </c>
      <c r="BV21" s="89">
        <v>63</v>
      </c>
      <c r="BW21" s="2">
        <v>27</v>
      </c>
      <c r="BX21" s="2">
        <v>0</v>
      </c>
      <c r="BY21" s="2">
        <v>1E-3</v>
      </c>
      <c r="BZ21" s="42" t="s">
        <v>1371</v>
      </c>
      <c r="CA21" s="42">
        <v>60</v>
      </c>
      <c r="CB21" s="42">
        <v>28</v>
      </c>
      <c r="CC21" s="74"/>
      <c r="CD21" s="55" t="s">
        <v>1362</v>
      </c>
      <c r="CE21" s="74">
        <f>CC56</f>
        <v>1.6676580000000001</v>
      </c>
      <c r="CF21" s="90">
        <f t="shared" si="6"/>
        <v>0</v>
      </c>
      <c r="CH21" s="89">
        <v>64</v>
      </c>
      <c r="CI21" s="2">
        <v>26</v>
      </c>
      <c r="CJ21" s="2">
        <v>0</v>
      </c>
      <c r="CK21" s="2">
        <v>5.0000000000000001E-3</v>
      </c>
      <c r="CL21" s="42" t="s">
        <v>1371</v>
      </c>
      <c r="CM21" s="42">
        <v>60</v>
      </c>
      <c r="CN21" s="42">
        <v>28</v>
      </c>
      <c r="CO21" s="74"/>
      <c r="CP21" s="55" t="s">
        <v>1362</v>
      </c>
      <c r="CQ21" s="74">
        <f>CO56</f>
        <v>1.3596430000999999</v>
      </c>
      <c r="CR21" s="90">
        <f t="shared" si="7"/>
        <v>0</v>
      </c>
      <c r="CT21" s="89">
        <v>63</v>
      </c>
      <c r="CU21" s="2">
        <v>26</v>
      </c>
      <c r="CV21" s="2">
        <v>0</v>
      </c>
      <c r="CW21" s="2">
        <v>1E-3</v>
      </c>
      <c r="CX21" s="42" t="s">
        <v>1371</v>
      </c>
      <c r="CY21" s="42">
        <v>60</v>
      </c>
      <c r="CZ21" s="42">
        <v>28</v>
      </c>
      <c r="DA21" s="74"/>
      <c r="DB21" s="55" t="s">
        <v>1362</v>
      </c>
      <c r="DC21" s="74">
        <f>DA56</f>
        <v>0.79164613000000006</v>
      </c>
      <c r="DD21" s="90">
        <f t="shared" si="8"/>
        <v>0</v>
      </c>
      <c r="DF21" s="89">
        <v>67</v>
      </c>
      <c r="DG21" s="2">
        <v>27</v>
      </c>
      <c r="DH21" s="2">
        <v>0</v>
      </c>
      <c r="DI21" s="2">
        <v>1E-3</v>
      </c>
      <c r="DJ21" s="42" t="s">
        <v>1371</v>
      </c>
      <c r="DK21" s="42">
        <v>60</v>
      </c>
      <c r="DL21" s="42">
        <v>28</v>
      </c>
      <c r="DM21" s="74"/>
      <c r="DN21" s="55" t="s">
        <v>1362</v>
      </c>
      <c r="DO21" s="74">
        <f>DM56</f>
        <v>2.6437815000000002</v>
      </c>
      <c r="DP21" s="90">
        <f t="shared" si="9"/>
        <v>0</v>
      </c>
      <c r="DR21" s="89">
        <v>63</v>
      </c>
      <c r="DS21" s="2">
        <v>26</v>
      </c>
      <c r="DT21" s="2">
        <v>0</v>
      </c>
      <c r="DU21" s="2">
        <v>9.4E-2</v>
      </c>
      <c r="DV21" s="42" t="s">
        <v>1371</v>
      </c>
      <c r="DW21" s="42">
        <v>60</v>
      </c>
      <c r="DX21" s="42">
        <v>28</v>
      </c>
      <c r="DY21" s="74"/>
      <c r="DZ21" s="55" t="s">
        <v>1362</v>
      </c>
      <c r="EA21" s="74">
        <f>DY56</f>
        <v>3.454294</v>
      </c>
      <c r="EB21" s="90">
        <f t="shared" si="10"/>
        <v>9.3147501956324069E-2</v>
      </c>
      <c r="ED21" s="89">
        <v>63</v>
      </c>
      <c r="EE21" s="2">
        <v>26</v>
      </c>
      <c r="EF21" s="2">
        <v>0</v>
      </c>
      <c r="EG21" s="2">
        <v>1E-3</v>
      </c>
      <c r="EH21" s="42" t="s">
        <v>1371</v>
      </c>
      <c r="EI21" s="42">
        <v>60</v>
      </c>
      <c r="EJ21" s="42">
        <v>28</v>
      </c>
      <c r="EK21" s="74"/>
      <c r="EL21" s="55" t="s">
        <v>1362</v>
      </c>
      <c r="EM21" s="74">
        <f>EK56</f>
        <v>1.3110950000000001</v>
      </c>
      <c r="EN21" s="90">
        <f t="shared" si="11"/>
        <v>0</v>
      </c>
      <c r="ES21">
        <v>63</v>
      </c>
      <c r="ET21">
        <v>26</v>
      </c>
      <c r="EU21">
        <v>0</v>
      </c>
      <c r="EV21">
        <v>1E-3</v>
      </c>
    </row>
    <row r="22" spans="1:152" x14ac:dyDescent="0.4">
      <c r="A22" s="89"/>
      <c r="B22" s="2"/>
      <c r="C22" s="2"/>
      <c r="D22" s="2"/>
      <c r="E22" s="42" t="s">
        <v>1371</v>
      </c>
      <c r="F22" s="42">
        <v>61</v>
      </c>
      <c r="G22" s="42">
        <v>28</v>
      </c>
      <c r="H22" s="74"/>
      <c r="I22" s="55" t="s">
        <v>523</v>
      </c>
      <c r="J22" s="74">
        <f>H60</f>
        <v>0</v>
      </c>
      <c r="K22" s="6" t="e">
        <f t="shared" si="1"/>
        <v>#DIV/0!</v>
      </c>
      <c r="N22" s="89">
        <v>64</v>
      </c>
      <c r="O22" s="2">
        <v>26</v>
      </c>
      <c r="P22" s="2">
        <v>0</v>
      </c>
      <c r="Q22" s="2">
        <v>7.6000010000000007E-2</v>
      </c>
      <c r="R22" s="42" t="s">
        <v>1371</v>
      </c>
      <c r="S22" s="42">
        <v>61</v>
      </c>
      <c r="T22" s="42">
        <v>28</v>
      </c>
      <c r="U22" s="74"/>
      <c r="V22" s="55" t="s">
        <v>523</v>
      </c>
      <c r="W22" s="74">
        <f>U60</f>
        <v>3.3876539999999999</v>
      </c>
      <c r="X22" s="90">
        <f t="shared" si="0"/>
        <v>0.10236136531312418</v>
      </c>
      <c r="Z22" s="89">
        <v>64</v>
      </c>
      <c r="AA22" s="2">
        <v>26</v>
      </c>
      <c r="AB22" s="2">
        <v>0</v>
      </c>
      <c r="AC22" s="2">
        <v>4.3999999999999997E-2</v>
      </c>
      <c r="AD22" s="42" t="s">
        <v>1371</v>
      </c>
      <c r="AE22" s="42">
        <v>61</v>
      </c>
      <c r="AF22" s="42">
        <v>28</v>
      </c>
      <c r="AG22" s="74"/>
      <c r="AH22" s="55" t="s">
        <v>523</v>
      </c>
      <c r="AI22" s="74">
        <f>AG60</f>
        <v>3.0083709999999999</v>
      </c>
      <c r="AJ22" s="90">
        <f t="shared" si="2"/>
        <v>0</v>
      </c>
      <c r="AL22" s="89">
        <v>64</v>
      </c>
      <c r="AM22" s="2">
        <v>26</v>
      </c>
      <c r="AN22" s="2">
        <v>0</v>
      </c>
      <c r="AO22" s="2">
        <v>2.3E-2</v>
      </c>
      <c r="AP22" s="42" t="s">
        <v>1371</v>
      </c>
      <c r="AQ22" s="42">
        <v>61</v>
      </c>
      <c r="AR22" s="42">
        <v>28</v>
      </c>
      <c r="AS22" s="74"/>
      <c r="AT22" s="55" t="s">
        <v>523</v>
      </c>
      <c r="AU22" s="74">
        <f>AS60</f>
        <v>2.9657819999999999</v>
      </c>
      <c r="AV22" s="90">
        <f t="shared" si="3"/>
        <v>0</v>
      </c>
      <c r="AX22" s="89">
        <v>63</v>
      </c>
      <c r="AY22" s="2">
        <v>27</v>
      </c>
      <c r="AZ22" s="2">
        <v>0</v>
      </c>
      <c r="BA22" s="2">
        <v>1E-3</v>
      </c>
      <c r="BB22" s="42" t="s">
        <v>1371</v>
      </c>
      <c r="BC22" s="42">
        <v>61</v>
      </c>
      <c r="BD22" s="42">
        <v>28</v>
      </c>
      <c r="BE22" s="74"/>
      <c r="BF22" s="55" t="s">
        <v>523</v>
      </c>
      <c r="BG22" s="74">
        <f>BE60</f>
        <v>2.4385110000000001</v>
      </c>
      <c r="BH22" s="90">
        <f t="shared" si="4"/>
        <v>0</v>
      </c>
      <c r="BJ22" s="89">
        <v>67</v>
      </c>
      <c r="BK22" s="2">
        <v>26</v>
      </c>
      <c r="BL22" s="2">
        <v>0</v>
      </c>
      <c r="BM22" s="2">
        <v>3.0000000000000001E-3</v>
      </c>
      <c r="BN22" s="42" t="s">
        <v>1371</v>
      </c>
      <c r="BO22" s="42">
        <v>61</v>
      </c>
      <c r="BP22" s="42">
        <v>28</v>
      </c>
      <c r="BQ22" s="74"/>
      <c r="BR22" s="55" t="s">
        <v>523</v>
      </c>
      <c r="BS22" s="74">
        <f>BQ60</f>
        <v>1.748516</v>
      </c>
      <c r="BT22" s="90">
        <f t="shared" si="5"/>
        <v>0</v>
      </c>
      <c r="BV22" s="89">
        <v>64</v>
      </c>
      <c r="BW22" s="2">
        <v>27</v>
      </c>
      <c r="BX22" s="2">
        <v>0</v>
      </c>
      <c r="BY22" s="2">
        <v>2E-3</v>
      </c>
      <c r="BZ22" s="42" t="s">
        <v>1371</v>
      </c>
      <c r="CA22" s="42">
        <v>61</v>
      </c>
      <c r="CB22" s="42">
        <v>28</v>
      </c>
      <c r="CC22" s="74"/>
      <c r="CD22" s="55" t="s">
        <v>523</v>
      </c>
      <c r="CE22" s="74">
        <f>CC60</f>
        <v>2.0225719999999998</v>
      </c>
      <c r="CF22" s="90">
        <f t="shared" si="6"/>
        <v>0</v>
      </c>
      <c r="CH22" s="89">
        <v>65</v>
      </c>
      <c r="CI22" s="2">
        <v>26</v>
      </c>
      <c r="CJ22" s="2">
        <v>0</v>
      </c>
      <c r="CK22" s="2">
        <v>1E-3</v>
      </c>
      <c r="CL22" s="42" t="s">
        <v>1371</v>
      </c>
      <c r="CM22" s="42">
        <v>61</v>
      </c>
      <c r="CN22" s="42">
        <v>28</v>
      </c>
      <c r="CO22" s="74"/>
      <c r="CP22" s="55" t="s">
        <v>523</v>
      </c>
      <c r="CQ22" s="74">
        <f>CO60</f>
        <v>1.5306960000000001</v>
      </c>
      <c r="CR22" s="90">
        <f t="shared" si="7"/>
        <v>0</v>
      </c>
      <c r="CT22" s="89">
        <v>64</v>
      </c>
      <c r="CU22" s="2">
        <v>26</v>
      </c>
      <c r="CV22" s="2">
        <v>0</v>
      </c>
      <c r="CW22" s="2">
        <v>1E-3</v>
      </c>
      <c r="CX22" s="42" t="s">
        <v>1371</v>
      </c>
      <c r="CY22" s="42">
        <v>61</v>
      </c>
      <c r="CZ22" s="42">
        <v>28</v>
      </c>
      <c r="DA22" s="74"/>
      <c r="DB22" s="55" t="s">
        <v>523</v>
      </c>
      <c r="DC22" s="74">
        <f>DA60</f>
        <v>0.90271199999999996</v>
      </c>
      <c r="DD22" s="90">
        <f t="shared" si="8"/>
        <v>0</v>
      </c>
      <c r="DF22" s="89">
        <v>68</v>
      </c>
      <c r="DG22" s="2">
        <v>27</v>
      </c>
      <c r="DH22" s="2">
        <v>0</v>
      </c>
      <c r="DI22" s="2">
        <v>5.0000000000000001E-4</v>
      </c>
      <c r="DJ22" s="42" t="s">
        <v>1371</v>
      </c>
      <c r="DK22" s="42">
        <v>61</v>
      </c>
      <c r="DL22" s="42">
        <v>28</v>
      </c>
      <c r="DM22" s="74"/>
      <c r="DN22" s="55" t="s">
        <v>523</v>
      </c>
      <c r="DO22" s="74">
        <f>DM60</f>
        <v>2.976416</v>
      </c>
      <c r="DP22" s="90">
        <f t="shared" si="9"/>
        <v>7.8210321996248347E-2</v>
      </c>
      <c r="DR22" s="89">
        <v>64</v>
      </c>
      <c r="DS22" s="2">
        <v>26</v>
      </c>
      <c r="DT22" s="2">
        <v>0</v>
      </c>
      <c r="DU22" s="2">
        <v>7.8E-2</v>
      </c>
      <c r="DV22" s="42" t="s">
        <v>1371</v>
      </c>
      <c r="DW22" s="42">
        <v>61</v>
      </c>
      <c r="DX22" s="42">
        <v>28</v>
      </c>
      <c r="DY22" s="74"/>
      <c r="DZ22" s="55" t="s">
        <v>523</v>
      </c>
      <c r="EA22" s="74">
        <f>DY60</f>
        <v>3.5900379999999998</v>
      </c>
      <c r="EB22" s="90">
        <f t="shared" si="10"/>
        <v>9.6807935754246094E-2</v>
      </c>
      <c r="ED22" s="89">
        <v>64</v>
      </c>
      <c r="EE22" s="2">
        <v>26</v>
      </c>
      <c r="EF22" s="2">
        <v>0</v>
      </c>
      <c r="EG22" s="2">
        <v>1E-3</v>
      </c>
      <c r="EH22" s="42" t="s">
        <v>1371</v>
      </c>
      <c r="EI22" s="42">
        <v>61</v>
      </c>
      <c r="EJ22" s="42">
        <v>28</v>
      </c>
      <c r="EK22" s="74"/>
      <c r="EL22" s="55" t="s">
        <v>523</v>
      </c>
      <c r="EM22" s="74">
        <f>EK60</f>
        <v>1.5902579999999999</v>
      </c>
      <c r="EN22" s="90">
        <f t="shared" si="11"/>
        <v>0</v>
      </c>
      <c r="ES22">
        <v>64</v>
      </c>
      <c r="ET22">
        <v>26</v>
      </c>
      <c r="EU22">
        <v>0</v>
      </c>
      <c r="EV22">
        <v>1E-3</v>
      </c>
    </row>
    <row r="23" spans="1:152" x14ac:dyDescent="0.4">
      <c r="A23" s="89"/>
      <c r="B23" s="2"/>
      <c r="C23" s="2"/>
      <c r="D23" s="2"/>
      <c r="E23" s="42" t="s">
        <v>1371</v>
      </c>
      <c r="F23" s="42">
        <v>62</v>
      </c>
      <c r="G23" s="42">
        <v>28</v>
      </c>
      <c r="H23" s="74"/>
      <c r="I23" s="55" t="s">
        <v>1361</v>
      </c>
      <c r="J23" s="74">
        <f>H61</f>
        <v>0</v>
      </c>
      <c r="K23" s="6" t="e">
        <f t="shared" si="1"/>
        <v>#DIV/0!</v>
      </c>
      <c r="N23" s="89">
        <v>65</v>
      </c>
      <c r="O23" s="2">
        <v>26</v>
      </c>
      <c r="P23" s="2">
        <v>0</v>
      </c>
      <c r="Q23" s="2">
        <v>3.2000000000000001E-2</v>
      </c>
      <c r="R23" s="42" t="s">
        <v>1371</v>
      </c>
      <c r="S23" s="42">
        <v>62</v>
      </c>
      <c r="T23" s="42">
        <v>28</v>
      </c>
      <c r="U23" s="74"/>
      <c r="V23" s="55" t="s">
        <v>1361</v>
      </c>
      <c r="W23" s="74">
        <f>U61</f>
        <v>3.721406</v>
      </c>
      <c r="X23" s="90">
        <f t="shared" si="0"/>
        <v>0.11244601693220506</v>
      </c>
      <c r="Z23" s="89">
        <v>65</v>
      </c>
      <c r="AA23" s="2">
        <v>26</v>
      </c>
      <c r="AB23" s="2">
        <v>0</v>
      </c>
      <c r="AC23" s="2">
        <v>3.4000000000000002E-2</v>
      </c>
      <c r="AD23" s="42" t="s">
        <v>1371</v>
      </c>
      <c r="AE23" s="42">
        <v>62</v>
      </c>
      <c r="AF23" s="42">
        <v>28</v>
      </c>
      <c r="AG23" s="74"/>
      <c r="AH23" s="55" t="s">
        <v>1361</v>
      </c>
      <c r="AI23" s="74">
        <f>AG61</f>
        <v>3.0647380000000002</v>
      </c>
      <c r="AJ23" s="90">
        <f t="shared" si="2"/>
        <v>9.0225271614624278E-2</v>
      </c>
      <c r="AL23" s="89">
        <v>65</v>
      </c>
      <c r="AM23" s="2">
        <v>26</v>
      </c>
      <c r="AN23" s="2">
        <v>0</v>
      </c>
      <c r="AO23" s="2">
        <v>1.0999999999999999E-2</v>
      </c>
      <c r="AP23" s="42" t="s">
        <v>1371</v>
      </c>
      <c r="AQ23" s="42">
        <v>62</v>
      </c>
      <c r="AR23" s="42">
        <v>28</v>
      </c>
      <c r="AS23" s="74"/>
      <c r="AT23" s="55" t="s">
        <v>1361</v>
      </c>
      <c r="AU23" s="74">
        <f>AS61</f>
        <v>3.4801630000000001</v>
      </c>
      <c r="AV23" s="90">
        <f t="shared" si="3"/>
        <v>9.1894219180336398E-2</v>
      </c>
      <c r="AX23" s="89">
        <v>64</v>
      </c>
      <c r="AY23" s="2">
        <v>27</v>
      </c>
      <c r="AZ23" s="2">
        <v>0</v>
      </c>
      <c r="BA23" s="2">
        <v>1E-3</v>
      </c>
      <c r="BB23" s="42" t="s">
        <v>1371</v>
      </c>
      <c r="BC23" s="42">
        <v>62</v>
      </c>
      <c r="BD23" s="42">
        <v>28</v>
      </c>
      <c r="BE23" s="74"/>
      <c r="BF23" s="55" t="s">
        <v>1361</v>
      </c>
      <c r="BG23" s="74">
        <f>BE61</f>
        <v>2.4318179999999998</v>
      </c>
      <c r="BH23" s="90">
        <f t="shared" si="4"/>
        <v>0</v>
      </c>
      <c r="BJ23" s="89">
        <v>59</v>
      </c>
      <c r="BK23" s="2">
        <v>27</v>
      </c>
      <c r="BL23" s="2">
        <v>0</v>
      </c>
      <c r="BM23" s="2">
        <v>1E-3</v>
      </c>
      <c r="BN23" s="42" t="s">
        <v>1371</v>
      </c>
      <c r="BO23" s="42">
        <v>62</v>
      </c>
      <c r="BP23" s="42">
        <v>28</v>
      </c>
      <c r="BQ23" s="74"/>
      <c r="BR23" s="55" t="s">
        <v>1361</v>
      </c>
      <c r="BS23" s="74">
        <f>BQ61</f>
        <v>1.6186449999999999</v>
      </c>
      <c r="BT23" s="90">
        <f t="shared" si="5"/>
        <v>0</v>
      </c>
      <c r="BV23" s="89">
        <v>65</v>
      </c>
      <c r="BW23" s="2">
        <v>27</v>
      </c>
      <c r="BX23" s="2">
        <v>0</v>
      </c>
      <c r="BY23" s="2">
        <v>5.0000000000000001E-3</v>
      </c>
      <c r="BZ23" s="42" t="s">
        <v>1371</v>
      </c>
      <c r="CA23" s="42">
        <v>62</v>
      </c>
      <c r="CB23" s="42">
        <v>28</v>
      </c>
      <c r="CC23" s="74"/>
      <c r="CD23" s="55" t="s">
        <v>1361</v>
      </c>
      <c r="CE23" s="74">
        <f>CC61</f>
        <v>1.774127</v>
      </c>
      <c r="CF23" s="90">
        <f t="shared" si="6"/>
        <v>0</v>
      </c>
      <c r="CH23" s="89">
        <v>66</v>
      </c>
      <c r="CI23" s="2">
        <v>26</v>
      </c>
      <c r="CJ23" s="2">
        <v>0</v>
      </c>
      <c r="CK23" s="2">
        <v>2E-3</v>
      </c>
      <c r="CL23" s="42" t="s">
        <v>1371</v>
      </c>
      <c r="CM23" s="42">
        <v>62</v>
      </c>
      <c r="CN23" s="42">
        <v>28</v>
      </c>
      <c r="CO23" s="74"/>
      <c r="CP23" s="55" t="s">
        <v>1361</v>
      </c>
      <c r="CQ23" s="74">
        <f>CO61</f>
        <v>1.342015</v>
      </c>
      <c r="CR23" s="90">
        <f t="shared" si="7"/>
        <v>0</v>
      </c>
      <c r="CT23" s="89">
        <v>65</v>
      </c>
      <c r="CU23" s="2">
        <v>26</v>
      </c>
      <c r="CV23" s="2">
        <v>0</v>
      </c>
      <c r="CW23" s="2">
        <v>3.0000000000000001E-3</v>
      </c>
      <c r="CX23" s="42" t="s">
        <v>1371</v>
      </c>
      <c r="CY23" s="42">
        <v>62</v>
      </c>
      <c r="CZ23" s="42">
        <v>28</v>
      </c>
      <c r="DA23" s="74"/>
      <c r="DB23" s="55" t="s">
        <v>1361</v>
      </c>
      <c r="DC23" s="74">
        <f>DA61</f>
        <v>0.839978</v>
      </c>
      <c r="DD23" s="90">
        <f t="shared" si="8"/>
        <v>0</v>
      </c>
      <c r="DF23" s="89">
        <v>68</v>
      </c>
      <c r="DG23" s="2">
        <v>27</v>
      </c>
      <c r="DH23" s="2">
        <v>1</v>
      </c>
      <c r="DI23" s="2">
        <v>1E-3</v>
      </c>
      <c r="DJ23" s="42" t="s">
        <v>1371</v>
      </c>
      <c r="DK23" s="42">
        <v>62</v>
      </c>
      <c r="DL23" s="42">
        <v>28</v>
      </c>
      <c r="DM23" s="74"/>
      <c r="DN23" s="55" t="s">
        <v>1361</v>
      </c>
      <c r="DO23" s="74">
        <f>DM61</f>
        <v>2.7049910000000001</v>
      </c>
      <c r="DP23" s="90">
        <f t="shared" si="9"/>
        <v>0</v>
      </c>
      <c r="DR23" s="89">
        <v>65</v>
      </c>
      <c r="DS23" s="2">
        <v>26</v>
      </c>
      <c r="DT23" s="2">
        <v>0</v>
      </c>
      <c r="DU23" s="2">
        <v>7.3000010000000004E-2</v>
      </c>
      <c r="DV23" s="42" t="s">
        <v>1371</v>
      </c>
      <c r="DW23" s="42">
        <v>62</v>
      </c>
      <c r="DX23" s="42">
        <v>28</v>
      </c>
      <c r="DY23" s="74"/>
      <c r="DZ23" s="55" t="s">
        <v>1361</v>
      </c>
      <c r="EA23" s="74">
        <f>DY61</f>
        <v>3.4028309999999999</v>
      </c>
      <c r="EB23" s="90">
        <f t="shared" si="10"/>
        <v>0</v>
      </c>
      <c r="ED23" s="89">
        <v>65</v>
      </c>
      <c r="EE23" s="2">
        <v>26</v>
      </c>
      <c r="EF23" s="2">
        <v>0</v>
      </c>
      <c r="EG23" s="2">
        <v>1E-3</v>
      </c>
      <c r="EH23" s="42" t="s">
        <v>1371</v>
      </c>
      <c r="EI23" s="42">
        <v>62</v>
      </c>
      <c r="EJ23" s="42">
        <v>28</v>
      </c>
      <c r="EK23" s="74"/>
      <c r="EL23" s="55" t="s">
        <v>1361</v>
      </c>
      <c r="EM23" s="74">
        <f>EK61</f>
        <v>1.41194</v>
      </c>
      <c r="EN23" s="90">
        <f t="shared" si="11"/>
        <v>0</v>
      </c>
      <c r="ES23">
        <v>65</v>
      </c>
      <c r="ET23">
        <v>26</v>
      </c>
      <c r="EU23">
        <v>0</v>
      </c>
      <c r="EV23">
        <v>1E-3</v>
      </c>
    </row>
    <row r="24" spans="1:152" x14ac:dyDescent="0.4">
      <c r="A24" s="89"/>
      <c r="B24" s="2"/>
      <c r="C24" s="2"/>
      <c r="D24" s="2"/>
      <c r="E24" s="42" t="s">
        <v>1371</v>
      </c>
      <c r="F24" s="42">
        <v>63</v>
      </c>
      <c r="G24" s="42">
        <v>28</v>
      </c>
      <c r="H24" s="74"/>
      <c r="I24" s="55" t="s">
        <v>1360</v>
      </c>
      <c r="J24" s="74">
        <f>H62</f>
        <v>0</v>
      </c>
      <c r="K24" s="6" t="e">
        <f t="shared" si="1"/>
        <v>#DIV/0!</v>
      </c>
      <c r="N24" s="89">
        <v>66</v>
      </c>
      <c r="O24" s="2">
        <v>26</v>
      </c>
      <c r="P24" s="2">
        <v>0</v>
      </c>
      <c r="Q24" s="2">
        <v>3.5000000000000003E-2</v>
      </c>
      <c r="R24" s="42" t="s">
        <v>1371</v>
      </c>
      <c r="S24" s="42">
        <v>63</v>
      </c>
      <c r="T24" s="42">
        <v>28</v>
      </c>
      <c r="U24" s="74"/>
      <c r="V24" s="55" t="s">
        <v>1360</v>
      </c>
      <c r="W24" s="74">
        <f>U62</f>
        <v>15.846105</v>
      </c>
      <c r="X24" s="90">
        <f t="shared" si="0"/>
        <v>0.47880596504103534</v>
      </c>
      <c r="Z24" s="89">
        <v>66</v>
      </c>
      <c r="AA24" s="2">
        <v>26</v>
      </c>
      <c r="AB24" s="2">
        <v>0</v>
      </c>
      <c r="AC24" s="2">
        <v>1.6E-2</v>
      </c>
      <c r="AD24" s="42" t="s">
        <v>1371</v>
      </c>
      <c r="AE24" s="42">
        <v>63</v>
      </c>
      <c r="AF24" s="42">
        <v>28</v>
      </c>
      <c r="AG24" s="74"/>
      <c r="AH24" s="55" t="s">
        <v>1360</v>
      </c>
      <c r="AI24" s="74">
        <f>AG62</f>
        <v>15.101592999999998</v>
      </c>
      <c r="AJ24" s="90">
        <f t="shared" si="2"/>
        <v>0.44458786696889208</v>
      </c>
      <c r="AL24" s="89">
        <v>66</v>
      </c>
      <c r="AM24" s="2">
        <v>26</v>
      </c>
      <c r="AN24" s="2">
        <v>0</v>
      </c>
      <c r="AO24" s="2">
        <v>0.01</v>
      </c>
      <c r="AP24" s="42" t="s">
        <v>1371</v>
      </c>
      <c r="AQ24" s="42">
        <v>63</v>
      </c>
      <c r="AR24" s="42">
        <v>28</v>
      </c>
      <c r="AS24" s="74"/>
      <c r="AT24" s="55" t="s">
        <v>1360</v>
      </c>
      <c r="AU24" s="74">
        <f>AS62</f>
        <v>15.604009000000001</v>
      </c>
      <c r="AV24" s="90">
        <f t="shared" si="3"/>
        <v>0.41202616749213811</v>
      </c>
      <c r="AX24" s="89">
        <v>65</v>
      </c>
      <c r="AY24" s="2">
        <v>27</v>
      </c>
      <c r="AZ24" s="2">
        <v>0</v>
      </c>
      <c r="BA24" s="2">
        <v>1E-3</v>
      </c>
      <c r="BB24" s="42" t="s">
        <v>1371</v>
      </c>
      <c r="BC24" s="42">
        <v>63</v>
      </c>
      <c r="BD24" s="42">
        <v>28</v>
      </c>
      <c r="BE24" s="74"/>
      <c r="BF24" s="55" t="s">
        <v>1360</v>
      </c>
      <c r="BG24" s="74">
        <f>BE62</f>
        <v>11.658296</v>
      </c>
      <c r="BH24" s="90">
        <f t="shared" si="4"/>
        <v>0.30240519918039777</v>
      </c>
      <c r="BJ24" s="89">
        <v>61</v>
      </c>
      <c r="BK24" s="2">
        <v>27</v>
      </c>
      <c r="BL24" s="2">
        <v>0</v>
      </c>
      <c r="BM24" s="2">
        <v>3.0000000000000001E-3</v>
      </c>
      <c r="BN24" s="42" t="s">
        <v>1371</v>
      </c>
      <c r="BO24" s="42">
        <v>63</v>
      </c>
      <c r="BP24" s="42">
        <v>28</v>
      </c>
      <c r="BQ24" s="74"/>
      <c r="BR24" s="55" t="s">
        <v>1360</v>
      </c>
      <c r="BS24" s="74">
        <f>BQ62</f>
        <v>9.8471759999999993</v>
      </c>
      <c r="BT24" s="90">
        <f t="shared" si="5"/>
        <v>0.25056740314000059</v>
      </c>
      <c r="BV24" s="89">
        <v>66</v>
      </c>
      <c r="BW24" s="2">
        <v>27</v>
      </c>
      <c r="BX24" s="2">
        <v>0</v>
      </c>
      <c r="BY24" s="2">
        <v>2E-3</v>
      </c>
      <c r="BZ24" s="42" t="s">
        <v>1371</v>
      </c>
      <c r="CA24" s="42">
        <v>63</v>
      </c>
      <c r="CB24" s="42">
        <v>28</v>
      </c>
      <c r="CC24" s="74"/>
      <c r="CD24" s="55" t="s">
        <v>1360</v>
      </c>
      <c r="CE24" s="74">
        <f>CC62</f>
        <v>11.269867</v>
      </c>
      <c r="CF24" s="90">
        <f t="shared" si="6"/>
        <v>0.29193579317309959</v>
      </c>
      <c r="CH24" s="89">
        <v>59</v>
      </c>
      <c r="CI24" s="2">
        <v>27</v>
      </c>
      <c r="CJ24" s="2">
        <v>0</v>
      </c>
      <c r="CK24" s="2">
        <v>2E-3</v>
      </c>
      <c r="CL24" s="42" t="s">
        <v>1371</v>
      </c>
      <c r="CM24" s="42">
        <v>63</v>
      </c>
      <c r="CN24" s="42">
        <v>28</v>
      </c>
      <c r="CO24" s="74"/>
      <c r="CP24" s="55" t="s">
        <v>1360</v>
      </c>
      <c r="CQ24" s="74">
        <f>CO62</f>
        <v>8.8995079999999991</v>
      </c>
      <c r="CR24" s="90">
        <f t="shared" si="7"/>
        <v>0.23068319403144052</v>
      </c>
      <c r="CT24" s="89">
        <v>66</v>
      </c>
      <c r="CU24" s="2">
        <v>26</v>
      </c>
      <c r="CV24" s="2">
        <v>0</v>
      </c>
      <c r="CW24" s="2">
        <v>2E-3</v>
      </c>
      <c r="CX24" s="42" t="s">
        <v>1371</v>
      </c>
      <c r="CY24" s="42">
        <v>63</v>
      </c>
      <c r="CZ24" s="42">
        <v>28</v>
      </c>
      <c r="DA24" s="74"/>
      <c r="DB24" s="55" t="s">
        <v>1360</v>
      </c>
      <c r="DC24" s="74">
        <f>DA62</f>
        <v>5.1092319999999996</v>
      </c>
      <c r="DD24" s="90">
        <f t="shared" si="8"/>
        <v>0.13930035094733048</v>
      </c>
      <c r="DF24" s="89">
        <v>62</v>
      </c>
      <c r="DG24" s="2">
        <v>28</v>
      </c>
      <c r="DH24" s="2">
        <v>0</v>
      </c>
      <c r="DI24" s="2">
        <v>1E-3</v>
      </c>
      <c r="DJ24" s="42" t="s">
        <v>1371</v>
      </c>
      <c r="DK24" s="42">
        <v>63</v>
      </c>
      <c r="DL24" s="42">
        <v>28</v>
      </c>
      <c r="DM24" s="74"/>
      <c r="DN24" s="55" t="s">
        <v>1360</v>
      </c>
      <c r="DO24" s="74">
        <f>DM62</f>
        <v>15.087671</v>
      </c>
      <c r="DP24" s="90">
        <f t="shared" si="9"/>
        <v>0.39645385829247598</v>
      </c>
      <c r="DR24" s="89">
        <v>66</v>
      </c>
      <c r="DS24" s="2">
        <v>26</v>
      </c>
      <c r="DT24" s="2">
        <v>0</v>
      </c>
      <c r="DU24" s="2">
        <v>4.5999999999999999E-2</v>
      </c>
      <c r="DV24" s="42" t="s">
        <v>1371</v>
      </c>
      <c r="DW24" s="42">
        <v>63</v>
      </c>
      <c r="DX24" s="42">
        <v>28</v>
      </c>
      <c r="DY24" s="74"/>
      <c r="DZ24" s="55" t="s">
        <v>1360</v>
      </c>
      <c r="EA24" s="74">
        <f>DY62</f>
        <v>16.483108000000001</v>
      </c>
      <c r="EB24" s="90">
        <f t="shared" si="10"/>
        <v>0.44447876604489983</v>
      </c>
      <c r="ED24" s="89">
        <v>69</v>
      </c>
      <c r="EE24" s="2">
        <v>26</v>
      </c>
      <c r="EF24" s="2">
        <v>0</v>
      </c>
      <c r="EG24" s="2">
        <v>1E-3</v>
      </c>
      <c r="EH24" s="42" t="s">
        <v>1371</v>
      </c>
      <c r="EI24" s="42">
        <v>63</v>
      </c>
      <c r="EJ24" s="42">
        <v>28</v>
      </c>
      <c r="EK24" s="74"/>
      <c r="EL24" s="55" t="s">
        <v>1360</v>
      </c>
      <c r="EM24" s="74">
        <f>EK62</f>
        <v>9.2546889999999991</v>
      </c>
      <c r="EN24" s="90">
        <f t="shared" si="11"/>
        <v>0.23953182327837355</v>
      </c>
      <c r="ES24">
        <v>69</v>
      </c>
      <c r="ET24">
        <v>26</v>
      </c>
      <c r="EU24">
        <v>0</v>
      </c>
      <c r="EV24">
        <v>1E-3</v>
      </c>
    </row>
    <row r="25" spans="1:152" x14ac:dyDescent="0.4">
      <c r="A25" s="89"/>
      <c r="B25" s="2"/>
      <c r="C25" s="2"/>
      <c r="D25" s="2"/>
      <c r="E25" s="43" t="s">
        <v>1372</v>
      </c>
      <c r="F25" s="43">
        <v>63</v>
      </c>
      <c r="G25" s="43">
        <v>29</v>
      </c>
      <c r="H25" s="74" cm="1">
        <f t="array" ref="H25">SUM(SUMIFS(D$14:D$1004,B$14:B$1004,G25:G26,A$14:A$1004,F25:F26,C$14:C$1004,0))</f>
        <v>0</v>
      </c>
      <c r="I25" s="55" t="s">
        <v>1359</v>
      </c>
      <c r="J25" s="74">
        <f>H67</f>
        <v>0</v>
      </c>
      <c r="K25" s="6" t="e">
        <f t="shared" si="1"/>
        <v>#DIV/0!</v>
      </c>
      <c r="N25" s="89">
        <v>67</v>
      </c>
      <c r="O25" s="2">
        <v>26</v>
      </c>
      <c r="P25" s="2">
        <v>0</v>
      </c>
      <c r="Q25" s="2">
        <v>9.0000010000000005E-3</v>
      </c>
      <c r="R25" s="43" t="s">
        <v>1372</v>
      </c>
      <c r="S25" s="43">
        <v>63</v>
      </c>
      <c r="T25" s="43">
        <v>29</v>
      </c>
      <c r="U25" s="74" cm="1">
        <f t="array" ref="U25">SUM(SUMIFS(Q$14:Q$1004,O$14:O$1004,T25:T26,N$14:N$1004,S25:S26,P$14:P$1004,0))</f>
        <v>0.378</v>
      </c>
      <c r="V25" s="55" t="s">
        <v>1359</v>
      </c>
      <c r="W25" s="74">
        <f>U67</f>
        <v>4.7E-2</v>
      </c>
      <c r="X25" s="90">
        <f t="shared" si="0"/>
        <v>0</v>
      </c>
      <c r="Z25" s="89">
        <v>67</v>
      </c>
      <c r="AA25" s="2">
        <v>26</v>
      </c>
      <c r="AB25" s="2">
        <v>0</v>
      </c>
      <c r="AC25" s="2">
        <v>7.0000000000000001E-3</v>
      </c>
      <c r="AD25" s="43" t="s">
        <v>1372</v>
      </c>
      <c r="AE25" s="43">
        <v>63</v>
      </c>
      <c r="AF25" s="43">
        <v>29</v>
      </c>
      <c r="AG25" s="74" cm="1">
        <f t="array" ref="AG25">SUM(SUMIFS(AC$14:AC$1004,AA$14:AA$1004,AF25:AF26,Z$14:Z$1004,AE25:AE26,AB$14:AB$1004,0))</f>
        <v>0.185</v>
      </c>
      <c r="AH25" s="55" t="s">
        <v>1359</v>
      </c>
      <c r="AI25" s="74">
        <f>AG67</f>
        <v>2.1000000000000001E-2</v>
      </c>
      <c r="AJ25" s="90">
        <f t="shared" si="2"/>
        <v>0</v>
      </c>
      <c r="AL25" s="89">
        <v>67</v>
      </c>
      <c r="AM25" s="2">
        <v>26</v>
      </c>
      <c r="AN25" s="2">
        <v>0</v>
      </c>
      <c r="AO25" s="2">
        <v>4.0000000000000001E-3</v>
      </c>
      <c r="AP25" s="43" t="s">
        <v>1372</v>
      </c>
      <c r="AQ25" s="43">
        <v>63</v>
      </c>
      <c r="AR25" s="43">
        <v>29</v>
      </c>
      <c r="AS25" s="74" cm="1">
        <f t="array" ref="AS25">SUM(SUMIFS(AO$14:AO$1004,AM$14:AM$1004,AR25:AR26,AL$14:AL$1004,AQ25:AQ26,AN$14:AN$1004,0))</f>
        <v>0.15500000999999999</v>
      </c>
      <c r="AT25" s="55" t="s">
        <v>1359</v>
      </c>
      <c r="AU25" s="74">
        <f>AS67</f>
        <v>0.13</v>
      </c>
      <c r="AV25" s="90">
        <f t="shared" si="3"/>
        <v>0</v>
      </c>
      <c r="AX25" s="89">
        <v>66</v>
      </c>
      <c r="AY25" s="2">
        <v>27</v>
      </c>
      <c r="AZ25" s="2">
        <v>0</v>
      </c>
      <c r="BA25" s="2">
        <v>2E-3</v>
      </c>
      <c r="BB25" s="43" t="s">
        <v>1372</v>
      </c>
      <c r="BC25" s="43">
        <v>63</v>
      </c>
      <c r="BD25" s="43">
        <v>29</v>
      </c>
      <c r="BE25" s="74" cm="1">
        <f t="array" ref="BE25">SUM(SUMIFS(BA$14:BA$1004,AY$14:AY$1004,BD25:BD26,AX$14:AX$1004,BC25:BC26,AZ$14:AZ$1004,0))</f>
        <v>2E-3</v>
      </c>
      <c r="BF25" s="55" t="s">
        <v>1359</v>
      </c>
      <c r="BG25" s="74">
        <f>BE67</f>
        <v>1E-3</v>
      </c>
      <c r="BH25" s="90">
        <f t="shared" si="4"/>
        <v>0</v>
      </c>
      <c r="BJ25" s="89">
        <v>62</v>
      </c>
      <c r="BK25" s="2">
        <v>27</v>
      </c>
      <c r="BL25" s="2">
        <v>0</v>
      </c>
      <c r="BM25" s="2">
        <v>3.0100000000000001E-3</v>
      </c>
      <c r="BN25" s="43" t="s">
        <v>1372</v>
      </c>
      <c r="BO25" s="43">
        <v>63</v>
      </c>
      <c r="BP25" s="43">
        <v>29</v>
      </c>
      <c r="BQ25" s="74" cm="1">
        <f t="array" ref="BQ25">SUM(SUMIFS(BM$14:BM$1004,BK$14:BK$1004,BP25:BP26,BJ$14:BJ$1004,BO25:BO26,BL$14:BL$1004,0))</f>
        <v>1.0000001E-2</v>
      </c>
      <c r="BR25" s="55" t="s">
        <v>1359</v>
      </c>
      <c r="BS25" s="74">
        <f>BQ67</f>
        <v>0</v>
      </c>
      <c r="BT25" s="90">
        <f t="shared" si="5"/>
        <v>0</v>
      </c>
      <c r="BV25" s="89">
        <v>67</v>
      </c>
      <c r="BW25" s="2">
        <v>27</v>
      </c>
      <c r="BX25" s="2">
        <v>0</v>
      </c>
      <c r="BY25" s="2">
        <v>1E-3</v>
      </c>
      <c r="BZ25" s="43" t="s">
        <v>1372</v>
      </c>
      <c r="CA25" s="43">
        <v>63</v>
      </c>
      <c r="CB25" s="43">
        <v>29</v>
      </c>
      <c r="CC25" s="74" cm="1">
        <f t="array" ref="CC25">SUM(SUMIFS(BY$14:BY$1004,BW$14:BW$1004,CB25:CB26,BV$14:BV$1004,CA25:CA26,BX$14:BX$1004,0))</f>
        <v>6.0000000000000001E-3</v>
      </c>
      <c r="CD25" s="55" t="s">
        <v>1359</v>
      </c>
      <c r="CE25" s="74">
        <f>CC67</f>
        <v>0</v>
      </c>
      <c r="CF25" s="90">
        <f t="shared" si="6"/>
        <v>0</v>
      </c>
      <c r="CH25" s="89">
        <v>60</v>
      </c>
      <c r="CI25" s="2">
        <v>27</v>
      </c>
      <c r="CJ25" s="2">
        <v>0</v>
      </c>
      <c r="CK25" s="2">
        <v>1E-3</v>
      </c>
      <c r="CL25" s="43" t="s">
        <v>1372</v>
      </c>
      <c r="CM25" s="43">
        <v>63</v>
      </c>
      <c r="CN25" s="43">
        <v>29</v>
      </c>
      <c r="CO25" s="74" cm="1">
        <f t="array" ref="CO25">SUM(SUMIFS(CK$14:CK$1004,CI$14:CI$1004,CN25:CN26,CH$14:CH$1004,CM25:CM26,CJ$14:CJ$1004,0))</f>
        <v>1.7000000000000001E-2</v>
      </c>
      <c r="CP25" s="55" t="s">
        <v>1359</v>
      </c>
      <c r="CQ25" s="74">
        <f>CO67</f>
        <v>1.2E-2</v>
      </c>
      <c r="CR25" s="90">
        <f t="shared" si="7"/>
        <v>0</v>
      </c>
      <c r="CT25" s="89">
        <v>59</v>
      </c>
      <c r="CU25" s="2">
        <v>27</v>
      </c>
      <c r="CV25" s="2">
        <v>0</v>
      </c>
      <c r="CW25" s="2">
        <v>1E-3</v>
      </c>
      <c r="CX25" s="43" t="s">
        <v>1372</v>
      </c>
      <c r="CY25" s="43">
        <v>63</v>
      </c>
      <c r="CZ25" s="43">
        <v>29</v>
      </c>
      <c r="DA25" s="74" cm="1">
        <f t="array" ref="DA25">SUM(SUMIFS(CW$14:CW$1004,CU$14:CU$1004,CZ25:CZ26,CT$14:CT$1004,CY25:CY26,CV$14:CV$1004,0))</f>
        <v>1.7000000000000001E-2</v>
      </c>
      <c r="DB25" s="55" t="s">
        <v>1359</v>
      </c>
      <c r="DC25" s="74">
        <f>DA67</f>
        <v>4.0000000000000001E-3</v>
      </c>
      <c r="DD25" s="90">
        <f t="shared" si="8"/>
        <v>0</v>
      </c>
      <c r="DF25" s="89">
        <v>66</v>
      </c>
      <c r="DG25" s="2">
        <v>28</v>
      </c>
      <c r="DH25" s="2">
        <v>0</v>
      </c>
      <c r="DI25" s="2">
        <v>4.0000000000000001E-3</v>
      </c>
      <c r="DJ25" s="43" t="s">
        <v>1372</v>
      </c>
      <c r="DK25" s="43">
        <v>63</v>
      </c>
      <c r="DL25" s="43">
        <v>29</v>
      </c>
      <c r="DM25" s="74" cm="1">
        <f t="array" ref="DM25">SUM(SUMIFS(DI$14:DI$1004,DG$14:DG$1004,DL25:DL26,DF$14:DF$1004,DK25:DK26,DH$14:DH$1004,0))</f>
        <v>0</v>
      </c>
      <c r="DN25" s="55" t="s">
        <v>1359</v>
      </c>
      <c r="DO25" s="74">
        <f>DM67</f>
        <v>0</v>
      </c>
      <c r="DP25" s="90">
        <f t="shared" si="9"/>
        <v>0</v>
      </c>
      <c r="DR25" s="89">
        <v>67</v>
      </c>
      <c r="DS25" s="2">
        <v>26</v>
      </c>
      <c r="DT25" s="2">
        <v>0</v>
      </c>
      <c r="DU25" s="2">
        <v>1.6E-2</v>
      </c>
      <c r="DV25" s="43" t="s">
        <v>1372</v>
      </c>
      <c r="DW25" s="43">
        <v>63</v>
      </c>
      <c r="DX25" s="43">
        <v>29</v>
      </c>
      <c r="DY25" s="74" cm="1">
        <f t="array" ref="DY25">SUM(SUMIFS(DU$14:DU$1004,DS$14:DS$1004,DX25:DX26,DR$14:DR$1004,DW25:DW26,DT$14:DT$1004,0))</f>
        <v>0.30399999999999999</v>
      </c>
      <c r="DZ25" s="55" t="s">
        <v>1359</v>
      </c>
      <c r="EA25" s="74">
        <f>DY67</f>
        <v>4.0000000000000001E-3</v>
      </c>
      <c r="EB25" s="90">
        <f t="shared" si="10"/>
        <v>0</v>
      </c>
      <c r="ED25" s="89">
        <v>59</v>
      </c>
      <c r="EE25" s="2">
        <v>27</v>
      </c>
      <c r="EF25" s="2">
        <v>0</v>
      </c>
      <c r="EG25" s="2">
        <v>1E-3</v>
      </c>
      <c r="EH25" s="43" t="s">
        <v>1372</v>
      </c>
      <c r="EI25" s="43">
        <v>63</v>
      </c>
      <c r="EJ25" s="43">
        <v>29</v>
      </c>
      <c r="EK25" s="74" cm="1">
        <f t="array" ref="EK25">SUM(SUMIFS(EG$14:EG$1004,EE$14:EE$1004,EJ25:EJ26,ED$14:ED$1004,EI25:EI26,EF$14:EF$1004,0))</f>
        <v>4.0000000000000001E-3</v>
      </c>
      <c r="EL25" s="55" t="s">
        <v>1359</v>
      </c>
      <c r="EM25" s="74">
        <f>EK67</f>
        <v>0</v>
      </c>
      <c r="EN25" s="90">
        <f t="shared" si="11"/>
        <v>0</v>
      </c>
      <c r="ES25">
        <v>59</v>
      </c>
      <c r="ET25">
        <v>27</v>
      </c>
      <c r="EU25">
        <v>0</v>
      </c>
      <c r="EV25">
        <v>1E-3</v>
      </c>
    </row>
    <row r="26" spans="1:152" x14ac:dyDescent="0.4">
      <c r="A26" s="89"/>
      <c r="B26" s="2"/>
      <c r="C26" s="2"/>
      <c r="D26" s="2"/>
      <c r="E26" s="43" t="s">
        <v>1372</v>
      </c>
      <c r="F26" s="43">
        <v>65</v>
      </c>
      <c r="G26" s="43">
        <v>29</v>
      </c>
      <c r="H26" s="74"/>
      <c r="I26" s="55" t="s">
        <v>1376</v>
      </c>
      <c r="J26" s="74">
        <f>H68</f>
        <v>0</v>
      </c>
      <c r="K26" s="6" t="e">
        <f t="shared" si="1"/>
        <v>#DIV/0!</v>
      </c>
      <c r="N26" s="89">
        <v>68</v>
      </c>
      <c r="O26" s="2">
        <v>26</v>
      </c>
      <c r="P26" s="2">
        <v>0</v>
      </c>
      <c r="Q26" s="2">
        <v>4.0000000000000001E-3</v>
      </c>
      <c r="R26" s="43" t="s">
        <v>1372</v>
      </c>
      <c r="S26" s="43">
        <v>65</v>
      </c>
      <c r="T26" s="43">
        <v>29</v>
      </c>
      <c r="U26" s="74"/>
      <c r="V26" s="55" t="s">
        <v>1376</v>
      </c>
      <c r="W26" s="74">
        <f>U68</f>
        <v>18.432186000000002</v>
      </c>
      <c r="X26" s="90">
        <f t="shared" si="0"/>
        <v>0.55694699773514456</v>
      </c>
      <c r="Z26" s="89">
        <v>68</v>
      </c>
      <c r="AA26" s="2">
        <v>26</v>
      </c>
      <c r="AB26" s="2">
        <v>0</v>
      </c>
      <c r="AC26" s="2">
        <v>3.0000000000000001E-3</v>
      </c>
      <c r="AD26" s="43" t="s">
        <v>1372</v>
      </c>
      <c r="AE26" s="43">
        <v>65</v>
      </c>
      <c r="AF26" s="43">
        <v>29</v>
      </c>
      <c r="AG26" s="74"/>
      <c r="AH26" s="55" t="s">
        <v>1376</v>
      </c>
      <c r="AI26" s="74">
        <f>AG68</f>
        <v>18.047519999999999</v>
      </c>
      <c r="AJ26" s="90">
        <f t="shared" si="2"/>
        <v>0.53131536658936707</v>
      </c>
      <c r="AL26" s="89">
        <v>70</v>
      </c>
      <c r="AM26" s="2">
        <v>26</v>
      </c>
      <c r="AN26" s="2">
        <v>0</v>
      </c>
      <c r="AO26" s="2">
        <v>1E-3</v>
      </c>
      <c r="AP26" s="43" t="s">
        <v>1372</v>
      </c>
      <c r="AQ26" s="43">
        <v>65</v>
      </c>
      <c r="AR26" s="43">
        <v>29</v>
      </c>
      <c r="AS26" s="74"/>
      <c r="AT26" s="55" t="s">
        <v>1376</v>
      </c>
      <c r="AU26" s="74">
        <f>AS68</f>
        <v>20.503694999999997</v>
      </c>
      <c r="AV26" s="90">
        <f t="shared" si="3"/>
        <v>0.54140310161816196</v>
      </c>
      <c r="AX26" s="89">
        <v>67</v>
      </c>
      <c r="AY26" s="2">
        <v>27</v>
      </c>
      <c r="AZ26" s="2">
        <v>0</v>
      </c>
      <c r="BA26" s="2">
        <v>3.0000000000000001E-3</v>
      </c>
      <c r="BB26" s="43" t="s">
        <v>1372</v>
      </c>
      <c r="BC26" s="43">
        <v>65</v>
      </c>
      <c r="BD26" s="43">
        <v>29</v>
      </c>
      <c r="BE26" s="74"/>
      <c r="BF26" s="55" t="s">
        <v>1376</v>
      </c>
      <c r="BG26" s="74">
        <f>BE68</f>
        <v>12.029343000000001</v>
      </c>
      <c r="BH26" s="90">
        <f t="shared" si="4"/>
        <v>0.31202980829482491</v>
      </c>
      <c r="BJ26" s="89">
        <v>62</v>
      </c>
      <c r="BK26" s="2">
        <v>27</v>
      </c>
      <c r="BL26" s="2">
        <v>1</v>
      </c>
      <c r="BM26" s="2">
        <v>1E-3</v>
      </c>
      <c r="BN26" s="43" t="s">
        <v>1372</v>
      </c>
      <c r="BO26" s="43">
        <v>65</v>
      </c>
      <c r="BP26" s="43">
        <v>29</v>
      </c>
      <c r="BQ26" s="74"/>
      <c r="BR26" s="55" t="s">
        <v>1376</v>
      </c>
      <c r="BS26" s="74">
        <f>BQ68</f>
        <v>12.967774</v>
      </c>
      <c r="BT26" s="90">
        <f t="shared" si="5"/>
        <v>0.32997292377900206</v>
      </c>
      <c r="BV26" s="89">
        <v>68</v>
      </c>
      <c r="BW26" s="2">
        <v>27</v>
      </c>
      <c r="BX26" s="2">
        <v>0</v>
      </c>
      <c r="BY26" s="2">
        <v>1.6666669999999999E-3</v>
      </c>
      <c r="BZ26" s="43" t="s">
        <v>1372</v>
      </c>
      <c r="CA26" s="43">
        <v>65</v>
      </c>
      <c r="CB26" s="43">
        <v>29</v>
      </c>
      <c r="CC26" s="74"/>
      <c r="CD26" s="55" t="s">
        <v>1376</v>
      </c>
      <c r="CE26" s="74">
        <f>CC68</f>
        <v>14.136039999999999</v>
      </c>
      <c r="CF26" s="90">
        <f t="shared" si="6"/>
        <v>0.3661814331727839</v>
      </c>
      <c r="CH26" s="89">
        <v>61</v>
      </c>
      <c r="CI26" s="2">
        <v>27</v>
      </c>
      <c r="CJ26" s="2">
        <v>0</v>
      </c>
      <c r="CK26" s="2">
        <v>4.0000000000000001E-3</v>
      </c>
      <c r="CL26" s="43" t="s">
        <v>1372</v>
      </c>
      <c r="CM26" s="43">
        <v>65</v>
      </c>
      <c r="CN26" s="43">
        <v>29</v>
      </c>
      <c r="CO26" s="74"/>
      <c r="CP26" s="55" t="s">
        <v>1376</v>
      </c>
      <c r="CQ26" s="74">
        <f>CO68</f>
        <v>12.624993</v>
      </c>
      <c r="CR26" s="90">
        <f t="shared" si="7"/>
        <v>0.32725109184289497</v>
      </c>
      <c r="CT26" s="89">
        <v>61</v>
      </c>
      <c r="CU26" s="2">
        <v>27</v>
      </c>
      <c r="CV26" s="2">
        <v>0</v>
      </c>
      <c r="CW26" s="2">
        <v>3.0000000000000001E-3</v>
      </c>
      <c r="CX26" s="43" t="s">
        <v>1372</v>
      </c>
      <c r="CY26" s="43">
        <v>65</v>
      </c>
      <c r="CZ26" s="43">
        <v>29</v>
      </c>
      <c r="DA26" s="74"/>
      <c r="DB26" s="55" t="s">
        <v>1376</v>
      </c>
      <c r="DC26" s="74">
        <f>DA68</f>
        <v>7.9539349999999995</v>
      </c>
      <c r="DD26" s="90">
        <f t="shared" si="8"/>
        <v>0.21685958612023395</v>
      </c>
      <c r="DF26" s="89">
        <v>67</v>
      </c>
      <c r="DG26" s="2">
        <v>28</v>
      </c>
      <c r="DH26" s="2">
        <v>0</v>
      </c>
      <c r="DI26" s="2">
        <v>1E-3</v>
      </c>
      <c r="DJ26" s="43" t="s">
        <v>1372</v>
      </c>
      <c r="DK26" s="43">
        <v>65</v>
      </c>
      <c r="DL26" s="43">
        <v>29</v>
      </c>
      <c r="DM26" s="74"/>
      <c r="DN26" s="55" t="s">
        <v>1376</v>
      </c>
      <c r="DO26" s="74">
        <f>DM68</f>
        <v>16.917384999999999</v>
      </c>
      <c r="DP26" s="90">
        <f t="shared" si="9"/>
        <v>0.44453266216298454</v>
      </c>
      <c r="DR26" s="89">
        <v>68</v>
      </c>
      <c r="DS26" s="2">
        <v>26</v>
      </c>
      <c r="DT26" s="2">
        <v>0</v>
      </c>
      <c r="DU26" s="2">
        <v>1.0999999999999999E-2</v>
      </c>
      <c r="DV26" s="43" t="s">
        <v>1372</v>
      </c>
      <c r="DW26" s="43">
        <v>65</v>
      </c>
      <c r="DX26" s="43">
        <v>29</v>
      </c>
      <c r="DY26" s="74"/>
      <c r="DZ26" s="55" t="s">
        <v>1376</v>
      </c>
      <c r="EA26" s="74">
        <f>DY68</f>
        <v>18.807327999999998</v>
      </c>
      <c r="EB26" s="90">
        <f t="shared" si="10"/>
        <v>0.50715301641181332</v>
      </c>
      <c r="ED26" s="89">
        <v>61</v>
      </c>
      <c r="EE26" s="2">
        <v>27</v>
      </c>
      <c r="EF26" s="2">
        <v>0</v>
      </c>
      <c r="EG26" s="2">
        <v>1E-3</v>
      </c>
      <c r="EH26" s="43" t="s">
        <v>1372</v>
      </c>
      <c r="EI26" s="43">
        <v>65</v>
      </c>
      <c r="EJ26" s="43">
        <v>29</v>
      </c>
      <c r="EK26" s="74"/>
      <c r="EL26" s="55" t="s">
        <v>1376</v>
      </c>
      <c r="EM26" s="74">
        <f>EK68</f>
        <v>12.921814001</v>
      </c>
      <c r="EN26" s="90">
        <f t="shared" si="11"/>
        <v>0.3344451302170765</v>
      </c>
      <c r="ES26">
        <v>61</v>
      </c>
      <c r="ET26">
        <v>27</v>
      </c>
      <c r="EU26">
        <v>0</v>
      </c>
      <c r="EV26">
        <v>1E-3</v>
      </c>
    </row>
    <row r="27" spans="1:152" x14ac:dyDescent="0.4">
      <c r="A27" s="89"/>
      <c r="B27" s="2"/>
      <c r="C27" s="2"/>
      <c r="D27" s="2"/>
      <c r="E27" s="42" t="s">
        <v>1373</v>
      </c>
      <c r="F27" s="42">
        <v>64</v>
      </c>
      <c r="G27" s="42">
        <v>30</v>
      </c>
      <c r="H27" s="74" cm="1">
        <f t="array" ref="H27">SUM(SUMIFS(D$14:D$1004,B$14:B$1004,G27:G31,A$14:A$1004,F27:F31,C$14:C$1004,0))</f>
        <v>0</v>
      </c>
      <c r="I27" s="55" t="s">
        <v>548</v>
      </c>
      <c r="J27" s="74">
        <f>H85</f>
        <v>0</v>
      </c>
      <c r="K27" s="6" t="e">
        <f t="shared" si="1"/>
        <v>#DIV/0!</v>
      </c>
      <c r="N27" s="89">
        <v>69</v>
      </c>
      <c r="O27" s="2">
        <v>26</v>
      </c>
      <c r="P27" s="2">
        <v>0</v>
      </c>
      <c r="Q27" s="2">
        <v>1E-3</v>
      </c>
      <c r="R27" s="42" t="s">
        <v>1373</v>
      </c>
      <c r="S27" s="42">
        <v>64</v>
      </c>
      <c r="T27" s="42">
        <v>30</v>
      </c>
      <c r="U27" s="74" cm="1">
        <f t="array" ref="U27">SUM(SUMIFS(Q$14:Q$1004,O$14:O$1004,T27:T31,N$14:N$1004,S27:S31,P$14:P$1004,0))</f>
        <v>1.5357612</v>
      </c>
      <c r="V27" s="55" t="s">
        <v>548</v>
      </c>
      <c r="W27" s="74">
        <f>U85</f>
        <v>2.8686250000000002</v>
      </c>
      <c r="X27" s="90">
        <f t="shared" si="0"/>
        <v>0</v>
      </c>
      <c r="Z27" s="89">
        <v>69</v>
      </c>
      <c r="AA27" s="2">
        <v>26</v>
      </c>
      <c r="AB27" s="2">
        <v>0</v>
      </c>
      <c r="AC27" s="2">
        <v>1E-3</v>
      </c>
      <c r="AD27" s="42" t="s">
        <v>1373</v>
      </c>
      <c r="AE27" s="42">
        <v>64</v>
      </c>
      <c r="AF27" s="42">
        <v>30</v>
      </c>
      <c r="AG27" s="74" cm="1">
        <f t="array" ref="AG27">SUM(SUMIFS(AC$14:AC$1004,AA$14:AA$1004,AF27:AF31,Z$14:Z$1004,AE27:AE31,AB$14:AB$1004,0))</f>
        <v>0.75628209999999996</v>
      </c>
      <c r="AH27" s="55" t="s">
        <v>548</v>
      </c>
      <c r="AI27" s="74">
        <f>AG85</f>
        <v>3.5866850000000001</v>
      </c>
      <c r="AJ27" s="90">
        <f t="shared" si="2"/>
        <v>0.1055912865377395</v>
      </c>
      <c r="AL27" s="89">
        <v>59</v>
      </c>
      <c r="AM27" s="2">
        <v>27</v>
      </c>
      <c r="AN27" s="2">
        <v>0</v>
      </c>
      <c r="AO27" s="2">
        <v>2.8000000000000001E-2</v>
      </c>
      <c r="AP27" s="42" t="s">
        <v>1373</v>
      </c>
      <c r="AQ27" s="42">
        <v>64</v>
      </c>
      <c r="AR27" s="42">
        <v>30</v>
      </c>
      <c r="AS27" s="74" cm="1">
        <f t="array" ref="AS27">SUM(SUMIFS(AO$14:AO$1004,AM$14:AM$1004,AR27:AR31,AL$14:AL$1004,AQ27:AQ31,AN$14:AN$1004,0))</f>
        <v>0.79992850000000004</v>
      </c>
      <c r="AT27" s="55" t="s">
        <v>548</v>
      </c>
      <c r="AU27" s="74">
        <f>AS85</f>
        <v>3.1738200000000001</v>
      </c>
      <c r="AV27" s="90">
        <f t="shared" si="3"/>
        <v>8.380518691766313E-2</v>
      </c>
      <c r="AX27" s="89">
        <v>68</v>
      </c>
      <c r="AY27" s="2">
        <v>27</v>
      </c>
      <c r="AZ27" s="2">
        <v>0</v>
      </c>
      <c r="BA27" s="2">
        <v>3.0000000000000001E-3</v>
      </c>
      <c r="BB27" s="42" t="s">
        <v>1373</v>
      </c>
      <c r="BC27" s="42">
        <v>64</v>
      </c>
      <c r="BD27" s="42">
        <v>30</v>
      </c>
      <c r="BE27" s="74" cm="1">
        <f t="array" ref="BE27">SUM(SUMIFS(BA$14:BA$1004,AY$14:AY$1004,BD27:BD31,AX$14:AX$1004,BC27:BC31,AZ$14:AZ$1004,0))</f>
        <v>2.801E-2</v>
      </c>
      <c r="BF27" s="55" t="s">
        <v>548</v>
      </c>
      <c r="BG27" s="74">
        <f>BE85</f>
        <v>4.1839079999999997</v>
      </c>
      <c r="BH27" s="90">
        <f t="shared" si="4"/>
        <v>0.10852662619755576</v>
      </c>
      <c r="BJ27" s="89">
        <v>63</v>
      </c>
      <c r="BK27" s="2">
        <v>27</v>
      </c>
      <c r="BL27" s="2">
        <v>0</v>
      </c>
      <c r="BM27" s="2">
        <v>3.0000000000000001E-3</v>
      </c>
      <c r="BN27" s="42" t="s">
        <v>1373</v>
      </c>
      <c r="BO27" s="42">
        <v>64</v>
      </c>
      <c r="BP27" s="42">
        <v>30</v>
      </c>
      <c r="BQ27" s="74" cm="1">
        <f t="array" ref="BQ27">SUM(SUMIFS(BM$14:BM$1004,BK$14:BK$1004,BP27:BP31,BJ$14:BJ$1004,BO27:BO31,BL$14:BL$1004,0))</f>
        <v>4.4010000000000001E-2</v>
      </c>
      <c r="BR27" s="55" t="s">
        <v>548</v>
      </c>
      <c r="BS27" s="74">
        <f>BQ85</f>
        <v>3.9797400000000001</v>
      </c>
      <c r="BT27" s="90">
        <f t="shared" si="5"/>
        <v>0.1012669131710844</v>
      </c>
      <c r="BV27" s="89">
        <v>68</v>
      </c>
      <c r="BW27" s="2">
        <v>27</v>
      </c>
      <c r="BX27" s="2">
        <v>1</v>
      </c>
      <c r="BY27" s="2">
        <v>6.6666670000000003E-4</v>
      </c>
      <c r="BZ27" s="42" t="s">
        <v>1373</v>
      </c>
      <c r="CA27" s="42">
        <v>64</v>
      </c>
      <c r="CB27" s="42">
        <v>30</v>
      </c>
      <c r="CC27" s="74" cm="1">
        <f t="array" ref="CC27">SUM(SUMIFS(BY$14:BY$1004,BW$14:BW$1004,CB27:CB31,BV$14:BV$1004,CA27:CA31,BX$14:BX$1004,0))</f>
        <v>3.2000001E-2</v>
      </c>
      <c r="CD27" s="55" t="s">
        <v>548</v>
      </c>
      <c r="CE27" s="74">
        <f>CC85</f>
        <v>3.4516749999999998</v>
      </c>
      <c r="CF27" s="90">
        <f t="shared" si="6"/>
        <v>8.941254399016052E-2</v>
      </c>
      <c r="CH27" s="89">
        <v>63</v>
      </c>
      <c r="CI27" s="2">
        <v>27</v>
      </c>
      <c r="CJ27" s="2">
        <v>0</v>
      </c>
      <c r="CK27" s="2">
        <v>7.0000000000000001E-3</v>
      </c>
      <c r="CL27" s="42" t="s">
        <v>1373</v>
      </c>
      <c r="CM27" s="42">
        <v>64</v>
      </c>
      <c r="CN27" s="42">
        <v>30</v>
      </c>
      <c r="CO27" s="74" cm="1">
        <f t="array" ref="CO27">SUM(SUMIFS(CK$14:CK$1004,CI$14:CI$1004,CN27:CN31,CH$14:CH$1004,CM27:CM31,CJ$14:CJ$1004,0))</f>
        <v>6.6014100000000006E-2</v>
      </c>
      <c r="CP27" s="55" t="s">
        <v>548</v>
      </c>
      <c r="CQ27" s="74">
        <f>CO85</f>
        <v>3.630185</v>
      </c>
      <c r="CR27" s="90">
        <f t="shared" si="7"/>
        <v>9.4097636714863903E-2</v>
      </c>
      <c r="CT27" s="89">
        <v>62</v>
      </c>
      <c r="CU27" s="2">
        <v>27</v>
      </c>
      <c r="CV27" s="2">
        <v>0</v>
      </c>
      <c r="CW27" s="2">
        <v>1E-3</v>
      </c>
      <c r="CX27" s="42" t="s">
        <v>1373</v>
      </c>
      <c r="CY27" s="42">
        <v>64</v>
      </c>
      <c r="CZ27" s="42">
        <v>30</v>
      </c>
      <c r="DA27" s="74" cm="1">
        <f t="array" ref="DA27">SUM(SUMIFS(CW$14:CW$1004,CU$14:CU$1004,CZ27:CZ31,CT$14:CT$1004,CY27:CY31,CV$14:CV$1004,0))</f>
        <v>6.40241E-2</v>
      </c>
      <c r="DB27" s="55" t="s">
        <v>548</v>
      </c>
      <c r="DC27" s="74">
        <f>DA85</f>
        <v>3.1494599999999999</v>
      </c>
      <c r="DD27" s="90">
        <f t="shared" si="8"/>
        <v>0</v>
      </c>
      <c r="DF27" s="89">
        <v>68</v>
      </c>
      <c r="DG27" s="2">
        <v>28</v>
      </c>
      <c r="DH27" s="2">
        <v>0</v>
      </c>
      <c r="DI27" s="2">
        <v>5.0000000000000001E-3</v>
      </c>
      <c r="DJ27" s="42" t="s">
        <v>1373</v>
      </c>
      <c r="DK27" s="42">
        <v>64</v>
      </c>
      <c r="DL27" s="42">
        <v>30</v>
      </c>
      <c r="DM27" s="74" cm="1">
        <f t="array" ref="DM27">SUM(SUMIFS(DI$14:DI$1004,DG$14:DG$1004,DL27:DL31,DF$14:DF$1004,DK27:DK31,DH$14:DH$1004,0))</f>
        <v>2.4E-2</v>
      </c>
      <c r="DN27" s="55" t="s">
        <v>548</v>
      </c>
      <c r="DO27" s="74">
        <f>DM85</f>
        <v>2.5433819999999998</v>
      </c>
      <c r="DP27" s="90">
        <f t="shared" si="9"/>
        <v>0</v>
      </c>
      <c r="DR27" s="89">
        <v>69</v>
      </c>
      <c r="DS27" s="2">
        <v>26</v>
      </c>
      <c r="DT27" s="2">
        <v>0</v>
      </c>
      <c r="DU27" s="2">
        <v>3.0000000000000001E-3</v>
      </c>
      <c r="DV27" s="42" t="s">
        <v>1373</v>
      </c>
      <c r="DW27" s="42">
        <v>64</v>
      </c>
      <c r="DX27" s="42">
        <v>30</v>
      </c>
      <c r="DY27" s="74" cm="1">
        <f t="array" ref="DY27">SUM(SUMIFS(DU$14:DU$1004,DS$14:DS$1004,DX27:DX31,DR$14:DR$1004,DW27:DW31,DT$14:DT$1004,0))</f>
        <v>1.1786443</v>
      </c>
      <c r="DZ27" s="55" t="s">
        <v>548</v>
      </c>
      <c r="EA27" s="74">
        <f>DY85</f>
        <v>4.3466019999999999</v>
      </c>
      <c r="EB27" s="90">
        <f t="shared" si="10"/>
        <v>0.11720922373670629</v>
      </c>
      <c r="ED27" s="89">
        <v>62</v>
      </c>
      <c r="EE27" s="2">
        <v>27</v>
      </c>
      <c r="EF27" s="2">
        <v>0</v>
      </c>
      <c r="EG27" s="2">
        <v>1E-3</v>
      </c>
      <c r="EH27" s="42" t="s">
        <v>1373</v>
      </c>
      <c r="EI27" s="42">
        <v>64</v>
      </c>
      <c r="EJ27" s="42">
        <v>30</v>
      </c>
      <c r="EK27" s="74" cm="1">
        <f t="array" ref="EK27">SUM(SUMIFS(EG$14:EG$1004,EE$14:EE$1004,EJ27:EJ31,ED$14:ED$1004,EI27:EI31,EF$14:EF$1004,0))</f>
        <v>4.4089299999999998E-2</v>
      </c>
      <c r="EL27" s="55" t="s">
        <v>548</v>
      </c>
      <c r="EM27" s="74">
        <f>EK85</f>
        <v>3.7392340000000002</v>
      </c>
      <c r="EN27" s="90">
        <f t="shared" si="11"/>
        <v>9.6779647342496972E-2</v>
      </c>
      <c r="ES27">
        <v>62</v>
      </c>
      <c r="ET27">
        <v>27</v>
      </c>
      <c r="EU27">
        <v>0</v>
      </c>
      <c r="EV27">
        <v>1E-3</v>
      </c>
    </row>
    <row r="28" spans="1:152" x14ac:dyDescent="0.4">
      <c r="A28" s="89"/>
      <c r="B28" s="2"/>
      <c r="C28" s="2"/>
      <c r="D28" s="2"/>
      <c r="E28" s="42" t="s">
        <v>1373</v>
      </c>
      <c r="F28" s="42">
        <v>66</v>
      </c>
      <c r="G28" s="42">
        <v>30</v>
      </c>
      <c r="H28" s="74"/>
      <c r="I28" s="55" t="s">
        <v>1355</v>
      </c>
      <c r="J28" s="74">
        <f>H87</f>
        <v>0</v>
      </c>
      <c r="K28" s="6" t="e">
        <f t="shared" si="1"/>
        <v>#DIV/0!</v>
      </c>
      <c r="N28" s="89">
        <v>70</v>
      </c>
      <c r="O28" s="2">
        <v>26</v>
      </c>
      <c r="P28" s="2">
        <v>0</v>
      </c>
      <c r="Q28" s="2">
        <v>1E-3</v>
      </c>
      <c r="R28" s="42" t="s">
        <v>1373</v>
      </c>
      <c r="S28" s="42">
        <v>66</v>
      </c>
      <c r="T28" s="42">
        <v>30</v>
      </c>
      <c r="U28" s="74"/>
      <c r="V28" s="55" t="s">
        <v>1355</v>
      </c>
      <c r="W28" s="74">
        <f>U87</f>
        <v>10.679186799999998</v>
      </c>
      <c r="X28" s="90">
        <f t="shared" si="0"/>
        <v>0.32268234633226811</v>
      </c>
      <c r="Z28" s="89">
        <v>70</v>
      </c>
      <c r="AA28" s="2">
        <v>26</v>
      </c>
      <c r="AB28" s="2">
        <v>0</v>
      </c>
      <c r="AC28" s="2">
        <v>1E-3</v>
      </c>
      <c r="AD28" s="42" t="s">
        <v>1373</v>
      </c>
      <c r="AE28" s="42">
        <v>66</v>
      </c>
      <c r="AF28" s="42">
        <v>30</v>
      </c>
      <c r="AG28" s="74"/>
      <c r="AH28" s="55" t="s">
        <v>1355</v>
      </c>
      <c r="AI28" s="74">
        <f>AG87</f>
        <v>12.533164600000003</v>
      </c>
      <c r="AJ28" s="90">
        <f t="shared" si="2"/>
        <v>0.3689738503669136</v>
      </c>
      <c r="AL28" s="89">
        <v>60</v>
      </c>
      <c r="AM28" s="2">
        <v>27</v>
      </c>
      <c r="AN28" s="2">
        <v>0</v>
      </c>
      <c r="AO28" s="2">
        <v>1E-3</v>
      </c>
      <c r="AP28" s="42" t="s">
        <v>1373</v>
      </c>
      <c r="AQ28" s="42">
        <v>66</v>
      </c>
      <c r="AR28" s="42">
        <v>30</v>
      </c>
      <c r="AS28" s="74"/>
      <c r="AT28" s="55" t="s">
        <v>1355</v>
      </c>
      <c r="AU28" s="74">
        <f>AS87</f>
        <v>14.389071927</v>
      </c>
      <c r="AV28" s="90">
        <f t="shared" si="3"/>
        <v>0.37994557423355269</v>
      </c>
      <c r="AX28" s="89">
        <v>68</v>
      </c>
      <c r="AY28" s="2">
        <v>27</v>
      </c>
      <c r="AZ28" s="2">
        <v>1</v>
      </c>
      <c r="BA28" s="2">
        <v>4.0000000000000001E-3</v>
      </c>
      <c r="BB28" s="42" t="s">
        <v>1373</v>
      </c>
      <c r="BC28" s="42">
        <v>66</v>
      </c>
      <c r="BD28" s="42">
        <v>30</v>
      </c>
      <c r="BE28" s="74"/>
      <c r="BF28" s="55" t="s">
        <v>1355</v>
      </c>
      <c r="BG28" s="74">
        <f>BE87</f>
        <v>14.060094000000003</v>
      </c>
      <c r="BH28" s="90">
        <f t="shared" si="4"/>
        <v>0.36470557331578446</v>
      </c>
      <c r="BJ28" s="89">
        <v>64</v>
      </c>
      <c r="BK28" s="2">
        <v>27</v>
      </c>
      <c r="BL28" s="2">
        <v>0</v>
      </c>
      <c r="BM28" s="2">
        <v>3.0000000000000001E-3</v>
      </c>
      <c r="BN28" s="42" t="s">
        <v>1373</v>
      </c>
      <c r="BO28" s="42">
        <v>66</v>
      </c>
      <c r="BP28" s="42">
        <v>30</v>
      </c>
      <c r="BQ28" s="74"/>
      <c r="BR28" s="55" t="s">
        <v>1355</v>
      </c>
      <c r="BS28" s="74">
        <f>BQ87</f>
        <v>13.48316956</v>
      </c>
      <c r="BT28" s="90">
        <f t="shared" si="5"/>
        <v>0.34308747835374376</v>
      </c>
      <c r="BV28" s="89">
        <v>70</v>
      </c>
      <c r="BW28" s="2">
        <v>27</v>
      </c>
      <c r="BX28" s="2">
        <v>0</v>
      </c>
      <c r="BY28" s="2">
        <v>2E-3</v>
      </c>
      <c r="BZ28" s="42" t="s">
        <v>1373</v>
      </c>
      <c r="CA28" s="42">
        <v>66</v>
      </c>
      <c r="CB28" s="42">
        <v>30</v>
      </c>
      <c r="CC28" s="74"/>
      <c r="CD28" s="55" t="s">
        <v>1355</v>
      </c>
      <c r="CE28" s="74">
        <f>CC87</f>
        <v>11.080151518000001</v>
      </c>
      <c r="CF28" s="90">
        <f t="shared" si="6"/>
        <v>0.28702138382693015</v>
      </c>
      <c r="CH28" s="89">
        <v>64</v>
      </c>
      <c r="CI28" s="2">
        <v>27</v>
      </c>
      <c r="CJ28" s="2">
        <v>0</v>
      </c>
      <c r="CK28" s="2">
        <v>9.0000010000000005E-3</v>
      </c>
      <c r="CL28" s="42" t="s">
        <v>1373</v>
      </c>
      <c r="CM28" s="42">
        <v>66</v>
      </c>
      <c r="CN28" s="42">
        <v>30</v>
      </c>
      <c r="CO28" s="74"/>
      <c r="CP28" s="55" t="s">
        <v>1355</v>
      </c>
      <c r="CQ28" s="74">
        <f>CO87</f>
        <v>12.39719019</v>
      </c>
      <c r="CR28" s="90">
        <f t="shared" si="7"/>
        <v>0.32134623959486763</v>
      </c>
      <c r="CT28" s="89">
        <v>63</v>
      </c>
      <c r="CU28" s="2">
        <v>27</v>
      </c>
      <c r="CV28" s="2">
        <v>0</v>
      </c>
      <c r="CW28" s="2">
        <v>3.0000000000000001E-3</v>
      </c>
      <c r="CX28" s="42" t="s">
        <v>1373</v>
      </c>
      <c r="CY28" s="42">
        <v>66</v>
      </c>
      <c r="CZ28" s="42">
        <v>30</v>
      </c>
      <c r="DA28" s="74"/>
      <c r="DB28" s="55" t="s">
        <v>1355</v>
      </c>
      <c r="DC28" s="74">
        <f>DA87</f>
        <v>11.412228750000001</v>
      </c>
      <c r="DD28" s="90">
        <f t="shared" si="8"/>
        <v>0.31114802967769228</v>
      </c>
      <c r="DF28" s="89">
        <v>69</v>
      </c>
      <c r="DG28" s="2">
        <v>28</v>
      </c>
      <c r="DH28" s="2">
        <v>0</v>
      </c>
      <c r="DI28" s="2">
        <v>4.4999999999999997E-3</v>
      </c>
      <c r="DJ28" s="42" t="s">
        <v>1373</v>
      </c>
      <c r="DK28" s="42">
        <v>66</v>
      </c>
      <c r="DL28" s="42">
        <v>30</v>
      </c>
      <c r="DM28" s="74"/>
      <c r="DN28" s="55" t="s">
        <v>1355</v>
      </c>
      <c r="DO28" s="74">
        <f>DM87</f>
        <v>7.9462605059999998</v>
      </c>
      <c r="DP28" s="90">
        <f t="shared" si="9"/>
        <v>0.20880132106544624</v>
      </c>
      <c r="DR28" s="89">
        <v>70</v>
      </c>
      <c r="DS28" s="2">
        <v>26</v>
      </c>
      <c r="DT28" s="2">
        <v>0</v>
      </c>
      <c r="DU28" s="2">
        <v>3.0000000000000001E-3</v>
      </c>
      <c r="DV28" s="42" t="s">
        <v>1373</v>
      </c>
      <c r="DW28" s="42">
        <v>66</v>
      </c>
      <c r="DX28" s="42">
        <v>30</v>
      </c>
      <c r="DY28" s="74"/>
      <c r="DZ28" s="55" t="s">
        <v>1355</v>
      </c>
      <c r="EA28" s="74">
        <f>DY87</f>
        <v>12.863753059999997</v>
      </c>
      <c r="EB28" s="90">
        <f t="shared" si="10"/>
        <v>0.3468802780892476</v>
      </c>
      <c r="ED28" s="89">
        <v>63</v>
      </c>
      <c r="EE28" s="2">
        <v>27</v>
      </c>
      <c r="EF28" s="2">
        <v>0</v>
      </c>
      <c r="EG28" s="2">
        <v>2E-3</v>
      </c>
      <c r="EH28" s="42" t="s">
        <v>1373</v>
      </c>
      <c r="EI28" s="42">
        <v>66</v>
      </c>
      <c r="EJ28" s="42">
        <v>30</v>
      </c>
      <c r="EK28" s="74"/>
      <c r="EL28" s="55" t="s">
        <v>1355</v>
      </c>
      <c r="EM28" s="74">
        <f>EK87</f>
        <v>12.060961069999999</v>
      </c>
      <c r="EN28" s="90">
        <f t="shared" si="11"/>
        <v>0.31216435210157611</v>
      </c>
      <c r="ES28">
        <v>63</v>
      </c>
      <c r="ET28">
        <v>27</v>
      </c>
      <c r="EU28">
        <v>0</v>
      </c>
      <c r="EV28">
        <v>2E-3</v>
      </c>
    </row>
    <row r="29" spans="1:152" x14ac:dyDescent="0.4">
      <c r="A29" s="89"/>
      <c r="B29" s="2"/>
      <c r="C29" s="2"/>
      <c r="D29" s="2"/>
      <c r="E29" s="42" t="s">
        <v>1373</v>
      </c>
      <c r="F29" s="42">
        <v>67</v>
      </c>
      <c r="G29" s="42">
        <v>30</v>
      </c>
      <c r="H29" s="74"/>
      <c r="I29" s="55" t="s">
        <v>1354</v>
      </c>
      <c r="J29" s="74">
        <f>H93</f>
        <v>0</v>
      </c>
      <c r="K29" s="6" t="e">
        <f t="shared" si="1"/>
        <v>#DIV/0!</v>
      </c>
      <c r="N29" s="89">
        <v>58</v>
      </c>
      <c r="O29" s="2">
        <v>27</v>
      </c>
      <c r="P29" s="2">
        <v>0</v>
      </c>
      <c r="Q29" s="2">
        <v>1E-3</v>
      </c>
      <c r="R29" s="42" t="s">
        <v>1373</v>
      </c>
      <c r="S29" s="42">
        <v>67</v>
      </c>
      <c r="T29" s="42">
        <v>30</v>
      </c>
      <c r="U29" s="74"/>
      <c r="V29" s="55" t="s">
        <v>1354</v>
      </c>
      <c r="W29" s="74">
        <f>U93</f>
        <v>3.0947560000000003</v>
      </c>
      <c r="X29" s="90">
        <f t="shared" si="0"/>
        <v>9.3511158303351799E-2</v>
      </c>
      <c r="Z29" s="89">
        <v>59</v>
      </c>
      <c r="AA29" s="2">
        <v>27</v>
      </c>
      <c r="AB29" s="2">
        <v>0</v>
      </c>
      <c r="AC29" s="2">
        <v>3.4000000000000002E-2</v>
      </c>
      <c r="AD29" s="42" t="s">
        <v>1373</v>
      </c>
      <c r="AE29" s="42">
        <v>67</v>
      </c>
      <c r="AF29" s="42">
        <v>30</v>
      </c>
      <c r="AG29" s="74"/>
      <c r="AH29" s="55" t="s">
        <v>1354</v>
      </c>
      <c r="AI29" s="74">
        <f>AG93</f>
        <v>3.6986509999999999</v>
      </c>
      <c r="AJ29" s="90">
        <f t="shared" si="2"/>
        <v>0.10888754310570811</v>
      </c>
      <c r="AL29" s="89">
        <v>61</v>
      </c>
      <c r="AM29" s="2">
        <v>27</v>
      </c>
      <c r="AN29" s="2">
        <v>0</v>
      </c>
      <c r="AO29" s="2">
        <v>4.7E-2</v>
      </c>
      <c r="AP29" s="42" t="s">
        <v>1373</v>
      </c>
      <c r="AQ29" s="42">
        <v>67</v>
      </c>
      <c r="AR29" s="42">
        <v>30</v>
      </c>
      <c r="AS29" s="74"/>
      <c r="AT29" s="55" t="s">
        <v>1354</v>
      </c>
      <c r="AU29" s="74">
        <f>AS93</f>
        <v>4.2788769999999996</v>
      </c>
      <c r="AV29" s="90">
        <f t="shared" si="3"/>
        <v>0.11298438058323712</v>
      </c>
      <c r="AX29" s="89">
        <v>69</v>
      </c>
      <c r="AY29" s="2">
        <v>27</v>
      </c>
      <c r="AZ29" s="2">
        <v>0</v>
      </c>
      <c r="BA29" s="2">
        <v>1E-3</v>
      </c>
      <c r="BB29" s="42" t="s">
        <v>1373</v>
      </c>
      <c r="BC29" s="42">
        <v>67</v>
      </c>
      <c r="BD29" s="42">
        <v>30</v>
      </c>
      <c r="BE29" s="74"/>
      <c r="BF29" s="55" t="s">
        <v>1354</v>
      </c>
      <c r="BG29" s="74">
        <f>BE93</f>
        <v>4.9422990000000002</v>
      </c>
      <c r="BH29" s="90">
        <f t="shared" si="4"/>
        <v>0.12819857323094908</v>
      </c>
      <c r="BJ29" s="89">
        <v>65</v>
      </c>
      <c r="BK29" s="2">
        <v>27</v>
      </c>
      <c r="BL29" s="2">
        <v>0</v>
      </c>
      <c r="BM29" s="2">
        <v>6.0000009999999996E-3</v>
      </c>
      <c r="BN29" s="42" t="s">
        <v>1373</v>
      </c>
      <c r="BO29" s="42">
        <v>67</v>
      </c>
      <c r="BP29" s="42">
        <v>30</v>
      </c>
      <c r="BQ29" s="74"/>
      <c r="BR29" s="55" t="s">
        <v>1354</v>
      </c>
      <c r="BS29" s="74">
        <f>BQ93</f>
        <v>4.6272989999999998</v>
      </c>
      <c r="BT29" s="90">
        <f t="shared" si="5"/>
        <v>0.11774444713716112</v>
      </c>
      <c r="BV29" s="89">
        <v>70</v>
      </c>
      <c r="BW29" s="2">
        <v>27</v>
      </c>
      <c r="BX29" s="2">
        <v>1</v>
      </c>
      <c r="BY29" s="2">
        <v>1E-3</v>
      </c>
      <c r="BZ29" s="42" t="s">
        <v>1373</v>
      </c>
      <c r="CA29" s="42">
        <v>67</v>
      </c>
      <c r="CB29" s="42">
        <v>30</v>
      </c>
      <c r="CC29" s="74"/>
      <c r="CD29" s="55" t="s">
        <v>1354</v>
      </c>
      <c r="CE29" s="74">
        <f>CC93</f>
        <v>3.6486360000000002</v>
      </c>
      <c r="CF29" s="90">
        <f t="shared" si="6"/>
        <v>9.4514641979353026E-2</v>
      </c>
      <c r="CH29" s="89">
        <v>65</v>
      </c>
      <c r="CI29" s="2">
        <v>27</v>
      </c>
      <c r="CJ29" s="2">
        <v>0</v>
      </c>
      <c r="CK29" s="2">
        <v>4.0000000000000001E-3</v>
      </c>
      <c r="CL29" s="42" t="s">
        <v>1373</v>
      </c>
      <c r="CM29" s="42">
        <v>67</v>
      </c>
      <c r="CN29" s="42">
        <v>30</v>
      </c>
      <c r="CO29" s="74"/>
      <c r="CP29" s="55" t="s">
        <v>1354</v>
      </c>
      <c r="CQ29" s="74">
        <f>CO93</f>
        <v>4.0414889999999994</v>
      </c>
      <c r="CR29" s="90">
        <f>IF(CQ29&gt;=LARGE(CQ$14:CQ$44,8),2*CQ29/CQ$47,0)</f>
        <v>0.10475900366210497</v>
      </c>
      <c r="CT29" s="89">
        <v>64</v>
      </c>
      <c r="CU29" s="2">
        <v>27</v>
      </c>
      <c r="CV29" s="2">
        <v>0</v>
      </c>
      <c r="CW29" s="2">
        <v>2E-3</v>
      </c>
      <c r="CX29" s="42" t="s">
        <v>1373</v>
      </c>
      <c r="CY29" s="42">
        <v>67</v>
      </c>
      <c r="CZ29" s="42">
        <v>30</v>
      </c>
      <c r="DA29" s="74"/>
      <c r="DB29" s="55" t="s">
        <v>1354</v>
      </c>
      <c r="DC29" s="74">
        <f>DA93</f>
        <v>3.7316729999999998</v>
      </c>
      <c r="DD29" s="90">
        <f t="shared" si="8"/>
        <v>0.1017419758039325</v>
      </c>
      <c r="DF29" s="89">
        <v>69</v>
      </c>
      <c r="DG29" s="2">
        <v>28</v>
      </c>
      <c r="DH29" s="2">
        <v>1</v>
      </c>
      <c r="DI29" s="2">
        <v>1.5E-3</v>
      </c>
      <c r="DJ29" s="42" t="s">
        <v>1373</v>
      </c>
      <c r="DK29" s="42">
        <v>67</v>
      </c>
      <c r="DL29" s="42">
        <v>30</v>
      </c>
      <c r="DM29" s="74"/>
      <c r="DN29" s="55" t="s">
        <v>1354</v>
      </c>
      <c r="DO29" s="74">
        <f>DM93</f>
        <v>2.592848</v>
      </c>
      <c r="DP29" s="90">
        <f t="shared" si="9"/>
        <v>0</v>
      </c>
      <c r="DR29" s="89">
        <v>59</v>
      </c>
      <c r="DS29" s="2">
        <v>27</v>
      </c>
      <c r="DT29" s="2">
        <v>0</v>
      </c>
      <c r="DU29" s="2">
        <v>5.1000009999999998E-2</v>
      </c>
      <c r="DV29" s="42" t="s">
        <v>1373</v>
      </c>
      <c r="DW29" s="42">
        <v>67</v>
      </c>
      <c r="DX29" s="42">
        <v>30</v>
      </c>
      <c r="DY29" s="74"/>
      <c r="DZ29" s="55" t="s">
        <v>1354</v>
      </c>
      <c r="EA29" s="74">
        <f>DY93</f>
        <v>4.0935730000000001</v>
      </c>
      <c r="EB29" s="90">
        <f t="shared" si="10"/>
        <v>0.11038611624426162</v>
      </c>
      <c r="ED29" s="89">
        <v>64</v>
      </c>
      <c r="EE29" s="2">
        <v>27</v>
      </c>
      <c r="EF29" s="2">
        <v>0</v>
      </c>
      <c r="EG29" s="2">
        <v>1E-3</v>
      </c>
      <c r="EH29" s="42" t="s">
        <v>1373</v>
      </c>
      <c r="EI29" s="42">
        <v>67</v>
      </c>
      <c r="EJ29" s="42">
        <v>30</v>
      </c>
      <c r="EK29" s="74"/>
      <c r="EL29" s="55" t="s">
        <v>1354</v>
      </c>
      <c r="EM29" s="74">
        <f>EK93</f>
        <v>3.991406</v>
      </c>
      <c r="EN29" s="90">
        <f>IF(EM29&gt;=LARGE(EM$14:EM$44,8),2*EM29/EM$47,0)</f>
        <v>0.10330641652293664</v>
      </c>
      <c r="ES29">
        <v>64</v>
      </c>
      <c r="ET29">
        <v>27</v>
      </c>
      <c r="EU29">
        <v>0</v>
      </c>
      <c r="EV29">
        <v>1E-3</v>
      </c>
    </row>
    <row r="30" spans="1:152" x14ac:dyDescent="0.4">
      <c r="A30" s="89"/>
      <c r="B30" s="2"/>
      <c r="C30" s="2"/>
      <c r="D30" s="2"/>
      <c r="E30" s="42" t="s">
        <v>1373</v>
      </c>
      <c r="F30" s="42">
        <v>68</v>
      </c>
      <c r="G30" s="42">
        <v>30</v>
      </c>
      <c r="H30" s="74"/>
      <c r="I30" s="55" t="s">
        <v>1351</v>
      </c>
      <c r="J30" s="74">
        <f>H105</f>
        <v>0</v>
      </c>
      <c r="K30" s="6" t="e">
        <f t="shared" si="1"/>
        <v>#DIV/0!</v>
      </c>
      <c r="N30" s="89">
        <v>58</v>
      </c>
      <c r="O30" s="2">
        <v>27</v>
      </c>
      <c r="P30" s="2">
        <v>1</v>
      </c>
      <c r="Q30" s="2">
        <v>1E-3</v>
      </c>
      <c r="R30" s="42" t="s">
        <v>1373</v>
      </c>
      <c r="S30" s="42">
        <v>68</v>
      </c>
      <c r="T30" s="42">
        <v>30</v>
      </c>
      <c r="U30" s="74"/>
      <c r="V30" s="55" t="s">
        <v>1351</v>
      </c>
      <c r="W30" s="74">
        <f>U105</f>
        <v>6.2831449700000004</v>
      </c>
      <c r="X30" s="90">
        <f t="shared" si="0"/>
        <v>0.18985153076125505</v>
      </c>
      <c r="Z30" s="89">
        <v>61</v>
      </c>
      <c r="AA30" s="2">
        <v>27</v>
      </c>
      <c r="AB30" s="2">
        <v>0</v>
      </c>
      <c r="AC30" s="2">
        <v>2.8000000000000001E-2</v>
      </c>
      <c r="AD30" s="42" t="s">
        <v>1373</v>
      </c>
      <c r="AE30" s="42">
        <v>68</v>
      </c>
      <c r="AF30" s="42">
        <v>30</v>
      </c>
      <c r="AG30" s="74"/>
      <c r="AH30" s="55" t="s">
        <v>1351</v>
      </c>
      <c r="AI30" s="74">
        <f>AG105</f>
        <v>8.4133136499999992</v>
      </c>
      <c r="AJ30" s="90">
        <f t="shared" si="2"/>
        <v>0.24768626526974766</v>
      </c>
      <c r="AL30" s="89">
        <v>62</v>
      </c>
      <c r="AM30" s="2">
        <v>27</v>
      </c>
      <c r="AN30" s="2">
        <v>0</v>
      </c>
      <c r="AO30" s="2">
        <v>4.1090000000000002E-2</v>
      </c>
      <c r="AP30" s="42" t="s">
        <v>1373</v>
      </c>
      <c r="AQ30" s="42">
        <v>68</v>
      </c>
      <c r="AR30" s="42">
        <v>30</v>
      </c>
      <c r="AS30" s="74"/>
      <c r="AT30" s="55" t="s">
        <v>1351</v>
      </c>
      <c r="AU30" s="74">
        <f>AS105</f>
        <v>9.6386558000000004</v>
      </c>
      <c r="AV30" s="90">
        <f t="shared" si="3"/>
        <v>0.25451013320037619</v>
      </c>
      <c r="AX30" s="89">
        <v>70</v>
      </c>
      <c r="AY30" s="2">
        <v>27</v>
      </c>
      <c r="AZ30" s="2">
        <v>1</v>
      </c>
      <c r="BA30" s="2">
        <v>3.0000000000000001E-3</v>
      </c>
      <c r="BB30" s="42" t="s">
        <v>1373</v>
      </c>
      <c r="BC30" s="42">
        <v>68</v>
      </c>
      <c r="BD30" s="42">
        <v>30</v>
      </c>
      <c r="BE30" s="74"/>
      <c r="BF30" s="55" t="s">
        <v>1351</v>
      </c>
      <c r="BG30" s="74">
        <f>BE105</f>
        <v>22.630908325</v>
      </c>
      <c r="BH30" s="90">
        <f t="shared" si="4"/>
        <v>0.58702441074192546</v>
      </c>
      <c r="BJ30" s="89">
        <v>66</v>
      </c>
      <c r="BK30" s="2">
        <v>27</v>
      </c>
      <c r="BL30" s="2">
        <v>0</v>
      </c>
      <c r="BM30" s="2">
        <v>6.0000000000000001E-3</v>
      </c>
      <c r="BN30" s="42" t="s">
        <v>1373</v>
      </c>
      <c r="BO30" s="42">
        <v>68</v>
      </c>
      <c r="BP30" s="42">
        <v>30</v>
      </c>
      <c r="BQ30" s="74"/>
      <c r="BR30" s="55" t="s">
        <v>1351</v>
      </c>
      <c r="BS30" s="74">
        <f>BQ105</f>
        <v>25.235484119999999</v>
      </c>
      <c r="BT30" s="90">
        <f t="shared" si="5"/>
        <v>0.64213229487612733</v>
      </c>
      <c r="BV30" s="89">
        <v>71</v>
      </c>
      <c r="BW30" s="2">
        <v>27</v>
      </c>
      <c r="BX30" s="2">
        <v>0</v>
      </c>
      <c r="BY30" s="2">
        <v>1E-3</v>
      </c>
      <c r="BZ30" s="42" t="s">
        <v>1373</v>
      </c>
      <c r="CA30" s="42">
        <v>68</v>
      </c>
      <c r="CB30" s="42">
        <v>30</v>
      </c>
      <c r="CC30" s="74"/>
      <c r="CD30" s="55" t="s">
        <v>1351</v>
      </c>
      <c r="CE30" s="74">
        <f>CC105</f>
        <v>22.996222799999998</v>
      </c>
      <c r="CF30" s="90">
        <f t="shared" si="6"/>
        <v>0.59569651914288924</v>
      </c>
      <c r="CH30" s="89">
        <v>66</v>
      </c>
      <c r="CI30" s="2">
        <v>27</v>
      </c>
      <c r="CJ30" s="2">
        <v>0</v>
      </c>
      <c r="CK30" s="2">
        <v>8.0000000000000002E-3</v>
      </c>
      <c r="CL30" s="42" t="s">
        <v>1373</v>
      </c>
      <c r="CM30" s="42">
        <v>68</v>
      </c>
      <c r="CN30" s="42">
        <v>30</v>
      </c>
      <c r="CO30" s="74"/>
      <c r="CP30" s="55" t="s">
        <v>1351</v>
      </c>
      <c r="CQ30" s="74">
        <f>CO105</f>
        <v>23.053448780100002</v>
      </c>
      <c r="CR30" s="90">
        <f t="shared" si="7"/>
        <v>0.59756597758366925</v>
      </c>
      <c r="CT30" s="89">
        <v>65</v>
      </c>
      <c r="CU30" s="2">
        <v>27</v>
      </c>
      <c r="CV30" s="2">
        <v>0</v>
      </c>
      <c r="CW30" s="2">
        <v>0.01</v>
      </c>
      <c r="CX30" s="42" t="s">
        <v>1373</v>
      </c>
      <c r="CY30" s="42">
        <v>68</v>
      </c>
      <c r="CZ30" s="42">
        <v>30</v>
      </c>
      <c r="DA30" s="74"/>
      <c r="DB30" s="55" t="s">
        <v>1351</v>
      </c>
      <c r="DC30" s="74">
        <f>DA105</f>
        <v>21.373266350000002</v>
      </c>
      <c r="DD30" s="90">
        <f t="shared" si="8"/>
        <v>0.58273014485264518</v>
      </c>
      <c r="DF30" s="89">
        <v>70</v>
      </c>
      <c r="DG30" s="2">
        <v>28</v>
      </c>
      <c r="DH30" s="2">
        <v>0</v>
      </c>
      <c r="DI30" s="2">
        <v>8.0000000000000002E-3</v>
      </c>
      <c r="DJ30" s="42" t="s">
        <v>1373</v>
      </c>
      <c r="DK30" s="42">
        <v>68</v>
      </c>
      <c r="DL30" s="42">
        <v>30</v>
      </c>
      <c r="DM30" s="74"/>
      <c r="DN30" s="55" t="s">
        <v>1351</v>
      </c>
      <c r="DO30" s="74">
        <f>DM105</f>
        <v>16.237867300000001</v>
      </c>
      <c r="DP30" s="90">
        <f t="shared" si="9"/>
        <v>0.42667719501082907</v>
      </c>
      <c r="DR30" s="89">
        <v>61</v>
      </c>
      <c r="DS30" s="2">
        <v>27</v>
      </c>
      <c r="DT30" s="2">
        <v>0</v>
      </c>
      <c r="DU30" s="2">
        <v>8.294E-2</v>
      </c>
      <c r="DV30" s="42" t="s">
        <v>1373</v>
      </c>
      <c r="DW30" s="42">
        <v>68</v>
      </c>
      <c r="DX30" s="42">
        <v>30</v>
      </c>
      <c r="DY30" s="74"/>
      <c r="DZ30" s="55" t="s">
        <v>1351</v>
      </c>
      <c r="EA30" s="74">
        <f>DY105</f>
        <v>10.5295624</v>
      </c>
      <c r="EB30" s="90">
        <f t="shared" si="10"/>
        <v>0.28393716176250094</v>
      </c>
      <c r="ED30" s="89">
        <v>65</v>
      </c>
      <c r="EE30" s="2">
        <v>27</v>
      </c>
      <c r="EF30" s="2">
        <v>0</v>
      </c>
      <c r="EG30" s="2">
        <v>1E-3</v>
      </c>
      <c r="EH30" s="42" t="s">
        <v>1373</v>
      </c>
      <c r="EI30" s="42">
        <v>68</v>
      </c>
      <c r="EJ30" s="42">
        <v>30</v>
      </c>
      <c r="EK30" s="74"/>
      <c r="EL30" s="55" t="s">
        <v>1351</v>
      </c>
      <c r="EM30" s="74">
        <f>EK105</f>
        <v>24.385583099999998</v>
      </c>
      <c r="EN30" s="90">
        <f t="shared" ref="EN30:EN44" si="12">IF(EM30&gt;=LARGE(EM$14:EM$44,8),2*EM30/EM$47,0)</f>
        <v>0.63115283308269932</v>
      </c>
      <c r="ES30">
        <v>65</v>
      </c>
      <c r="ET30">
        <v>27</v>
      </c>
      <c r="EU30">
        <v>0</v>
      </c>
      <c r="EV30">
        <v>1E-3</v>
      </c>
    </row>
    <row r="31" spans="1:152" x14ac:dyDescent="0.4">
      <c r="A31" s="89"/>
      <c r="B31" s="2"/>
      <c r="C31" s="2"/>
      <c r="D31" s="2"/>
      <c r="E31" s="42" t="s">
        <v>1373</v>
      </c>
      <c r="F31" s="42">
        <v>70</v>
      </c>
      <c r="G31" s="42">
        <v>30</v>
      </c>
      <c r="H31" s="74"/>
      <c r="I31" s="55" t="s">
        <v>1348</v>
      </c>
      <c r="J31" s="74">
        <f>H125</f>
        <v>0</v>
      </c>
      <c r="K31" s="6" t="e">
        <f t="shared" si="1"/>
        <v>#DIV/0!</v>
      </c>
      <c r="N31" s="89">
        <v>59</v>
      </c>
      <c r="O31" s="2">
        <v>27</v>
      </c>
      <c r="P31" s="2">
        <v>0</v>
      </c>
      <c r="Q31" s="2">
        <v>7.6999999999999999E-2</v>
      </c>
      <c r="R31" s="42" t="s">
        <v>1373</v>
      </c>
      <c r="S31" s="42">
        <v>70</v>
      </c>
      <c r="T31" s="42">
        <v>30</v>
      </c>
      <c r="U31" s="74"/>
      <c r="V31" s="55" t="s">
        <v>1348</v>
      </c>
      <c r="W31" s="74">
        <f>U125</f>
        <v>0.40200000000000002</v>
      </c>
      <c r="X31" s="90">
        <f t="shared" si="0"/>
        <v>0</v>
      </c>
      <c r="Z31" s="89">
        <v>62</v>
      </c>
      <c r="AA31" s="2">
        <v>27</v>
      </c>
      <c r="AB31" s="2">
        <v>0</v>
      </c>
      <c r="AC31" s="2">
        <v>4.1110000000000001E-2</v>
      </c>
      <c r="AD31" s="42" t="s">
        <v>1373</v>
      </c>
      <c r="AE31" s="42">
        <v>70</v>
      </c>
      <c r="AF31" s="42">
        <v>30</v>
      </c>
      <c r="AG31" s="74"/>
      <c r="AH31" s="55" t="s">
        <v>1348</v>
      </c>
      <c r="AI31" s="74">
        <f>AG125</f>
        <v>0.504</v>
      </c>
      <c r="AJ31" s="90">
        <f t="shared" si="2"/>
        <v>0</v>
      </c>
      <c r="AL31" s="89">
        <v>62</v>
      </c>
      <c r="AM31" s="2">
        <v>27</v>
      </c>
      <c r="AN31" s="2">
        <v>1</v>
      </c>
      <c r="AO31" s="2">
        <v>9.0000010000000005E-3</v>
      </c>
      <c r="AP31" s="42" t="s">
        <v>1373</v>
      </c>
      <c r="AQ31" s="42">
        <v>70</v>
      </c>
      <c r="AR31" s="42">
        <v>30</v>
      </c>
      <c r="AS31" s="74"/>
      <c r="AT31" s="55" t="s">
        <v>1348</v>
      </c>
      <c r="AU31" s="74">
        <f>AS125</f>
        <v>0.63700000000000001</v>
      </c>
      <c r="AV31" s="90">
        <f t="shared" si="3"/>
        <v>0</v>
      </c>
      <c r="AX31" s="89">
        <v>62</v>
      </c>
      <c r="AY31" s="2">
        <v>28</v>
      </c>
      <c r="AZ31" s="2">
        <v>0</v>
      </c>
      <c r="BA31" s="2">
        <v>3.0000000000000001E-3</v>
      </c>
      <c r="BB31" s="42" t="s">
        <v>1373</v>
      </c>
      <c r="BC31" s="42">
        <v>70</v>
      </c>
      <c r="BD31" s="42">
        <v>30</v>
      </c>
      <c r="BE31" s="74"/>
      <c r="BF31" s="55" t="s">
        <v>1348</v>
      </c>
      <c r="BG31" s="74">
        <f>BE125</f>
        <v>2.4009469999999999</v>
      </c>
      <c r="BH31" s="90">
        <f t="shared" si="4"/>
        <v>0</v>
      </c>
      <c r="BJ31" s="89">
        <v>67</v>
      </c>
      <c r="BK31" s="2">
        <v>27</v>
      </c>
      <c r="BL31" s="2">
        <v>0</v>
      </c>
      <c r="BM31" s="2">
        <v>6.0000000000000001E-3</v>
      </c>
      <c r="BN31" s="42" t="s">
        <v>1373</v>
      </c>
      <c r="BO31" s="42">
        <v>70</v>
      </c>
      <c r="BP31" s="42">
        <v>30</v>
      </c>
      <c r="BQ31" s="74"/>
      <c r="BR31" s="55" t="s">
        <v>1348</v>
      </c>
      <c r="BS31" s="74">
        <f>BQ125</f>
        <v>3.174966</v>
      </c>
      <c r="BT31" s="90">
        <f t="shared" si="5"/>
        <v>0</v>
      </c>
      <c r="BV31" s="89">
        <v>61</v>
      </c>
      <c r="BW31" s="2">
        <v>28</v>
      </c>
      <c r="BX31" s="2">
        <v>0</v>
      </c>
      <c r="BY31" s="2">
        <v>2E-3</v>
      </c>
      <c r="BZ31" s="42" t="s">
        <v>1373</v>
      </c>
      <c r="CA31" s="42">
        <v>70</v>
      </c>
      <c r="CB31" s="42">
        <v>30</v>
      </c>
      <c r="CC31" s="74"/>
      <c r="CD31" s="55" t="s">
        <v>1348</v>
      </c>
      <c r="CE31" s="74">
        <f>CC125</f>
        <v>3.0318830000000001</v>
      </c>
      <c r="CF31" s="90">
        <f t="shared" si="6"/>
        <v>0</v>
      </c>
      <c r="CH31" s="89">
        <v>67</v>
      </c>
      <c r="CI31" s="2">
        <v>27</v>
      </c>
      <c r="CJ31" s="2">
        <v>0</v>
      </c>
      <c r="CK31" s="2">
        <v>4.0000000000000001E-3</v>
      </c>
      <c r="CL31" s="42" t="s">
        <v>1373</v>
      </c>
      <c r="CM31" s="42">
        <v>70</v>
      </c>
      <c r="CN31" s="42">
        <v>30</v>
      </c>
      <c r="CO31" s="74"/>
      <c r="CP31" s="55" t="s">
        <v>1348</v>
      </c>
      <c r="CQ31" s="74">
        <f>CO125</f>
        <v>3.4649800000000002</v>
      </c>
      <c r="CR31" s="90">
        <f t="shared" si="7"/>
        <v>0</v>
      </c>
      <c r="CT31" s="89">
        <v>66</v>
      </c>
      <c r="CU31" s="2">
        <v>27</v>
      </c>
      <c r="CV31" s="2">
        <v>0</v>
      </c>
      <c r="CW31" s="2">
        <v>4.0000000000000001E-3</v>
      </c>
      <c r="CX31" s="42" t="s">
        <v>1373</v>
      </c>
      <c r="CY31" s="42">
        <v>70</v>
      </c>
      <c r="CZ31" s="42">
        <v>30</v>
      </c>
      <c r="DA31" s="74"/>
      <c r="DB31" s="55" t="s">
        <v>1348</v>
      </c>
      <c r="DC31" s="74">
        <f>DA125</f>
        <v>3.6959379999999999</v>
      </c>
      <c r="DD31" s="90">
        <f t="shared" si="8"/>
        <v>0</v>
      </c>
      <c r="DF31" s="89">
        <v>71</v>
      </c>
      <c r="DG31" s="2">
        <v>28</v>
      </c>
      <c r="DH31" s="2">
        <v>0</v>
      </c>
      <c r="DI31" s="2">
        <v>7.0000000000000001E-3</v>
      </c>
      <c r="DJ31" s="42" t="s">
        <v>1373</v>
      </c>
      <c r="DK31" s="42">
        <v>70</v>
      </c>
      <c r="DL31" s="42">
        <v>30</v>
      </c>
      <c r="DM31" s="74"/>
      <c r="DN31" s="55" t="s">
        <v>1348</v>
      </c>
      <c r="DO31" s="74">
        <f>DM125</f>
        <v>2.5597159999999999</v>
      </c>
      <c r="DP31" s="90">
        <f t="shared" si="9"/>
        <v>0</v>
      </c>
      <c r="DR31" s="89">
        <v>62</v>
      </c>
      <c r="DS31" s="2">
        <v>27</v>
      </c>
      <c r="DT31" s="2">
        <v>0</v>
      </c>
      <c r="DU31" s="2">
        <v>9.7049999999999997E-2</v>
      </c>
      <c r="DV31" s="42" t="s">
        <v>1373</v>
      </c>
      <c r="DW31" s="42">
        <v>70</v>
      </c>
      <c r="DX31" s="42">
        <v>30</v>
      </c>
      <c r="DY31" s="74"/>
      <c r="DZ31" s="55" t="s">
        <v>1348</v>
      </c>
      <c r="EA31" s="74">
        <f>DY125</f>
        <v>0.72599999999999998</v>
      </c>
      <c r="EB31" s="90">
        <f t="shared" si="10"/>
        <v>0</v>
      </c>
      <c r="ED31" s="89">
        <v>66</v>
      </c>
      <c r="EE31" s="2">
        <v>27</v>
      </c>
      <c r="EF31" s="2">
        <v>0</v>
      </c>
      <c r="EG31" s="2">
        <v>2E-3</v>
      </c>
      <c r="EH31" s="42" t="s">
        <v>1373</v>
      </c>
      <c r="EI31" s="42">
        <v>70</v>
      </c>
      <c r="EJ31" s="42">
        <v>30</v>
      </c>
      <c r="EK31" s="74"/>
      <c r="EL31" s="55" t="s">
        <v>1348</v>
      </c>
      <c r="EM31" s="74">
        <f>EK125</f>
        <v>3.4129209999999999</v>
      </c>
      <c r="EN31" s="90">
        <f t="shared" si="12"/>
        <v>0</v>
      </c>
      <c r="ES31">
        <v>66</v>
      </c>
      <c r="ET31">
        <v>27</v>
      </c>
      <c r="EU31">
        <v>0</v>
      </c>
      <c r="EV31">
        <v>2E-3</v>
      </c>
    </row>
    <row r="32" spans="1:152" x14ac:dyDescent="0.4">
      <c r="A32" s="89"/>
      <c r="B32" s="2"/>
      <c r="C32" s="2"/>
      <c r="D32" s="2"/>
      <c r="E32" s="43" t="s">
        <v>1374</v>
      </c>
      <c r="F32" s="43">
        <v>69</v>
      </c>
      <c r="G32" s="43">
        <v>31</v>
      </c>
      <c r="H32" s="74" cm="1">
        <f t="array" ref="H32">SUM(SUMIFS(D$14:D$1004,B$14:B$1004,G32:G33,A$14:A$1004,F32:F33,C$14:C$1004,0))</f>
        <v>0</v>
      </c>
      <c r="I32" s="55" t="s">
        <v>589</v>
      </c>
      <c r="J32" s="74">
        <f>H136</f>
        <v>0</v>
      </c>
      <c r="K32" s="6" t="e">
        <f t="shared" si="1"/>
        <v>#DIV/0!</v>
      </c>
      <c r="N32" s="89">
        <v>60</v>
      </c>
      <c r="O32" s="2">
        <v>27</v>
      </c>
      <c r="P32" s="2">
        <v>0</v>
      </c>
      <c r="Q32" s="2">
        <v>8.9960730000000003E-3</v>
      </c>
      <c r="R32" s="43" t="s">
        <v>1374</v>
      </c>
      <c r="S32" s="43">
        <v>69</v>
      </c>
      <c r="T32" s="43">
        <v>31</v>
      </c>
      <c r="U32" s="74" cm="1">
        <f t="array" ref="U32">SUM(SUMIFS(Q$14:Q$1004,O$14:O$1004,T32:T33,N$14:N$1004,S32:S33,P$14:P$1004,0))</f>
        <v>1.1217508</v>
      </c>
      <c r="V32" s="55" t="s">
        <v>589</v>
      </c>
      <c r="W32" s="74">
        <f>U136</f>
        <v>0.01</v>
      </c>
      <c r="X32" s="90">
        <f t="shared" si="0"/>
        <v>0</v>
      </c>
      <c r="Z32" s="89">
        <v>62</v>
      </c>
      <c r="AA32" s="2">
        <v>27</v>
      </c>
      <c r="AB32" s="2">
        <v>1</v>
      </c>
      <c r="AC32" s="2">
        <v>1.0999999999999999E-2</v>
      </c>
      <c r="AD32" s="43" t="s">
        <v>1374</v>
      </c>
      <c r="AE32" s="43">
        <v>69</v>
      </c>
      <c r="AF32" s="43">
        <v>31</v>
      </c>
      <c r="AG32" s="74" cm="1">
        <f t="array" ref="AG32">SUM(SUMIFS(AC$14:AC$1004,AA$14:AA$1004,AF32:AF33,Z$14:Z$1004,AE32:AE33,AB$14:AB$1004,0))</f>
        <v>0.55975069999999993</v>
      </c>
      <c r="AH32" s="55" t="s">
        <v>589</v>
      </c>
      <c r="AI32" s="74">
        <f>AG136</f>
        <v>2.1935E-2</v>
      </c>
      <c r="AJ32" s="90">
        <f t="shared" si="2"/>
        <v>0</v>
      </c>
      <c r="AL32" s="89">
        <v>63</v>
      </c>
      <c r="AM32" s="2">
        <v>27</v>
      </c>
      <c r="AN32" s="2">
        <v>0</v>
      </c>
      <c r="AO32" s="2">
        <v>4.3000009999999998E-2</v>
      </c>
      <c r="AP32" s="43" t="s">
        <v>1374</v>
      </c>
      <c r="AQ32" s="43">
        <v>69</v>
      </c>
      <c r="AR32" s="43">
        <v>31</v>
      </c>
      <c r="AS32" s="74" cm="1">
        <f t="array" ref="AS32">SUM(SUMIFS(AO$14:AO$1004,AM$14:AM$1004,AR32:AR33,AL$14:AL$1004,AQ32:AQ33,AN$14:AN$1004,0))</f>
        <v>0.54696</v>
      </c>
      <c r="AT32" s="55" t="s">
        <v>589</v>
      </c>
      <c r="AU32" s="74">
        <f>AS136</f>
        <v>9.0000010000000005E-3</v>
      </c>
      <c r="AV32" s="90">
        <f t="shared" si="3"/>
        <v>0</v>
      </c>
      <c r="AX32" s="89">
        <v>63</v>
      </c>
      <c r="AY32" s="2">
        <v>28</v>
      </c>
      <c r="AZ32" s="2">
        <v>0</v>
      </c>
      <c r="BA32" s="2">
        <v>1E-3</v>
      </c>
      <c r="BB32" s="43" t="s">
        <v>1374</v>
      </c>
      <c r="BC32" s="43">
        <v>69</v>
      </c>
      <c r="BD32" s="43">
        <v>31</v>
      </c>
      <c r="BE32" s="74" cm="1">
        <f t="array" ref="BE32">SUM(SUMIFS(BA$14:BA$1004,AY$14:AY$1004,BD32:BD33,AX$14:AX$1004,BC32:BC33,AZ$14:AZ$1004,0))</f>
        <v>2.4989999999999998E-2</v>
      </c>
      <c r="BF32" s="55" t="s">
        <v>589</v>
      </c>
      <c r="BG32" s="74">
        <f>BE136</f>
        <v>2.0775920000000001</v>
      </c>
      <c r="BH32" s="90">
        <f t="shared" si="4"/>
        <v>0</v>
      </c>
      <c r="BJ32" s="89">
        <v>69</v>
      </c>
      <c r="BK32" s="2">
        <v>27</v>
      </c>
      <c r="BL32" s="2">
        <v>0</v>
      </c>
      <c r="BM32" s="2">
        <v>1E-3</v>
      </c>
      <c r="BN32" s="43" t="s">
        <v>1374</v>
      </c>
      <c r="BO32" s="43">
        <v>69</v>
      </c>
      <c r="BP32" s="43">
        <v>31</v>
      </c>
      <c r="BQ32" s="74" cm="1">
        <f t="array" ref="BQ32">SUM(SUMIFS(BM$14:BM$1004,BK$14:BK$1004,BP32:BP33,BJ$14:BJ$1004,BO32:BO33,BL$14:BL$1004,0))</f>
        <v>4.3990000000000001E-2</v>
      </c>
      <c r="BR32" s="55" t="s">
        <v>589</v>
      </c>
      <c r="BS32" s="74">
        <f>BQ136</f>
        <v>1.4757990000000001</v>
      </c>
      <c r="BT32" s="90">
        <f t="shared" si="5"/>
        <v>0</v>
      </c>
      <c r="BV32" s="89">
        <v>63</v>
      </c>
      <c r="BW32" s="2">
        <v>28</v>
      </c>
      <c r="BX32" s="2">
        <v>0</v>
      </c>
      <c r="BY32" s="2">
        <v>1E-3</v>
      </c>
      <c r="BZ32" s="43" t="s">
        <v>1374</v>
      </c>
      <c r="CA32" s="43">
        <v>69</v>
      </c>
      <c r="CB32" s="43">
        <v>31</v>
      </c>
      <c r="CC32" s="74" cm="1">
        <f t="array" ref="CC32">SUM(SUMIFS(BY$14:BY$1004,BW$14:BW$1004,CB32:CB33,BV$14:BV$1004,CA32:CA33,BX$14:BX$1004,0))</f>
        <v>1.9E-2</v>
      </c>
      <c r="CD32" s="55" t="s">
        <v>589</v>
      </c>
      <c r="CE32" s="74">
        <f>CC136</f>
        <v>2.5804279999999999</v>
      </c>
      <c r="CF32" s="90">
        <f t="shared" si="6"/>
        <v>0</v>
      </c>
      <c r="CH32" s="89">
        <v>68</v>
      </c>
      <c r="CI32" s="2">
        <v>27</v>
      </c>
      <c r="CJ32" s="2">
        <v>0</v>
      </c>
      <c r="CK32" s="2">
        <v>2E-3</v>
      </c>
      <c r="CL32" s="43" t="s">
        <v>1374</v>
      </c>
      <c r="CM32" s="43">
        <v>69</v>
      </c>
      <c r="CN32" s="43">
        <v>31</v>
      </c>
      <c r="CO32" s="74" cm="1">
        <f t="array" ref="CO32">SUM(SUMIFS(CK$14:CK$1004,CI$14:CI$1004,CN32:CN33,CH$14:CH$1004,CM32:CM33,CJ$14:CJ$1004,0))</f>
        <v>6.0990000000000003E-2</v>
      </c>
      <c r="CP32" s="55" t="s">
        <v>589</v>
      </c>
      <c r="CQ32" s="74">
        <f>CO136</f>
        <v>1.7047939999999999</v>
      </c>
      <c r="CR32" s="90">
        <f t="shared" si="7"/>
        <v>0</v>
      </c>
      <c r="CT32" s="89">
        <v>67</v>
      </c>
      <c r="CU32" s="2">
        <v>27</v>
      </c>
      <c r="CV32" s="2">
        <v>0</v>
      </c>
      <c r="CW32" s="2">
        <v>5.0000000000000001E-3</v>
      </c>
      <c r="CX32" s="43" t="s">
        <v>1374</v>
      </c>
      <c r="CY32" s="43">
        <v>69</v>
      </c>
      <c r="CZ32" s="43">
        <v>31</v>
      </c>
      <c r="DA32" s="74" cm="1">
        <f t="array" ref="DA32">SUM(SUMIFS(CW$14:CW$1004,CU$14:CU$1004,CZ32:CZ33,CT$14:CT$1004,CY32:CY33,CV$14:CV$1004,0))</f>
        <v>5.2979999999999999E-2</v>
      </c>
      <c r="DB32" s="55" t="s">
        <v>589</v>
      </c>
      <c r="DC32" s="74">
        <f>DA136</f>
        <v>2.2690809999999999</v>
      </c>
      <c r="DD32" s="90">
        <f t="shared" si="8"/>
        <v>0</v>
      </c>
      <c r="DF32" s="89">
        <v>72</v>
      </c>
      <c r="DG32" s="2">
        <v>28</v>
      </c>
      <c r="DH32" s="2">
        <v>0</v>
      </c>
      <c r="DI32" s="2">
        <v>5.0000000000000001E-3</v>
      </c>
      <c r="DJ32" s="43" t="s">
        <v>1374</v>
      </c>
      <c r="DK32" s="43">
        <v>69</v>
      </c>
      <c r="DL32" s="43">
        <v>31</v>
      </c>
      <c r="DM32" s="74" cm="1">
        <f t="array" ref="DM32">SUM(SUMIFS(DI$14:DI$1004,DG$14:DG$1004,DL32:DL33,DF$14:DF$1004,DK32:DK33,DH$14:DH$1004,0))</f>
        <v>2.7E-2</v>
      </c>
      <c r="DN32" s="55" t="s">
        <v>589</v>
      </c>
      <c r="DO32" s="74">
        <f>DM136</f>
        <v>3.7564540000000002</v>
      </c>
      <c r="DP32" s="90">
        <f t="shared" si="9"/>
        <v>9.8707128608398517E-2</v>
      </c>
      <c r="DR32" s="89">
        <v>62</v>
      </c>
      <c r="DS32" s="2">
        <v>27</v>
      </c>
      <c r="DT32" s="2">
        <v>1</v>
      </c>
      <c r="DU32" s="2">
        <v>5.0000000000000001E-3</v>
      </c>
      <c r="DV32" s="43" t="s">
        <v>1374</v>
      </c>
      <c r="DW32" s="43">
        <v>69</v>
      </c>
      <c r="DX32" s="43">
        <v>31</v>
      </c>
      <c r="DY32" s="74" cm="1">
        <f t="array" ref="DY32">SUM(SUMIFS(DU$14:DU$1004,DS$14:DS$1004,DX32:DX33,DR$14:DR$1004,DW32:DW33,DT$14:DT$1004,0))</f>
        <v>0.77637210000000001</v>
      </c>
      <c r="DZ32" s="55" t="s">
        <v>589</v>
      </c>
      <c r="EA32" s="74">
        <f>DY136</f>
        <v>8.2663E-2</v>
      </c>
      <c r="EB32" s="90">
        <f t="shared" si="10"/>
        <v>0</v>
      </c>
      <c r="ED32" s="89">
        <v>67</v>
      </c>
      <c r="EE32" s="2">
        <v>27</v>
      </c>
      <c r="EF32" s="2">
        <v>0</v>
      </c>
      <c r="EG32" s="2">
        <v>4.0000000000000001E-3</v>
      </c>
      <c r="EH32" s="43" t="s">
        <v>1374</v>
      </c>
      <c r="EI32" s="43">
        <v>69</v>
      </c>
      <c r="EJ32" s="43">
        <v>31</v>
      </c>
      <c r="EK32" s="74" cm="1">
        <f t="array" ref="EK32">SUM(SUMIFS(EG$14:EG$1004,EE$14:EE$1004,EJ32:EJ33,ED$14:ED$1004,EI32:EI33,EF$14:EF$1004,0))</f>
        <v>4.9910700000000002E-2</v>
      </c>
      <c r="EL32" s="55" t="s">
        <v>589</v>
      </c>
      <c r="EM32" s="74">
        <f>EK136</f>
        <v>2.2659340000000001</v>
      </c>
      <c r="EN32" s="90">
        <f t="shared" si="12"/>
        <v>0</v>
      </c>
      <c r="ES32">
        <v>67</v>
      </c>
      <c r="ET32">
        <v>27</v>
      </c>
      <c r="EU32">
        <v>0</v>
      </c>
      <c r="EV32">
        <v>4.0000000000000001E-3</v>
      </c>
    </row>
    <row r="33" spans="1:152" x14ac:dyDescent="0.4">
      <c r="A33" s="89"/>
      <c r="B33" s="2"/>
      <c r="C33" s="2"/>
      <c r="D33" s="2"/>
      <c r="E33" s="43" t="s">
        <v>1374</v>
      </c>
      <c r="F33" s="43">
        <v>71</v>
      </c>
      <c r="G33" s="43">
        <v>31</v>
      </c>
      <c r="H33" s="74"/>
      <c r="I33" s="55" t="s">
        <v>1336</v>
      </c>
      <c r="J33" s="74">
        <f>H137</f>
        <v>0</v>
      </c>
      <c r="K33" s="6" t="e">
        <f t="shared" si="1"/>
        <v>#DIV/0!</v>
      </c>
      <c r="N33" s="89">
        <v>60</v>
      </c>
      <c r="O33" s="2">
        <v>27</v>
      </c>
      <c r="P33" s="2">
        <v>1</v>
      </c>
      <c r="Q33" s="2">
        <v>1.636364E-3</v>
      </c>
      <c r="R33" s="43" t="s">
        <v>1374</v>
      </c>
      <c r="S33" s="43">
        <v>71</v>
      </c>
      <c r="T33" s="43">
        <v>31</v>
      </c>
      <c r="U33" s="74"/>
      <c r="V33" s="55" t="s">
        <v>1336</v>
      </c>
      <c r="W33" s="74">
        <f>U137</f>
        <v>0.26350000001000001</v>
      </c>
      <c r="X33" s="90">
        <f t="shared" si="0"/>
        <v>0</v>
      </c>
      <c r="Z33" s="89">
        <v>63</v>
      </c>
      <c r="AA33" s="2">
        <v>27</v>
      </c>
      <c r="AB33" s="2">
        <v>0</v>
      </c>
      <c r="AC33" s="2">
        <v>5.6000000000000001E-2</v>
      </c>
      <c r="AD33" s="43" t="s">
        <v>1374</v>
      </c>
      <c r="AE33" s="43">
        <v>71</v>
      </c>
      <c r="AF33" s="43">
        <v>31</v>
      </c>
      <c r="AG33" s="74"/>
      <c r="AH33" s="55" t="s">
        <v>1336</v>
      </c>
      <c r="AI33" s="74">
        <f>AG137</f>
        <v>0.3569</v>
      </c>
      <c r="AJ33" s="90">
        <f t="shared" si="2"/>
        <v>0</v>
      </c>
      <c r="AL33" s="89">
        <v>64</v>
      </c>
      <c r="AM33" s="2">
        <v>27</v>
      </c>
      <c r="AN33" s="2">
        <v>0</v>
      </c>
      <c r="AO33" s="2">
        <v>4.7E-2</v>
      </c>
      <c r="AP33" s="43" t="s">
        <v>1374</v>
      </c>
      <c r="AQ33" s="43">
        <v>71</v>
      </c>
      <c r="AR33" s="43">
        <v>31</v>
      </c>
      <c r="AS33" s="74"/>
      <c r="AT33" s="55" t="s">
        <v>1336</v>
      </c>
      <c r="AU33" s="74">
        <f>AS137</f>
        <v>0.51659600900000002</v>
      </c>
      <c r="AV33" s="90">
        <f t="shared" si="3"/>
        <v>0</v>
      </c>
      <c r="AX33" s="89">
        <v>64</v>
      </c>
      <c r="AY33" s="2">
        <v>28</v>
      </c>
      <c r="AZ33" s="2">
        <v>0</v>
      </c>
      <c r="BA33" s="2">
        <v>1E-3</v>
      </c>
      <c r="BB33" s="43" t="s">
        <v>1374</v>
      </c>
      <c r="BC33" s="43">
        <v>71</v>
      </c>
      <c r="BD33" s="43">
        <v>31</v>
      </c>
      <c r="BE33" s="74"/>
      <c r="BF33" s="55" t="s">
        <v>1336</v>
      </c>
      <c r="BG33" s="74">
        <f>BE137</f>
        <v>3.3198660000000002</v>
      </c>
      <c r="BH33" s="90">
        <f t="shared" si="4"/>
        <v>8.6114191900963102E-2</v>
      </c>
      <c r="BJ33" s="89">
        <v>70</v>
      </c>
      <c r="BK33" s="2">
        <v>27</v>
      </c>
      <c r="BL33" s="2">
        <v>0</v>
      </c>
      <c r="BM33" s="2">
        <v>2E-3</v>
      </c>
      <c r="BN33" s="43" t="s">
        <v>1374</v>
      </c>
      <c r="BO33" s="43">
        <v>71</v>
      </c>
      <c r="BP33" s="43">
        <v>31</v>
      </c>
      <c r="BQ33" s="74"/>
      <c r="BR33" s="55" t="s">
        <v>1336</v>
      </c>
      <c r="BS33" s="74">
        <f>BQ137</f>
        <v>4.4353379999999998</v>
      </c>
      <c r="BT33" s="90">
        <f t="shared" si="5"/>
        <v>0.11285988233663784</v>
      </c>
      <c r="BV33" s="89">
        <v>64</v>
      </c>
      <c r="BW33" s="2">
        <v>28</v>
      </c>
      <c r="BX33" s="2">
        <v>0</v>
      </c>
      <c r="BY33" s="2">
        <v>2E-3</v>
      </c>
      <c r="BZ33" s="43" t="s">
        <v>1374</v>
      </c>
      <c r="CA33" s="43">
        <v>71</v>
      </c>
      <c r="CB33" s="43">
        <v>31</v>
      </c>
      <c r="CC33" s="74"/>
      <c r="CD33" s="55" t="s">
        <v>1336</v>
      </c>
      <c r="CE33" s="74">
        <f>CC137</f>
        <v>4.2267299999999999</v>
      </c>
      <c r="CF33" s="90">
        <f t="shared" si="6"/>
        <v>0.10948964837637704</v>
      </c>
      <c r="CH33" s="89">
        <v>69</v>
      </c>
      <c r="CI33" s="2">
        <v>27</v>
      </c>
      <c r="CJ33" s="2">
        <v>0</v>
      </c>
      <c r="CK33" s="2">
        <v>1E-3</v>
      </c>
      <c r="CL33" s="43" t="s">
        <v>1374</v>
      </c>
      <c r="CM33" s="43">
        <v>71</v>
      </c>
      <c r="CN33" s="43">
        <v>31</v>
      </c>
      <c r="CO33" s="74"/>
      <c r="CP33" s="55" t="s">
        <v>1336</v>
      </c>
      <c r="CQ33" s="74">
        <f>CO137</f>
        <v>6.6264830000000003</v>
      </c>
      <c r="CR33" s="90">
        <f t="shared" si="7"/>
        <v>0.17176435637060411</v>
      </c>
      <c r="CT33" s="89">
        <v>68</v>
      </c>
      <c r="CU33" s="2">
        <v>27</v>
      </c>
      <c r="CV33" s="2">
        <v>0</v>
      </c>
      <c r="CW33" s="2">
        <v>1.3333329999999999E-3</v>
      </c>
      <c r="CX33" s="43" t="s">
        <v>1374</v>
      </c>
      <c r="CY33" s="43">
        <v>71</v>
      </c>
      <c r="CZ33" s="43">
        <v>31</v>
      </c>
      <c r="DA33" s="74"/>
      <c r="DB33" s="55" t="s">
        <v>1336</v>
      </c>
      <c r="DC33" s="74">
        <f>DA137</f>
        <v>7.5315399999999997</v>
      </c>
      <c r="DD33" s="90">
        <f t="shared" si="8"/>
        <v>0.20534322285107773</v>
      </c>
      <c r="DF33" s="89">
        <v>74</v>
      </c>
      <c r="DG33" s="2">
        <v>28</v>
      </c>
      <c r="DH33" s="2">
        <v>0</v>
      </c>
      <c r="DI33" s="2">
        <v>1E-3</v>
      </c>
      <c r="DJ33" s="43" t="s">
        <v>1374</v>
      </c>
      <c r="DK33" s="43">
        <v>71</v>
      </c>
      <c r="DL33" s="43">
        <v>31</v>
      </c>
      <c r="DM33" s="74"/>
      <c r="DN33" s="55" t="s">
        <v>1336</v>
      </c>
      <c r="DO33" s="74">
        <f>DM137</f>
        <v>4.0958670099999992</v>
      </c>
      <c r="DP33" s="90">
        <f t="shared" si="9"/>
        <v>0.10762577465848552</v>
      </c>
      <c r="DR33" s="89">
        <v>63</v>
      </c>
      <c r="DS33" s="2">
        <v>27</v>
      </c>
      <c r="DT33" s="2">
        <v>0</v>
      </c>
      <c r="DU33" s="2">
        <v>0.12</v>
      </c>
      <c r="DV33" s="43" t="s">
        <v>1374</v>
      </c>
      <c r="DW33" s="43">
        <v>71</v>
      </c>
      <c r="DX33" s="43">
        <v>31</v>
      </c>
      <c r="DY33" s="74"/>
      <c r="DZ33" s="55" t="s">
        <v>1336</v>
      </c>
      <c r="EA33" s="74">
        <f>DY137</f>
        <v>0.37934300000000004</v>
      </c>
      <c r="EB33" s="90">
        <f t="shared" si="10"/>
        <v>0</v>
      </c>
      <c r="ED33" s="89">
        <v>68</v>
      </c>
      <c r="EE33" s="2">
        <v>27</v>
      </c>
      <c r="EF33" s="2">
        <v>0</v>
      </c>
      <c r="EG33" s="2">
        <v>1.5349999999999999E-3</v>
      </c>
      <c r="EH33" s="43" t="s">
        <v>1374</v>
      </c>
      <c r="EI33" s="43">
        <v>71</v>
      </c>
      <c r="EJ33" s="43">
        <v>31</v>
      </c>
      <c r="EK33" s="74"/>
      <c r="EL33" s="55" t="s">
        <v>1336</v>
      </c>
      <c r="EM33" s="74">
        <f>EK137</f>
        <v>4.9317500999999986</v>
      </c>
      <c r="EN33" s="90">
        <f t="shared" si="12"/>
        <v>0.12764460193165875</v>
      </c>
      <c r="ES33">
        <v>68</v>
      </c>
      <c r="ET33">
        <v>27</v>
      </c>
      <c r="EU33">
        <v>0</v>
      </c>
      <c r="EV33">
        <v>1.5349999999999999E-3</v>
      </c>
    </row>
    <row r="34" spans="1:152" x14ac:dyDescent="0.4">
      <c r="A34" s="89"/>
      <c r="B34" s="2"/>
      <c r="C34" s="2"/>
      <c r="D34" s="2"/>
      <c r="E34" s="42" t="s">
        <v>1375</v>
      </c>
      <c r="F34" s="42">
        <v>70</v>
      </c>
      <c r="G34" s="42">
        <v>32</v>
      </c>
      <c r="H34" s="74" cm="1">
        <f t="array" ref="H34">SUM(SUMIFS(D$14:D$1004,B$14:B$1004,G34:G38,A$14:A$1004,F34:F38,C$14:C$1004,0))</f>
        <v>0</v>
      </c>
      <c r="I34" s="55" t="s">
        <v>1335</v>
      </c>
      <c r="J34" s="74">
        <f>H151</f>
        <v>0</v>
      </c>
      <c r="K34" s="6" t="e">
        <f t="shared" si="1"/>
        <v>#DIV/0!</v>
      </c>
      <c r="N34" s="89">
        <v>61</v>
      </c>
      <c r="O34" s="2">
        <v>27</v>
      </c>
      <c r="P34" s="2">
        <v>0</v>
      </c>
      <c r="Q34" s="2">
        <v>8.5940000000000003E-2</v>
      </c>
      <c r="R34" s="42" t="s">
        <v>1375</v>
      </c>
      <c r="S34" s="42">
        <v>70</v>
      </c>
      <c r="T34" s="42">
        <v>32</v>
      </c>
      <c r="U34" s="74" cm="1">
        <f t="array" ref="U34">SUM(SUMIFS(Q$14:Q$1004,O$14:O$1004,T34:T38,N$14:N$1004,S34:S38,P$14:P$1004,0))</f>
        <v>3.5760680999999996</v>
      </c>
      <c r="V34" s="55" t="s">
        <v>1335</v>
      </c>
      <c r="W34" s="74">
        <f>U151</f>
        <v>8.3997801000000011E-2</v>
      </c>
      <c r="X34" s="90">
        <f t="shared" si="0"/>
        <v>0</v>
      </c>
      <c r="Z34" s="89">
        <v>64</v>
      </c>
      <c r="AA34" s="2">
        <v>27</v>
      </c>
      <c r="AB34" s="2">
        <v>0</v>
      </c>
      <c r="AC34" s="2">
        <v>7.3999999999999996E-2</v>
      </c>
      <c r="AD34" s="42" t="s">
        <v>1375</v>
      </c>
      <c r="AE34" s="42">
        <v>70</v>
      </c>
      <c r="AF34" s="42">
        <v>32</v>
      </c>
      <c r="AG34" s="74" cm="1">
        <f t="array" ref="AG34">SUM(SUMIFS(AC$14:AC$1004,AA$14:AA$1004,AF34:AF38,Z$14:Z$1004,AE34:AE38,AB$14:AB$1004,0))</f>
        <v>2.2088172000000004</v>
      </c>
      <c r="AH34" s="55" t="s">
        <v>1335</v>
      </c>
      <c r="AI34" s="74">
        <f>AG151</f>
        <v>0.106319002</v>
      </c>
      <c r="AJ34" s="90">
        <f t="shared" si="2"/>
        <v>0</v>
      </c>
      <c r="AL34" s="89">
        <v>65</v>
      </c>
      <c r="AM34" s="2">
        <v>27</v>
      </c>
      <c r="AN34" s="2">
        <v>0</v>
      </c>
      <c r="AO34" s="2">
        <v>3.6999999999999998E-2</v>
      </c>
      <c r="AP34" s="42" t="s">
        <v>1375</v>
      </c>
      <c r="AQ34" s="42">
        <v>70</v>
      </c>
      <c r="AR34" s="42">
        <v>32</v>
      </c>
      <c r="AS34" s="74" cm="1">
        <f t="array" ref="AS34">SUM(SUMIFS(AO$14:AO$1004,AM$14:AM$1004,AR34:AR38,AL$14:AL$1004,AQ34:AQ38,AN$14:AN$1004,0))</f>
        <v>2.2390762</v>
      </c>
      <c r="AT34" s="55" t="s">
        <v>1335</v>
      </c>
      <c r="AU34" s="74">
        <f>AS151</f>
        <v>9.5978001000000007E-2</v>
      </c>
      <c r="AV34" s="90">
        <f t="shared" si="3"/>
        <v>0</v>
      </c>
      <c r="AX34" s="89">
        <v>65</v>
      </c>
      <c r="AY34" s="2">
        <v>28</v>
      </c>
      <c r="AZ34" s="2">
        <v>0</v>
      </c>
      <c r="BA34" s="2">
        <v>1E-3</v>
      </c>
      <c r="BB34" s="42" t="s">
        <v>1375</v>
      </c>
      <c r="BC34" s="42">
        <v>70</v>
      </c>
      <c r="BD34" s="42">
        <v>32</v>
      </c>
      <c r="BE34" s="74" cm="1">
        <f t="array" ref="BE34">SUM(SUMIFS(BA$14:BA$1004,AY$14:AY$1004,BD34:BD38,AX$14:AX$1004,BC34:BC38,AZ$14:AZ$1004,0))</f>
        <v>0.23912</v>
      </c>
      <c r="BF34" s="55" t="s">
        <v>1335</v>
      </c>
      <c r="BG34" s="74">
        <f>BE151</f>
        <v>4.2790923000000003</v>
      </c>
      <c r="BH34" s="90">
        <f t="shared" si="4"/>
        <v>0.11099561713759939</v>
      </c>
      <c r="BJ34" s="89">
        <v>71</v>
      </c>
      <c r="BK34" s="2">
        <v>27</v>
      </c>
      <c r="BL34" s="2">
        <v>0</v>
      </c>
      <c r="BM34" s="2">
        <v>1E-3</v>
      </c>
      <c r="BN34" s="42" t="s">
        <v>1375</v>
      </c>
      <c r="BO34" s="42">
        <v>70</v>
      </c>
      <c r="BP34" s="42">
        <v>32</v>
      </c>
      <c r="BQ34" s="74" cm="1">
        <f t="array" ref="BQ34">SUM(SUMIFS(BM$14:BM$1004,BK$14:BK$1004,BP34:BP38,BJ$14:BJ$1004,BO34:BO38,BL$14:BL$1004,0))</f>
        <v>0.22400001000000003</v>
      </c>
      <c r="BR34" s="55" t="s">
        <v>1335</v>
      </c>
      <c r="BS34" s="74">
        <f>BQ151</f>
        <v>4.0230380000000006</v>
      </c>
      <c r="BT34" s="90">
        <f t="shared" si="5"/>
        <v>0.10236865720624289</v>
      </c>
      <c r="BV34" s="89">
        <v>65</v>
      </c>
      <c r="BW34" s="2">
        <v>28</v>
      </c>
      <c r="BX34" s="2">
        <v>0</v>
      </c>
      <c r="BY34" s="2">
        <v>5.0000000000000001E-3</v>
      </c>
      <c r="BZ34" s="42" t="s">
        <v>1375</v>
      </c>
      <c r="CA34" s="42">
        <v>70</v>
      </c>
      <c r="CB34" s="42">
        <v>32</v>
      </c>
      <c r="CC34" s="74" cm="1">
        <f t="array" ref="CC34">SUM(SUMIFS(BY$14:BY$1004,BW$14:BW$1004,CB34:CB38,BV$14:BV$1004,CA34:CA38,BX$14:BX$1004,0))</f>
        <v>0.17796000000000001</v>
      </c>
      <c r="CD34" s="55" t="s">
        <v>1335</v>
      </c>
      <c r="CE34" s="74">
        <f>CC151</f>
        <v>6.3985245000000006</v>
      </c>
      <c r="CF34" s="90">
        <f t="shared" si="6"/>
        <v>0.16574803633840671</v>
      </c>
      <c r="CH34" s="89">
        <v>60</v>
      </c>
      <c r="CI34" s="2">
        <v>28</v>
      </c>
      <c r="CJ34" s="2">
        <v>0</v>
      </c>
      <c r="CK34" s="2">
        <v>1E-3</v>
      </c>
      <c r="CL34" s="42" t="s">
        <v>1375</v>
      </c>
      <c r="CM34" s="42">
        <v>70</v>
      </c>
      <c r="CN34" s="42">
        <v>32</v>
      </c>
      <c r="CO34" s="74" cm="1">
        <f t="array" ref="CO34">SUM(SUMIFS(CK$14:CK$1004,CI$14:CI$1004,CN34:CN38,CH$14:CH$1004,CM34:CM38,CJ$14:CJ$1004,0))</f>
        <v>0.26399591</v>
      </c>
      <c r="CP34" s="55" t="s">
        <v>1335</v>
      </c>
      <c r="CQ34" s="74">
        <f>CO151</f>
        <v>5.8845388000000005</v>
      </c>
      <c r="CR34" s="90">
        <f t="shared" si="7"/>
        <v>0.15253250019955489</v>
      </c>
      <c r="CT34" s="89">
        <v>68</v>
      </c>
      <c r="CU34" s="2">
        <v>27</v>
      </c>
      <c r="CV34" s="2">
        <v>1</v>
      </c>
      <c r="CW34" s="2">
        <v>1.3333329999999999E-3</v>
      </c>
      <c r="CX34" s="42" t="s">
        <v>1375</v>
      </c>
      <c r="CY34" s="42">
        <v>70</v>
      </c>
      <c r="CZ34" s="42">
        <v>32</v>
      </c>
      <c r="DA34" s="74" cm="1">
        <f t="array" ref="DA34">SUM(SUMIFS(CW$14:CW$1004,CU$14:CU$1004,CZ34:CZ38,CT$14:CT$1004,CY34:CY38,CV$14:CV$1004,0))</f>
        <v>0.1990709</v>
      </c>
      <c r="DB34" s="55" t="s">
        <v>1335</v>
      </c>
      <c r="DC34" s="74">
        <f>DA151</f>
        <v>11.954128000000001</v>
      </c>
      <c r="DD34" s="90">
        <f t="shared" si="8"/>
        <v>0.32592260943901358</v>
      </c>
      <c r="DF34" s="89">
        <v>66</v>
      </c>
      <c r="DG34" s="2">
        <v>29</v>
      </c>
      <c r="DH34" s="2">
        <v>0</v>
      </c>
      <c r="DI34" s="2">
        <v>4.0000000000000001E-3</v>
      </c>
      <c r="DJ34" s="42" t="s">
        <v>1375</v>
      </c>
      <c r="DK34" s="42">
        <v>70</v>
      </c>
      <c r="DL34" s="42">
        <v>32</v>
      </c>
      <c r="DM34" s="74" cm="1">
        <f t="array" ref="DM34">SUM(SUMIFS(DI$14:DI$1004,DG$14:DG$1004,DL34:DL38,DF$14:DF$1004,DK34:DK38,DH$14:DH$1004,0))</f>
        <v>0.18390000000000001</v>
      </c>
      <c r="DN34" s="55" t="s">
        <v>1335</v>
      </c>
      <c r="DO34" s="74">
        <f>DM151</f>
        <v>9.0952040000000007</v>
      </c>
      <c r="DP34" s="90">
        <f t="shared" si="9"/>
        <v>0.23899173820513192</v>
      </c>
      <c r="DR34" s="89">
        <v>64</v>
      </c>
      <c r="DS34" s="2">
        <v>27</v>
      </c>
      <c r="DT34" s="2">
        <v>0</v>
      </c>
      <c r="DU34" s="2">
        <v>0.11600000000000001</v>
      </c>
      <c r="DV34" s="42" t="s">
        <v>1375</v>
      </c>
      <c r="DW34" s="42">
        <v>70</v>
      </c>
      <c r="DX34" s="42">
        <v>32</v>
      </c>
      <c r="DY34" s="74" cm="1">
        <f t="array" ref="DY34">SUM(SUMIFS(DU$14:DU$1004,DS$14:DS$1004,DX34:DX38,DR$14:DR$1004,DW34:DW38,DT$14:DT$1004,0))</f>
        <v>3.0275841999999997</v>
      </c>
      <c r="DZ34" s="55" t="s">
        <v>1335</v>
      </c>
      <c r="EA34" s="74">
        <f>DY151</f>
        <v>0.16695659999999998</v>
      </c>
      <c r="EB34" s="90">
        <f t="shared" si="10"/>
        <v>0</v>
      </c>
      <c r="ED34" s="89">
        <v>68</v>
      </c>
      <c r="EE34" s="2">
        <v>27</v>
      </c>
      <c r="EF34" s="2">
        <v>1</v>
      </c>
      <c r="EG34" s="2">
        <v>1.07E-3</v>
      </c>
      <c r="EH34" s="42" t="s">
        <v>1375</v>
      </c>
      <c r="EI34" s="42">
        <v>70</v>
      </c>
      <c r="EJ34" s="42">
        <v>32</v>
      </c>
      <c r="EK34" s="74" cm="1">
        <f t="array" ref="EK34">SUM(SUMIFS(EG$14:EG$1004,EE$14:EE$1004,EJ34:EJ38,ED$14:ED$1004,EI34:EI38,EF$14:EF$1004,0))</f>
        <v>0.20807501</v>
      </c>
      <c r="EL34" s="55" t="s">
        <v>1335</v>
      </c>
      <c r="EM34" s="74">
        <f>EK151</f>
        <v>5.9877106000000007</v>
      </c>
      <c r="EN34" s="90">
        <f t="shared" si="12"/>
        <v>0.15497519552318229</v>
      </c>
      <c r="ES34">
        <v>68</v>
      </c>
      <c r="ET34">
        <v>27</v>
      </c>
      <c r="EU34">
        <v>1</v>
      </c>
      <c r="EV34">
        <v>1.07E-3</v>
      </c>
    </row>
    <row r="35" spans="1:152" x14ac:dyDescent="0.4">
      <c r="A35" s="89"/>
      <c r="B35" s="2"/>
      <c r="C35" s="2"/>
      <c r="D35" s="2"/>
      <c r="E35" s="42" t="s">
        <v>1375</v>
      </c>
      <c r="F35" s="42">
        <v>72</v>
      </c>
      <c r="G35" s="42">
        <v>32</v>
      </c>
      <c r="H35" s="74"/>
      <c r="I35" s="55" t="s">
        <v>610</v>
      </c>
      <c r="J35" s="74">
        <f>H158</f>
        <v>0</v>
      </c>
      <c r="K35" s="6" t="e">
        <f t="shared" si="1"/>
        <v>#DIV/0!</v>
      </c>
      <c r="N35" s="89">
        <v>62</v>
      </c>
      <c r="O35" s="2">
        <v>27</v>
      </c>
      <c r="P35" s="2">
        <v>0</v>
      </c>
      <c r="Q35" s="2">
        <v>0.11219</v>
      </c>
      <c r="R35" s="42" t="s">
        <v>1375</v>
      </c>
      <c r="S35" s="42">
        <v>72</v>
      </c>
      <c r="T35" s="42">
        <v>32</v>
      </c>
      <c r="U35" s="74"/>
      <c r="V35" s="55" t="s">
        <v>610</v>
      </c>
      <c r="W35" s="74">
        <f>U158</f>
        <v>8.9999999999999993E-3</v>
      </c>
      <c r="X35" s="90">
        <f t="shared" si="0"/>
        <v>0</v>
      </c>
      <c r="Z35" s="89">
        <v>65</v>
      </c>
      <c r="AA35" s="2">
        <v>27</v>
      </c>
      <c r="AB35" s="2">
        <v>0</v>
      </c>
      <c r="AC35" s="2">
        <v>8.1000000000000003E-2</v>
      </c>
      <c r="AD35" s="42" t="s">
        <v>1375</v>
      </c>
      <c r="AE35" s="42">
        <v>72</v>
      </c>
      <c r="AF35" s="42">
        <v>32</v>
      </c>
      <c r="AG35" s="74"/>
      <c r="AH35" s="55" t="s">
        <v>610</v>
      </c>
      <c r="AI35" s="74">
        <f>AG158</f>
        <v>1.2999999999999999E-2</v>
      </c>
      <c r="AJ35" s="90">
        <f t="shared" si="2"/>
        <v>0</v>
      </c>
      <c r="AL35" s="89">
        <v>66</v>
      </c>
      <c r="AM35" s="2">
        <v>27</v>
      </c>
      <c r="AN35" s="2">
        <v>0</v>
      </c>
      <c r="AO35" s="2">
        <v>3.5999999999999997E-2</v>
      </c>
      <c r="AP35" s="42" t="s">
        <v>1375</v>
      </c>
      <c r="AQ35" s="42">
        <v>72</v>
      </c>
      <c r="AR35" s="42">
        <v>32</v>
      </c>
      <c r="AS35" s="74"/>
      <c r="AT35" s="55" t="s">
        <v>610</v>
      </c>
      <c r="AU35" s="74">
        <f>AS158</f>
        <v>6.0000000000000001E-3</v>
      </c>
      <c r="AV35" s="90">
        <f t="shared" si="3"/>
        <v>0</v>
      </c>
      <c r="AX35" s="89">
        <v>66</v>
      </c>
      <c r="AY35" s="2">
        <v>28</v>
      </c>
      <c r="AZ35" s="2">
        <v>0</v>
      </c>
      <c r="BA35" s="2">
        <v>2E-3</v>
      </c>
      <c r="BB35" s="42" t="s">
        <v>1375</v>
      </c>
      <c r="BC35" s="42">
        <v>72</v>
      </c>
      <c r="BD35" s="42">
        <v>32</v>
      </c>
      <c r="BE35" s="74"/>
      <c r="BF35" s="55" t="s">
        <v>610</v>
      </c>
      <c r="BG35" s="74">
        <f>BE158</f>
        <v>0.497004</v>
      </c>
      <c r="BH35" s="90">
        <f t="shared" si="4"/>
        <v>0</v>
      </c>
      <c r="BJ35" s="89">
        <v>61</v>
      </c>
      <c r="BK35" s="2">
        <v>28</v>
      </c>
      <c r="BL35" s="2">
        <v>0</v>
      </c>
      <c r="BM35" s="2">
        <v>3.0000000000000001E-3</v>
      </c>
      <c r="BN35" s="42" t="s">
        <v>1375</v>
      </c>
      <c r="BO35" s="42">
        <v>72</v>
      </c>
      <c r="BP35" s="42">
        <v>32</v>
      </c>
      <c r="BQ35" s="74"/>
      <c r="BR35" s="55" t="s">
        <v>610</v>
      </c>
      <c r="BS35" s="74">
        <f>BQ158</f>
        <v>0.53600009999999998</v>
      </c>
      <c r="BT35" s="90">
        <f t="shared" si="5"/>
        <v>0</v>
      </c>
      <c r="BV35" s="89">
        <v>66</v>
      </c>
      <c r="BW35" s="2">
        <v>28</v>
      </c>
      <c r="BX35" s="2">
        <v>0</v>
      </c>
      <c r="BY35" s="2">
        <v>4.0000000000000001E-3</v>
      </c>
      <c r="BZ35" s="42" t="s">
        <v>1375</v>
      </c>
      <c r="CA35" s="42">
        <v>72</v>
      </c>
      <c r="CB35" s="42">
        <v>32</v>
      </c>
      <c r="CC35" s="74"/>
      <c r="CD35" s="55" t="s">
        <v>610</v>
      </c>
      <c r="CE35" s="74">
        <f>CC158</f>
        <v>0.83074700000000001</v>
      </c>
      <c r="CF35" s="90">
        <f t="shared" si="6"/>
        <v>0</v>
      </c>
      <c r="CH35" s="89">
        <v>61</v>
      </c>
      <c r="CI35" s="2">
        <v>28</v>
      </c>
      <c r="CJ35" s="2">
        <v>0</v>
      </c>
      <c r="CK35" s="2">
        <v>4.0000000000000001E-3</v>
      </c>
      <c r="CL35" s="42" t="s">
        <v>1375</v>
      </c>
      <c r="CM35" s="42">
        <v>72</v>
      </c>
      <c r="CN35" s="42">
        <v>32</v>
      </c>
      <c r="CO35" s="74"/>
      <c r="CP35" s="55" t="s">
        <v>610</v>
      </c>
      <c r="CQ35" s="74">
        <f>CO158</f>
        <v>0.84300399999999998</v>
      </c>
      <c r="CR35" s="90">
        <f t="shared" si="7"/>
        <v>0</v>
      </c>
      <c r="CT35" s="89">
        <v>69</v>
      </c>
      <c r="CU35" s="2">
        <v>27</v>
      </c>
      <c r="CV35" s="2">
        <v>0</v>
      </c>
      <c r="CW35" s="2">
        <v>2E-3</v>
      </c>
      <c r="CX35" s="42" t="s">
        <v>1375</v>
      </c>
      <c r="CY35" s="42">
        <v>72</v>
      </c>
      <c r="CZ35" s="42">
        <v>32</v>
      </c>
      <c r="DA35" s="74"/>
      <c r="DB35" s="55" t="s">
        <v>610</v>
      </c>
      <c r="DC35" s="74">
        <f>DA158</f>
        <v>1.9160239999999999</v>
      </c>
      <c r="DD35" s="90">
        <f>IF(DC35&gt;=LARGE(DC$14:DC$44,8),2*DC35/DC$47,0)</f>
        <v>0</v>
      </c>
      <c r="DF35" s="89">
        <v>67</v>
      </c>
      <c r="DG35" s="2">
        <v>29</v>
      </c>
      <c r="DH35" s="2">
        <v>0</v>
      </c>
      <c r="DI35" s="2">
        <v>2E-3</v>
      </c>
      <c r="DJ35" s="42" t="s">
        <v>1375</v>
      </c>
      <c r="DK35" s="42">
        <v>72</v>
      </c>
      <c r="DL35" s="42">
        <v>32</v>
      </c>
      <c r="DM35" s="74"/>
      <c r="DN35" s="55" t="s">
        <v>610</v>
      </c>
      <c r="DO35" s="74">
        <f>DM158</f>
        <v>1.14307</v>
      </c>
      <c r="DP35" s="90">
        <f>IF(DO35&gt;=LARGE(DO$14:DO$44,8),2*DO35/DO$47,0)</f>
        <v>0</v>
      </c>
      <c r="DR35" s="89">
        <v>65</v>
      </c>
      <c r="DS35" s="2">
        <v>27</v>
      </c>
      <c r="DT35" s="2">
        <v>0</v>
      </c>
      <c r="DU35" s="2">
        <v>0.13</v>
      </c>
      <c r="DV35" s="42" t="s">
        <v>1375</v>
      </c>
      <c r="DW35" s="42">
        <v>72</v>
      </c>
      <c r="DX35" s="42">
        <v>32</v>
      </c>
      <c r="DY35" s="74"/>
      <c r="DZ35" s="55" t="s">
        <v>610</v>
      </c>
      <c r="EA35" s="74">
        <f>DY158</f>
        <v>2.3E-2</v>
      </c>
      <c r="EB35" s="90">
        <f t="shared" si="10"/>
        <v>0</v>
      </c>
      <c r="ED35" s="89">
        <v>69</v>
      </c>
      <c r="EE35" s="2">
        <v>27</v>
      </c>
      <c r="EF35" s="2">
        <v>0</v>
      </c>
      <c r="EG35" s="2">
        <v>1.9300000000000001E-3</v>
      </c>
      <c r="EH35" s="42" t="s">
        <v>1375</v>
      </c>
      <c r="EI35" s="42">
        <v>72</v>
      </c>
      <c r="EJ35" s="42">
        <v>32</v>
      </c>
      <c r="EK35" s="74"/>
      <c r="EL35" s="55" t="s">
        <v>610</v>
      </c>
      <c r="EM35" s="74">
        <f>EK158</f>
        <v>0.8010041</v>
      </c>
      <c r="EN35" s="90">
        <f t="shared" si="12"/>
        <v>0</v>
      </c>
      <c r="ES35">
        <v>69</v>
      </c>
      <c r="ET35">
        <v>27</v>
      </c>
      <c r="EU35">
        <v>0</v>
      </c>
      <c r="EV35">
        <v>1.9300000000000001E-3</v>
      </c>
    </row>
    <row r="36" spans="1:152" x14ac:dyDescent="0.4">
      <c r="A36" s="89"/>
      <c r="B36" s="2"/>
      <c r="C36" s="2"/>
      <c r="D36" s="2"/>
      <c r="E36" s="42" t="s">
        <v>1375</v>
      </c>
      <c r="F36" s="42">
        <v>73</v>
      </c>
      <c r="G36" s="42">
        <v>32</v>
      </c>
      <c r="H36" s="74"/>
      <c r="I36" s="55" t="s">
        <v>1334</v>
      </c>
      <c r="J36" s="74">
        <f>H159</f>
        <v>0</v>
      </c>
      <c r="K36" s="6" t="e">
        <f t="shared" si="1"/>
        <v>#DIV/0!</v>
      </c>
      <c r="N36" s="89">
        <v>62</v>
      </c>
      <c r="O36" s="2">
        <v>27</v>
      </c>
      <c r="P36" s="2">
        <v>1</v>
      </c>
      <c r="Q36" s="2">
        <v>1.9E-2</v>
      </c>
      <c r="R36" s="42" t="s">
        <v>1375</v>
      </c>
      <c r="S36" s="42">
        <v>73</v>
      </c>
      <c r="T36" s="42">
        <v>32</v>
      </c>
      <c r="U36" s="74"/>
      <c r="V36" s="55" t="s">
        <v>1334</v>
      </c>
      <c r="W36" s="74">
        <f>U159</f>
        <v>1.5162999999999998E-2</v>
      </c>
      <c r="X36" s="90">
        <f t="shared" si="0"/>
        <v>0</v>
      </c>
      <c r="Z36" s="89">
        <v>66</v>
      </c>
      <c r="AA36" s="2">
        <v>27</v>
      </c>
      <c r="AB36" s="2">
        <v>0</v>
      </c>
      <c r="AC36" s="2">
        <v>5.5E-2</v>
      </c>
      <c r="AD36" s="42" t="s">
        <v>1375</v>
      </c>
      <c r="AE36" s="42">
        <v>73</v>
      </c>
      <c r="AF36" s="42">
        <v>32</v>
      </c>
      <c r="AG36" s="74"/>
      <c r="AH36" s="55" t="s">
        <v>1334</v>
      </c>
      <c r="AI36" s="74">
        <f>AG159</f>
        <v>1.4000000000000004E-2</v>
      </c>
      <c r="AJ36" s="90">
        <f t="shared" si="2"/>
        <v>0</v>
      </c>
      <c r="AL36" s="89">
        <v>67</v>
      </c>
      <c r="AM36" s="2">
        <v>27</v>
      </c>
      <c r="AN36" s="2">
        <v>0</v>
      </c>
      <c r="AO36" s="2">
        <v>3.1E-2</v>
      </c>
      <c r="AP36" s="42" t="s">
        <v>1375</v>
      </c>
      <c r="AQ36" s="42">
        <v>73</v>
      </c>
      <c r="AR36" s="42">
        <v>32</v>
      </c>
      <c r="AS36" s="74"/>
      <c r="AT36" s="55" t="s">
        <v>1334</v>
      </c>
      <c r="AU36" s="74">
        <f>AS159</f>
        <v>1.9721001000000002E-2</v>
      </c>
      <c r="AV36" s="90">
        <f t="shared" si="3"/>
        <v>0</v>
      </c>
      <c r="AX36" s="89">
        <v>67</v>
      </c>
      <c r="AY36" s="2">
        <v>28</v>
      </c>
      <c r="AZ36" s="2">
        <v>0</v>
      </c>
      <c r="BA36" s="2">
        <v>5.0000000000000001E-3</v>
      </c>
      <c r="BB36" s="42" t="s">
        <v>1375</v>
      </c>
      <c r="BC36" s="42">
        <v>73</v>
      </c>
      <c r="BD36" s="42">
        <v>32</v>
      </c>
      <c r="BE36" s="74"/>
      <c r="BF36" s="55" t="s">
        <v>1334</v>
      </c>
      <c r="BG36" s="74">
        <f>BE159</f>
        <v>0.33891620099999997</v>
      </c>
      <c r="BH36" s="90">
        <f t="shared" si="4"/>
        <v>0</v>
      </c>
      <c r="BJ36" s="89">
        <v>62</v>
      </c>
      <c r="BK36" s="2">
        <v>28</v>
      </c>
      <c r="BL36" s="2">
        <v>0</v>
      </c>
      <c r="BM36" s="2">
        <v>4.0000010000000004E-3</v>
      </c>
      <c r="BN36" s="42" t="s">
        <v>1375</v>
      </c>
      <c r="BO36" s="42">
        <v>73</v>
      </c>
      <c r="BP36" s="42">
        <v>32</v>
      </c>
      <c r="BQ36" s="74"/>
      <c r="BR36" s="55" t="s">
        <v>1334</v>
      </c>
      <c r="BS36" s="74">
        <f>BQ159</f>
        <v>0.58059211000000033</v>
      </c>
      <c r="BT36" s="90">
        <f t="shared" si="5"/>
        <v>0</v>
      </c>
      <c r="BV36" s="89">
        <v>67</v>
      </c>
      <c r="BW36" s="2">
        <v>28</v>
      </c>
      <c r="BX36" s="2">
        <v>0</v>
      </c>
      <c r="BY36" s="2">
        <v>4.0000000000000001E-3</v>
      </c>
      <c r="BZ36" s="42" t="s">
        <v>1375</v>
      </c>
      <c r="CA36" s="42">
        <v>73</v>
      </c>
      <c r="CB36" s="42">
        <v>32</v>
      </c>
      <c r="CC36" s="74"/>
      <c r="CD36" s="55" t="s">
        <v>1334</v>
      </c>
      <c r="CE36" s="74">
        <f>CC159</f>
        <v>0.88553579999999987</v>
      </c>
      <c r="CF36" s="90">
        <f t="shared" si="6"/>
        <v>0</v>
      </c>
      <c r="CH36" s="89">
        <v>63</v>
      </c>
      <c r="CI36" s="2">
        <v>28</v>
      </c>
      <c r="CJ36" s="2">
        <v>0</v>
      </c>
      <c r="CK36" s="2">
        <v>7.0000000000000001E-3</v>
      </c>
      <c r="CL36" s="42" t="s">
        <v>1375</v>
      </c>
      <c r="CM36" s="42">
        <v>73</v>
      </c>
      <c r="CN36" s="42">
        <v>32</v>
      </c>
      <c r="CO36" s="74"/>
      <c r="CP36" s="55" t="s">
        <v>1334</v>
      </c>
      <c r="CQ36" s="74">
        <f>CO159</f>
        <v>1.2615864000000001</v>
      </c>
      <c r="CR36" s="90">
        <f t="shared" si="7"/>
        <v>0</v>
      </c>
      <c r="CT36" s="89">
        <v>72</v>
      </c>
      <c r="CU36" s="2">
        <v>27</v>
      </c>
      <c r="CV36" s="2">
        <v>0</v>
      </c>
      <c r="CW36" s="2">
        <v>1E-3</v>
      </c>
      <c r="CX36" s="42" t="s">
        <v>1375</v>
      </c>
      <c r="CY36" s="42">
        <v>73</v>
      </c>
      <c r="CZ36" s="42">
        <v>32</v>
      </c>
      <c r="DA36" s="74"/>
      <c r="DB36" s="55" t="s">
        <v>1334</v>
      </c>
      <c r="DC36" s="74">
        <f>DA159</f>
        <v>4.2896197000000003</v>
      </c>
      <c r="DD36" s="90">
        <f t="shared" si="8"/>
        <v>0.11695408030807421</v>
      </c>
      <c r="DF36" s="89">
        <v>68</v>
      </c>
      <c r="DG36" s="2">
        <v>29</v>
      </c>
      <c r="DH36" s="2">
        <v>0</v>
      </c>
      <c r="DI36" s="2">
        <v>5.0000000000000001E-3</v>
      </c>
      <c r="DJ36" s="42" t="s">
        <v>1375</v>
      </c>
      <c r="DK36" s="42">
        <v>73</v>
      </c>
      <c r="DL36" s="42">
        <v>32</v>
      </c>
      <c r="DM36" s="74"/>
      <c r="DN36" s="55" t="s">
        <v>1334</v>
      </c>
      <c r="DO36" s="74">
        <f>DM159</f>
        <v>1.0705432999999995</v>
      </c>
      <c r="DP36" s="90">
        <f t="shared" ref="DP36:DP43" si="13">IF(DO36&gt;=LARGE(DO$14:DO$44,8),2*DO36/DO$47,0)</f>
        <v>0</v>
      </c>
      <c r="DR36" s="89">
        <v>66</v>
      </c>
      <c r="DS36" s="2">
        <v>27</v>
      </c>
      <c r="DT36" s="2">
        <v>0</v>
      </c>
      <c r="DU36" s="2">
        <v>0.12</v>
      </c>
      <c r="DV36" s="42" t="s">
        <v>1375</v>
      </c>
      <c r="DW36" s="42">
        <v>73</v>
      </c>
      <c r="DX36" s="42">
        <v>32</v>
      </c>
      <c r="DY36" s="74"/>
      <c r="DZ36" s="55" t="s">
        <v>1334</v>
      </c>
      <c r="EA36" s="74">
        <f>DY159</f>
        <v>3.1026999999999999E-2</v>
      </c>
      <c r="EB36" s="90">
        <f t="shared" si="10"/>
        <v>0</v>
      </c>
      <c r="ED36" s="89">
        <v>61</v>
      </c>
      <c r="EE36" s="2">
        <v>28</v>
      </c>
      <c r="EF36" s="2">
        <v>0</v>
      </c>
      <c r="EG36" s="2">
        <v>1E-3</v>
      </c>
      <c r="EH36" s="42" t="s">
        <v>1375</v>
      </c>
      <c r="EI36" s="42">
        <v>73</v>
      </c>
      <c r="EJ36" s="42">
        <v>32</v>
      </c>
      <c r="EK36" s="74"/>
      <c r="EL36" s="55" t="s">
        <v>1334</v>
      </c>
      <c r="EM36" s="74">
        <f>EK159</f>
        <v>1.0514943999999997</v>
      </c>
      <c r="EN36" s="90">
        <f t="shared" si="12"/>
        <v>0</v>
      </c>
      <c r="ES36">
        <v>61</v>
      </c>
      <c r="ET36">
        <v>28</v>
      </c>
      <c r="EU36">
        <v>0</v>
      </c>
      <c r="EV36">
        <v>1E-3</v>
      </c>
    </row>
    <row r="37" spans="1:152" x14ac:dyDescent="0.4">
      <c r="A37" s="89"/>
      <c r="B37" s="2"/>
      <c r="C37" s="2"/>
      <c r="D37" s="2"/>
      <c r="E37" s="42" t="s">
        <v>1375</v>
      </c>
      <c r="F37" s="42">
        <v>74</v>
      </c>
      <c r="G37" s="42">
        <v>32</v>
      </c>
      <c r="H37" s="74"/>
      <c r="I37" s="55" t="s">
        <v>620</v>
      </c>
      <c r="J37" s="74">
        <f>H168</f>
        <v>0</v>
      </c>
      <c r="K37" s="6" t="e">
        <f t="shared" si="1"/>
        <v>#DIV/0!</v>
      </c>
      <c r="N37" s="89">
        <v>63</v>
      </c>
      <c r="O37" s="2">
        <v>27</v>
      </c>
      <c r="P37" s="2">
        <v>0</v>
      </c>
      <c r="Q37" s="2">
        <v>0.13600000000000001</v>
      </c>
      <c r="R37" s="42" t="s">
        <v>1375</v>
      </c>
      <c r="S37" s="42">
        <v>74</v>
      </c>
      <c r="T37" s="42">
        <v>32</v>
      </c>
      <c r="U37" s="74"/>
      <c r="V37" s="55" t="s">
        <v>620</v>
      </c>
      <c r="W37" s="74">
        <f>U168</f>
        <v>3.0000000000000001E-3</v>
      </c>
      <c r="X37" s="90">
        <f t="shared" si="0"/>
        <v>0</v>
      </c>
      <c r="Z37" s="89">
        <v>67</v>
      </c>
      <c r="AA37" s="2">
        <v>27</v>
      </c>
      <c r="AB37" s="2">
        <v>0</v>
      </c>
      <c r="AC37" s="2">
        <v>3.3000000000000002E-2</v>
      </c>
      <c r="AD37" s="42" t="s">
        <v>1375</v>
      </c>
      <c r="AE37" s="42">
        <v>74</v>
      </c>
      <c r="AF37" s="42">
        <v>32</v>
      </c>
      <c r="AG37" s="74"/>
      <c r="AH37" s="55" t="s">
        <v>620</v>
      </c>
      <c r="AI37" s="74">
        <f>AG168</f>
        <v>2E-3</v>
      </c>
      <c r="AJ37" s="90">
        <f t="shared" si="2"/>
        <v>0</v>
      </c>
      <c r="AL37" s="89">
        <v>68</v>
      </c>
      <c r="AM37" s="2">
        <v>27</v>
      </c>
      <c r="AN37" s="2">
        <v>0</v>
      </c>
      <c r="AO37" s="2">
        <v>1.3110007E-2</v>
      </c>
      <c r="AP37" s="42" t="s">
        <v>1375</v>
      </c>
      <c r="AQ37" s="42">
        <v>74</v>
      </c>
      <c r="AR37" s="42">
        <v>32</v>
      </c>
      <c r="AS37" s="74"/>
      <c r="AT37" s="55" t="s">
        <v>620</v>
      </c>
      <c r="AU37" s="74">
        <f>AS168</f>
        <v>0</v>
      </c>
      <c r="AV37" s="90">
        <f t="shared" si="3"/>
        <v>0</v>
      </c>
      <c r="AX37" s="89">
        <v>68</v>
      </c>
      <c r="AY37" s="2">
        <v>28</v>
      </c>
      <c r="AZ37" s="2">
        <v>0</v>
      </c>
      <c r="BA37" s="2">
        <v>8.0099999999999998E-3</v>
      </c>
      <c r="BB37" s="42" t="s">
        <v>1375</v>
      </c>
      <c r="BC37" s="42">
        <v>74</v>
      </c>
      <c r="BD37" s="42">
        <v>32</v>
      </c>
      <c r="BE37" s="74"/>
      <c r="BF37" s="55" t="s">
        <v>620</v>
      </c>
      <c r="BG37" s="74">
        <f>BE168</f>
        <v>1.4E-2</v>
      </c>
      <c r="BH37" s="90">
        <f t="shared" si="4"/>
        <v>0</v>
      </c>
      <c r="BJ37" s="89">
        <v>63</v>
      </c>
      <c r="BK37" s="2">
        <v>28</v>
      </c>
      <c r="BL37" s="2">
        <v>0</v>
      </c>
      <c r="BM37" s="2">
        <v>3.0000000000000001E-3</v>
      </c>
      <c r="BN37" s="42" t="s">
        <v>1375</v>
      </c>
      <c r="BO37" s="42">
        <v>74</v>
      </c>
      <c r="BP37" s="42">
        <v>32</v>
      </c>
      <c r="BQ37" s="74"/>
      <c r="BR37" s="55" t="s">
        <v>620</v>
      </c>
      <c r="BS37" s="74">
        <f>BQ168</f>
        <v>5.1999999999999998E-2</v>
      </c>
      <c r="BT37" s="90">
        <f t="shared" si="5"/>
        <v>0</v>
      </c>
      <c r="BV37" s="89">
        <v>68</v>
      </c>
      <c r="BW37" s="2">
        <v>28</v>
      </c>
      <c r="BX37" s="2">
        <v>0</v>
      </c>
      <c r="BY37" s="2">
        <v>7.0000009999999996E-3</v>
      </c>
      <c r="BZ37" s="42" t="s">
        <v>1375</v>
      </c>
      <c r="CA37" s="42">
        <v>74</v>
      </c>
      <c r="CB37" s="42">
        <v>32</v>
      </c>
      <c r="CC37" s="74"/>
      <c r="CD37" s="55" t="s">
        <v>620</v>
      </c>
      <c r="CE37" s="74">
        <f>CC168</f>
        <v>9.1000010000000006E-2</v>
      </c>
      <c r="CF37" s="90">
        <f t="shared" si="6"/>
        <v>0</v>
      </c>
      <c r="CH37" s="89">
        <v>64</v>
      </c>
      <c r="CI37" s="2">
        <v>28</v>
      </c>
      <c r="CJ37" s="2">
        <v>0</v>
      </c>
      <c r="CK37" s="2">
        <v>0.01</v>
      </c>
      <c r="CL37" s="42" t="s">
        <v>1375</v>
      </c>
      <c r="CM37" s="42">
        <v>74</v>
      </c>
      <c r="CN37" s="42">
        <v>32</v>
      </c>
      <c r="CO37" s="74"/>
      <c r="CP37" s="55" t="s">
        <v>620</v>
      </c>
      <c r="CQ37" s="74">
        <f>CO168</f>
        <v>0.13600000000000001</v>
      </c>
      <c r="CR37" s="90">
        <f t="shared" si="7"/>
        <v>0</v>
      </c>
      <c r="CT37" s="89">
        <v>61</v>
      </c>
      <c r="CU37" s="2">
        <v>28</v>
      </c>
      <c r="CV37" s="2">
        <v>0</v>
      </c>
      <c r="CW37" s="2">
        <v>3.0000000000000001E-3</v>
      </c>
      <c r="CX37" s="42" t="s">
        <v>1375</v>
      </c>
      <c r="CY37" s="42">
        <v>74</v>
      </c>
      <c r="CZ37" s="42">
        <v>32</v>
      </c>
      <c r="DA37" s="74"/>
      <c r="DB37" s="55" t="s">
        <v>620</v>
      </c>
      <c r="DC37" s="74">
        <f>DA168</f>
        <v>0.78402720000000004</v>
      </c>
      <c r="DD37" s="90">
        <f t="shared" si="8"/>
        <v>0</v>
      </c>
      <c r="DF37" s="89">
        <v>69</v>
      </c>
      <c r="DG37" s="2">
        <v>29</v>
      </c>
      <c r="DH37" s="2">
        <v>0</v>
      </c>
      <c r="DI37" s="2">
        <v>8.0000000000000002E-3</v>
      </c>
      <c r="DJ37" s="42" t="s">
        <v>1375</v>
      </c>
      <c r="DK37" s="42">
        <v>74</v>
      </c>
      <c r="DL37" s="42">
        <v>32</v>
      </c>
      <c r="DM37" s="74"/>
      <c r="DN37" s="55" t="s">
        <v>620</v>
      </c>
      <c r="DO37" s="74">
        <f>DM168</f>
        <v>6.8027210000000005E-2</v>
      </c>
      <c r="DP37" s="90">
        <f t="shared" si="13"/>
        <v>0</v>
      </c>
      <c r="DR37" s="89">
        <v>67</v>
      </c>
      <c r="DS37" s="2">
        <v>27</v>
      </c>
      <c r="DT37" s="2">
        <v>0</v>
      </c>
      <c r="DU37" s="2">
        <v>8.5999999999999993E-2</v>
      </c>
      <c r="DV37" s="42" t="s">
        <v>1375</v>
      </c>
      <c r="DW37" s="42">
        <v>74</v>
      </c>
      <c r="DX37" s="42">
        <v>32</v>
      </c>
      <c r="DY37" s="74"/>
      <c r="DZ37" s="55" t="s">
        <v>620</v>
      </c>
      <c r="EA37" s="74">
        <f>DY168</f>
        <v>2E-3</v>
      </c>
      <c r="EB37" s="90">
        <f t="shared" si="10"/>
        <v>0</v>
      </c>
      <c r="ED37" s="89">
        <v>62</v>
      </c>
      <c r="EE37" s="2">
        <v>28</v>
      </c>
      <c r="EF37" s="2">
        <v>0</v>
      </c>
      <c r="EG37" s="2">
        <v>1E-3</v>
      </c>
      <c r="EH37" s="42" t="s">
        <v>1375</v>
      </c>
      <c r="EI37" s="42">
        <v>74</v>
      </c>
      <c r="EJ37" s="42">
        <v>32</v>
      </c>
      <c r="EK37" s="74"/>
      <c r="EL37" s="55" t="s">
        <v>620</v>
      </c>
      <c r="EM37" s="74">
        <f>EK168</f>
        <v>0.14302719999999999</v>
      </c>
      <c r="EN37" s="90">
        <f t="shared" si="12"/>
        <v>0</v>
      </c>
      <c r="ES37">
        <v>62</v>
      </c>
      <c r="ET37">
        <v>28</v>
      </c>
      <c r="EU37">
        <v>0</v>
      </c>
      <c r="EV37">
        <v>1E-3</v>
      </c>
    </row>
    <row r="38" spans="1:152" x14ac:dyDescent="0.4">
      <c r="A38" s="89"/>
      <c r="B38" s="2"/>
      <c r="C38" s="2"/>
      <c r="D38" s="2"/>
      <c r="E38" s="42" t="s">
        <v>1375</v>
      </c>
      <c r="F38" s="42">
        <v>76</v>
      </c>
      <c r="G38" s="42">
        <v>32</v>
      </c>
      <c r="H38" s="74"/>
      <c r="I38" s="55" t="s">
        <v>1333</v>
      </c>
      <c r="J38" s="74">
        <f>H169</f>
        <v>0</v>
      </c>
      <c r="K38" s="6" t="e">
        <f t="shared" si="1"/>
        <v>#DIV/0!</v>
      </c>
      <c r="N38" s="89">
        <v>64</v>
      </c>
      <c r="O38" s="2">
        <v>27</v>
      </c>
      <c r="P38" s="2">
        <v>0</v>
      </c>
      <c r="Q38" s="2">
        <v>0.14599999999999999</v>
      </c>
      <c r="R38" s="42" t="s">
        <v>1375</v>
      </c>
      <c r="S38" s="42">
        <v>76</v>
      </c>
      <c r="T38" s="42">
        <v>32</v>
      </c>
      <c r="U38" s="74"/>
      <c r="V38" s="55" t="s">
        <v>1333</v>
      </c>
      <c r="W38" s="74">
        <f>U169</f>
        <v>3.8370000000000001E-3</v>
      </c>
      <c r="X38" s="90">
        <f t="shared" si="0"/>
        <v>0</v>
      </c>
      <c r="Z38" s="89">
        <v>68</v>
      </c>
      <c r="AA38" s="2">
        <v>27</v>
      </c>
      <c r="AB38" s="2">
        <v>0</v>
      </c>
      <c r="AC38" s="2">
        <v>1.377184E-2</v>
      </c>
      <c r="AD38" s="42" t="s">
        <v>1375</v>
      </c>
      <c r="AE38" s="42">
        <v>76</v>
      </c>
      <c r="AF38" s="42">
        <v>32</v>
      </c>
      <c r="AG38" s="74"/>
      <c r="AH38" s="55" t="s">
        <v>1333</v>
      </c>
      <c r="AI38" s="74">
        <f>AG169</f>
        <v>3.0000000000000001E-3</v>
      </c>
      <c r="AJ38" s="90">
        <f t="shared" si="2"/>
        <v>0</v>
      </c>
      <c r="AL38" s="89">
        <v>68</v>
      </c>
      <c r="AM38" s="2">
        <v>27</v>
      </c>
      <c r="AN38" s="2">
        <v>1</v>
      </c>
      <c r="AO38" s="2">
        <v>5.6470590000000003E-3</v>
      </c>
      <c r="AP38" s="42" t="s">
        <v>1375</v>
      </c>
      <c r="AQ38" s="42">
        <v>76</v>
      </c>
      <c r="AR38" s="42">
        <v>32</v>
      </c>
      <c r="AS38" s="74"/>
      <c r="AT38" s="55" t="s">
        <v>1333</v>
      </c>
      <c r="AU38" s="74">
        <f>AS169</f>
        <v>5.2789999999999998E-3</v>
      </c>
      <c r="AV38" s="90">
        <f t="shared" si="3"/>
        <v>0</v>
      </c>
      <c r="AX38" s="89">
        <v>69</v>
      </c>
      <c r="AY38" s="2">
        <v>28</v>
      </c>
      <c r="AZ38" s="2">
        <v>0</v>
      </c>
      <c r="BA38" s="2">
        <v>7.2122230000000002E-3</v>
      </c>
      <c r="BB38" s="42" t="s">
        <v>1375</v>
      </c>
      <c r="BC38" s="42">
        <v>76</v>
      </c>
      <c r="BD38" s="42">
        <v>32</v>
      </c>
      <c r="BE38" s="74"/>
      <c r="BF38" s="55" t="s">
        <v>1333</v>
      </c>
      <c r="BG38" s="74">
        <f>BE169</f>
        <v>3.2831801000000008E-2</v>
      </c>
      <c r="BH38" s="90">
        <f t="shared" si="4"/>
        <v>0</v>
      </c>
      <c r="BJ38" s="89">
        <v>64</v>
      </c>
      <c r="BK38" s="2">
        <v>28</v>
      </c>
      <c r="BL38" s="2">
        <v>0</v>
      </c>
      <c r="BM38" s="2">
        <v>3.0000000000000001E-3</v>
      </c>
      <c r="BN38" s="42" t="s">
        <v>1375</v>
      </c>
      <c r="BO38" s="42">
        <v>76</v>
      </c>
      <c r="BP38" s="42">
        <v>32</v>
      </c>
      <c r="BQ38" s="74"/>
      <c r="BR38" s="55" t="s">
        <v>1333</v>
      </c>
      <c r="BS38" s="74">
        <f>BQ169</f>
        <v>0.15088880000000002</v>
      </c>
      <c r="BT38" s="90">
        <f t="shared" si="5"/>
        <v>0</v>
      </c>
      <c r="BV38" s="89">
        <v>69</v>
      </c>
      <c r="BW38" s="2">
        <v>28</v>
      </c>
      <c r="BX38" s="2">
        <v>0</v>
      </c>
      <c r="BY38" s="2">
        <v>2E-3</v>
      </c>
      <c r="BZ38" s="42" t="s">
        <v>1375</v>
      </c>
      <c r="CA38" s="42">
        <v>76</v>
      </c>
      <c r="CB38" s="42">
        <v>32</v>
      </c>
      <c r="CC38" s="74"/>
      <c r="CD38" s="55" t="s">
        <v>1333</v>
      </c>
      <c r="CE38" s="74">
        <f>CC169</f>
        <v>0.19527241099999992</v>
      </c>
      <c r="CF38" s="90">
        <f t="shared" si="6"/>
        <v>0</v>
      </c>
      <c r="CH38" s="89">
        <v>65</v>
      </c>
      <c r="CI38" s="2">
        <v>28</v>
      </c>
      <c r="CJ38" s="2">
        <v>0</v>
      </c>
      <c r="CK38" s="2">
        <v>0.01</v>
      </c>
      <c r="CL38" s="42" t="s">
        <v>1375</v>
      </c>
      <c r="CM38" s="42">
        <v>76</v>
      </c>
      <c r="CN38" s="42">
        <v>32</v>
      </c>
      <c r="CO38" s="74"/>
      <c r="CP38" s="55" t="s">
        <v>1333</v>
      </c>
      <c r="CQ38" s="74">
        <f>CO169</f>
        <v>0.41143760000000007</v>
      </c>
      <c r="CR38" s="90">
        <f t="shared" si="7"/>
        <v>0</v>
      </c>
      <c r="CT38" s="89">
        <v>62</v>
      </c>
      <c r="CU38" s="2">
        <v>28</v>
      </c>
      <c r="CV38" s="2">
        <v>0</v>
      </c>
      <c r="CW38" s="2">
        <v>1E-3</v>
      </c>
      <c r="CX38" s="42" t="s">
        <v>1375</v>
      </c>
      <c r="CY38" s="42">
        <v>76</v>
      </c>
      <c r="CZ38" s="42">
        <v>32</v>
      </c>
      <c r="DA38" s="74"/>
      <c r="DB38" s="55" t="s">
        <v>1333</v>
      </c>
      <c r="DC38" s="74">
        <f>DA169</f>
        <v>2.3838017599999994</v>
      </c>
      <c r="DD38" s="90">
        <f t="shared" si="8"/>
        <v>0</v>
      </c>
      <c r="DF38" s="89">
        <v>70</v>
      </c>
      <c r="DG38" s="2">
        <v>29</v>
      </c>
      <c r="DH38" s="2">
        <v>0</v>
      </c>
      <c r="DI38" s="2">
        <v>5.7244799999999997E-3</v>
      </c>
      <c r="DJ38" s="42" t="s">
        <v>1375</v>
      </c>
      <c r="DK38" s="42">
        <v>76</v>
      </c>
      <c r="DL38" s="42">
        <v>32</v>
      </c>
      <c r="DM38" s="74"/>
      <c r="DN38" s="55" t="s">
        <v>1333</v>
      </c>
      <c r="DO38" s="74">
        <f>DM169</f>
        <v>0.13997029999999999</v>
      </c>
      <c r="DP38" s="90">
        <f t="shared" si="13"/>
        <v>0</v>
      </c>
      <c r="DR38" s="89">
        <v>68</v>
      </c>
      <c r="DS38" s="2">
        <v>27</v>
      </c>
      <c r="DT38" s="2">
        <v>0</v>
      </c>
      <c r="DU38" s="2">
        <v>4.3005000000000002E-2</v>
      </c>
      <c r="DV38" s="42" t="s">
        <v>1375</v>
      </c>
      <c r="DW38" s="42">
        <v>76</v>
      </c>
      <c r="DX38" s="42">
        <v>32</v>
      </c>
      <c r="DY38" s="74"/>
      <c r="DZ38" s="55" t="s">
        <v>1333</v>
      </c>
      <c r="EA38" s="74">
        <f>DY169</f>
        <v>8.9999999999999993E-3</v>
      </c>
      <c r="EB38" s="90">
        <f t="shared" si="10"/>
        <v>0</v>
      </c>
      <c r="ED38" s="89">
        <v>63</v>
      </c>
      <c r="EE38" s="2">
        <v>28</v>
      </c>
      <c r="EF38" s="2">
        <v>0</v>
      </c>
      <c r="EG38" s="2">
        <v>2E-3</v>
      </c>
      <c r="EH38" s="42" t="s">
        <v>1375</v>
      </c>
      <c r="EI38" s="42">
        <v>76</v>
      </c>
      <c r="EJ38" s="42">
        <v>32</v>
      </c>
      <c r="EK38" s="74"/>
      <c r="EL38" s="55" t="s">
        <v>1333</v>
      </c>
      <c r="EM38" s="74">
        <f>EK169</f>
        <v>0.27035982000000003</v>
      </c>
      <c r="EN38" s="90">
        <f t="shared" si="12"/>
        <v>0</v>
      </c>
      <c r="ES38">
        <v>63</v>
      </c>
      <c r="ET38">
        <v>28</v>
      </c>
      <c r="EU38">
        <v>0</v>
      </c>
      <c r="EV38">
        <v>2E-3</v>
      </c>
    </row>
    <row r="39" spans="1:152" x14ac:dyDescent="0.4">
      <c r="A39" s="89"/>
      <c r="B39" s="2"/>
      <c r="C39" s="2"/>
      <c r="D39" s="2"/>
      <c r="E39" s="43" t="s">
        <v>1367</v>
      </c>
      <c r="F39" s="43">
        <v>75</v>
      </c>
      <c r="G39" s="43">
        <v>33</v>
      </c>
      <c r="H39" s="74">
        <f>SUM(SUMIFS(D$14:D$1004,B$14:B$1004,G39,A$14:A$1004,F39,C$14:C$1004,0))</f>
        <v>0</v>
      </c>
      <c r="I39" s="55" t="s">
        <v>1332</v>
      </c>
      <c r="J39" s="74">
        <f>H177</f>
        <v>0</v>
      </c>
      <c r="K39" s="6" t="e">
        <f t="shared" si="1"/>
        <v>#DIV/0!</v>
      </c>
      <c r="N39" s="89">
        <v>65</v>
      </c>
      <c r="O39" s="2">
        <v>27</v>
      </c>
      <c r="P39" s="2">
        <v>0</v>
      </c>
      <c r="Q39" s="2">
        <v>0.10100000000000001</v>
      </c>
      <c r="R39" s="43" t="s">
        <v>1367</v>
      </c>
      <c r="S39" s="43">
        <v>75</v>
      </c>
      <c r="T39" s="43">
        <v>33</v>
      </c>
      <c r="U39" s="74">
        <f>SUM(SUMIFS(Q$14:Q$1004,O$14:O$1004,T39,N$14:N$1004,S39,P$14:P$1004,0))</f>
        <v>1.085464</v>
      </c>
      <c r="V39" s="55" t="s">
        <v>1332</v>
      </c>
      <c r="W39" s="74">
        <f>U177</f>
        <v>0</v>
      </c>
      <c r="X39" s="90">
        <f t="shared" si="0"/>
        <v>0</v>
      </c>
      <c r="Z39" s="89">
        <v>68</v>
      </c>
      <c r="AA39" s="2">
        <v>27</v>
      </c>
      <c r="AB39" s="2">
        <v>1</v>
      </c>
      <c r="AC39" s="2">
        <v>8.5963159999999997E-3</v>
      </c>
      <c r="AD39" s="43" t="s">
        <v>1367</v>
      </c>
      <c r="AE39" s="43">
        <v>75</v>
      </c>
      <c r="AF39" s="43">
        <v>33</v>
      </c>
      <c r="AG39" s="74">
        <f>SUM(SUMIFS(AC$14:AC$1004,AA$14:AA$1004,AF39,Z$14:Z$1004,AE39,AB$14:AB$1004,0))</f>
        <v>0.63858879999999996</v>
      </c>
      <c r="AH39" s="55" t="s">
        <v>1332</v>
      </c>
      <c r="AI39" s="74">
        <f>AG177</f>
        <v>2E-3</v>
      </c>
      <c r="AJ39" s="90">
        <f t="shared" si="2"/>
        <v>0</v>
      </c>
      <c r="AL39" s="89">
        <v>69</v>
      </c>
      <c r="AM39" s="2">
        <v>27</v>
      </c>
      <c r="AN39" s="2">
        <v>0</v>
      </c>
      <c r="AO39" s="2">
        <v>4.0000000000000001E-3</v>
      </c>
      <c r="AP39" s="43" t="s">
        <v>1367</v>
      </c>
      <c r="AQ39" s="43">
        <v>75</v>
      </c>
      <c r="AR39" s="43">
        <v>33</v>
      </c>
      <c r="AS39" s="74">
        <f>SUM(SUMIFS(AO$14:AO$1004,AM$14:AM$1004,AR39,AL$14:AL$1004,AQ39,AN$14:AN$1004,0))</f>
        <v>0.657663</v>
      </c>
      <c r="AT39" s="55" t="s">
        <v>1332</v>
      </c>
      <c r="AU39" s="74">
        <f>AS177</f>
        <v>1E-3</v>
      </c>
      <c r="AV39" s="90">
        <f t="shared" si="3"/>
        <v>0</v>
      </c>
      <c r="AX39" s="89">
        <v>69</v>
      </c>
      <c r="AY39" s="2">
        <v>28</v>
      </c>
      <c r="AZ39" s="2">
        <v>1</v>
      </c>
      <c r="BA39" s="2">
        <v>1.777778E-3</v>
      </c>
      <c r="BB39" s="43" t="s">
        <v>1367</v>
      </c>
      <c r="BC39" s="43">
        <v>75</v>
      </c>
      <c r="BD39" s="43">
        <v>33</v>
      </c>
      <c r="BE39" s="74">
        <f>SUM(SUMIFS(BA$14:BA$1004,AY$14:AY$1004,BD39,AX$14:AX$1004,BC39,AZ$14:AZ$1004,0))</f>
        <v>7.9880000000000007E-2</v>
      </c>
      <c r="BF39" s="55" t="s">
        <v>1332</v>
      </c>
      <c r="BG39" s="74">
        <f>BE177</f>
        <v>7.1679999999999999E-3</v>
      </c>
      <c r="BH39" s="90">
        <f t="shared" si="4"/>
        <v>0</v>
      </c>
      <c r="BJ39" s="89">
        <v>65</v>
      </c>
      <c r="BK39" s="2">
        <v>28</v>
      </c>
      <c r="BL39" s="2">
        <v>0</v>
      </c>
      <c r="BM39" s="2">
        <v>7.0000009999999996E-3</v>
      </c>
      <c r="BN39" s="43" t="s">
        <v>1367</v>
      </c>
      <c r="BO39" s="43">
        <v>75</v>
      </c>
      <c r="BP39" s="43">
        <v>33</v>
      </c>
      <c r="BQ39" s="74">
        <f>SUM(SUMIFS(BM$14:BM$1004,BK$14:BK$1004,BP39,BJ$14:BJ$1004,BO39,BL$14:BL$1004,0))</f>
        <v>7.1999999999999995E-2</v>
      </c>
      <c r="BR39" s="55" t="s">
        <v>1332</v>
      </c>
      <c r="BS39" s="74">
        <f>BQ177</f>
        <v>4.4469999999999996E-2</v>
      </c>
      <c r="BT39" s="90">
        <f t="shared" si="5"/>
        <v>0</v>
      </c>
      <c r="BV39" s="89">
        <v>70</v>
      </c>
      <c r="BW39" s="2">
        <v>28</v>
      </c>
      <c r="BX39" s="2">
        <v>0</v>
      </c>
      <c r="BY39" s="2">
        <v>1.2E-2</v>
      </c>
      <c r="BZ39" s="43" t="s">
        <v>1367</v>
      </c>
      <c r="CA39" s="43">
        <v>75</v>
      </c>
      <c r="CB39" s="43">
        <v>33</v>
      </c>
      <c r="CC39" s="74">
        <f>SUM(SUMIFS(BY$14:BY$1004,BW$14:BW$1004,CB39,BV$14:BV$1004,CA39,BX$14:BX$1004,0))</f>
        <v>4.704001E-2</v>
      </c>
      <c r="CD39" s="55" t="s">
        <v>1332</v>
      </c>
      <c r="CE39" s="74">
        <f>CC177</f>
        <v>4.3999999999999997E-2</v>
      </c>
      <c r="CF39" s="90">
        <f t="shared" si="6"/>
        <v>0</v>
      </c>
      <c r="CH39" s="89">
        <v>66</v>
      </c>
      <c r="CI39" s="2">
        <v>28</v>
      </c>
      <c r="CJ39" s="2">
        <v>0</v>
      </c>
      <c r="CK39" s="2">
        <v>1.4E-2</v>
      </c>
      <c r="CL39" s="43" t="s">
        <v>1367</v>
      </c>
      <c r="CM39" s="43">
        <v>75</v>
      </c>
      <c r="CN39" s="43">
        <v>33</v>
      </c>
      <c r="CO39" s="74">
        <f>SUM(SUMIFS(CK$14:CK$1004,CI$14:CI$1004,CN39,CH$14:CH$1004,CM39,CJ$14:CJ$1004,0))</f>
        <v>7.7999990000000005E-2</v>
      </c>
      <c r="CP39" s="55" t="s">
        <v>1332</v>
      </c>
      <c r="CQ39" s="74">
        <f>CO177</f>
        <v>0.16394800000000001</v>
      </c>
      <c r="CR39" s="90">
        <f t="shared" si="7"/>
        <v>0</v>
      </c>
      <c r="CT39" s="89">
        <v>63</v>
      </c>
      <c r="CU39" s="2">
        <v>28</v>
      </c>
      <c r="CV39" s="2">
        <v>0</v>
      </c>
      <c r="CW39" s="2">
        <v>4.0000000000000001E-3</v>
      </c>
      <c r="CX39" s="43" t="s">
        <v>1367</v>
      </c>
      <c r="CY39" s="43">
        <v>75</v>
      </c>
      <c r="CZ39" s="43">
        <v>33</v>
      </c>
      <c r="DA39" s="74">
        <f>SUM(SUMIFS(CW$14:CW$1004,CU$14:CU$1004,CZ39,CT$14:CT$1004,CY39,CV$14:CV$1004,0))</f>
        <v>6.4924999999999997E-2</v>
      </c>
      <c r="DB39" s="55" t="s">
        <v>1332</v>
      </c>
      <c r="DC39" s="74">
        <f>DA177</f>
        <v>1.1272309999999999</v>
      </c>
      <c r="DD39" s="90">
        <f t="shared" si="8"/>
        <v>0</v>
      </c>
      <c r="DF39" s="89">
        <v>70</v>
      </c>
      <c r="DG39" s="2">
        <v>29</v>
      </c>
      <c r="DH39" s="2">
        <v>1</v>
      </c>
      <c r="DI39" s="2">
        <v>8.8009999999999998E-3</v>
      </c>
      <c r="DJ39" s="43" t="s">
        <v>1367</v>
      </c>
      <c r="DK39" s="43">
        <v>75</v>
      </c>
      <c r="DL39" s="43">
        <v>33</v>
      </c>
      <c r="DM39" s="74">
        <f>SUM(SUMIFS(DI$14:DI$1004,DG$14:DG$1004,DL39,DF$14:DF$1004,DK39,DH$14:DH$1004,0))</f>
        <v>4.0099999999999997E-2</v>
      </c>
      <c r="DN39" s="55" t="s">
        <v>1332</v>
      </c>
      <c r="DO39" s="74">
        <f>DM177</f>
        <v>3.1E-2</v>
      </c>
      <c r="DP39" s="90">
        <f t="shared" si="13"/>
        <v>0</v>
      </c>
      <c r="DR39" s="89">
        <v>68</v>
      </c>
      <c r="DS39" s="2">
        <v>27</v>
      </c>
      <c r="DT39" s="2">
        <v>1</v>
      </c>
      <c r="DU39" s="2">
        <v>2.4410000000000001E-2</v>
      </c>
      <c r="DV39" s="43" t="s">
        <v>1367</v>
      </c>
      <c r="DW39" s="43">
        <v>75</v>
      </c>
      <c r="DX39" s="43">
        <v>33</v>
      </c>
      <c r="DY39" s="74">
        <f>SUM(SUMIFS(DU$14:DU$1004,DS$14:DS$1004,DX39,DR$14:DR$1004,DW39,DT$14:DT$1004,0))</f>
        <v>0.85331920000000006</v>
      </c>
      <c r="DZ39" s="55" t="s">
        <v>1332</v>
      </c>
      <c r="EA39" s="74">
        <f>DY177</f>
        <v>3.0000000000000001E-3</v>
      </c>
      <c r="EB39" s="90">
        <f t="shared" si="10"/>
        <v>0</v>
      </c>
      <c r="ED39" s="89">
        <v>64</v>
      </c>
      <c r="EE39" s="2">
        <v>28</v>
      </c>
      <c r="EF39" s="2">
        <v>0</v>
      </c>
      <c r="EG39" s="2">
        <v>3.0000000000000001E-3</v>
      </c>
      <c r="EH39" s="43" t="s">
        <v>1367</v>
      </c>
      <c r="EI39" s="43">
        <v>75</v>
      </c>
      <c r="EJ39" s="43">
        <v>33</v>
      </c>
      <c r="EK39" s="74">
        <f>SUM(SUMIFS(EG$14:EG$1004,EE$14:EE$1004,EJ39,ED$14:ED$1004,EI39,EF$14:EF$1004,0))</f>
        <v>5.7924999999999997E-2</v>
      </c>
      <c r="EL39" s="55" t="s">
        <v>1332</v>
      </c>
      <c r="EM39" s="74">
        <f>EK177</f>
        <v>0.10413399999999999</v>
      </c>
      <c r="EN39" s="90">
        <f t="shared" si="12"/>
        <v>0</v>
      </c>
      <c r="ES39">
        <v>64</v>
      </c>
      <c r="ET39">
        <v>28</v>
      </c>
      <c r="EU39">
        <v>0</v>
      </c>
      <c r="EV39">
        <v>3.0000000000000001E-3</v>
      </c>
    </row>
    <row r="40" spans="1:152" x14ac:dyDescent="0.4">
      <c r="A40" s="89"/>
      <c r="B40" s="2"/>
      <c r="C40" s="2"/>
      <c r="D40" s="2"/>
      <c r="E40" s="42" t="s">
        <v>1366</v>
      </c>
      <c r="F40" s="42">
        <v>74</v>
      </c>
      <c r="G40" s="42">
        <v>34</v>
      </c>
      <c r="H40" s="74" cm="1">
        <f t="array" ref="H40">SUM(SUMIFS(D$14:D$1004,B$14:B$1004,G40:G45,A$14:A$1004,F40:F45,C$14:C$1004,0))</f>
        <v>0</v>
      </c>
      <c r="I40" s="55" t="s">
        <v>1331</v>
      </c>
      <c r="J40" s="74">
        <f>H184</f>
        <v>0</v>
      </c>
      <c r="K40" s="6" t="e">
        <f t="shared" si="1"/>
        <v>#DIV/0!</v>
      </c>
      <c r="N40" s="89">
        <v>66</v>
      </c>
      <c r="O40" s="2">
        <v>27</v>
      </c>
      <c r="P40" s="2">
        <v>0</v>
      </c>
      <c r="Q40" s="2">
        <v>9.9000009999999999E-2</v>
      </c>
      <c r="R40" s="42" t="s">
        <v>1366</v>
      </c>
      <c r="S40" s="42">
        <v>74</v>
      </c>
      <c r="T40" s="42">
        <v>34</v>
      </c>
      <c r="U40" s="74" cm="1">
        <f t="array" ref="U40">SUM(SUMIFS(Q$14:Q$1004,O$14:O$1004,T40:T45,N$14:N$1004,S40:S45,P$14:P$1004,0))</f>
        <v>6.5306190000000006</v>
      </c>
      <c r="V40" s="55" t="s">
        <v>1331</v>
      </c>
      <c r="W40" s="74">
        <f>U184</f>
        <v>0</v>
      </c>
      <c r="X40" s="90">
        <f t="shared" si="0"/>
        <v>0</v>
      </c>
      <c r="Z40" s="89">
        <v>69</v>
      </c>
      <c r="AA40" s="2">
        <v>27</v>
      </c>
      <c r="AB40" s="2">
        <v>0</v>
      </c>
      <c r="AC40" s="2">
        <v>1.7930000000000001E-2</v>
      </c>
      <c r="AD40" s="42" t="s">
        <v>1366</v>
      </c>
      <c r="AE40" s="42">
        <v>74</v>
      </c>
      <c r="AF40" s="42">
        <v>34</v>
      </c>
      <c r="AG40" s="74" cm="1">
        <f t="array" ref="AG40">SUM(SUMIFS(AC$14:AC$1004,AA$14:AA$1004,AF40:AF45,Z$14:Z$1004,AE40:AE45,AB$14:AB$1004,0))</f>
        <v>4.5730000000000004</v>
      </c>
      <c r="AH40" s="55" t="s">
        <v>1331</v>
      </c>
      <c r="AI40" s="74">
        <f>AG184</f>
        <v>0</v>
      </c>
      <c r="AJ40" s="90">
        <f t="shared" si="2"/>
        <v>0</v>
      </c>
      <c r="AL40" s="89">
        <v>70</v>
      </c>
      <c r="AM40" s="2">
        <v>27</v>
      </c>
      <c r="AN40" s="2">
        <v>0</v>
      </c>
      <c r="AO40" s="2">
        <v>1E-3</v>
      </c>
      <c r="AP40" s="42" t="s">
        <v>1366</v>
      </c>
      <c r="AQ40" s="42">
        <v>74</v>
      </c>
      <c r="AR40" s="42">
        <v>34</v>
      </c>
      <c r="AS40" s="74" cm="1">
        <f t="array" ref="AS40">SUM(SUMIFS(AO$14:AO$1004,AM$14:AM$1004,AR40:AR45,AL$14:AL$1004,AQ40:AQ45,AN$14:AN$1004,0))</f>
        <v>4.4617630000000004</v>
      </c>
      <c r="AT40" s="55" t="s">
        <v>1331</v>
      </c>
      <c r="AU40" s="74">
        <f>AS184</f>
        <v>0</v>
      </c>
      <c r="AV40" s="90">
        <f t="shared" si="3"/>
        <v>0</v>
      </c>
      <c r="AX40" s="89">
        <v>70</v>
      </c>
      <c r="AY40" s="2">
        <v>28</v>
      </c>
      <c r="AZ40" s="2">
        <v>0</v>
      </c>
      <c r="BA40" s="2">
        <v>7.0000000000000001E-3</v>
      </c>
      <c r="BB40" s="42" t="s">
        <v>1366</v>
      </c>
      <c r="BC40" s="42">
        <v>74</v>
      </c>
      <c r="BD40" s="42">
        <v>34</v>
      </c>
      <c r="BE40" s="74" cm="1">
        <f t="array" ref="BE40">SUM(SUMIFS(BA$14:BA$1004,AY$14:AY$1004,BD40:BD45,AX$14:AX$1004,BC40:BC45,AZ$14:AZ$1004,0))</f>
        <v>2.0808371000000001</v>
      </c>
      <c r="BF40" s="55" t="s">
        <v>1331</v>
      </c>
      <c r="BG40" s="74">
        <f>BE184</f>
        <v>8.0000009999999996E-3</v>
      </c>
      <c r="BH40" s="90">
        <f t="shared" si="4"/>
        <v>0</v>
      </c>
      <c r="BJ40" s="89">
        <v>66</v>
      </c>
      <c r="BK40" s="2">
        <v>28</v>
      </c>
      <c r="BL40" s="2">
        <v>0</v>
      </c>
      <c r="BM40" s="2">
        <v>8.9999999999999993E-3</v>
      </c>
      <c r="BN40" s="42" t="s">
        <v>1366</v>
      </c>
      <c r="BO40" s="42">
        <v>74</v>
      </c>
      <c r="BP40" s="42">
        <v>34</v>
      </c>
      <c r="BQ40" s="74" cm="1">
        <f t="array" ref="BQ40">SUM(SUMIFS(BM$14:BM$1004,BK$14:BK$1004,BP40:BP45,BJ$14:BJ$1004,BO40:BO45,BL$14:BL$1004,0))</f>
        <v>0.94655829999999996</v>
      </c>
      <c r="BR40" s="55" t="s">
        <v>1331</v>
      </c>
      <c r="BS40" s="74">
        <f>BQ184</f>
        <v>6.0000009999999996E-3</v>
      </c>
      <c r="BT40" s="90">
        <f t="shared" si="5"/>
        <v>0</v>
      </c>
      <c r="BV40" s="89">
        <v>71</v>
      </c>
      <c r="BW40" s="2">
        <v>28</v>
      </c>
      <c r="BX40" s="2">
        <v>0</v>
      </c>
      <c r="BY40" s="2">
        <v>3.0000000000000001E-3</v>
      </c>
      <c r="BZ40" s="42" t="s">
        <v>1366</v>
      </c>
      <c r="CA40" s="42">
        <v>74</v>
      </c>
      <c r="CB40" s="42">
        <v>34</v>
      </c>
      <c r="CC40" s="74" cm="1">
        <f t="array" ref="CC40">SUM(SUMIFS(BY$14:BY$1004,BW$14:BW$1004,CB40:CB45,BV$14:BV$1004,CA40:CA45,BX$14:BX$1004,0))</f>
        <v>0.88479010000000002</v>
      </c>
      <c r="CD40" s="55" t="s">
        <v>1331</v>
      </c>
      <c r="CE40" s="74">
        <f>CC184</f>
        <v>5.0000000000000001E-3</v>
      </c>
      <c r="CF40" s="90">
        <f t="shared" si="6"/>
        <v>0</v>
      </c>
      <c r="CH40" s="89">
        <v>67</v>
      </c>
      <c r="CI40" s="2">
        <v>28</v>
      </c>
      <c r="CJ40" s="2">
        <v>0</v>
      </c>
      <c r="CK40" s="2">
        <v>9.0000010000000005E-3</v>
      </c>
      <c r="CL40" s="42" t="s">
        <v>1366</v>
      </c>
      <c r="CM40" s="42">
        <v>74</v>
      </c>
      <c r="CN40" s="42">
        <v>34</v>
      </c>
      <c r="CO40" s="74" cm="1">
        <f t="array" ref="CO40">SUM(SUMIFS(CK$14:CK$1004,CI$14:CI$1004,CN40:CN45,CH$14:CH$1004,CM40:CM45,CJ$14:CJ$1004,0))</f>
        <v>0.88372289999999998</v>
      </c>
      <c r="CP40" s="55" t="s">
        <v>1331</v>
      </c>
      <c r="CQ40" s="74">
        <f>CO184</f>
        <v>1.2999999999999999E-2</v>
      </c>
      <c r="CR40" s="90">
        <f t="shared" si="7"/>
        <v>0</v>
      </c>
      <c r="CT40" s="89">
        <v>64</v>
      </c>
      <c r="CU40" s="2">
        <v>28</v>
      </c>
      <c r="CV40" s="2">
        <v>0</v>
      </c>
      <c r="CW40" s="2">
        <v>3.0000000000000001E-3</v>
      </c>
      <c r="CX40" s="42" t="s">
        <v>1366</v>
      </c>
      <c r="CY40" s="42">
        <v>74</v>
      </c>
      <c r="CZ40" s="42">
        <v>34</v>
      </c>
      <c r="DA40" s="74" cm="1">
        <f t="array" ref="DA40">SUM(SUMIFS(CW$14:CW$1004,CU$14:CU$1004,CZ40:CZ45,CT$14:CT$1004,CY40:CY45,CV$14:CV$1004,0))</f>
        <v>0.6173744000000001</v>
      </c>
      <c r="DB40" s="55" t="s">
        <v>1331</v>
      </c>
      <c r="DC40" s="74">
        <f>DA184</f>
        <v>0.128</v>
      </c>
      <c r="DD40" s="90">
        <f t="shared" si="8"/>
        <v>0</v>
      </c>
      <c r="DF40" s="89">
        <v>70</v>
      </c>
      <c r="DG40" s="2">
        <v>29</v>
      </c>
      <c r="DH40" s="2">
        <v>2</v>
      </c>
      <c r="DI40" s="2">
        <v>7.5000000000000002E-4</v>
      </c>
      <c r="DJ40" s="42" t="s">
        <v>1366</v>
      </c>
      <c r="DK40" s="42">
        <v>74</v>
      </c>
      <c r="DL40" s="42">
        <v>34</v>
      </c>
      <c r="DM40" s="74" cm="1">
        <f t="array" ref="DM40">SUM(SUMIFS(DI$14:DI$1004,DG$14:DG$1004,DL40:DL45,DF$14:DF$1004,DK40:DK45,DH$14:DH$1004,0))</f>
        <v>1.2014689999999999</v>
      </c>
      <c r="DN40" s="55" t="s">
        <v>1331</v>
      </c>
      <c r="DO40" s="74">
        <f>DM184</f>
        <v>3.0000000000000001E-3</v>
      </c>
      <c r="DP40" s="90">
        <f t="shared" si="13"/>
        <v>0</v>
      </c>
      <c r="DR40" s="89">
        <v>69</v>
      </c>
      <c r="DS40" s="2">
        <v>27</v>
      </c>
      <c r="DT40" s="2">
        <v>0</v>
      </c>
      <c r="DU40" s="2">
        <v>4.1790000000000001E-2</v>
      </c>
      <c r="DV40" s="42" t="s">
        <v>1366</v>
      </c>
      <c r="DW40" s="42">
        <v>74</v>
      </c>
      <c r="DX40" s="42">
        <v>34</v>
      </c>
      <c r="DY40" s="74" cm="1">
        <f t="array" ref="DY40">SUM(SUMIFS(DU$14:DU$1004,DS$14:DS$1004,DX40:DX45,DR$14:DR$1004,DW40:DW45,DT$14:DT$1004,0))</f>
        <v>5.7871880000000004</v>
      </c>
      <c r="DZ40" s="55" t="s">
        <v>1331</v>
      </c>
      <c r="EA40" s="74">
        <f>DY184</f>
        <v>0</v>
      </c>
      <c r="EB40" s="90">
        <f t="shared" si="10"/>
        <v>0</v>
      </c>
      <c r="ED40" s="89">
        <v>65</v>
      </c>
      <c r="EE40" s="2">
        <v>28</v>
      </c>
      <c r="EF40" s="2">
        <v>0</v>
      </c>
      <c r="EG40" s="2">
        <v>2E-3</v>
      </c>
      <c r="EH40" s="42" t="s">
        <v>1366</v>
      </c>
      <c r="EI40" s="42">
        <v>74</v>
      </c>
      <c r="EJ40" s="42">
        <v>34</v>
      </c>
      <c r="EK40" s="74" cm="1">
        <f t="array" ref="EK40">SUM(SUMIFS(EG$14:EG$1004,EE$14:EE$1004,EJ40:EJ45,ED$14:ED$1004,EI40:EI45,EF$14:EF$1004,0))</f>
        <v>0.8070371999999999</v>
      </c>
      <c r="EL40" s="55" t="s">
        <v>1331</v>
      </c>
      <c r="EM40" s="74">
        <f>EK184</f>
        <v>8.0000000000000002E-3</v>
      </c>
      <c r="EN40" s="90">
        <f t="shared" si="12"/>
        <v>0</v>
      </c>
      <c r="ES40">
        <v>65</v>
      </c>
      <c r="ET40">
        <v>28</v>
      </c>
      <c r="EU40">
        <v>0</v>
      </c>
      <c r="EV40">
        <v>2E-3</v>
      </c>
    </row>
    <row r="41" spans="1:152" x14ac:dyDescent="0.4">
      <c r="A41" s="89"/>
      <c r="B41" s="2"/>
      <c r="C41" s="2"/>
      <c r="D41" s="2"/>
      <c r="E41" s="42" t="s">
        <v>1366</v>
      </c>
      <c r="F41" s="42">
        <v>76</v>
      </c>
      <c r="G41" s="42">
        <v>34</v>
      </c>
      <c r="H41" s="74"/>
      <c r="I41" s="55" t="s">
        <v>1330</v>
      </c>
      <c r="J41" s="74">
        <f>H185</f>
        <v>0</v>
      </c>
      <c r="K41" s="6" t="e">
        <f t="shared" si="1"/>
        <v>#DIV/0!</v>
      </c>
      <c r="N41" s="89">
        <v>67</v>
      </c>
      <c r="O41" s="2">
        <v>27</v>
      </c>
      <c r="P41" s="2">
        <v>0</v>
      </c>
      <c r="Q41" s="2">
        <v>6.5000009999999997E-2</v>
      </c>
      <c r="R41" s="42" t="s">
        <v>1366</v>
      </c>
      <c r="S41" s="42">
        <v>76</v>
      </c>
      <c r="T41" s="42">
        <v>34</v>
      </c>
      <c r="U41" s="74"/>
      <c r="V41" s="55" t="s">
        <v>1330</v>
      </c>
      <c r="W41" s="74">
        <f>U185</f>
        <v>0</v>
      </c>
      <c r="X41" s="90">
        <f t="shared" si="0"/>
        <v>0</v>
      </c>
      <c r="Z41" s="89">
        <v>70</v>
      </c>
      <c r="AA41" s="2">
        <v>27</v>
      </c>
      <c r="AB41" s="2">
        <v>0</v>
      </c>
      <c r="AC41" s="2">
        <v>5.0000000000000001E-3</v>
      </c>
      <c r="AD41" s="42" t="s">
        <v>1366</v>
      </c>
      <c r="AE41" s="42">
        <v>76</v>
      </c>
      <c r="AF41" s="42">
        <v>34</v>
      </c>
      <c r="AG41" s="74"/>
      <c r="AH41" s="55" t="s">
        <v>1330</v>
      </c>
      <c r="AI41" s="74">
        <f>AG185</f>
        <v>0</v>
      </c>
      <c r="AJ41" s="90">
        <f t="shared" si="2"/>
        <v>0</v>
      </c>
      <c r="AL41" s="89">
        <v>70</v>
      </c>
      <c r="AM41" s="2">
        <v>27</v>
      </c>
      <c r="AN41" s="2">
        <v>1</v>
      </c>
      <c r="AO41" s="2">
        <v>1E-3</v>
      </c>
      <c r="AP41" s="42" t="s">
        <v>1366</v>
      </c>
      <c r="AQ41" s="42">
        <v>76</v>
      </c>
      <c r="AR41" s="42">
        <v>34</v>
      </c>
      <c r="AS41" s="74"/>
      <c r="AT41" s="55" t="s">
        <v>1330</v>
      </c>
      <c r="AU41" s="74">
        <f>AS185</f>
        <v>0</v>
      </c>
      <c r="AV41" s="90">
        <f t="shared" si="3"/>
        <v>0</v>
      </c>
      <c r="AX41" s="89">
        <v>71</v>
      </c>
      <c r="AY41" s="2">
        <v>28</v>
      </c>
      <c r="AZ41" s="2">
        <v>0</v>
      </c>
      <c r="BA41" s="2">
        <v>3.0000000000000001E-3</v>
      </c>
      <c r="BB41" s="42" t="s">
        <v>1366</v>
      </c>
      <c r="BC41" s="42">
        <v>76</v>
      </c>
      <c r="BD41" s="42">
        <v>34</v>
      </c>
      <c r="BE41" s="74"/>
      <c r="BF41" s="55" t="s">
        <v>1330</v>
      </c>
      <c r="BG41" s="74">
        <f>BE185</f>
        <v>1.6034E-2</v>
      </c>
      <c r="BH41" s="90">
        <f t="shared" si="4"/>
        <v>0</v>
      </c>
      <c r="BJ41" s="89">
        <v>67</v>
      </c>
      <c r="BK41" s="2">
        <v>28</v>
      </c>
      <c r="BL41" s="2">
        <v>0</v>
      </c>
      <c r="BM41" s="2">
        <v>8.9999999999999993E-3</v>
      </c>
      <c r="BN41" s="42" t="s">
        <v>1366</v>
      </c>
      <c r="BO41" s="42">
        <v>76</v>
      </c>
      <c r="BP41" s="42">
        <v>34</v>
      </c>
      <c r="BQ41" s="74"/>
      <c r="BR41" s="55" t="s">
        <v>1330</v>
      </c>
      <c r="BS41" s="74">
        <f>BQ185</f>
        <v>1.3034E-2</v>
      </c>
      <c r="BT41" s="90">
        <f t="shared" si="5"/>
        <v>0</v>
      </c>
      <c r="BV41" s="89">
        <v>72</v>
      </c>
      <c r="BW41" s="2">
        <v>28</v>
      </c>
      <c r="BX41" s="2">
        <v>0</v>
      </c>
      <c r="BY41" s="2">
        <v>3.0000000000000001E-3</v>
      </c>
      <c r="BZ41" s="42" t="s">
        <v>1366</v>
      </c>
      <c r="CA41" s="42">
        <v>76</v>
      </c>
      <c r="CB41" s="42">
        <v>34</v>
      </c>
      <c r="CC41" s="74"/>
      <c r="CD41" s="55" t="s">
        <v>1330</v>
      </c>
      <c r="CE41" s="74">
        <f>CC185</f>
        <v>1.3001299999999999E-2</v>
      </c>
      <c r="CF41" s="90">
        <f t="shared" si="6"/>
        <v>0</v>
      </c>
      <c r="CH41" s="89">
        <v>68</v>
      </c>
      <c r="CI41" s="2">
        <v>28</v>
      </c>
      <c r="CJ41" s="2">
        <v>0</v>
      </c>
      <c r="CK41" s="2">
        <v>1.001E-2</v>
      </c>
      <c r="CL41" s="42" t="s">
        <v>1366</v>
      </c>
      <c r="CM41" s="42">
        <v>76</v>
      </c>
      <c r="CN41" s="42">
        <v>34</v>
      </c>
      <c r="CO41" s="74"/>
      <c r="CP41" s="55" t="s">
        <v>1330</v>
      </c>
      <c r="CQ41" s="74">
        <f>CO185</f>
        <v>4.5074499999999997E-2</v>
      </c>
      <c r="CR41" s="90">
        <f t="shared" si="7"/>
        <v>0</v>
      </c>
      <c r="CT41" s="89">
        <v>65</v>
      </c>
      <c r="CU41" s="2">
        <v>28</v>
      </c>
      <c r="CV41" s="2">
        <v>0</v>
      </c>
      <c r="CW41" s="2">
        <v>1.2999999999999999E-2</v>
      </c>
      <c r="CX41" s="42" t="s">
        <v>1366</v>
      </c>
      <c r="CY41" s="42">
        <v>76</v>
      </c>
      <c r="CZ41" s="42">
        <v>34</v>
      </c>
      <c r="DA41" s="74"/>
      <c r="DB41" s="55" t="s">
        <v>1330</v>
      </c>
      <c r="DC41" s="74">
        <f>DA185</f>
        <v>0.39802560000000003</v>
      </c>
      <c r="DD41" s="90">
        <f t="shared" si="8"/>
        <v>0</v>
      </c>
      <c r="DF41" s="89">
        <v>71</v>
      </c>
      <c r="DG41" s="2">
        <v>29</v>
      </c>
      <c r="DH41" s="2">
        <v>0</v>
      </c>
      <c r="DI41" s="2">
        <v>1.4E-2</v>
      </c>
      <c r="DJ41" s="42" t="s">
        <v>1366</v>
      </c>
      <c r="DK41" s="42">
        <v>76</v>
      </c>
      <c r="DL41" s="42">
        <v>34</v>
      </c>
      <c r="DM41" s="74"/>
      <c r="DN41" s="55" t="s">
        <v>1330</v>
      </c>
      <c r="DO41" s="74">
        <f>DM185</f>
        <v>4.0000000000000001E-3</v>
      </c>
      <c r="DP41" s="90">
        <f t="shared" si="13"/>
        <v>0</v>
      </c>
      <c r="DR41" s="89">
        <v>70</v>
      </c>
      <c r="DS41" s="2">
        <v>27</v>
      </c>
      <c r="DT41" s="2">
        <v>0</v>
      </c>
      <c r="DU41" s="2">
        <v>8.0000000000000002E-3</v>
      </c>
      <c r="DV41" s="42" t="s">
        <v>1366</v>
      </c>
      <c r="DW41" s="42">
        <v>76</v>
      </c>
      <c r="DX41" s="42">
        <v>34</v>
      </c>
      <c r="DY41" s="74"/>
      <c r="DZ41" s="55" t="s">
        <v>1330</v>
      </c>
      <c r="EA41" s="74">
        <f>DY185</f>
        <v>0</v>
      </c>
      <c r="EB41" s="90">
        <f t="shared" si="10"/>
        <v>0</v>
      </c>
      <c r="ED41" s="89">
        <v>66</v>
      </c>
      <c r="EE41" s="2">
        <v>28</v>
      </c>
      <c r="EF41" s="2">
        <v>0</v>
      </c>
      <c r="EG41" s="2">
        <v>6.0000000000000001E-3</v>
      </c>
      <c r="EH41" s="42" t="s">
        <v>1366</v>
      </c>
      <c r="EI41" s="42">
        <v>76</v>
      </c>
      <c r="EJ41" s="42">
        <v>34</v>
      </c>
      <c r="EK41" s="74"/>
      <c r="EL41" s="55" t="s">
        <v>1330</v>
      </c>
      <c r="EM41" s="74">
        <f>EK185</f>
        <v>2.5034001E-2</v>
      </c>
      <c r="EN41" s="90">
        <f t="shared" si="12"/>
        <v>0</v>
      </c>
      <c r="ES41">
        <v>66</v>
      </c>
      <c r="ET41">
        <v>28</v>
      </c>
      <c r="EU41">
        <v>0</v>
      </c>
      <c r="EV41">
        <v>6.0000000000000001E-3</v>
      </c>
    </row>
    <row r="42" spans="1:152" x14ac:dyDescent="0.4">
      <c r="A42" s="89"/>
      <c r="B42" s="2"/>
      <c r="C42" s="2"/>
      <c r="D42" s="2"/>
      <c r="E42" s="42" t="s">
        <v>1366</v>
      </c>
      <c r="F42" s="42">
        <v>77</v>
      </c>
      <c r="G42" s="42">
        <v>34</v>
      </c>
      <c r="H42" s="74"/>
      <c r="I42" s="55" t="s">
        <v>1329</v>
      </c>
      <c r="J42" s="74">
        <f>H192</f>
        <v>0</v>
      </c>
      <c r="K42" s="6" t="e">
        <f t="shared" si="1"/>
        <v>#DIV/0!</v>
      </c>
      <c r="N42" s="89">
        <v>68</v>
      </c>
      <c r="O42" s="2">
        <v>27</v>
      </c>
      <c r="P42" s="2">
        <v>0</v>
      </c>
      <c r="Q42" s="2">
        <v>3.0304230000000001E-2</v>
      </c>
      <c r="R42" s="42" t="s">
        <v>1366</v>
      </c>
      <c r="S42" s="42">
        <v>77</v>
      </c>
      <c r="T42" s="42">
        <v>34</v>
      </c>
      <c r="U42" s="74"/>
      <c r="V42" s="55" t="s">
        <v>1329</v>
      </c>
      <c r="W42" s="74">
        <f>U192</f>
        <v>0</v>
      </c>
      <c r="X42" s="90">
        <f t="shared" si="0"/>
        <v>0</v>
      </c>
      <c r="Z42" s="89">
        <v>70</v>
      </c>
      <c r="AA42" s="2">
        <v>27</v>
      </c>
      <c r="AB42" s="2">
        <v>1</v>
      </c>
      <c r="AC42" s="2">
        <v>1E-3</v>
      </c>
      <c r="AD42" s="42" t="s">
        <v>1366</v>
      </c>
      <c r="AE42" s="42">
        <v>77</v>
      </c>
      <c r="AF42" s="42">
        <v>34</v>
      </c>
      <c r="AG42" s="74"/>
      <c r="AH42" s="55" t="s">
        <v>1329</v>
      </c>
      <c r="AI42" s="74">
        <f>AG192</f>
        <v>0</v>
      </c>
      <c r="AJ42" s="90">
        <f t="shared" si="2"/>
        <v>0</v>
      </c>
      <c r="AL42" s="89">
        <v>71</v>
      </c>
      <c r="AM42" s="2">
        <v>27</v>
      </c>
      <c r="AN42" s="2">
        <v>0</v>
      </c>
      <c r="AO42" s="2">
        <v>1E-3</v>
      </c>
      <c r="AP42" s="42" t="s">
        <v>1366</v>
      </c>
      <c r="AQ42" s="42">
        <v>77</v>
      </c>
      <c r="AR42" s="42">
        <v>34</v>
      </c>
      <c r="AS42" s="74"/>
      <c r="AT42" s="55" t="s">
        <v>1329</v>
      </c>
      <c r="AU42" s="74">
        <f>AS192</f>
        <v>0</v>
      </c>
      <c r="AV42" s="90">
        <f t="shared" si="3"/>
        <v>0</v>
      </c>
      <c r="AX42" s="89">
        <v>72</v>
      </c>
      <c r="AY42" s="2">
        <v>28</v>
      </c>
      <c r="AZ42" s="2">
        <v>0</v>
      </c>
      <c r="BA42" s="2">
        <v>2E-3</v>
      </c>
      <c r="BB42" s="42" t="s">
        <v>1366</v>
      </c>
      <c r="BC42" s="42">
        <v>77</v>
      </c>
      <c r="BD42" s="42">
        <v>34</v>
      </c>
      <c r="BE42" s="74"/>
      <c r="BF42" s="55" t="s">
        <v>1329</v>
      </c>
      <c r="BG42" s="74">
        <f>BE192</f>
        <v>1.09987E-2</v>
      </c>
      <c r="BH42" s="90">
        <f t="shared" si="4"/>
        <v>0</v>
      </c>
      <c r="BJ42" s="89">
        <v>68</v>
      </c>
      <c r="BK42" s="2">
        <v>28</v>
      </c>
      <c r="BL42" s="2">
        <v>0</v>
      </c>
      <c r="BM42" s="2">
        <v>6.0099999999999997E-3</v>
      </c>
      <c r="BN42" s="42" t="s">
        <v>1366</v>
      </c>
      <c r="BO42" s="42">
        <v>77</v>
      </c>
      <c r="BP42" s="42">
        <v>34</v>
      </c>
      <c r="BQ42" s="74"/>
      <c r="BR42" s="55" t="s">
        <v>1329</v>
      </c>
      <c r="BS42" s="74">
        <f>BQ192</f>
        <v>9.9986999999999993E-3</v>
      </c>
      <c r="BT42" s="90">
        <f t="shared" si="5"/>
        <v>0</v>
      </c>
      <c r="BV42" s="89">
        <v>73</v>
      </c>
      <c r="BW42" s="2">
        <v>28</v>
      </c>
      <c r="BX42" s="2">
        <v>0</v>
      </c>
      <c r="BY42" s="2">
        <v>2E-3</v>
      </c>
      <c r="BZ42" s="42" t="s">
        <v>1366</v>
      </c>
      <c r="CA42" s="42">
        <v>77</v>
      </c>
      <c r="CB42" s="42">
        <v>34</v>
      </c>
      <c r="CC42" s="74"/>
      <c r="CD42" s="55" t="s">
        <v>1329</v>
      </c>
      <c r="CE42" s="74">
        <f>CC192</f>
        <v>5.9987E-3</v>
      </c>
      <c r="CF42" s="90">
        <f t="shared" si="6"/>
        <v>0</v>
      </c>
      <c r="CH42" s="89">
        <v>69</v>
      </c>
      <c r="CI42" s="2">
        <v>28</v>
      </c>
      <c r="CJ42" s="2">
        <v>0</v>
      </c>
      <c r="CK42" s="2">
        <v>8.1011109999999994E-3</v>
      </c>
      <c r="CL42" s="42" t="s">
        <v>1366</v>
      </c>
      <c r="CM42" s="42">
        <v>77</v>
      </c>
      <c r="CN42" s="42">
        <v>34</v>
      </c>
      <c r="CO42" s="74"/>
      <c r="CP42" s="55" t="s">
        <v>1329</v>
      </c>
      <c r="CQ42" s="74">
        <f>CO192</f>
        <v>2.3993501E-2</v>
      </c>
      <c r="CR42" s="90">
        <f t="shared" si="7"/>
        <v>0</v>
      </c>
      <c r="CT42" s="89">
        <v>66</v>
      </c>
      <c r="CU42" s="2">
        <v>28</v>
      </c>
      <c r="CV42" s="2">
        <v>0</v>
      </c>
      <c r="CW42" s="2">
        <v>1.2E-2</v>
      </c>
      <c r="CX42" s="42" t="s">
        <v>1366</v>
      </c>
      <c r="CY42" s="42">
        <v>77</v>
      </c>
      <c r="CZ42" s="42">
        <v>34</v>
      </c>
      <c r="DA42" s="74"/>
      <c r="DB42" s="55" t="s">
        <v>1329</v>
      </c>
      <c r="DC42" s="74">
        <f>DA192</f>
        <v>0.18798491000000001</v>
      </c>
      <c r="DD42" s="90">
        <f t="shared" si="8"/>
        <v>0</v>
      </c>
      <c r="DF42" s="89">
        <v>72</v>
      </c>
      <c r="DG42" s="2">
        <v>29</v>
      </c>
      <c r="DH42" s="2">
        <v>0</v>
      </c>
      <c r="DI42" s="2">
        <v>1.4E-2</v>
      </c>
      <c r="DJ42" s="42" t="s">
        <v>1366</v>
      </c>
      <c r="DK42" s="42">
        <v>77</v>
      </c>
      <c r="DL42" s="42">
        <v>34</v>
      </c>
      <c r="DM42" s="74"/>
      <c r="DN42" s="55" t="s">
        <v>1329</v>
      </c>
      <c r="DO42" s="74">
        <f>DM192</f>
        <v>1E-3</v>
      </c>
      <c r="DP42" s="90">
        <f t="shared" si="13"/>
        <v>0</v>
      </c>
      <c r="DR42" s="89">
        <v>70</v>
      </c>
      <c r="DS42" s="2">
        <v>27</v>
      </c>
      <c r="DT42" s="2">
        <v>1</v>
      </c>
      <c r="DU42" s="2">
        <v>7.0000000000000001E-3</v>
      </c>
      <c r="DV42" s="42" t="s">
        <v>1366</v>
      </c>
      <c r="DW42" s="42">
        <v>77</v>
      </c>
      <c r="DX42" s="42">
        <v>34</v>
      </c>
      <c r="DY42" s="74"/>
      <c r="DZ42" s="55" t="s">
        <v>1329</v>
      </c>
      <c r="EA42" s="74">
        <f>DY192</f>
        <v>0</v>
      </c>
      <c r="EB42" s="90">
        <f t="shared" si="10"/>
        <v>0</v>
      </c>
      <c r="ED42" s="89">
        <v>67</v>
      </c>
      <c r="EE42" s="2">
        <v>28</v>
      </c>
      <c r="EF42" s="2">
        <v>0</v>
      </c>
      <c r="EG42" s="2">
        <v>0.01</v>
      </c>
      <c r="EH42" s="42" t="s">
        <v>1366</v>
      </c>
      <c r="EI42" s="42">
        <v>77</v>
      </c>
      <c r="EJ42" s="42">
        <v>34</v>
      </c>
      <c r="EK42" s="74"/>
      <c r="EL42" s="55" t="s">
        <v>1329</v>
      </c>
      <c r="EM42" s="74">
        <f>EK192</f>
        <v>7.0000000000000001E-3</v>
      </c>
      <c r="EN42" s="90">
        <f t="shared" si="12"/>
        <v>0</v>
      </c>
      <c r="ES42">
        <v>67</v>
      </c>
      <c r="ET42">
        <v>28</v>
      </c>
      <c r="EU42">
        <v>0</v>
      </c>
      <c r="EV42">
        <v>0.01</v>
      </c>
    </row>
    <row r="43" spans="1:152" x14ac:dyDescent="0.4">
      <c r="A43" s="89"/>
      <c r="B43" s="2"/>
      <c r="C43" s="2"/>
      <c r="D43" s="2"/>
      <c r="E43" s="42" t="s">
        <v>1366</v>
      </c>
      <c r="F43" s="42">
        <v>78</v>
      </c>
      <c r="G43" s="42">
        <v>34</v>
      </c>
      <c r="H43" s="74"/>
      <c r="I43" s="55" t="s">
        <v>1328</v>
      </c>
      <c r="J43" s="74">
        <f>H200</f>
        <v>0</v>
      </c>
      <c r="K43" s="6" t="e">
        <f t="shared" si="1"/>
        <v>#DIV/0!</v>
      </c>
      <c r="N43" s="89">
        <v>68</v>
      </c>
      <c r="O43" s="2">
        <v>27</v>
      </c>
      <c r="P43" s="2">
        <v>1</v>
      </c>
      <c r="Q43" s="2">
        <v>1.7531540000000002E-2</v>
      </c>
      <c r="R43" s="42" t="s">
        <v>1366</v>
      </c>
      <c r="S43" s="42">
        <v>78</v>
      </c>
      <c r="T43" s="42">
        <v>34</v>
      </c>
      <c r="U43" s="74"/>
      <c r="V43" s="55" t="s">
        <v>1328</v>
      </c>
      <c r="W43" s="74">
        <f>U200</f>
        <v>0</v>
      </c>
      <c r="X43" s="90">
        <f t="shared" si="0"/>
        <v>0</v>
      </c>
      <c r="Z43" s="89">
        <v>71</v>
      </c>
      <c r="AA43" s="2">
        <v>27</v>
      </c>
      <c r="AB43" s="2">
        <v>0</v>
      </c>
      <c r="AC43" s="2">
        <v>3.0000000000000001E-3</v>
      </c>
      <c r="AD43" s="42" t="s">
        <v>1366</v>
      </c>
      <c r="AE43" s="42">
        <v>78</v>
      </c>
      <c r="AF43" s="42">
        <v>34</v>
      </c>
      <c r="AG43" s="74"/>
      <c r="AH43" s="55" t="s">
        <v>1328</v>
      </c>
      <c r="AI43" s="74">
        <f>AG200</f>
        <v>0</v>
      </c>
      <c r="AJ43" s="90">
        <f t="shared" si="2"/>
        <v>0</v>
      </c>
      <c r="AL43" s="89">
        <v>60</v>
      </c>
      <c r="AM43" s="2">
        <v>28</v>
      </c>
      <c r="AN43" s="2">
        <v>0</v>
      </c>
      <c r="AO43" s="2">
        <v>2E-3</v>
      </c>
      <c r="AP43" s="42" t="s">
        <v>1366</v>
      </c>
      <c r="AQ43" s="42">
        <v>78</v>
      </c>
      <c r="AR43" s="42">
        <v>34</v>
      </c>
      <c r="AS43" s="74"/>
      <c r="AT43" s="55" t="s">
        <v>1328</v>
      </c>
      <c r="AU43" s="74">
        <f>AS200</f>
        <v>0</v>
      </c>
      <c r="AV43" s="90">
        <f t="shared" si="3"/>
        <v>0</v>
      </c>
      <c r="AX43" s="89">
        <v>73</v>
      </c>
      <c r="AY43" s="2">
        <v>28</v>
      </c>
      <c r="AZ43" s="2">
        <v>0</v>
      </c>
      <c r="BA43" s="2">
        <v>1E-3</v>
      </c>
      <c r="BB43" s="42" t="s">
        <v>1366</v>
      </c>
      <c r="BC43" s="42">
        <v>78</v>
      </c>
      <c r="BD43" s="42">
        <v>34</v>
      </c>
      <c r="BE43" s="74"/>
      <c r="BF43" s="55" t="s">
        <v>1328</v>
      </c>
      <c r="BG43" s="74">
        <f>BE200</f>
        <v>1E-3</v>
      </c>
      <c r="BH43" s="90">
        <f t="shared" si="4"/>
        <v>0</v>
      </c>
      <c r="BJ43" s="89">
        <v>69</v>
      </c>
      <c r="BK43" s="2">
        <v>28</v>
      </c>
      <c r="BL43" s="2">
        <v>0</v>
      </c>
      <c r="BM43" s="2">
        <v>4.9899999999999996E-3</v>
      </c>
      <c r="BN43" s="42" t="s">
        <v>1366</v>
      </c>
      <c r="BO43" s="42">
        <v>78</v>
      </c>
      <c r="BP43" s="42">
        <v>34</v>
      </c>
      <c r="BQ43" s="74"/>
      <c r="BR43" s="55" t="s">
        <v>1328</v>
      </c>
      <c r="BS43" s="74">
        <f>BQ200</f>
        <v>1E-3</v>
      </c>
      <c r="BT43" s="90">
        <f t="shared" si="5"/>
        <v>0</v>
      </c>
      <c r="BV43" s="89">
        <v>74</v>
      </c>
      <c r="BW43" s="2">
        <v>28</v>
      </c>
      <c r="BX43" s="2">
        <v>0</v>
      </c>
      <c r="BY43" s="2">
        <v>1E-3</v>
      </c>
      <c r="BZ43" s="42" t="s">
        <v>1366</v>
      </c>
      <c r="CA43" s="42">
        <v>78</v>
      </c>
      <c r="CB43" s="42">
        <v>34</v>
      </c>
      <c r="CC43" s="74"/>
      <c r="CD43" s="55" t="s">
        <v>1328</v>
      </c>
      <c r="CE43" s="74">
        <f>CC200</f>
        <v>1E-3</v>
      </c>
      <c r="CF43" s="90">
        <f t="shared" si="6"/>
        <v>0</v>
      </c>
      <c r="CH43" s="89">
        <v>69</v>
      </c>
      <c r="CI43" s="2">
        <v>28</v>
      </c>
      <c r="CJ43" s="2">
        <v>1</v>
      </c>
      <c r="CK43" s="2">
        <v>8.8888900000000002E-4</v>
      </c>
      <c r="CL43" s="42" t="s">
        <v>1366</v>
      </c>
      <c r="CM43" s="42">
        <v>78</v>
      </c>
      <c r="CN43" s="42">
        <v>34</v>
      </c>
      <c r="CO43" s="74"/>
      <c r="CP43" s="55" t="s">
        <v>1328</v>
      </c>
      <c r="CQ43" s="74">
        <f>CO200</f>
        <v>1.5E-3</v>
      </c>
      <c r="CR43" s="90">
        <f t="shared" si="7"/>
        <v>0</v>
      </c>
      <c r="CT43" s="89">
        <v>67</v>
      </c>
      <c r="CU43" s="2">
        <v>28</v>
      </c>
      <c r="CV43" s="2">
        <v>0</v>
      </c>
      <c r="CW43" s="2">
        <v>1.0999999999999999E-2</v>
      </c>
      <c r="CX43" s="42" t="s">
        <v>1366</v>
      </c>
      <c r="CY43" s="42">
        <v>78</v>
      </c>
      <c r="CZ43" s="42">
        <v>34</v>
      </c>
      <c r="DA43" s="74"/>
      <c r="DB43" s="55" t="s">
        <v>1328</v>
      </c>
      <c r="DC43" s="74">
        <f>DA200</f>
        <v>2.5999999999999999E-2</v>
      </c>
      <c r="DD43" s="90">
        <f t="shared" si="8"/>
        <v>0</v>
      </c>
      <c r="DF43" s="89">
        <v>73</v>
      </c>
      <c r="DG43" s="2">
        <v>29</v>
      </c>
      <c r="DH43" s="2">
        <v>0</v>
      </c>
      <c r="DI43" s="2">
        <v>1.0999999999999999E-2</v>
      </c>
      <c r="DJ43" s="42" t="s">
        <v>1366</v>
      </c>
      <c r="DK43" s="42">
        <v>78</v>
      </c>
      <c r="DL43" s="42">
        <v>34</v>
      </c>
      <c r="DM43" s="74"/>
      <c r="DN43" s="55" t="s">
        <v>1328</v>
      </c>
      <c r="DO43" s="74">
        <f>DM200</f>
        <v>0</v>
      </c>
      <c r="DP43" s="90">
        <f t="shared" si="13"/>
        <v>0</v>
      </c>
      <c r="DR43" s="89">
        <v>71</v>
      </c>
      <c r="DS43" s="2">
        <v>27</v>
      </c>
      <c r="DT43" s="2">
        <v>0</v>
      </c>
      <c r="DU43" s="2">
        <v>1.0999999999999999E-2</v>
      </c>
      <c r="DV43" s="42" t="s">
        <v>1366</v>
      </c>
      <c r="DW43" s="42">
        <v>78</v>
      </c>
      <c r="DX43" s="42">
        <v>34</v>
      </c>
      <c r="DY43" s="74"/>
      <c r="DZ43" s="55" t="s">
        <v>1328</v>
      </c>
      <c r="EA43" s="74">
        <f>DY200</f>
        <v>0</v>
      </c>
      <c r="EB43" s="90">
        <f t="shared" si="10"/>
        <v>0</v>
      </c>
      <c r="ED43" s="89">
        <v>68</v>
      </c>
      <c r="EE43" s="2">
        <v>28</v>
      </c>
      <c r="EF43" s="2">
        <v>0</v>
      </c>
      <c r="EG43" s="2">
        <v>1.10893E-2</v>
      </c>
      <c r="EH43" s="42" t="s">
        <v>1366</v>
      </c>
      <c r="EI43" s="42">
        <v>78</v>
      </c>
      <c r="EJ43" s="42">
        <v>34</v>
      </c>
      <c r="EK43" s="74"/>
      <c r="EL43" s="55" t="s">
        <v>1328</v>
      </c>
      <c r="EM43" s="74">
        <f>EK200</f>
        <v>3.0000000000000001E-3</v>
      </c>
      <c r="EN43" s="90">
        <f t="shared" si="12"/>
        <v>0</v>
      </c>
      <c r="ES43">
        <v>68</v>
      </c>
      <c r="ET43">
        <v>28</v>
      </c>
      <c r="EU43">
        <v>0</v>
      </c>
      <c r="EV43">
        <v>1.10893E-2</v>
      </c>
    </row>
    <row r="44" spans="1:152" x14ac:dyDescent="0.4">
      <c r="A44" s="89"/>
      <c r="B44" s="2"/>
      <c r="C44" s="2"/>
      <c r="D44" s="2"/>
      <c r="E44" s="42" t="s">
        <v>1366</v>
      </c>
      <c r="F44" s="42">
        <v>80</v>
      </c>
      <c r="G44" s="42">
        <v>34</v>
      </c>
      <c r="H44" s="74"/>
      <c r="I44" s="55" t="s">
        <v>1327</v>
      </c>
      <c r="J44" s="74">
        <f>H208</f>
        <v>0</v>
      </c>
      <c r="K44" s="6" t="e">
        <f t="shared" si="1"/>
        <v>#DIV/0!</v>
      </c>
      <c r="N44" s="89">
        <v>69</v>
      </c>
      <c r="O44" s="2">
        <v>27</v>
      </c>
      <c r="P44" s="2">
        <v>0</v>
      </c>
      <c r="Q44" s="2">
        <v>1.7930000000000001E-2</v>
      </c>
      <c r="R44" s="42" t="s">
        <v>1366</v>
      </c>
      <c r="S44" s="42">
        <v>80</v>
      </c>
      <c r="T44" s="42">
        <v>34</v>
      </c>
      <c r="U44" s="74"/>
      <c r="V44" s="55" t="s">
        <v>1327</v>
      </c>
      <c r="W44" s="74">
        <f>U208</f>
        <v>0</v>
      </c>
      <c r="X44" s="90">
        <f t="shared" si="0"/>
        <v>0</v>
      </c>
      <c r="Z44" s="89">
        <v>61</v>
      </c>
      <c r="AA44" s="2">
        <v>28</v>
      </c>
      <c r="AB44" s="2">
        <v>0</v>
      </c>
      <c r="AC44" s="2">
        <v>2.8000000000000001E-2</v>
      </c>
      <c r="AD44" s="42" t="s">
        <v>1366</v>
      </c>
      <c r="AE44" s="42">
        <v>80</v>
      </c>
      <c r="AF44" s="42">
        <v>34</v>
      </c>
      <c r="AG44" s="74"/>
      <c r="AH44" s="55" t="s">
        <v>1327</v>
      </c>
      <c r="AI44" s="74">
        <f>AG208</f>
        <v>0</v>
      </c>
      <c r="AJ44" s="90">
        <f t="shared" si="2"/>
        <v>0</v>
      </c>
      <c r="AL44" s="89">
        <v>61</v>
      </c>
      <c r="AM44" s="2">
        <v>28</v>
      </c>
      <c r="AN44" s="2">
        <v>0</v>
      </c>
      <c r="AO44" s="2">
        <v>4.7E-2</v>
      </c>
      <c r="AP44" s="42" t="s">
        <v>1366</v>
      </c>
      <c r="AQ44" s="42">
        <v>80</v>
      </c>
      <c r="AR44" s="42">
        <v>34</v>
      </c>
      <c r="AS44" s="74"/>
      <c r="AT44" s="55" t="s">
        <v>1327</v>
      </c>
      <c r="AU44" s="74">
        <f>AS208</f>
        <v>0</v>
      </c>
      <c r="AV44" s="90">
        <f t="shared" si="3"/>
        <v>0</v>
      </c>
      <c r="AX44" s="89">
        <v>63</v>
      </c>
      <c r="AY44" s="2">
        <v>29</v>
      </c>
      <c r="AZ44" s="2">
        <v>0</v>
      </c>
      <c r="BA44" s="2">
        <v>1E-3</v>
      </c>
      <c r="BB44" s="42" t="s">
        <v>1366</v>
      </c>
      <c r="BC44" s="42">
        <v>80</v>
      </c>
      <c r="BD44" s="42">
        <v>34</v>
      </c>
      <c r="BE44" s="74"/>
      <c r="BF44" s="55" t="s">
        <v>1327</v>
      </c>
      <c r="BG44" s="74">
        <f>BE208</f>
        <v>0</v>
      </c>
      <c r="BH44" s="90">
        <f t="shared" si="4"/>
        <v>0</v>
      </c>
      <c r="BJ44" s="89">
        <v>70</v>
      </c>
      <c r="BK44" s="2">
        <v>28</v>
      </c>
      <c r="BL44" s="2">
        <v>0</v>
      </c>
      <c r="BM44" s="2">
        <v>6.0000000000000001E-3</v>
      </c>
      <c r="BN44" s="42" t="s">
        <v>1366</v>
      </c>
      <c r="BO44" s="42">
        <v>80</v>
      </c>
      <c r="BP44" s="42">
        <v>34</v>
      </c>
      <c r="BQ44" s="74"/>
      <c r="BR44" s="55" t="s">
        <v>1327</v>
      </c>
      <c r="BS44" s="74">
        <f>BQ208</f>
        <v>0</v>
      </c>
      <c r="BT44" s="90">
        <f t="shared" si="5"/>
        <v>0</v>
      </c>
      <c r="BV44" s="89">
        <v>63</v>
      </c>
      <c r="BW44" s="2">
        <v>29</v>
      </c>
      <c r="BX44" s="2">
        <v>0</v>
      </c>
      <c r="BY44" s="2">
        <v>1E-3</v>
      </c>
      <c r="BZ44" s="42" t="s">
        <v>1366</v>
      </c>
      <c r="CA44" s="42">
        <v>80</v>
      </c>
      <c r="CB44" s="42">
        <v>34</v>
      </c>
      <c r="CC44" s="74"/>
      <c r="CD44" s="55" t="s">
        <v>1327</v>
      </c>
      <c r="CE44" s="74">
        <f>CC208</f>
        <v>0</v>
      </c>
      <c r="CF44" s="90">
        <f>IF(CE44&gt;=LARGE(CE$14:CE$44,8),2*CE44/CE$47,0)</f>
        <v>0</v>
      </c>
      <c r="CH44" s="89">
        <v>70</v>
      </c>
      <c r="CI44" s="2">
        <v>28</v>
      </c>
      <c r="CJ44" s="2">
        <v>0</v>
      </c>
      <c r="CK44" s="2">
        <v>2E-3</v>
      </c>
      <c r="CL44" s="42" t="s">
        <v>1366</v>
      </c>
      <c r="CM44" s="42">
        <v>80</v>
      </c>
      <c r="CN44" s="42">
        <v>34</v>
      </c>
      <c r="CO44" s="74"/>
      <c r="CP44" s="55" t="s">
        <v>1327</v>
      </c>
      <c r="CQ44" s="74">
        <f>CO208</f>
        <v>1E-3</v>
      </c>
      <c r="CR44" s="90">
        <f t="shared" si="7"/>
        <v>0</v>
      </c>
      <c r="CT44" s="89">
        <v>68</v>
      </c>
      <c r="CU44" s="2">
        <v>28</v>
      </c>
      <c r="CV44" s="2">
        <v>0</v>
      </c>
      <c r="CW44" s="2">
        <v>8.0200010000000006E-3</v>
      </c>
      <c r="CX44" s="42" t="s">
        <v>1366</v>
      </c>
      <c r="CY44" s="42">
        <v>80</v>
      </c>
      <c r="CZ44" s="42">
        <v>34</v>
      </c>
      <c r="DA44" s="74"/>
      <c r="DB44" s="55" t="s">
        <v>1327</v>
      </c>
      <c r="DC44" s="74">
        <f>DA208</f>
        <v>0</v>
      </c>
      <c r="DF44" s="89">
        <v>74</v>
      </c>
      <c r="DG44" s="2">
        <v>29</v>
      </c>
      <c r="DH44" s="2">
        <v>0</v>
      </c>
      <c r="DI44" s="2">
        <v>9.0000010000000005E-3</v>
      </c>
      <c r="DJ44" s="42" t="s">
        <v>1366</v>
      </c>
      <c r="DK44" s="42">
        <v>80</v>
      </c>
      <c r="DL44" s="42">
        <v>34</v>
      </c>
      <c r="DM44" s="74"/>
      <c r="DN44" s="55" t="s">
        <v>1327</v>
      </c>
      <c r="DO44" s="74">
        <f>DM208</f>
        <v>0</v>
      </c>
      <c r="DR44" s="89">
        <v>72</v>
      </c>
      <c r="DS44" s="2">
        <v>27</v>
      </c>
      <c r="DT44" s="2">
        <v>0</v>
      </c>
      <c r="DU44" s="2">
        <v>2E-3</v>
      </c>
      <c r="DV44" s="42" t="s">
        <v>1366</v>
      </c>
      <c r="DW44" s="42">
        <v>80</v>
      </c>
      <c r="DX44" s="42">
        <v>34</v>
      </c>
      <c r="DY44" s="74"/>
      <c r="DZ44" s="55" t="s">
        <v>1327</v>
      </c>
      <c r="EA44" s="74">
        <f>DY208</f>
        <v>0</v>
      </c>
      <c r="EB44" s="90">
        <f t="shared" si="10"/>
        <v>0</v>
      </c>
      <c r="ED44" s="89">
        <v>69</v>
      </c>
      <c r="EE44" s="2">
        <v>28</v>
      </c>
      <c r="EF44" s="2">
        <v>0</v>
      </c>
      <c r="EG44" s="2">
        <v>1.100161E-2</v>
      </c>
      <c r="EH44" s="42" t="s">
        <v>1366</v>
      </c>
      <c r="EI44" s="42">
        <v>80</v>
      </c>
      <c r="EJ44" s="42">
        <v>34</v>
      </c>
      <c r="EK44" s="74"/>
      <c r="EL44" s="55" t="s">
        <v>1327</v>
      </c>
      <c r="EM44" s="74">
        <f>EK208</f>
        <v>1E-3</v>
      </c>
      <c r="EN44" s="90">
        <f t="shared" si="12"/>
        <v>0</v>
      </c>
      <c r="ES44">
        <v>69</v>
      </c>
      <c r="ET44">
        <v>28</v>
      </c>
      <c r="EU44">
        <v>0</v>
      </c>
      <c r="EV44">
        <v>1.100161E-2</v>
      </c>
    </row>
    <row r="45" spans="1:152" x14ac:dyDescent="0.4">
      <c r="A45" s="89"/>
      <c r="B45" s="2"/>
      <c r="C45" s="2"/>
      <c r="D45" s="2"/>
      <c r="E45" s="42" t="s">
        <v>1366</v>
      </c>
      <c r="F45" s="42">
        <v>82</v>
      </c>
      <c r="G45" s="42">
        <v>34</v>
      </c>
      <c r="H45" s="74"/>
      <c r="J45" s="74"/>
      <c r="N45" s="89">
        <v>70</v>
      </c>
      <c r="O45" s="2">
        <v>27</v>
      </c>
      <c r="P45" s="2">
        <v>0</v>
      </c>
      <c r="Q45" s="2">
        <v>5.0000000000000001E-3</v>
      </c>
      <c r="R45" s="42" t="s">
        <v>1366</v>
      </c>
      <c r="S45" s="42">
        <v>82</v>
      </c>
      <c r="T45" s="42">
        <v>34</v>
      </c>
      <c r="U45" s="74"/>
      <c r="W45" s="74"/>
      <c r="Z45" s="89">
        <v>62</v>
      </c>
      <c r="AA45" s="2">
        <v>28</v>
      </c>
      <c r="AB45" s="2">
        <v>0</v>
      </c>
      <c r="AC45" s="2">
        <v>5.4000010000000001E-2</v>
      </c>
      <c r="AD45" s="42" t="s">
        <v>1366</v>
      </c>
      <c r="AE45" s="42">
        <v>82</v>
      </c>
      <c r="AF45" s="42">
        <v>34</v>
      </c>
      <c r="AG45" s="74"/>
      <c r="AI45" s="74"/>
      <c r="AJ45" s="93"/>
      <c r="AL45" s="89">
        <v>62</v>
      </c>
      <c r="AM45" s="2">
        <v>28</v>
      </c>
      <c r="AN45" s="2">
        <v>0</v>
      </c>
      <c r="AO45" s="2">
        <v>5.5E-2</v>
      </c>
      <c r="AP45" s="42" t="s">
        <v>1366</v>
      </c>
      <c r="AQ45" s="42">
        <v>82</v>
      </c>
      <c r="AR45" s="42">
        <v>34</v>
      </c>
      <c r="AS45" s="74"/>
      <c r="AU45" s="74"/>
      <c r="AX45" s="89">
        <v>65</v>
      </c>
      <c r="AY45" s="2">
        <v>29</v>
      </c>
      <c r="AZ45" s="2">
        <v>0</v>
      </c>
      <c r="BA45" s="2">
        <v>1E-3</v>
      </c>
      <c r="BB45" s="42" t="s">
        <v>1366</v>
      </c>
      <c r="BC45" s="42">
        <v>82</v>
      </c>
      <c r="BD45" s="42">
        <v>34</v>
      </c>
      <c r="BE45" s="74"/>
      <c r="BG45" s="74"/>
      <c r="BJ45" s="89">
        <v>71</v>
      </c>
      <c r="BK45" s="2">
        <v>28</v>
      </c>
      <c r="BL45" s="2">
        <v>0</v>
      </c>
      <c r="BM45" s="2">
        <v>7.0000000000000001E-3</v>
      </c>
      <c r="BN45" s="42" t="s">
        <v>1366</v>
      </c>
      <c r="BO45" s="42">
        <v>82</v>
      </c>
      <c r="BP45" s="42">
        <v>34</v>
      </c>
      <c r="BQ45" s="74"/>
      <c r="BS45" s="74"/>
      <c r="BV45" s="89">
        <v>65</v>
      </c>
      <c r="BW45" s="2">
        <v>29</v>
      </c>
      <c r="BX45" s="2">
        <v>0</v>
      </c>
      <c r="BY45" s="2">
        <v>5.0000000000000001E-3</v>
      </c>
      <c r="BZ45" s="42" t="s">
        <v>1366</v>
      </c>
      <c r="CA45" s="42">
        <v>82</v>
      </c>
      <c r="CB45" s="42">
        <v>34</v>
      </c>
      <c r="CC45" s="74"/>
      <c r="CE45" s="74"/>
      <c r="CH45" s="89">
        <v>71</v>
      </c>
      <c r="CI45" s="2">
        <v>28</v>
      </c>
      <c r="CJ45" s="2">
        <v>0</v>
      </c>
      <c r="CK45" s="2">
        <v>2E-3</v>
      </c>
      <c r="CL45" s="42" t="s">
        <v>1366</v>
      </c>
      <c r="CM45" s="42">
        <v>82</v>
      </c>
      <c r="CN45" s="42">
        <v>34</v>
      </c>
      <c r="CO45" s="74"/>
      <c r="CQ45" s="74"/>
      <c r="CR45" s="5"/>
      <c r="CT45" s="89">
        <v>69</v>
      </c>
      <c r="CU45" s="2">
        <v>28</v>
      </c>
      <c r="CV45" s="2">
        <v>0</v>
      </c>
      <c r="CW45" s="2">
        <v>8.9800000000000001E-3</v>
      </c>
      <c r="CX45" s="42" t="s">
        <v>1366</v>
      </c>
      <c r="CY45" s="42">
        <v>82</v>
      </c>
      <c r="CZ45" s="42">
        <v>34</v>
      </c>
      <c r="DA45" s="74"/>
      <c r="DC45" s="74"/>
      <c r="DD45" s="5"/>
      <c r="DF45" s="89">
        <v>75</v>
      </c>
      <c r="DG45" s="2">
        <v>29</v>
      </c>
      <c r="DH45" s="2">
        <v>0</v>
      </c>
      <c r="DI45" s="2">
        <v>4.0000000000000001E-3</v>
      </c>
      <c r="DJ45" s="42" t="s">
        <v>1366</v>
      </c>
      <c r="DK45" s="42">
        <v>82</v>
      </c>
      <c r="DL45" s="42">
        <v>34</v>
      </c>
      <c r="DM45" s="74"/>
      <c r="DO45" s="74"/>
      <c r="DP45" s="5"/>
      <c r="DR45" s="89">
        <v>73</v>
      </c>
      <c r="DS45" s="2">
        <v>27</v>
      </c>
      <c r="DT45" s="2">
        <v>0</v>
      </c>
      <c r="DU45" s="2">
        <v>5.0000000000000001E-3</v>
      </c>
      <c r="DV45" s="42" t="s">
        <v>1366</v>
      </c>
      <c r="DW45" s="42">
        <v>82</v>
      </c>
      <c r="DX45" s="42">
        <v>34</v>
      </c>
      <c r="DY45" s="74"/>
      <c r="EA45" s="74"/>
      <c r="EB45" s="93"/>
      <c r="ED45" s="89">
        <v>69</v>
      </c>
      <c r="EE45" s="2">
        <v>28</v>
      </c>
      <c r="EF45" s="2">
        <v>1</v>
      </c>
      <c r="EG45" s="2">
        <v>9.09091E-4</v>
      </c>
      <c r="EH45" s="42" t="s">
        <v>1366</v>
      </c>
      <c r="EI45" s="42">
        <v>82</v>
      </c>
      <c r="EJ45" s="42">
        <v>34</v>
      </c>
      <c r="EK45" s="74"/>
      <c r="EM45" s="74"/>
      <c r="EN45" s="5"/>
      <c r="ES45">
        <v>69</v>
      </c>
      <c r="ET45">
        <v>28</v>
      </c>
      <c r="EU45">
        <v>1</v>
      </c>
      <c r="EV45">
        <v>9.09091E-4</v>
      </c>
    </row>
    <row r="46" spans="1:152" x14ac:dyDescent="0.4">
      <c r="A46" s="89"/>
      <c r="B46" s="2"/>
      <c r="C46" s="2"/>
      <c r="D46" s="2"/>
      <c r="E46" s="43" t="s">
        <v>1365</v>
      </c>
      <c r="F46" s="43">
        <v>79</v>
      </c>
      <c r="G46" s="43">
        <v>35</v>
      </c>
      <c r="H46" s="74" cm="1">
        <f t="array" ref="H46">SUM(SUMIFS(D$14:D$1004,B$14:B$1004,G46:G47,A$14:A$1004,F46:F47,C$14:C$1004,0))</f>
        <v>0</v>
      </c>
      <c r="I46" s="92" t="s">
        <v>1390</v>
      </c>
      <c r="J46" s="94"/>
      <c r="N46" s="89">
        <v>70</v>
      </c>
      <c r="O46" s="2">
        <v>27</v>
      </c>
      <c r="P46" s="2">
        <v>1</v>
      </c>
      <c r="Q46" s="2">
        <v>3.0000000000000001E-3</v>
      </c>
      <c r="R46" s="43" t="s">
        <v>1365</v>
      </c>
      <c r="S46" s="43">
        <v>79</v>
      </c>
      <c r="T46" s="43">
        <v>35</v>
      </c>
      <c r="U46" s="74" cm="1">
        <f t="array" ref="U46">SUM(SUMIFS(Q$14:Q$1004,O$14:O$1004,T46:T47,N$14:N$1004,S46:S47,P$14:P$1004,0))</f>
        <v>4.0263390000000001</v>
      </c>
      <c r="V46" s="92" t="s">
        <v>1390</v>
      </c>
      <c r="W46" s="94"/>
      <c r="X46" s="7"/>
      <c r="Z46" s="89">
        <v>63</v>
      </c>
      <c r="AA46" s="2">
        <v>28</v>
      </c>
      <c r="AB46" s="2">
        <v>0</v>
      </c>
      <c r="AC46" s="2">
        <v>5.8000000000000003E-2</v>
      </c>
      <c r="AD46" s="43" t="s">
        <v>1365</v>
      </c>
      <c r="AE46" s="43">
        <v>79</v>
      </c>
      <c r="AF46" s="43">
        <v>35</v>
      </c>
      <c r="AG46" s="74" cm="1">
        <f t="array" ref="AG46">SUM(SUMIFS(AC$14:AC$1004,AA$14:AA$1004,AF46:AF47,Z$14:Z$1004,AE46:AE47,AB$14:AB$1004,0))</f>
        <v>2.6948540000000003</v>
      </c>
      <c r="AH46" s="92" t="s">
        <v>1390</v>
      </c>
      <c r="AI46" s="94"/>
      <c r="AL46" s="89">
        <v>63</v>
      </c>
      <c r="AM46" s="2">
        <v>28</v>
      </c>
      <c r="AN46" s="2">
        <v>0</v>
      </c>
      <c r="AO46" s="2">
        <v>5.7000000000000002E-2</v>
      </c>
      <c r="AP46" s="43" t="s">
        <v>1365</v>
      </c>
      <c r="AQ46" s="43">
        <v>79</v>
      </c>
      <c r="AR46" s="43">
        <v>35</v>
      </c>
      <c r="AS46" s="74" cm="1">
        <f t="array" ref="AS46">SUM(SUMIFS(AO$14:AO$1004,AM$14:AM$1004,AR46:AR47,AL$14:AL$1004,AQ46:AQ47,AN$14:AN$1004,0))</f>
        <v>2.8681760000000001</v>
      </c>
      <c r="AT46" s="92" t="s">
        <v>1390</v>
      </c>
      <c r="AU46" s="94"/>
      <c r="AX46" s="89">
        <v>66</v>
      </c>
      <c r="AY46" s="2">
        <v>29</v>
      </c>
      <c r="AZ46" s="2">
        <v>0</v>
      </c>
      <c r="BA46" s="2">
        <v>2E-3</v>
      </c>
      <c r="BB46" s="43" t="s">
        <v>1365</v>
      </c>
      <c r="BC46" s="43">
        <v>79</v>
      </c>
      <c r="BD46" s="43">
        <v>35</v>
      </c>
      <c r="BE46" s="74" cm="1">
        <f t="array" ref="BE46">SUM(SUMIFS(BA$14:BA$1004,AY$14:AY$1004,BD46:BD47,AX$14:AX$1004,BC46:BC47,AZ$14:AZ$1004,0))</f>
        <v>1.1221632000000001</v>
      </c>
      <c r="BF46" s="92" t="s">
        <v>1390</v>
      </c>
      <c r="BG46" s="94"/>
      <c r="BJ46" s="89">
        <v>72</v>
      </c>
      <c r="BK46" s="2">
        <v>28</v>
      </c>
      <c r="BL46" s="2">
        <v>0</v>
      </c>
      <c r="BM46" s="2">
        <v>2E-3</v>
      </c>
      <c r="BN46" s="43" t="s">
        <v>1365</v>
      </c>
      <c r="BO46" s="43">
        <v>79</v>
      </c>
      <c r="BP46" s="43">
        <v>35</v>
      </c>
      <c r="BQ46" s="74" cm="1">
        <f t="array" ref="BQ46">SUM(SUMIFS(BM$14:BM$1004,BK$14:BK$1004,BP46:BP47,BJ$14:BJ$1004,BO46:BO47,BL$14:BL$1004,0))</f>
        <v>0.55869069999999998</v>
      </c>
      <c r="BR46" s="92" t="s">
        <v>1390</v>
      </c>
      <c r="BS46" s="94"/>
      <c r="BV46" s="89">
        <v>66</v>
      </c>
      <c r="BW46" s="2">
        <v>29</v>
      </c>
      <c r="BX46" s="2">
        <v>0</v>
      </c>
      <c r="BY46" s="2">
        <v>4.0000000000000001E-3</v>
      </c>
      <c r="BZ46" s="43" t="s">
        <v>1365</v>
      </c>
      <c r="CA46" s="43">
        <v>79</v>
      </c>
      <c r="CB46" s="43">
        <v>35</v>
      </c>
      <c r="CC46" s="74" cm="1">
        <f t="array" ref="CC46">SUM(SUMIFS(BY$14:BY$1004,BW$14:BW$1004,CB46:CB47,BV$14:BV$1004,CA46:CA47,BX$14:BX$1004,0))</f>
        <v>0.48829290000000003</v>
      </c>
      <c r="CD46" s="92" t="s">
        <v>1390</v>
      </c>
      <c r="CE46" s="94"/>
      <c r="CH46" s="89">
        <v>72</v>
      </c>
      <c r="CI46" s="2">
        <v>28</v>
      </c>
      <c r="CJ46" s="2">
        <v>0</v>
      </c>
      <c r="CK46" s="2">
        <v>1E-3</v>
      </c>
      <c r="CL46" s="43" t="s">
        <v>1365</v>
      </c>
      <c r="CM46" s="43">
        <v>79</v>
      </c>
      <c r="CN46" s="43">
        <v>35</v>
      </c>
      <c r="CO46" s="74" cm="1">
        <f t="array" ref="CO46">SUM(SUMIFS(CK$14:CK$1004,CI$14:CI$1004,CN46:CN47,CH$14:CH$1004,CM46:CM47,CJ$14:CJ$1004,0))</f>
        <v>0.51785809999999999</v>
      </c>
      <c r="CP46" s="92" t="s">
        <v>1390</v>
      </c>
      <c r="CQ46" s="94"/>
      <c r="CT46" s="89">
        <v>69</v>
      </c>
      <c r="CU46" s="2">
        <v>28</v>
      </c>
      <c r="CV46" s="2">
        <v>1</v>
      </c>
      <c r="CW46" s="2">
        <v>1E-3</v>
      </c>
      <c r="CX46" s="43" t="s">
        <v>1365</v>
      </c>
      <c r="CY46" s="43">
        <v>79</v>
      </c>
      <c r="CZ46" s="43">
        <v>35</v>
      </c>
      <c r="DA46" s="74" cm="1">
        <f t="array" ref="DA46">SUM(SUMIFS(CW$14:CW$1004,CU$14:CU$1004,CZ46:CZ47,CT$14:CT$1004,CY46:CY47,CV$14:CV$1004,0))</f>
        <v>0.42204059999999999</v>
      </c>
      <c r="DB46" s="92" t="s">
        <v>1390</v>
      </c>
      <c r="DC46" s="94"/>
      <c r="DF46" s="89">
        <v>76</v>
      </c>
      <c r="DG46" s="2">
        <v>29</v>
      </c>
      <c r="DH46" s="2">
        <v>0</v>
      </c>
      <c r="DI46" s="2">
        <v>8.0000000000000002E-3</v>
      </c>
      <c r="DJ46" s="43" t="s">
        <v>1365</v>
      </c>
      <c r="DK46" s="43">
        <v>79</v>
      </c>
      <c r="DL46" s="43">
        <v>35</v>
      </c>
      <c r="DM46" s="74" cm="1">
        <f t="array" ref="DM46">SUM(SUMIFS(DI$14:DI$1004,DG$14:DG$1004,DL46:DL47,DF$14:DF$1004,DK46:DK47,DH$14:DH$1004,0))</f>
        <v>0.678531</v>
      </c>
      <c r="DN46" s="92" t="s">
        <v>1390</v>
      </c>
      <c r="DO46" s="94"/>
      <c r="DR46" s="89">
        <v>61</v>
      </c>
      <c r="DS46" s="2">
        <v>28</v>
      </c>
      <c r="DT46" s="2">
        <v>0</v>
      </c>
      <c r="DU46" s="2">
        <v>8.294E-2</v>
      </c>
      <c r="DV46" s="43" t="s">
        <v>1365</v>
      </c>
      <c r="DW46" s="43">
        <v>79</v>
      </c>
      <c r="DX46" s="43">
        <v>35</v>
      </c>
      <c r="DY46" s="74" cm="1">
        <f t="array" ref="DY46">SUM(SUMIFS(DU$14:DU$1004,DS$14:DS$1004,DX46:DX47,DR$14:DR$1004,DW46:DW47,DT$14:DT$1004,0))</f>
        <v>3.3378019999999999</v>
      </c>
      <c r="DZ46" s="92" t="s">
        <v>1390</v>
      </c>
      <c r="EA46" s="94"/>
      <c r="ED46" s="89">
        <v>70</v>
      </c>
      <c r="EE46" s="2">
        <v>28</v>
      </c>
      <c r="EF46" s="2">
        <v>0</v>
      </c>
      <c r="EG46" s="2">
        <v>5.0000000000000001E-3</v>
      </c>
      <c r="EH46" s="43" t="s">
        <v>1365</v>
      </c>
      <c r="EI46" s="43">
        <v>79</v>
      </c>
      <c r="EJ46" s="43">
        <v>35</v>
      </c>
      <c r="EK46" s="74" cm="1">
        <f t="array" ref="EK46">SUM(SUMIFS(EG$14:EG$1004,EE$14:EE$1004,EJ46:EJ47,ED$14:ED$1004,EI46:EI47,EF$14:EF$1004,0))</f>
        <v>0.46649879999999999</v>
      </c>
      <c r="EL46" s="92" t="s">
        <v>1390</v>
      </c>
      <c r="EM46" s="94"/>
      <c r="ES46">
        <v>70</v>
      </c>
      <c r="ET46">
        <v>28</v>
      </c>
      <c r="EU46">
        <v>0</v>
      </c>
      <c r="EV46">
        <v>5.0000000000000001E-3</v>
      </c>
    </row>
    <row r="47" spans="1:152" x14ac:dyDescent="0.4">
      <c r="A47" s="89"/>
      <c r="B47" s="2"/>
      <c r="C47" s="2"/>
      <c r="D47" s="2"/>
      <c r="E47" s="43" t="s">
        <v>1365</v>
      </c>
      <c r="F47" s="43">
        <v>81</v>
      </c>
      <c r="G47" s="43">
        <v>35</v>
      </c>
      <c r="H47" s="74"/>
      <c r="J47" cm="1">
        <f t="array" ref="J47">SUM(LARGE(J$14:J$44,_xlfn.SEQUENCE(8)))</f>
        <v>0</v>
      </c>
      <c r="N47" s="89">
        <v>71</v>
      </c>
      <c r="O47" s="2">
        <v>27</v>
      </c>
      <c r="P47" s="2">
        <v>0</v>
      </c>
      <c r="Q47" s="2">
        <v>3.0000000000000001E-3</v>
      </c>
      <c r="R47" s="43" t="s">
        <v>1365</v>
      </c>
      <c r="S47" s="43">
        <v>81</v>
      </c>
      <c r="T47" s="43">
        <v>35</v>
      </c>
      <c r="U47" s="74"/>
      <c r="W47" cm="1">
        <f t="array" ref="W47">SUM(LARGE(W$14:W$44,_xlfn.SEQUENCE(8)))</f>
        <v>66.190090170000005</v>
      </c>
      <c r="Z47" s="89">
        <v>64</v>
      </c>
      <c r="AA47" s="2">
        <v>28</v>
      </c>
      <c r="AB47" s="2">
        <v>0</v>
      </c>
      <c r="AC47" s="2">
        <v>8.5999999999999993E-2</v>
      </c>
      <c r="AD47" s="43" t="s">
        <v>1365</v>
      </c>
      <c r="AE47" s="43">
        <v>81</v>
      </c>
      <c r="AF47" s="43">
        <v>35</v>
      </c>
      <c r="AG47" s="74"/>
      <c r="AI47" cm="1">
        <f t="array" ref="AI47">SUM(LARGE(AI$14:AI$44,_xlfn.SEQUENCE(8)))</f>
        <v>67.935245750000007</v>
      </c>
      <c r="AL47" s="89">
        <v>64</v>
      </c>
      <c r="AM47" s="2">
        <v>28</v>
      </c>
      <c r="AN47" s="2">
        <v>0</v>
      </c>
      <c r="AO47" s="2">
        <v>7.823041E-2</v>
      </c>
      <c r="AP47" s="43" t="s">
        <v>1365</v>
      </c>
      <c r="AQ47" s="43">
        <v>81</v>
      </c>
      <c r="AR47" s="43">
        <v>35</v>
      </c>
      <c r="AS47" s="74"/>
      <c r="AU47" cm="1">
        <f t="array" ref="AU47">SUM(LARGE(AU$14:AU$44,_xlfn.SEQUENCE(8)))</f>
        <v>75.742805827000012</v>
      </c>
      <c r="AX47" s="89">
        <v>67</v>
      </c>
      <c r="AY47" s="2">
        <v>29</v>
      </c>
      <c r="AZ47" s="2">
        <v>0</v>
      </c>
      <c r="BA47" s="2">
        <v>5.0000000000000001E-3</v>
      </c>
      <c r="BB47" s="43" t="s">
        <v>1365</v>
      </c>
      <c r="BC47" s="43">
        <v>81</v>
      </c>
      <c r="BD47" s="43">
        <v>35</v>
      </c>
      <c r="BE47" s="74"/>
      <c r="BG47" cm="1">
        <f t="array" ref="BG47">SUM(LARGE(BG$14:BG$44,_xlfn.SEQUENCE(8)))</f>
        <v>77.103806625000004</v>
      </c>
      <c r="BJ47" s="89">
        <v>63</v>
      </c>
      <c r="BK47" s="2">
        <v>29</v>
      </c>
      <c r="BL47" s="2">
        <v>0</v>
      </c>
      <c r="BM47" s="2">
        <v>3.0000000000000001E-3</v>
      </c>
      <c r="BN47" s="43" t="s">
        <v>1365</v>
      </c>
      <c r="BO47" s="43">
        <v>81</v>
      </c>
      <c r="BP47" s="43">
        <v>35</v>
      </c>
      <c r="BQ47" s="74"/>
      <c r="BS47" cm="1">
        <f t="array" ref="BS47">SUM(LARGE(BS$14:BS$44,_xlfn.SEQUENCE(8)))</f>
        <v>78.59901868</v>
      </c>
      <c r="BV47" s="89">
        <v>67</v>
      </c>
      <c r="BW47" s="2">
        <v>29</v>
      </c>
      <c r="BX47" s="2">
        <v>0</v>
      </c>
      <c r="BY47" s="2">
        <v>4.0000000000000001E-3</v>
      </c>
      <c r="BZ47" s="43" t="s">
        <v>1365</v>
      </c>
      <c r="CA47" s="43">
        <v>81</v>
      </c>
      <c r="CB47" s="43">
        <v>35</v>
      </c>
      <c r="CC47" s="74"/>
      <c r="CE47" cm="1">
        <f t="array" ref="CE47">SUM(LARGE(CE$14:CE$44,_xlfn.SEQUENCE(8)))</f>
        <v>77.207846817999993</v>
      </c>
      <c r="CH47" s="89">
        <v>73</v>
      </c>
      <c r="CI47" s="2">
        <v>28</v>
      </c>
      <c r="CJ47" s="2">
        <v>0</v>
      </c>
      <c r="CK47" s="2">
        <v>1E-3</v>
      </c>
      <c r="CL47" s="43" t="s">
        <v>1365</v>
      </c>
      <c r="CM47" s="43">
        <v>81</v>
      </c>
      <c r="CN47" s="43">
        <v>35</v>
      </c>
      <c r="CO47" s="74"/>
      <c r="CQ47" cm="1">
        <f t="array" ref="CQ47">SUM(LARGE(CQ$14:CQ$44,_xlfn.SEQUENCE(8)))</f>
        <v>77.157835770099993</v>
      </c>
      <c r="CT47" s="89">
        <v>70</v>
      </c>
      <c r="CU47" s="2">
        <v>28</v>
      </c>
      <c r="CV47" s="2">
        <v>0</v>
      </c>
      <c r="CW47" s="2">
        <v>5.0000000000000001E-3</v>
      </c>
      <c r="CX47" s="43" t="s">
        <v>1365</v>
      </c>
      <c r="CY47" s="43">
        <v>81</v>
      </c>
      <c r="CZ47" s="43">
        <v>35</v>
      </c>
      <c r="DA47" s="74"/>
      <c r="DC47" cm="1">
        <f t="array" ref="DC47">SUM(LARGE(DC$14:DC$44,_xlfn.SEQUENCE(8)))</f>
        <v>73.355622800000006</v>
      </c>
      <c r="DF47" s="89">
        <v>77</v>
      </c>
      <c r="DG47" s="2">
        <v>29</v>
      </c>
      <c r="DH47" s="2">
        <v>0</v>
      </c>
      <c r="DI47" s="2">
        <v>1E-3</v>
      </c>
      <c r="DJ47" s="43" t="s">
        <v>1365</v>
      </c>
      <c r="DK47" s="43">
        <v>81</v>
      </c>
      <c r="DL47" s="43">
        <v>35</v>
      </c>
      <c r="DM47" s="74"/>
      <c r="DO47" cm="1">
        <f t="array" ref="DO47">SUM(LARGE(DO$14:DO$44,_xlfn.SEQUENCE(8)))</f>
        <v>76.113124815999996</v>
      </c>
      <c r="DR47" s="89">
        <v>62</v>
      </c>
      <c r="DS47" s="2">
        <v>28</v>
      </c>
      <c r="DT47" s="2">
        <v>0</v>
      </c>
      <c r="DU47" s="2">
        <v>0.104</v>
      </c>
      <c r="DV47" s="43" t="s">
        <v>1365</v>
      </c>
      <c r="DW47" s="43">
        <v>81</v>
      </c>
      <c r="DX47" s="43">
        <v>35</v>
      </c>
      <c r="DY47" s="74"/>
      <c r="EA47" cm="1">
        <f t="array" ref="EA47">SUM(LARGE(EA$14:EA$44,_xlfn.SEQUENCE(8)))</f>
        <v>74.168258460000004</v>
      </c>
      <c r="ED47" s="89">
        <v>71</v>
      </c>
      <c r="EE47" s="2">
        <v>28</v>
      </c>
      <c r="EF47" s="2">
        <v>0</v>
      </c>
      <c r="EG47" s="2">
        <v>5.0000000000000001E-3</v>
      </c>
      <c r="EH47" s="43" t="s">
        <v>1365</v>
      </c>
      <c r="EI47" s="43">
        <v>81</v>
      </c>
      <c r="EJ47" s="43">
        <v>35</v>
      </c>
      <c r="EK47" s="74"/>
      <c r="EM47" cm="1">
        <f t="array" ref="EM47">SUM(LARGE(EM$14:EM$44,_xlfn.SEQUENCE(8)))</f>
        <v>77.273147870999992</v>
      </c>
      <c r="ES47">
        <v>71</v>
      </c>
      <c r="ET47">
        <v>28</v>
      </c>
      <c r="EU47">
        <v>0</v>
      </c>
      <c r="EV47">
        <v>5.0000000000000001E-3</v>
      </c>
    </row>
    <row r="48" spans="1:152" x14ac:dyDescent="0.4">
      <c r="A48" s="89"/>
      <c r="B48" s="2"/>
      <c r="C48" s="2"/>
      <c r="D48" s="2"/>
      <c r="E48" s="42" t="s">
        <v>1364</v>
      </c>
      <c r="F48" s="42">
        <v>78</v>
      </c>
      <c r="G48" s="42">
        <v>36</v>
      </c>
      <c r="H48" s="74" cm="1">
        <f t="array" ref="H48">SUM(SUMIFS(D$14:D$1004,B$14:B$1004,G48:G53,A$14:A$1004,F48:F53,C$14:C$1004,0))</f>
        <v>0</v>
      </c>
      <c r="N48" s="89">
        <v>72</v>
      </c>
      <c r="O48" s="2">
        <v>27</v>
      </c>
      <c r="P48" s="2">
        <v>0</v>
      </c>
      <c r="Q48" s="2">
        <v>1E-3</v>
      </c>
      <c r="R48" s="42" t="s">
        <v>1364</v>
      </c>
      <c r="S48" s="42">
        <v>78</v>
      </c>
      <c r="T48" s="42">
        <v>36</v>
      </c>
      <c r="U48" s="74" cm="1">
        <f t="array" ref="U48">SUM(SUMIFS(Q$14:Q$1004,O$14:O$1004,T48:T53,N$14:N$1004,S48:S53,P$14:P$1004,0))</f>
        <v>8.8384321000000003</v>
      </c>
      <c r="Z48" s="89">
        <v>65</v>
      </c>
      <c r="AA48" s="2">
        <v>28</v>
      </c>
      <c r="AB48" s="2">
        <v>0</v>
      </c>
      <c r="AC48" s="2">
        <v>0.124</v>
      </c>
      <c r="AD48" s="42" t="s">
        <v>1364</v>
      </c>
      <c r="AE48" s="42">
        <v>78</v>
      </c>
      <c r="AF48" s="42">
        <v>36</v>
      </c>
      <c r="AG48" s="74" cm="1">
        <f t="array" ref="AG48">SUM(SUMIFS(AC$14:AC$1004,AA$14:AA$1004,AF48:AF53,Z$14:Z$1004,AE48:AE53,AB$14:AB$1004,0))</f>
        <v>6.8101391000000007</v>
      </c>
      <c r="AL48" s="89">
        <v>65</v>
      </c>
      <c r="AM48" s="2">
        <v>28</v>
      </c>
      <c r="AN48" s="2">
        <v>0</v>
      </c>
      <c r="AO48" s="2">
        <v>8.400001E-2</v>
      </c>
      <c r="AP48" s="42" t="s">
        <v>1364</v>
      </c>
      <c r="AQ48" s="42">
        <v>78</v>
      </c>
      <c r="AR48" s="42">
        <v>36</v>
      </c>
      <c r="AS48" s="74" cm="1">
        <f t="array" ref="AS48">SUM(SUMIFS(AO$14:AO$1004,AM$14:AM$1004,AR48:AR53,AL$14:AL$1004,AQ48:AQ53,AN$14:AN$1004,0))</f>
        <v>7.2894821000000007</v>
      </c>
      <c r="AX48" s="89">
        <v>68</v>
      </c>
      <c r="AY48" s="2">
        <v>29</v>
      </c>
      <c r="AZ48" s="2">
        <v>0</v>
      </c>
      <c r="BA48" s="2">
        <v>8.0099999999999998E-3</v>
      </c>
      <c r="BB48" s="42" t="s">
        <v>1364</v>
      </c>
      <c r="BC48" s="42">
        <v>78</v>
      </c>
      <c r="BD48" s="42">
        <v>36</v>
      </c>
      <c r="BE48" s="74" cm="1">
        <f t="array" ref="BE48">SUM(SUMIFS(BA$14:BA$1004,AY$14:AY$1004,BD48:BD53,AX$14:AX$1004,BC48:BC53,AZ$14:AZ$1004,0))</f>
        <v>4.9565679999999999</v>
      </c>
      <c r="BJ48" s="89">
        <v>65</v>
      </c>
      <c r="BK48" s="2">
        <v>29</v>
      </c>
      <c r="BL48" s="2">
        <v>0</v>
      </c>
      <c r="BM48" s="2">
        <v>7.0000009999999996E-3</v>
      </c>
      <c r="BN48" s="42" t="s">
        <v>1364</v>
      </c>
      <c r="BO48" s="42">
        <v>78</v>
      </c>
      <c r="BP48" s="42">
        <v>36</v>
      </c>
      <c r="BQ48" s="74" cm="1">
        <f t="array" ref="BQ48">SUM(SUMIFS(BM$14:BM$1004,BK$14:BK$1004,BP48:BP53,BJ$14:BJ$1004,BO48:BO53,BL$14:BL$1004,0))</f>
        <v>2.5720572100000001</v>
      </c>
      <c r="BV48" s="89">
        <v>68</v>
      </c>
      <c r="BW48" s="2">
        <v>29</v>
      </c>
      <c r="BX48" s="2">
        <v>0</v>
      </c>
      <c r="BY48" s="2">
        <v>7.0000009999999996E-3</v>
      </c>
      <c r="BZ48" s="42" t="s">
        <v>1364</v>
      </c>
      <c r="CA48" s="42">
        <v>78</v>
      </c>
      <c r="CB48" s="42">
        <v>36</v>
      </c>
      <c r="CC48" s="74" cm="1">
        <f t="array" ref="CC48">SUM(SUMIFS(BY$14:BY$1004,BW$14:BW$1004,CB48:CB53,BV$14:BV$1004,CA48:CA53,BX$14:BX$1004,0))</f>
        <v>2.4395974001000003</v>
      </c>
      <c r="CH48" s="89">
        <v>63</v>
      </c>
      <c r="CI48" s="2">
        <v>29</v>
      </c>
      <c r="CJ48" s="2">
        <v>0</v>
      </c>
      <c r="CK48" s="2">
        <v>7.0000000000000001E-3</v>
      </c>
      <c r="CL48" s="42" t="s">
        <v>1364</v>
      </c>
      <c r="CM48" s="42">
        <v>78</v>
      </c>
      <c r="CN48" s="42">
        <v>36</v>
      </c>
      <c r="CO48" s="74" cm="1">
        <f t="array" ref="CO48">SUM(SUMIFS(CK$14:CK$1004,CI$14:CI$1004,CN48:CN53,CH$14:CH$1004,CM48:CM53,CJ$14:CJ$1004,0))</f>
        <v>1.9972991109999998</v>
      </c>
      <c r="CT48" s="89">
        <v>71</v>
      </c>
      <c r="CU48" s="2">
        <v>28</v>
      </c>
      <c r="CV48" s="2">
        <v>0</v>
      </c>
      <c r="CW48" s="2">
        <v>6.0000000000000001E-3</v>
      </c>
      <c r="CX48" s="42" t="s">
        <v>1364</v>
      </c>
      <c r="CY48" s="42">
        <v>78</v>
      </c>
      <c r="CZ48" s="42">
        <v>36</v>
      </c>
      <c r="DA48" s="74" cm="1">
        <f t="array" ref="DA48">SUM(SUMIFS(CW$14:CW$1004,CU$14:CU$1004,CZ48:CZ53,CT$14:CT$1004,CY48:CY53,CV$14:CV$1004,0))</f>
        <v>1.2994751999999998</v>
      </c>
      <c r="DF48" s="89">
        <v>78</v>
      </c>
      <c r="DG48" s="2">
        <v>29</v>
      </c>
      <c r="DH48" s="2">
        <v>0</v>
      </c>
      <c r="DI48" s="2">
        <v>3.0000000000000001E-3</v>
      </c>
      <c r="DJ48" s="42" t="s">
        <v>1364</v>
      </c>
      <c r="DK48" s="42">
        <v>78</v>
      </c>
      <c r="DL48" s="42">
        <v>36</v>
      </c>
      <c r="DM48" s="74" cm="1">
        <f t="array" ref="DM48">SUM(SUMIFS(DI$14:DI$1004,DG$14:DG$1004,DL48:DL53,DF$14:DF$1004,DK48:DK53,DH$14:DH$1004,0))</f>
        <v>3.8269678000000003</v>
      </c>
      <c r="DR48" s="89">
        <v>63</v>
      </c>
      <c r="DS48" s="2">
        <v>28</v>
      </c>
      <c r="DT48" s="2">
        <v>0</v>
      </c>
      <c r="DU48" s="2">
        <v>0.126</v>
      </c>
      <c r="DV48" s="42" t="s">
        <v>1364</v>
      </c>
      <c r="DW48" s="42">
        <v>78</v>
      </c>
      <c r="DX48" s="42">
        <v>36</v>
      </c>
      <c r="DY48" s="74" cm="1">
        <f t="array" ref="DY48">SUM(SUMIFS(DU$14:DU$1004,DS$14:DS$1004,DX48:DX53,DR$14:DR$1004,DW48:DW53,DT$14:DT$1004,0))</f>
        <v>7.7427210000000004</v>
      </c>
      <c r="ED48" s="89">
        <v>72</v>
      </c>
      <c r="EE48" s="2">
        <v>28</v>
      </c>
      <c r="EF48" s="2">
        <v>0</v>
      </c>
      <c r="EG48" s="2">
        <v>1E-3</v>
      </c>
      <c r="EH48" s="42" t="s">
        <v>1364</v>
      </c>
      <c r="EI48" s="42">
        <v>78</v>
      </c>
      <c r="EJ48" s="42">
        <v>36</v>
      </c>
      <c r="EK48" s="74" cm="1">
        <f t="array" ref="EK48">SUM(SUMIFS(EG$14:EG$1004,EE$14:EE$1004,EJ48:EJ53,ED$14:ED$1004,EI48:EI53,EF$14:EF$1004,0))</f>
        <v>1.8977049000000001</v>
      </c>
      <c r="ES48">
        <v>72</v>
      </c>
      <c r="ET48">
        <v>28</v>
      </c>
      <c r="EU48">
        <v>0</v>
      </c>
      <c r="EV48">
        <v>1E-3</v>
      </c>
    </row>
    <row r="49" spans="1:152" x14ac:dyDescent="0.4">
      <c r="A49" s="89"/>
      <c r="B49" s="2"/>
      <c r="C49" s="2"/>
      <c r="D49" s="2"/>
      <c r="E49" s="42" t="s">
        <v>1364</v>
      </c>
      <c r="F49" s="42">
        <v>80</v>
      </c>
      <c r="G49" s="42">
        <v>36</v>
      </c>
      <c r="H49" s="74"/>
      <c r="N49" s="89">
        <v>73</v>
      </c>
      <c r="O49" s="2">
        <v>27</v>
      </c>
      <c r="P49" s="2">
        <v>0</v>
      </c>
      <c r="Q49" s="2">
        <v>1E-3</v>
      </c>
      <c r="R49" s="42" t="s">
        <v>1364</v>
      </c>
      <c r="S49" s="42">
        <v>80</v>
      </c>
      <c r="T49" s="42">
        <v>36</v>
      </c>
      <c r="U49" s="74"/>
      <c r="Z49" s="89">
        <v>66</v>
      </c>
      <c r="AA49" s="2">
        <v>28</v>
      </c>
      <c r="AB49" s="2">
        <v>0</v>
      </c>
      <c r="AC49" s="2">
        <v>0.13200000000000001</v>
      </c>
      <c r="AD49" s="42" t="s">
        <v>1364</v>
      </c>
      <c r="AE49" s="42">
        <v>80</v>
      </c>
      <c r="AF49" s="42">
        <v>36</v>
      </c>
      <c r="AG49" s="74"/>
      <c r="AL49" s="89">
        <v>66</v>
      </c>
      <c r="AM49" s="2">
        <v>28</v>
      </c>
      <c r="AN49" s="2">
        <v>0</v>
      </c>
      <c r="AO49" s="2">
        <v>0.121</v>
      </c>
      <c r="AP49" s="42" t="s">
        <v>1364</v>
      </c>
      <c r="AQ49" s="42">
        <v>80</v>
      </c>
      <c r="AR49" s="42">
        <v>36</v>
      </c>
      <c r="AS49" s="74"/>
      <c r="AX49" s="89">
        <v>69</v>
      </c>
      <c r="AY49" s="2">
        <v>29</v>
      </c>
      <c r="AZ49" s="2">
        <v>0</v>
      </c>
      <c r="BA49" s="2">
        <v>1.099E-2</v>
      </c>
      <c r="BB49" s="42" t="s">
        <v>1364</v>
      </c>
      <c r="BC49" s="42">
        <v>80</v>
      </c>
      <c r="BD49" s="42">
        <v>36</v>
      </c>
      <c r="BE49" s="74"/>
      <c r="BJ49" s="89">
        <v>66</v>
      </c>
      <c r="BK49" s="2">
        <v>29</v>
      </c>
      <c r="BL49" s="2">
        <v>0</v>
      </c>
      <c r="BM49" s="2">
        <v>8.9999999999999993E-3</v>
      </c>
      <c r="BN49" s="42" t="s">
        <v>1364</v>
      </c>
      <c r="BO49" s="42">
        <v>80</v>
      </c>
      <c r="BP49" s="42">
        <v>36</v>
      </c>
      <c r="BQ49" s="74"/>
      <c r="BV49" s="89">
        <v>69</v>
      </c>
      <c r="BW49" s="2">
        <v>29</v>
      </c>
      <c r="BX49" s="2">
        <v>0</v>
      </c>
      <c r="BY49" s="2">
        <v>3.0000000000000001E-3</v>
      </c>
      <c r="BZ49" s="42" t="s">
        <v>1364</v>
      </c>
      <c r="CA49" s="42">
        <v>80</v>
      </c>
      <c r="CB49" s="42">
        <v>36</v>
      </c>
      <c r="CC49" s="74"/>
      <c r="CH49" s="89">
        <v>65</v>
      </c>
      <c r="CI49" s="2">
        <v>29</v>
      </c>
      <c r="CJ49" s="2">
        <v>0</v>
      </c>
      <c r="CK49" s="2">
        <v>0.01</v>
      </c>
      <c r="CL49" s="42" t="s">
        <v>1364</v>
      </c>
      <c r="CM49" s="42">
        <v>80</v>
      </c>
      <c r="CN49" s="42">
        <v>36</v>
      </c>
      <c r="CO49" s="74"/>
      <c r="CT49" s="89">
        <v>72</v>
      </c>
      <c r="CU49" s="2">
        <v>28</v>
      </c>
      <c r="CV49" s="2">
        <v>0</v>
      </c>
      <c r="CW49" s="2">
        <v>3.0000000000000001E-3</v>
      </c>
      <c r="CX49" s="42" t="s">
        <v>1364</v>
      </c>
      <c r="CY49" s="42">
        <v>80</v>
      </c>
      <c r="CZ49" s="42">
        <v>36</v>
      </c>
      <c r="DA49" s="74"/>
      <c r="DF49" s="89">
        <v>79</v>
      </c>
      <c r="DG49" s="2">
        <v>29</v>
      </c>
      <c r="DH49" s="2">
        <v>0</v>
      </c>
      <c r="DI49" s="2">
        <v>1E-3</v>
      </c>
      <c r="DJ49" s="42" t="s">
        <v>1364</v>
      </c>
      <c r="DK49" s="42">
        <v>80</v>
      </c>
      <c r="DL49" s="42">
        <v>36</v>
      </c>
      <c r="DM49" s="74"/>
      <c r="DR49" s="89">
        <v>64</v>
      </c>
      <c r="DS49" s="2">
        <v>28</v>
      </c>
      <c r="DT49" s="2">
        <v>0</v>
      </c>
      <c r="DU49" s="2">
        <v>0.13100000000000001</v>
      </c>
      <c r="DV49" s="42" t="s">
        <v>1364</v>
      </c>
      <c r="DW49" s="42">
        <v>80</v>
      </c>
      <c r="DX49" s="42">
        <v>36</v>
      </c>
      <c r="DY49" s="74"/>
      <c r="ED49" s="89">
        <v>73</v>
      </c>
      <c r="EE49" s="2">
        <v>28</v>
      </c>
      <c r="EF49" s="2">
        <v>0</v>
      </c>
      <c r="EG49" s="2">
        <v>2E-3</v>
      </c>
      <c r="EH49" s="42" t="s">
        <v>1364</v>
      </c>
      <c r="EI49" s="42">
        <v>80</v>
      </c>
      <c r="EJ49" s="42">
        <v>36</v>
      </c>
      <c r="EK49" s="74"/>
      <c r="ES49">
        <v>73</v>
      </c>
      <c r="ET49">
        <v>28</v>
      </c>
      <c r="EU49">
        <v>0</v>
      </c>
      <c r="EV49">
        <v>2E-3</v>
      </c>
    </row>
    <row r="50" spans="1:152" x14ac:dyDescent="0.4">
      <c r="A50" s="89"/>
      <c r="B50" s="2"/>
      <c r="C50" s="2"/>
      <c r="D50" s="2"/>
      <c r="E50" s="42" t="s">
        <v>1364</v>
      </c>
      <c r="F50" s="42">
        <v>82</v>
      </c>
      <c r="G50" s="42">
        <v>36</v>
      </c>
      <c r="H50" s="74"/>
      <c r="N50" s="89">
        <v>60</v>
      </c>
      <c r="O50" s="2">
        <v>28</v>
      </c>
      <c r="P50" s="2">
        <v>0</v>
      </c>
      <c r="Q50" s="2">
        <v>0.01</v>
      </c>
      <c r="R50" s="42" t="s">
        <v>1364</v>
      </c>
      <c r="S50" s="42">
        <v>82</v>
      </c>
      <c r="T50" s="42">
        <v>36</v>
      </c>
      <c r="U50" s="74"/>
      <c r="Z50" s="89">
        <v>67</v>
      </c>
      <c r="AA50" s="2">
        <v>28</v>
      </c>
      <c r="AB50" s="2">
        <v>0</v>
      </c>
      <c r="AC50" s="2">
        <v>0.107</v>
      </c>
      <c r="AD50" s="42" t="s">
        <v>1364</v>
      </c>
      <c r="AE50" s="42">
        <v>82</v>
      </c>
      <c r="AF50" s="42">
        <v>36</v>
      </c>
      <c r="AG50" s="74"/>
      <c r="AL50" s="89">
        <v>67</v>
      </c>
      <c r="AM50" s="2">
        <v>28</v>
      </c>
      <c r="AN50" s="2">
        <v>0</v>
      </c>
      <c r="AO50" s="2">
        <v>0.104</v>
      </c>
      <c r="AP50" s="42" t="s">
        <v>1364</v>
      </c>
      <c r="AQ50" s="42">
        <v>82</v>
      </c>
      <c r="AR50" s="42">
        <v>36</v>
      </c>
      <c r="AS50" s="74"/>
      <c r="AX50" s="89">
        <v>70</v>
      </c>
      <c r="AY50" s="2">
        <v>29</v>
      </c>
      <c r="AZ50" s="2">
        <v>0</v>
      </c>
      <c r="BA50" s="2">
        <v>4.9802240000000001E-3</v>
      </c>
      <c r="BB50" s="42" t="s">
        <v>1364</v>
      </c>
      <c r="BC50" s="42">
        <v>82</v>
      </c>
      <c r="BD50" s="42">
        <v>36</v>
      </c>
      <c r="BE50" s="74"/>
      <c r="BJ50" s="89">
        <v>67</v>
      </c>
      <c r="BK50" s="2">
        <v>29</v>
      </c>
      <c r="BL50" s="2">
        <v>0</v>
      </c>
      <c r="BM50" s="2">
        <v>8.9999999999999993E-3</v>
      </c>
      <c r="BN50" s="42" t="s">
        <v>1364</v>
      </c>
      <c r="BO50" s="42">
        <v>82</v>
      </c>
      <c r="BP50" s="42">
        <v>36</v>
      </c>
      <c r="BQ50" s="74"/>
      <c r="BV50" s="89">
        <v>70</v>
      </c>
      <c r="BW50" s="2">
        <v>29</v>
      </c>
      <c r="BX50" s="2">
        <v>0</v>
      </c>
      <c r="BY50" s="2">
        <v>1.0240000000000001E-2</v>
      </c>
      <c r="BZ50" s="42" t="s">
        <v>1364</v>
      </c>
      <c r="CA50" s="42">
        <v>82</v>
      </c>
      <c r="CB50" s="42">
        <v>36</v>
      </c>
      <c r="CC50" s="74"/>
      <c r="CH50" s="89">
        <v>66</v>
      </c>
      <c r="CI50" s="2">
        <v>29</v>
      </c>
      <c r="CJ50" s="2">
        <v>0</v>
      </c>
      <c r="CK50" s="2">
        <v>1.4999999999999999E-2</v>
      </c>
      <c r="CL50" s="42" t="s">
        <v>1364</v>
      </c>
      <c r="CM50" s="42">
        <v>82</v>
      </c>
      <c r="CN50" s="42">
        <v>36</v>
      </c>
      <c r="CO50" s="74"/>
      <c r="CT50" s="89">
        <v>73</v>
      </c>
      <c r="CU50" s="2">
        <v>28</v>
      </c>
      <c r="CV50" s="2">
        <v>0</v>
      </c>
      <c r="CW50" s="2">
        <v>2E-3</v>
      </c>
      <c r="CX50" s="42" t="s">
        <v>1364</v>
      </c>
      <c r="CY50" s="42">
        <v>82</v>
      </c>
      <c r="CZ50" s="42">
        <v>36</v>
      </c>
      <c r="DA50" s="74"/>
      <c r="DF50" s="89">
        <v>66</v>
      </c>
      <c r="DG50" s="2">
        <v>30</v>
      </c>
      <c r="DH50" s="2">
        <v>0</v>
      </c>
      <c r="DI50" s="2">
        <v>4.0000000000000001E-3</v>
      </c>
      <c r="DJ50" s="42" t="s">
        <v>1364</v>
      </c>
      <c r="DK50" s="42">
        <v>82</v>
      </c>
      <c r="DL50" s="42">
        <v>36</v>
      </c>
      <c r="DM50" s="74"/>
      <c r="DR50" s="89">
        <v>65</v>
      </c>
      <c r="DS50" s="2">
        <v>28</v>
      </c>
      <c r="DT50" s="2">
        <v>0</v>
      </c>
      <c r="DU50" s="2">
        <v>0.17499999999999999</v>
      </c>
      <c r="DV50" s="42" t="s">
        <v>1364</v>
      </c>
      <c r="DW50" s="42">
        <v>82</v>
      </c>
      <c r="DX50" s="42">
        <v>36</v>
      </c>
      <c r="DY50" s="74"/>
      <c r="ED50" s="89">
        <v>63</v>
      </c>
      <c r="EE50" s="2">
        <v>29</v>
      </c>
      <c r="EF50" s="2">
        <v>0</v>
      </c>
      <c r="EG50" s="2">
        <v>2E-3</v>
      </c>
      <c r="EH50" s="42" t="s">
        <v>1364</v>
      </c>
      <c r="EI50" s="42">
        <v>82</v>
      </c>
      <c r="EJ50" s="42">
        <v>36</v>
      </c>
      <c r="EK50" s="74"/>
      <c r="ES50">
        <v>63</v>
      </c>
      <c r="ET50">
        <v>29</v>
      </c>
      <c r="EU50">
        <v>0</v>
      </c>
      <c r="EV50">
        <v>2E-3</v>
      </c>
    </row>
    <row r="51" spans="1:152" x14ac:dyDescent="0.4">
      <c r="A51" s="89"/>
      <c r="B51" s="2"/>
      <c r="C51" s="2"/>
      <c r="D51" s="2"/>
      <c r="E51" s="42" t="s">
        <v>1364</v>
      </c>
      <c r="F51" s="42">
        <v>83</v>
      </c>
      <c r="G51" s="42">
        <v>36</v>
      </c>
      <c r="H51" s="74"/>
      <c r="N51" s="89">
        <v>61</v>
      </c>
      <c r="O51" s="2">
        <v>28</v>
      </c>
      <c r="P51" s="2">
        <v>0</v>
      </c>
      <c r="Q51" s="2">
        <v>8.6940009999999998E-2</v>
      </c>
      <c r="R51" s="42" t="s">
        <v>1364</v>
      </c>
      <c r="S51" s="42">
        <v>83</v>
      </c>
      <c r="T51" s="42">
        <v>36</v>
      </c>
      <c r="U51" s="74"/>
      <c r="Z51" s="89">
        <v>68</v>
      </c>
      <c r="AA51" s="2">
        <v>28</v>
      </c>
      <c r="AB51" s="2">
        <v>0</v>
      </c>
      <c r="AC51" s="2">
        <v>0.10824930000000001</v>
      </c>
      <c r="AD51" s="42" t="s">
        <v>1364</v>
      </c>
      <c r="AE51" s="42">
        <v>83</v>
      </c>
      <c r="AF51" s="42">
        <v>36</v>
      </c>
      <c r="AG51" s="74"/>
      <c r="AL51" s="89">
        <v>68</v>
      </c>
      <c r="AM51" s="2">
        <v>28</v>
      </c>
      <c r="AN51" s="2">
        <v>0</v>
      </c>
      <c r="AO51" s="2">
        <v>9.0040010000000004E-2</v>
      </c>
      <c r="AP51" s="42" t="s">
        <v>1364</v>
      </c>
      <c r="AQ51" s="42">
        <v>83</v>
      </c>
      <c r="AR51" s="42">
        <v>36</v>
      </c>
      <c r="AS51" s="74"/>
      <c r="AX51" s="89">
        <v>70</v>
      </c>
      <c r="AY51" s="2">
        <v>29</v>
      </c>
      <c r="AZ51" s="2">
        <v>1</v>
      </c>
      <c r="BA51" s="2">
        <v>8.7087999999999992E-3</v>
      </c>
      <c r="BB51" s="42" t="s">
        <v>1364</v>
      </c>
      <c r="BC51" s="42">
        <v>83</v>
      </c>
      <c r="BD51" s="42">
        <v>36</v>
      </c>
      <c r="BE51" s="74"/>
      <c r="BJ51" s="89">
        <v>68</v>
      </c>
      <c r="BK51" s="2">
        <v>29</v>
      </c>
      <c r="BL51" s="2">
        <v>0</v>
      </c>
      <c r="BM51" s="2">
        <v>8.77E-3</v>
      </c>
      <c r="BN51" s="42" t="s">
        <v>1364</v>
      </c>
      <c r="BO51" s="42">
        <v>83</v>
      </c>
      <c r="BP51" s="42">
        <v>36</v>
      </c>
      <c r="BQ51" s="74"/>
      <c r="BV51" s="89">
        <v>70</v>
      </c>
      <c r="BW51" s="2">
        <v>29</v>
      </c>
      <c r="BX51" s="2">
        <v>1</v>
      </c>
      <c r="BY51" s="2">
        <v>1.2999999999999999E-2</v>
      </c>
      <c r="BZ51" s="42" t="s">
        <v>1364</v>
      </c>
      <c r="CA51" s="42">
        <v>83</v>
      </c>
      <c r="CB51" s="42">
        <v>36</v>
      </c>
      <c r="CC51" s="74"/>
      <c r="CH51" s="89">
        <v>67</v>
      </c>
      <c r="CI51" s="2">
        <v>29</v>
      </c>
      <c r="CJ51" s="2">
        <v>0</v>
      </c>
      <c r="CK51" s="2">
        <v>1.2E-2</v>
      </c>
      <c r="CL51" s="42" t="s">
        <v>1364</v>
      </c>
      <c r="CM51" s="42">
        <v>83</v>
      </c>
      <c r="CN51" s="42">
        <v>36</v>
      </c>
      <c r="CO51" s="74"/>
      <c r="CT51" s="89">
        <v>74</v>
      </c>
      <c r="CU51" s="2">
        <v>28</v>
      </c>
      <c r="CV51" s="2">
        <v>0</v>
      </c>
      <c r="CW51" s="2">
        <v>1E-3</v>
      </c>
      <c r="CX51" s="42" t="s">
        <v>1364</v>
      </c>
      <c r="CY51" s="42">
        <v>83</v>
      </c>
      <c r="CZ51" s="42">
        <v>36</v>
      </c>
      <c r="DA51" s="74"/>
      <c r="DF51" s="89">
        <v>67</v>
      </c>
      <c r="DG51" s="2">
        <v>30</v>
      </c>
      <c r="DH51" s="2">
        <v>0</v>
      </c>
      <c r="DI51" s="2">
        <v>2E-3</v>
      </c>
      <c r="DJ51" s="42" t="s">
        <v>1364</v>
      </c>
      <c r="DK51" s="42">
        <v>83</v>
      </c>
      <c r="DL51" s="42">
        <v>36</v>
      </c>
      <c r="DM51" s="74"/>
      <c r="DR51" s="89">
        <v>66</v>
      </c>
      <c r="DS51" s="2">
        <v>28</v>
      </c>
      <c r="DT51" s="2">
        <v>0</v>
      </c>
      <c r="DU51" s="2">
        <v>0.2</v>
      </c>
      <c r="DV51" s="42" t="s">
        <v>1364</v>
      </c>
      <c r="DW51" s="42">
        <v>83</v>
      </c>
      <c r="DX51" s="42">
        <v>36</v>
      </c>
      <c r="DY51" s="74"/>
      <c r="ED51" s="89">
        <v>65</v>
      </c>
      <c r="EE51" s="2">
        <v>29</v>
      </c>
      <c r="EF51" s="2">
        <v>0</v>
      </c>
      <c r="EG51" s="2">
        <v>2E-3</v>
      </c>
      <c r="EH51" s="42" t="s">
        <v>1364</v>
      </c>
      <c r="EI51" s="42">
        <v>83</v>
      </c>
      <c r="EJ51" s="42">
        <v>36</v>
      </c>
      <c r="EK51" s="74"/>
      <c r="ES51">
        <v>65</v>
      </c>
      <c r="ET51">
        <v>29</v>
      </c>
      <c r="EU51">
        <v>0</v>
      </c>
      <c r="EV51">
        <v>2E-3</v>
      </c>
    </row>
    <row r="52" spans="1:152" x14ac:dyDescent="0.4">
      <c r="A52" s="89"/>
      <c r="B52" s="2"/>
      <c r="C52" s="2"/>
      <c r="D52" s="2"/>
      <c r="E52" s="42" t="s">
        <v>1364</v>
      </c>
      <c r="F52" s="42">
        <v>84</v>
      </c>
      <c r="G52" s="42">
        <v>36</v>
      </c>
      <c r="H52" s="74"/>
      <c r="N52" s="89">
        <v>62</v>
      </c>
      <c r="O52" s="2">
        <v>28</v>
      </c>
      <c r="P52" s="2">
        <v>0</v>
      </c>
      <c r="Q52" s="2">
        <v>0.13500000000000001</v>
      </c>
      <c r="R52" s="42" t="s">
        <v>1364</v>
      </c>
      <c r="S52" s="42">
        <v>84</v>
      </c>
      <c r="T52" s="42">
        <v>36</v>
      </c>
      <c r="U52" s="74"/>
      <c r="Z52" s="89">
        <v>69</v>
      </c>
      <c r="AA52" s="2">
        <v>28</v>
      </c>
      <c r="AB52" s="2">
        <v>0</v>
      </c>
      <c r="AC52" s="2">
        <v>9.0827630000000006E-2</v>
      </c>
      <c r="AD52" s="42" t="s">
        <v>1364</v>
      </c>
      <c r="AE52" s="42">
        <v>84</v>
      </c>
      <c r="AF52" s="42">
        <v>36</v>
      </c>
      <c r="AG52" s="74"/>
      <c r="AL52" s="89">
        <v>69</v>
      </c>
      <c r="AM52" s="2">
        <v>28</v>
      </c>
      <c r="AN52" s="2">
        <v>0</v>
      </c>
      <c r="AO52" s="2">
        <v>4.1959999999999997E-2</v>
      </c>
      <c r="AP52" s="42" t="s">
        <v>1364</v>
      </c>
      <c r="AQ52" s="42">
        <v>84</v>
      </c>
      <c r="AR52" s="42">
        <v>36</v>
      </c>
      <c r="AS52" s="74"/>
      <c r="AX52" s="89">
        <v>70</v>
      </c>
      <c r="AY52" s="2">
        <v>29</v>
      </c>
      <c r="AZ52" s="2">
        <v>2</v>
      </c>
      <c r="BA52" s="2">
        <v>1.6000000000000001E-3</v>
      </c>
      <c r="BB52" s="42" t="s">
        <v>1364</v>
      </c>
      <c r="BC52" s="42">
        <v>84</v>
      </c>
      <c r="BD52" s="42">
        <v>36</v>
      </c>
      <c r="BE52" s="74"/>
      <c r="BJ52" s="89">
        <v>68</v>
      </c>
      <c r="BK52" s="2">
        <v>29</v>
      </c>
      <c r="BL52" s="2">
        <v>1</v>
      </c>
      <c r="BM52" s="2">
        <v>1.5E-3</v>
      </c>
      <c r="BN52" s="42" t="s">
        <v>1364</v>
      </c>
      <c r="BO52" s="42">
        <v>84</v>
      </c>
      <c r="BP52" s="42">
        <v>36</v>
      </c>
      <c r="BQ52" s="74"/>
      <c r="BV52" s="89">
        <v>71</v>
      </c>
      <c r="BW52" s="2">
        <v>29</v>
      </c>
      <c r="BX52" s="2">
        <v>0</v>
      </c>
      <c r="BY52" s="2">
        <v>1.2E-2</v>
      </c>
      <c r="BZ52" s="42" t="s">
        <v>1364</v>
      </c>
      <c r="CA52" s="42">
        <v>84</v>
      </c>
      <c r="CB52" s="42">
        <v>36</v>
      </c>
      <c r="CC52" s="74"/>
      <c r="CH52" s="89">
        <v>68</v>
      </c>
      <c r="CI52" s="2">
        <v>29</v>
      </c>
      <c r="CJ52" s="2">
        <v>0</v>
      </c>
      <c r="CK52" s="2">
        <v>1.7049999999999999E-2</v>
      </c>
      <c r="CL52" s="42" t="s">
        <v>1364</v>
      </c>
      <c r="CM52" s="42">
        <v>84</v>
      </c>
      <c r="CN52" s="42">
        <v>36</v>
      </c>
      <c r="CO52" s="74"/>
      <c r="CT52" s="89">
        <v>63</v>
      </c>
      <c r="CU52" s="2">
        <v>29</v>
      </c>
      <c r="CV52" s="2">
        <v>0</v>
      </c>
      <c r="CW52" s="2">
        <v>4.0000000000000001E-3</v>
      </c>
      <c r="CX52" s="42" t="s">
        <v>1364</v>
      </c>
      <c r="CY52" s="42">
        <v>84</v>
      </c>
      <c r="CZ52" s="42">
        <v>36</v>
      </c>
      <c r="DA52" s="74"/>
      <c r="DF52" s="89">
        <v>68</v>
      </c>
      <c r="DG52" s="2">
        <v>30</v>
      </c>
      <c r="DH52" s="2">
        <v>0</v>
      </c>
      <c r="DI52" s="2">
        <v>5.0000000000000001E-3</v>
      </c>
      <c r="DJ52" s="42" t="s">
        <v>1364</v>
      </c>
      <c r="DK52" s="42">
        <v>84</v>
      </c>
      <c r="DL52" s="42">
        <v>36</v>
      </c>
      <c r="DM52" s="74"/>
      <c r="DR52" s="89">
        <v>67</v>
      </c>
      <c r="DS52" s="2">
        <v>28</v>
      </c>
      <c r="DT52" s="2">
        <v>0</v>
      </c>
      <c r="DU52" s="2">
        <v>0.20599999999999999</v>
      </c>
      <c r="DV52" s="42" t="s">
        <v>1364</v>
      </c>
      <c r="DW52" s="42">
        <v>84</v>
      </c>
      <c r="DX52" s="42">
        <v>36</v>
      </c>
      <c r="DY52" s="74"/>
      <c r="ED52" s="89">
        <v>66</v>
      </c>
      <c r="EE52" s="2">
        <v>29</v>
      </c>
      <c r="EF52" s="2">
        <v>0</v>
      </c>
      <c r="EG52" s="2">
        <v>6.0000000000000001E-3</v>
      </c>
      <c r="EH52" s="42" t="s">
        <v>1364</v>
      </c>
      <c r="EI52" s="42">
        <v>84</v>
      </c>
      <c r="EJ52" s="42">
        <v>36</v>
      </c>
      <c r="EK52" s="74"/>
      <c r="ES52">
        <v>66</v>
      </c>
      <c r="ET52">
        <v>29</v>
      </c>
      <c r="EU52">
        <v>0</v>
      </c>
      <c r="EV52">
        <v>6.0000000000000001E-3</v>
      </c>
    </row>
    <row r="53" spans="1:152" x14ac:dyDescent="0.4">
      <c r="A53" s="89"/>
      <c r="B53" s="2"/>
      <c r="C53" s="2"/>
      <c r="D53" s="2"/>
      <c r="E53" s="42" t="s">
        <v>1364</v>
      </c>
      <c r="F53" s="42">
        <v>86</v>
      </c>
      <c r="G53" s="42">
        <v>36</v>
      </c>
      <c r="H53" s="74"/>
      <c r="N53" s="89">
        <v>63</v>
      </c>
      <c r="O53" s="2">
        <v>28</v>
      </c>
      <c r="P53" s="2">
        <v>0</v>
      </c>
      <c r="Q53" s="2">
        <v>0.16200000000000001</v>
      </c>
      <c r="R53" s="42" t="s">
        <v>1364</v>
      </c>
      <c r="S53" s="42">
        <v>86</v>
      </c>
      <c r="T53" s="42">
        <v>36</v>
      </c>
      <c r="U53" s="74"/>
      <c r="Z53" s="89">
        <v>69</v>
      </c>
      <c r="AA53" s="2">
        <v>28</v>
      </c>
      <c r="AB53" s="2">
        <v>1</v>
      </c>
      <c r="AC53" s="2">
        <v>2.9230770000000001E-3</v>
      </c>
      <c r="AD53" s="42" t="s">
        <v>1364</v>
      </c>
      <c r="AE53" s="42">
        <v>86</v>
      </c>
      <c r="AF53" s="42">
        <v>36</v>
      </c>
      <c r="AG53" s="74"/>
      <c r="AL53" s="89">
        <v>70</v>
      </c>
      <c r="AM53" s="2">
        <v>28</v>
      </c>
      <c r="AN53" s="2">
        <v>0</v>
      </c>
      <c r="AO53" s="2">
        <v>3.5000000000000003E-2</v>
      </c>
      <c r="AP53" s="42" t="s">
        <v>1364</v>
      </c>
      <c r="AQ53" s="42">
        <v>86</v>
      </c>
      <c r="AR53" s="42">
        <v>36</v>
      </c>
      <c r="AS53" s="74"/>
      <c r="AX53" s="89">
        <v>71</v>
      </c>
      <c r="AY53" s="2">
        <v>29</v>
      </c>
      <c r="AZ53" s="2">
        <v>0</v>
      </c>
      <c r="BA53" s="2">
        <v>1.0999999999999999E-2</v>
      </c>
      <c r="BB53" s="42" t="s">
        <v>1364</v>
      </c>
      <c r="BC53" s="42">
        <v>86</v>
      </c>
      <c r="BD53" s="42">
        <v>36</v>
      </c>
      <c r="BE53" s="74"/>
      <c r="BJ53" s="89">
        <v>69</v>
      </c>
      <c r="BK53" s="2">
        <v>29</v>
      </c>
      <c r="BL53" s="2">
        <v>0</v>
      </c>
      <c r="BM53" s="2">
        <v>1.099E-2</v>
      </c>
      <c r="BN53" s="42" t="s">
        <v>1364</v>
      </c>
      <c r="BO53" s="42">
        <v>86</v>
      </c>
      <c r="BP53" s="42">
        <v>36</v>
      </c>
      <c r="BQ53" s="74"/>
      <c r="BV53" s="89">
        <v>72</v>
      </c>
      <c r="BW53" s="2">
        <v>29</v>
      </c>
      <c r="BX53" s="2">
        <v>0</v>
      </c>
      <c r="BY53" s="2">
        <v>7.0000000000000001E-3</v>
      </c>
      <c r="BZ53" s="42" t="s">
        <v>1364</v>
      </c>
      <c r="CA53" s="42">
        <v>86</v>
      </c>
      <c r="CB53" s="42">
        <v>36</v>
      </c>
      <c r="CC53" s="74"/>
      <c r="CH53" s="89">
        <v>68</v>
      </c>
      <c r="CI53" s="2">
        <v>29</v>
      </c>
      <c r="CJ53" s="2">
        <v>1</v>
      </c>
      <c r="CK53" s="2">
        <v>6.0000000000000001E-3</v>
      </c>
      <c r="CL53" s="42" t="s">
        <v>1364</v>
      </c>
      <c r="CM53" s="42">
        <v>86</v>
      </c>
      <c r="CN53" s="42">
        <v>36</v>
      </c>
      <c r="CO53" s="74"/>
      <c r="CT53" s="89">
        <v>65</v>
      </c>
      <c r="CU53" s="2">
        <v>29</v>
      </c>
      <c r="CV53" s="2">
        <v>0</v>
      </c>
      <c r="CW53" s="2">
        <v>1.2999999999999999E-2</v>
      </c>
      <c r="CX53" s="42" t="s">
        <v>1364</v>
      </c>
      <c r="CY53" s="42">
        <v>86</v>
      </c>
      <c r="CZ53" s="42">
        <v>36</v>
      </c>
      <c r="DA53" s="74"/>
      <c r="DF53" s="89">
        <v>69</v>
      </c>
      <c r="DG53" s="2">
        <v>30</v>
      </c>
      <c r="DH53" s="2">
        <v>0</v>
      </c>
      <c r="DI53" s="2">
        <v>8.0000000000000002E-3</v>
      </c>
      <c r="DJ53" s="42" t="s">
        <v>1364</v>
      </c>
      <c r="DK53" s="42">
        <v>86</v>
      </c>
      <c r="DL53" s="42">
        <v>36</v>
      </c>
      <c r="DM53" s="74"/>
      <c r="DR53" s="89">
        <v>68</v>
      </c>
      <c r="DS53" s="2">
        <v>28</v>
      </c>
      <c r="DT53" s="2">
        <v>0</v>
      </c>
      <c r="DU53" s="2">
        <v>0.24662790000000001</v>
      </c>
      <c r="DV53" s="42" t="s">
        <v>1364</v>
      </c>
      <c r="DW53" s="42">
        <v>86</v>
      </c>
      <c r="DX53" s="42">
        <v>36</v>
      </c>
      <c r="DY53" s="74"/>
      <c r="ED53" s="89">
        <v>67</v>
      </c>
      <c r="EE53" s="2">
        <v>29</v>
      </c>
      <c r="EF53" s="2">
        <v>0</v>
      </c>
      <c r="EG53" s="2">
        <v>1.2E-2</v>
      </c>
      <c r="EH53" s="42" t="s">
        <v>1364</v>
      </c>
      <c r="EI53" s="42">
        <v>86</v>
      </c>
      <c r="EJ53" s="42">
        <v>36</v>
      </c>
      <c r="EK53" s="74"/>
      <c r="ES53">
        <v>67</v>
      </c>
      <c r="ET53">
        <v>29</v>
      </c>
      <c r="EU53">
        <v>0</v>
      </c>
      <c r="EV53">
        <v>1.2E-2</v>
      </c>
    </row>
    <row r="54" spans="1:152" x14ac:dyDescent="0.4">
      <c r="A54" s="89"/>
      <c r="B54" s="2"/>
      <c r="C54" s="2"/>
      <c r="D54" s="2"/>
      <c r="E54" s="43" t="s">
        <v>1363</v>
      </c>
      <c r="F54" s="43">
        <v>85</v>
      </c>
      <c r="G54" s="43">
        <v>37</v>
      </c>
      <c r="H54" s="74" cm="1">
        <f t="array" ref="H54">SUM(SUMIFS(D$14:D$1004,B$14:B$1004,G54:G55,A$14:A$1004,F54:F55,C$14:C$1004,0))</f>
        <v>0</v>
      </c>
      <c r="N54" s="89">
        <v>64</v>
      </c>
      <c r="O54" s="2">
        <v>28</v>
      </c>
      <c r="P54" s="2">
        <v>0</v>
      </c>
      <c r="Q54" s="2">
        <v>0.19961519999999999</v>
      </c>
      <c r="R54" s="43" t="s">
        <v>1363</v>
      </c>
      <c r="S54" s="43">
        <v>85</v>
      </c>
      <c r="T54" s="43">
        <v>37</v>
      </c>
      <c r="U54" s="74" cm="1">
        <f t="array" ref="U54">SUM(SUMIFS(Q$14:Q$1004,O$14:O$1004,T54:T55,N$14:N$1004,S54:S55,P$14:P$1004,0))</f>
        <v>6.0117750000000001</v>
      </c>
      <c r="Z54" s="89">
        <v>70</v>
      </c>
      <c r="AA54" s="2">
        <v>28</v>
      </c>
      <c r="AB54" s="2">
        <v>0</v>
      </c>
      <c r="AC54" s="2">
        <v>5.2999999999999999E-2</v>
      </c>
      <c r="AD54" s="43" t="s">
        <v>1363</v>
      </c>
      <c r="AE54" s="43">
        <v>85</v>
      </c>
      <c r="AF54" s="43">
        <v>37</v>
      </c>
      <c r="AG54" s="74" cm="1">
        <f t="array" ref="AG54">SUM(SUMIFS(AC$14:AC$1004,AA$14:AA$1004,AF54:AF55,Z$14:Z$1004,AE54:AE55,AB$14:AB$1004,0))</f>
        <v>4.8489599999999999</v>
      </c>
      <c r="AL54" s="89">
        <v>71</v>
      </c>
      <c r="AM54" s="2">
        <v>28</v>
      </c>
      <c r="AN54" s="2">
        <v>0</v>
      </c>
      <c r="AO54" s="2">
        <v>1.2E-2</v>
      </c>
      <c r="AP54" s="43" t="s">
        <v>1363</v>
      </c>
      <c r="AQ54" s="43">
        <v>85</v>
      </c>
      <c r="AR54" s="43">
        <v>37</v>
      </c>
      <c r="AS54" s="74" cm="1">
        <f t="array" ref="AS54">SUM(SUMIFS(AO$14:AO$1004,AM$14:AM$1004,AR54:AR55,AL$14:AL$1004,AQ54:AQ55,AN$14:AN$1004,0))</f>
        <v>5.1062569999999994</v>
      </c>
      <c r="AX54" s="89">
        <v>72</v>
      </c>
      <c r="AY54" s="2">
        <v>29</v>
      </c>
      <c r="AZ54" s="2">
        <v>0</v>
      </c>
      <c r="BA54" s="2">
        <v>6.0000000000000001E-3</v>
      </c>
      <c r="BB54" s="43" t="s">
        <v>1363</v>
      </c>
      <c r="BC54" s="43">
        <v>85</v>
      </c>
      <c r="BD54" s="43">
        <v>37</v>
      </c>
      <c r="BE54" s="74" cm="1">
        <f t="array" ref="BE54">SUM(SUMIFS(BA$14:BA$1004,AY$14:AY$1004,BD54:BD55,AX$14:AX$1004,BC54:BC55,AZ$14:AZ$1004,0))</f>
        <v>3.8121070000000001</v>
      </c>
      <c r="BJ54" s="89">
        <v>70</v>
      </c>
      <c r="BK54" s="2">
        <v>29</v>
      </c>
      <c r="BL54" s="2">
        <v>0</v>
      </c>
      <c r="BM54" s="2">
        <v>9.1373759999999991E-3</v>
      </c>
      <c r="BN54" s="43" t="s">
        <v>1363</v>
      </c>
      <c r="BO54" s="43">
        <v>85</v>
      </c>
      <c r="BP54" s="43">
        <v>37</v>
      </c>
      <c r="BQ54" s="74" cm="1">
        <f t="array" ref="BQ54">SUM(SUMIFS(BM$14:BM$1004,BK$14:BK$1004,BP54:BP55,BJ$14:BJ$1004,BO54:BO55,BL$14:BL$1004,0))</f>
        <v>2.1856729000000001</v>
      </c>
      <c r="BV54" s="89">
        <v>73</v>
      </c>
      <c r="BW54" s="2">
        <v>29</v>
      </c>
      <c r="BX54" s="2">
        <v>0</v>
      </c>
      <c r="BY54" s="2">
        <v>0.01</v>
      </c>
      <c r="BZ54" s="43" t="s">
        <v>1363</v>
      </c>
      <c r="CA54" s="43">
        <v>85</v>
      </c>
      <c r="CB54" s="43">
        <v>37</v>
      </c>
      <c r="CC54" s="74" cm="1">
        <f t="array" ref="CC54">SUM(SUMIFS(BY$14:BY$1004,BW$14:BW$1004,CB54:CB55,BV$14:BV$1004,CA54:CA55,BX$14:BX$1004,0))</f>
        <v>2.1925645999999999</v>
      </c>
      <c r="CH54" s="89">
        <v>69</v>
      </c>
      <c r="CI54" s="2">
        <v>29</v>
      </c>
      <c r="CJ54" s="2">
        <v>0</v>
      </c>
      <c r="CK54" s="2">
        <v>1.5990000000000001E-2</v>
      </c>
      <c r="CL54" s="43" t="s">
        <v>1363</v>
      </c>
      <c r="CM54" s="43">
        <v>85</v>
      </c>
      <c r="CN54" s="43">
        <v>37</v>
      </c>
      <c r="CO54" s="74" cm="1">
        <f t="array" ref="CO54">SUM(SUMIFS(CK$14:CK$1004,CI$14:CI$1004,CN54:CN55,CH$14:CH$1004,CM54:CM55,CJ$14:CJ$1004,0))</f>
        <v>1.6858754</v>
      </c>
      <c r="CT54" s="89">
        <v>66</v>
      </c>
      <c r="CU54" s="2">
        <v>29</v>
      </c>
      <c r="CV54" s="2">
        <v>0</v>
      </c>
      <c r="CW54" s="2">
        <v>1.2E-2</v>
      </c>
      <c r="CX54" s="43" t="s">
        <v>1363</v>
      </c>
      <c r="CY54" s="43">
        <v>85</v>
      </c>
      <c r="CZ54" s="43">
        <v>37</v>
      </c>
      <c r="DA54" s="74" cm="1">
        <f t="array" ref="DA54">SUM(SUMIFS(CW$14:CW$1004,CU$14:CU$1004,CZ54:CZ55,CT$14:CT$1004,CY54:CY55,CV$14:CV$1004,0))</f>
        <v>1.0373782999999999</v>
      </c>
      <c r="DF54" s="89">
        <v>70</v>
      </c>
      <c r="DG54" s="2">
        <v>30</v>
      </c>
      <c r="DH54" s="2">
        <v>0</v>
      </c>
      <c r="DI54" s="2">
        <v>1.2999999999999999E-2</v>
      </c>
      <c r="DJ54" s="43" t="s">
        <v>1363</v>
      </c>
      <c r="DK54" s="43">
        <v>85</v>
      </c>
      <c r="DL54" s="43">
        <v>37</v>
      </c>
      <c r="DM54" s="74" cm="1">
        <f t="array" ref="DM54">SUM(SUMIFS(DI$14:DI$1004,DG$14:DG$1004,DL54:DL55,DF$14:DF$1004,DK54:DK55,DH$14:DH$1004,0))</f>
        <v>3.417484</v>
      </c>
      <c r="DR54" s="89">
        <v>69</v>
      </c>
      <c r="DS54" s="2">
        <v>28</v>
      </c>
      <c r="DT54" s="2">
        <v>0</v>
      </c>
      <c r="DU54" s="2">
        <v>0.176701</v>
      </c>
      <c r="DV54" s="43" t="s">
        <v>1363</v>
      </c>
      <c r="DW54" s="43">
        <v>85</v>
      </c>
      <c r="DX54" s="43">
        <v>37</v>
      </c>
      <c r="DY54" s="74" cm="1">
        <f t="array" ref="DY54">SUM(SUMIFS(DU$14:DU$1004,DS$14:DS$1004,DX54:DX55,DR$14:DR$1004,DW54:DW55,DT$14:DT$1004,0))</f>
        <v>5.6983080000000008</v>
      </c>
      <c r="ED54" s="89">
        <v>68</v>
      </c>
      <c r="EE54" s="2">
        <v>29</v>
      </c>
      <c r="EF54" s="2">
        <v>0</v>
      </c>
      <c r="EG54" s="2">
        <v>1.36093E-2</v>
      </c>
      <c r="EH54" s="43" t="s">
        <v>1363</v>
      </c>
      <c r="EI54" s="43">
        <v>85</v>
      </c>
      <c r="EJ54" s="43">
        <v>37</v>
      </c>
      <c r="EK54" s="74" cm="1">
        <f t="array" ref="EK54">SUM(SUMIFS(EG$14:EG$1004,EE$14:EE$1004,EJ54:EJ55,ED$14:ED$1004,EI54:EI55,EF$14:EF$1004,0))</f>
        <v>1.7516679000000002</v>
      </c>
      <c r="ES54">
        <v>68</v>
      </c>
      <c r="ET54">
        <v>29</v>
      </c>
      <c r="EU54">
        <v>0</v>
      </c>
      <c r="EV54">
        <v>1.36093E-2</v>
      </c>
    </row>
    <row r="55" spans="1:152" x14ac:dyDescent="0.4">
      <c r="A55" s="89"/>
      <c r="B55" s="2"/>
      <c r="C55" s="2"/>
      <c r="D55" s="2"/>
      <c r="E55" s="43" t="s">
        <v>1363</v>
      </c>
      <c r="F55" s="43">
        <v>87</v>
      </c>
      <c r="G55" s="43">
        <v>37</v>
      </c>
      <c r="H55" s="74"/>
      <c r="N55" s="89">
        <v>65</v>
      </c>
      <c r="O55" s="2">
        <v>28</v>
      </c>
      <c r="P55" s="2">
        <v>0</v>
      </c>
      <c r="Q55" s="2">
        <v>0.188</v>
      </c>
      <c r="R55" s="43" t="s">
        <v>1363</v>
      </c>
      <c r="S55" s="43">
        <v>87</v>
      </c>
      <c r="T55" s="43">
        <v>37</v>
      </c>
      <c r="U55" s="74"/>
      <c r="Z55" s="89">
        <v>71</v>
      </c>
      <c r="AA55" s="2">
        <v>28</v>
      </c>
      <c r="AB55" s="2">
        <v>0</v>
      </c>
      <c r="AC55" s="2">
        <v>2.5999999999999999E-2</v>
      </c>
      <c r="AD55" s="43" t="s">
        <v>1363</v>
      </c>
      <c r="AE55" s="43">
        <v>87</v>
      </c>
      <c r="AF55" s="43">
        <v>37</v>
      </c>
      <c r="AG55" s="74"/>
      <c r="AL55" s="89">
        <v>72</v>
      </c>
      <c r="AM55" s="2">
        <v>28</v>
      </c>
      <c r="AN55" s="2">
        <v>0</v>
      </c>
      <c r="AO55" s="2">
        <v>1.2E-2</v>
      </c>
      <c r="AP55" s="43" t="s">
        <v>1363</v>
      </c>
      <c r="AQ55" s="43">
        <v>87</v>
      </c>
      <c r="AR55" s="43">
        <v>37</v>
      </c>
      <c r="AS55" s="74"/>
      <c r="AX55" s="89">
        <v>73</v>
      </c>
      <c r="AY55" s="2">
        <v>29</v>
      </c>
      <c r="AZ55" s="2">
        <v>0</v>
      </c>
      <c r="BA55" s="2">
        <v>1.0999999999999999E-2</v>
      </c>
      <c r="BB55" s="43" t="s">
        <v>1363</v>
      </c>
      <c r="BC55" s="43">
        <v>87</v>
      </c>
      <c r="BD55" s="43">
        <v>37</v>
      </c>
      <c r="BE55" s="74"/>
      <c r="BJ55" s="89">
        <v>70</v>
      </c>
      <c r="BK55" s="2">
        <v>29</v>
      </c>
      <c r="BL55" s="2">
        <v>1</v>
      </c>
      <c r="BM55" s="2">
        <v>9.6612E-3</v>
      </c>
      <c r="BN55" s="43" t="s">
        <v>1363</v>
      </c>
      <c r="BO55" s="43">
        <v>87</v>
      </c>
      <c r="BP55" s="43">
        <v>37</v>
      </c>
      <c r="BQ55" s="74"/>
      <c r="BV55" s="89">
        <v>74</v>
      </c>
      <c r="BW55" s="2">
        <v>29</v>
      </c>
      <c r="BX55" s="2">
        <v>0</v>
      </c>
      <c r="BY55" s="2">
        <v>7.0000000000000001E-3</v>
      </c>
      <c r="BZ55" s="43" t="s">
        <v>1363</v>
      </c>
      <c r="CA55" s="43">
        <v>87</v>
      </c>
      <c r="CB55" s="43">
        <v>37</v>
      </c>
      <c r="CC55" s="74"/>
      <c r="CH55" s="89">
        <v>70</v>
      </c>
      <c r="CI55" s="2">
        <v>29</v>
      </c>
      <c r="CJ55" s="2">
        <v>0</v>
      </c>
      <c r="CK55" s="2">
        <v>7.6853770000000002E-3</v>
      </c>
      <c r="CL55" s="43" t="s">
        <v>1363</v>
      </c>
      <c r="CM55" s="43">
        <v>87</v>
      </c>
      <c r="CN55" s="43">
        <v>37</v>
      </c>
      <c r="CO55" s="74"/>
      <c r="CT55" s="89">
        <v>67</v>
      </c>
      <c r="CU55" s="2">
        <v>29</v>
      </c>
      <c r="CV55" s="2">
        <v>0</v>
      </c>
      <c r="CW55" s="2">
        <v>1.0999999999999999E-2</v>
      </c>
      <c r="CX55" s="43" t="s">
        <v>1363</v>
      </c>
      <c r="CY55" s="43">
        <v>87</v>
      </c>
      <c r="CZ55" s="43">
        <v>37</v>
      </c>
      <c r="DA55" s="74"/>
      <c r="DF55" s="89">
        <v>71</v>
      </c>
      <c r="DG55" s="2">
        <v>30</v>
      </c>
      <c r="DH55" s="2">
        <v>0</v>
      </c>
      <c r="DI55" s="2">
        <v>1.7333330000000001E-2</v>
      </c>
      <c r="DJ55" s="43" t="s">
        <v>1363</v>
      </c>
      <c r="DK55" s="43">
        <v>87</v>
      </c>
      <c r="DL55" s="43">
        <v>37</v>
      </c>
      <c r="DM55" s="74"/>
      <c r="DR55" s="89">
        <v>69</v>
      </c>
      <c r="DS55" s="2">
        <v>28</v>
      </c>
      <c r="DT55" s="2">
        <v>1</v>
      </c>
      <c r="DU55" s="2">
        <v>6.6711410000000002E-3</v>
      </c>
      <c r="DV55" s="43" t="s">
        <v>1363</v>
      </c>
      <c r="DW55" s="43">
        <v>87</v>
      </c>
      <c r="DX55" s="43">
        <v>37</v>
      </c>
      <c r="DY55" s="74"/>
      <c r="ED55" s="89">
        <v>68</v>
      </c>
      <c r="EE55" s="2">
        <v>29</v>
      </c>
      <c r="EF55" s="2">
        <v>1</v>
      </c>
      <c r="EG55" s="2">
        <v>3.0000000000000001E-3</v>
      </c>
      <c r="EH55" s="43" t="s">
        <v>1363</v>
      </c>
      <c r="EI55" s="43">
        <v>87</v>
      </c>
      <c r="EJ55" s="43">
        <v>37</v>
      </c>
      <c r="EK55" s="74"/>
      <c r="ES55">
        <v>68</v>
      </c>
      <c r="ET55">
        <v>29</v>
      </c>
      <c r="EU55">
        <v>1</v>
      </c>
      <c r="EV55">
        <v>3.0000000000000001E-3</v>
      </c>
    </row>
    <row r="56" spans="1:152" x14ac:dyDescent="0.4">
      <c r="A56" s="89"/>
      <c r="B56" s="2"/>
      <c r="C56" s="2"/>
      <c r="D56" s="2"/>
      <c r="E56" s="42" t="s">
        <v>1362</v>
      </c>
      <c r="F56" s="42">
        <v>84</v>
      </c>
      <c r="G56" s="42">
        <v>38</v>
      </c>
      <c r="H56" s="74" cm="1">
        <f t="array" ref="H56">SUM(SUMIFS(D$14:D$1004,B$14:B$1004,G56:G59,A$14:A$1004,F56:F59,C$14:C$1004,0))</f>
        <v>0</v>
      </c>
      <c r="N56" s="89">
        <v>66</v>
      </c>
      <c r="O56" s="2">
        <v>28</v>
      </c>
      <c r="P56" s="2">
        <v>0</v>
      </c>
      <c r="Q56" s="2">
        <v>0.254</v>
      </c>
      <c r="R56" s="42" t="s">
        <v>1362</v>
      </c>
      <c r="S56" s="42">
        <v>84</v>
      </c>
      <c r="T56" s="42">
        <v>38</v>
      </c>
      <c r="U56" s="74" cm="1">
        <f t="array" ref="U56">SUM(SUMIFS(Q$14:Q$1004,O$14:O$1004,T56:T59,N$14:N$1004,S56:S59,P$14:P$1004,0))</f>
        <v>4.7456513999999999</v>
      </c>
      <c r="Z56" s="89">
        <v>72</v>
      </c>
      <c r="AA56" s="2">
        <v>28</v>
      </c>
      <c r="AB56" s="2">
        <v>0</v>
      </c>
      <c r="AC56" s="2">
        <v>1.4999999999999999E-2</v>
      </c>
      <c r="AD56" s="42" t="s">
        <v>1362</v>
      </c>
      <c r="AE56" s="42">
        <v>84</v>
      </c>
      <c r="AF56" s="42">
        <v>38</v>
      </c>
      <c r="AG56" s="74" cm="1">
        <f t="array" ref="AG56">SUM(SUMIFS(AC$14:AC$1004,AA$14:AA$1004,AF56:AF59,Z$14:Z$1004,AE56:AE59,AB$14:AB$1004,0))</f>
        <v>3.4895804999999998</v>
      </c>
      <c r="AL56" s="89">
        <v>63</v>
      </c>
      <c r="AM56" s="2">
        <v>29</v>
      </c>
      <c r="AN56" s="2">
        <v>0</v>
      </c>
      <c r="AO56" s="2">
        <v>5.8000000000000003E-2</v>
      </c>
      <c r="AP56" s="42" t="s">
        <v>1362</v>
      </c>
      <c r="AQ56" s="42">
        <v>84</v>
      </c>
      <c r="AR56" s="42">
        <v>38</v>
      </c>
      <c r="AS56" s="74" cm="1">
        <f t="array" ref="AS56">SUM(SUMIFS(AO$14:AO$1004,AM$14:AM$1004,AR56:AR59,AL$14:AL$1004,AQ56:AQ59,AN$14:AN$1004,0))</f>
        <v>4.6745140999999997</v>
      </c>
      <c r="AX56" s="89">
        <v>74</v>
      </c>
      <c r="AY56" s="2">
        <v>29</v>
      </c>
      <c r="AZ56" s="2">
        <v>0</v>
      </c>
      <c r="BA56" s="2">
        <v>3.0000000000000001E-3</v>
      </c>
      <c r="BB56" s="42" t="s">
        <v>1362</v>
      </c>
      <c r="BC56" s="42">
        <v>84</v>
      </c>
      <c r="BD56" s="42">
        <v>38</v>
      </c>
      <c r="BE56" s="74" cm="1">
        <f t="array" ref="BE56">SUM(SUMIFS(BA$14:BA$1004,AY$14:AY$1004,BD56:BD59,AX$14:AX$1004,BC56:BC59,AZ$14:AZ$1004,0))</f>
        <v>2.3189349999999997</v>
      </c>
      <c r="BJ56" s="89">
        <v>70</v>
      </c>
      <c r="BK56" s="2">
        <v>29</v>
      </c>
      <c r="BL56" s="2">
        <v>2</v>
      </c>
      <c r="BM56" s="2">
        <v>8.9999999999999998E-4</v>
      </c>
      <c r="BN56" s="42" t="s">
        <v>1362</v>
      </c>
      <c r="BO56" s="42">
        <v>84</v>
      </c>
      <c r="BP56" s="42">
        <v>38</v>
      </c>
      <c r="BQ56" s="74" cm="1">
        <f t="array" ref="BQ56">SUM(SUMIFS(BM$14:BM$1004,BK$14:BK$1004,BP56:BP59,BJ$14:BJ$1004,BO56:BO59,BL$14:BL$1004,0))</f>
        <v>1.6336647999999998</v>
      </c>
      <c r="BV56" s="89">
        <v>75</v>
      </c>
      <c r="BW56" s="2">
        <v>29</v>
      </c>
      <c r="BX56" s="2">
        <v>0</v>
      </c>
      <c r="BY56" s="2">
        <v>4.0000000000000001E-3</v>
      </c>
      <c r="BZ56" s="42" t="s">
        <v>1362</v>
      </c>
      <c r="CA56" s="42">
        <v>84</v>
      </c>
      <c r="CB56" s="42">
        <v>38</v>
      </c>
      <c r="CC56" s="74" cm="1">
        <f t="array" ref="CC56">SUM(SUMIFS(BY$14:BY$1004,BW$14:BW$1004,CB56:CB59,BV$14:BV$1004,CA56:CA59,BX$14:BX$1004,0))</f>
        <v>1.6676580000000001</v>
      </c>
      <c r="CH56" s="89">
        <v>70</v>
      </c>
      <c r="CI56" s="2">
        <v>29</v>
      </c>
      <c r="CJ56" s="2">
        <v>1</v>
      </c>
      <c r="CK56" s="2">
        <v>4.7612000000000002E-3</v>
      </c>
      <c r="CL56" s="42" t="s">
        <v>1362</v>
      </c>
      <c r="CM56" s="42">
        <v>84</v>
      </c>
      <c r="CN56" s="42">
        <v>38</v>
      </c>
      <c r="CO56" s="74" cm="1">
        <f t="array" ref="CO56">SUM(SUMIFS(CK$14:CK$1004,CI$14:CI$1004,CN56:CN59,CH$14:CH$1004,CM56:CM59,CJ$14:CJ$1004,0))</f>
        <v>1.3596430000999999</v>
      </c>
      <c r="CT56" s="89">
        <v>68</v>
      </c>
      <c r="CU56" s="2">
        <v>29</v>
      </c>
      <c r="CV56" s="2">
        <v>0</v>
      </c>
      <c r="CW56" s="2">
        <v>1.338E-2</v>
      </c>
      <c r="CX56" s="42" t="s">
        <v>1362</v>
      </c>
      <c r="CY56" s="42">
        <v>84</v>
      </c>
      <c r="CZ56" s="42">
        <v>38</v>
      </c>
      <c r="DA56" s="74" cm="1">
        <f t="array" ref="DA56">SUM(SUMIFS(CW$14:CW$1004,CU$14:CU$1004,CZ56:CZ59,CT$14:CT$1004,CY56:CY59,CV$14:CV$1004,0))</f>
        <v>0.79164613000000006</v>
      </c>
      <c r="DF56" s="89">
        <v>71</v>
      </c>
      <c r="DG56" s="2">
        <v>30</v>
      </c>
      <c r="DH56" s="2">
        <v>1</v>
      </c>
      <c r="DI56" s="2">
        <v>1.6666669999999999E-3</v>
      </c>
      <c r="DJ56" s="42" t="s">
        <v>1362</v>
      </c>
      <c r="DK56" s="42">
        <v>84</v>
      </c>
      <c r="DL56" s="42">
        <v>38</v>
      </c>
      <c r="DM56" s="74" cm="1">
        <f t="array" ref="DM56">SUM(SUMIFS(DI$14:DI$1004,DG$14:DG$1004,DL56:DL59,DF$14:DF$1004,DK56:DK59,DH$14:DH$1004,0))</f>
        <v>2.6437815000000002</v>
      </c>
      <c r="DR56" s="89">
        <v>70</v>
      </c>
      <c r="DS56" s="2">
        <v>28</v>
      </c>
      <c r="DT56" s="2">
        <v>0</v>
      </c>
      <c r="DU56" s="2">
        <v>0.14299999999999999</v>
      </c>
      <c r="DV56" s="42" t="s">
        <v>1362</v>
      </c>
      <c r="DW56" s="42">
        <v>84</v>
      </c>
      <c r="DX56" s="42">
        <v>38</v>
      </c>
      <c r="DY56" s="74" cm="1">
        <f t="array" ref="DY56">SUM(SUMIFS(DU$14:DU$1004,DS$14:DS$1004,DX56:DX59,DR$14:DR$1004,DW56:DW59,DT$14:DT$1004,0))</f>
        <v>3.454294</v>
      </c>
      <c r="ED56" s="89">
        <v>69</v>
      </c>
      <c r="EE56" s="2">
        <v>29</v>
      </c>
      <c r="EF56" s="2">
        <v>0</v>
      </c>
      <c r="EG56" s="2">
        <v>1.59107E-2</v>
      </c>
      <c r="EH56" s="42" t="s">
        <v>1362</v>
      </c>
      <c r="EI56" s="42">
        <v>84</v>
      </c>
      <c r="EJ56" s="42">
        <v>38</v>
      </c>
      <c r="EK56" s="74" cm="1">
        <f t="array" ref="EK56">SUM(SUMIFS(EG$14:EG$1004,EE$14:EE$1004,EJ56:EJ59,ED$14:ED$1004,EI56:EI59,EF$14:EF$1004,0))</f>
        <v>1.3110950000000001</v>
      </c>
      <c r="ES56">
        <v>69</v>
      </c>
      <c r="ET56">
        <v>29</v>
      </c>
      <c r="EU56">
        <v>0</v>
      </c>
      <c r="EV56">
        <v>1.59107E-2</v>
      </c>
    </row>
    <row r="57" spans="1:152" x14ac:dyDescent="0.4">
      <c r="A57" s="89"/>
      <c r="B57" s="2"/>
      <c r="C57" s="2"/>
      <c r="D57" s="2"/>
      <c r="E57" s="42" t="s">
        <v>1362</v>
      </c>
      <c r="F57" s="42">
        <v>86</v>
      </c>
      <c r="G57" s="42">
        <v>38</v>
      </c>
      <c r="H57" s="74"/>
      <c r="N57" s="89">
        <v>67</v>
      </c>
      <c r="O57" s="2">
        <v>28</v>
      </c>
      <c r="P57" s="2">
        <v>0</v>
      </c>
      <c r="Q57" s="2">
        <v>0.22800000000000001</v>
      </c>
      <c r="R57" s="42" t="s">
        <v>1362</v>
      </c>
      <c r="S57" s="42">
        <v>86</v>
      </c>
      <c r="T57" s="42">
        <v>38</v>
      </c>
      <c r="U57" s="74"/>
      <c r="Z57" s="89">
        <v>73</v>
      </c>
      <c r="AA57" s="2">
        <v>28</v>
      </c>
      <c r="AB57" s="2">
        <v>0</v>
      </c>
      <c r="AC57" s="2">
        <v>8.0000000000000002E-3</v>
      </c>
      <c r="AD57" s="42" t="s">
        <v>1362</v>
      </c>
      <c r="AE57" s="42">
        <v>86</v>
      </c>
      <c r="AF57" s="42">
        <v>38</v>
      </c>
      <c r="AG57" s="74"/>
      <c r="AL57" s="89">
        <v>64</v>
      </c>
      <c r="AM57" s="2">
        <v>29</v>
      </c>
      <c r="AN57" s="2">
        <v>0</v>
      </c>
      <c r="AO57" s="2">
        <v>2E-3</v>
      </c>
      <c r="AP57" s="42" t="s">
        <v>1362</v>
      </c>
      <c r="AQ57" s="42">
        <v>86</v>
      </c>
      <c r="AR57" s="42">
        <v>38</v>
      </c>
      <c r="AS57" s="74"/>
      <c r="AX57" s="89">
        <v>75</v>
      </c>
      <c r="AY57" s="2">
        <v>29</v>
      </c>
      <c r="AZ57" s="2">
        <v>0</v>
      </c>
      <c r="BA57" s="2">
        <v>6.0000000000000001E-3</v>
      </c>
      <c r="BB57" s="42" t="s">
        <v>1362</v>
      </c>
      <c r="BC57" s="42">
        <v>86</v>
      </c>
      <c r="BD57" s="42">
        <v>38</v>
      </c>
      <c r="BE57" s="74"/>
      <c r="BJ57" s="89">
        <v>71</v>
      </c>
      <c r="BK57" s="2">
        <v>29</v>
      </c>
      <c r="BL57" s="2">
        <v>0</v>
      </c>
      <c r="BM57" s="2">
        <v>1.7999999999999999E-2</v>
      </c>
      <c r="BN57" s="42" t="s">
        <v>1362</v>
      </c>
      <c r="BO57" s="42">
        <v>86</v>
      </c>
      <c r="BP57" s="42">
        <v>38</v>
      </c>
      <c r="BQ57" s="74"/>
      <c r="BV57" s="89">
        <v>76</v>
      </c>
      <c r="BW57" s="2">
        <v>29</v>
      </c>
      <c r="BX57" s="2">
        <v>0</v>
      </c>
      <c r="BY57" s="2">
        <v>6.0000000000000001E-3</v>
      </c>
      <c r="BZ57" s="42" t="s">
        <v>1362</v>
      </c>
      <c r="CA57" s="42">
        <v>86</v>
      </c>
      <c r="CB57" s="42">
        <v>38</v>
      </c>
      <c r="CC57" s="74"/>
      <c r="CH57" s="89">
        <v>70</v>
      </c>
      <c r="CI57" s="2">
        <v>29</v>
      </c>
      <c r="CJ57" s="2">
        <v>2</v>
      </c>
      <c r="CK57" s="2">
        <v>8.9999999999999998E-4</v>
      </c>
      <c r="CL57" s="42" t="s">
        <v>1362</v>
      </c>
      <c r="CM57" s="42">
        <v>86</v>
      </c>
      <c r="CN57" s="42">
        <v>38</v>
      </c>
      <c r="CO57" s="74"/>
      <c r="CT57" s="89">
        <v>68</v>
      </c>
      <c r="CU57" s="2">
        <v>29</v>
      </c>
      <c r="CV57" s="2">
        <v>1</v>
      </c>
      <c r="CW57" s="2">
        <v>4.0000000000000001E-3</v>
      </c>
      <c r="CX57" s="42" t="s">
        <v>1362</v>
      </c>
      <c r="CY57" s="42">
        <v>86</v>
      </c>
      <c r="CZ57" s="42">
        <v>38</v>
      </c>
      <c r="DA57" s="74"/>
      <c r="DF57" s="89">
        <v>72</v>
      </c>
      <c r="DG57" s="2">
        <v>30</v>
      </c>
      <c r="DH57" s="2">
        <v>0</v>
      </c>
      <c r="DI57" s="2">
        <v>2.1000000000000001E-2</v>
      </c>
      <c r="DJ57" s="42" t="s">
        <v>1362</v>
      </c>
      <c r="DK57" s="42">
        <v>86</v>
      </c>
      <c r="DL57" s="42">
        <v>38</v>
      </c>
      <c r="DM57" s="74"/>
      <c r="DR57" s="89">
        <v>71</v>
      </c>
      <c r="DS57" s="2">
        <v>28</v>
      </c>
      <c r="DT57" s="2">
        <v>0</v>
      </c>
      <c r="DU57" s="2">
        <v>7.4999999999999997E-2</v>
      </c>
      <c r="DV57" s="42" t="s">
        <v>1362</v>
      </c>
      <c r="DW57" s="42">
        <v>86</v>
      </c>
      <c r="DX57" s="42">
        <v>38</v>
      </c>
      <c r="DY57" s="74"/>
      <c r="ED57" s="89">
        <v>70</v>
      </c>
      <c r="EE57" s="2">
        <v>29</v>
      </c>
      <c r="EF57" s="2">
        <v>0</v>
      </c>
      <c r="EG57" s="2">
        <v>7.4000000000000003E-3</v>
      </c>
      <c r="EH57" s="42" t="s">
        <v>1362</v>
      </c>
      <c r="EI57" s="42">
        <v>86</v>
      </c>
      <c r="EJ57" s="42">
        <v>38</v>
      </c>
      <c r="EK57" s="74"/>
      <c r="ES57">
        <v>70</v>
      </c>
      <c r="ET57">
        <v>29</v>
      </c>
      <c r="EU57">
        <v>0</v>
      </c>
      <c r="EV57">
        <v>7.4000000000000003E-3</v>
      </c>
    </row>
    <row r="58" spans="1:152" x14ac:dyDescent="0.4">
      <c r="A58" s="89"/>
      <c r="B58" s="2"/>
      <c r="C58" s="2"/>
      <c r="D58" s="2"/>
      <c r="E58" s="42" t="s">
        <v>1362</v>
      </c>
      <c r="F58" s="42">
        <v>87</v>
      </c>
      <c r="G58" s="42">
        <v>38</v>
      </c>
      <c r="H58" s="74"/>
      <c r="N58" s="89">
        <v>68</v>
      </c>
      <c r="O58" s="2">
        <v>28</v>
      </c>
      <c r="P58" s="2">
        <v>0</v>
      </c>
      <c r="Q58" s="2">
        <v>0.19924929999999999</v>
      </c>
      <c r="R58" s="42" t="s">
        <v>1362</v>
      </c>
      <c r="S58" s="42">
        <v>87</v>
      </c>
      <c r="T58" s="42">
        <v>38</v>
      </c>
      <c r="U58" s="74"/>
      <c r="Z58" s="89">
        <v>74</v>
      </c>
      <c r="AA58" s="2">
        <v>28</v>
      </c>
      <c r="AB58" s="2">
        <v>0</v>
      </c>
      <c r="AC58" s="2">
        <v>2E-3</v>
      </c>
      <c r="AD58" s="42" t="s">
        <v>1362</v>
      </c>
      <c r="AE58" s="42">
        <v>87</v>
      </c>
      <c r="AF58" s="42">
        <v>38</v>
      </c>
      <c r="AG58" s="74"/>
      <c r="AL58" s="89">
        <v>65</v>
      </c>
      <c r="AM58" s="2">
        <v>29</v>
      </c>
      <c r="AN58" s="2">
        <v>0</v>
      </c>
      <c r="AO58" s="2">
        <v>9.7000009999999998E-2</v>
      </c>
      <c r="AP58" s="42" t="s">
        <v>1362</v>
      </c>
      <c r="AQ58" s="42">
        <v>87</v>
      </c>
      <c r="AR58" s="42">
        <v>38</v>
      </c>
      <c r="AS58" s="74"/>
      <c r="AX58" s="89">
        <v>76</v>
      </c>
      <c r="AY58" s="2">
        <v>29</v>
      </c>
      <c r="AZ58" s="2">
        <v>0</v>
      </c>
      <c r="BA58" s="2">
        <v>3.0000000000000001E-3</v>
      </c>
      <c r="BB58" s="42" t="s">
        <v>1362</v>
      </c>
      <c r="BC58" s="42">
        <v>87</v>
      </c>
      <c r="BD58" s="42">
        <v>38</v>
      </c>
      <c r="BE58" s="74"/>
      <c r="BJ58" s="89">
        <v>72</v>
      </c>
      <c r="BK58" s="2">
        <v>29</v>
      </c>
      <c r="BL58" s="2">
        <v>0</v>
      </c>
      <c r="BM58" s="2">
        <v>1.0999999999999999E-2</v>
      </c>
      <c r="BN58" s="42" t="s">
        <v>1362</v>
      </c>
      <c r="BO58" s="42">
        <v>87</v>
      </c>
      <c r="BP58" s="42">
        <v>38</v>
      </c>
      <c r="BQ58" s="74"/>
      <c r="BV58" s="89">
        <v>66</v>
      </c>
      <c r="BW58" s="2">
        <v>30</v>
      </c>
      <c r="BX58" s="2">
        <v>0</v>
      </c>
      <c r="BY58" s="2">
        <v>4.0000000000000001E-3</v>
      </c>
      <c r="BZ58" s="42" t="s">
        <v>1362</v>
      </c>
      <c r="CA58" s="42">
        <v>87</v>
      </c>
      <c r="CB58" s="42">
        <v>38</v>
      </c>
      <c r="CC58" s="74"/>
      <c r="CH58" s="89">
        <v>71</v>
      </c>
      <c r="CI58" s="2">
        <v>29</v>
      </c>
      <c r="CJ58" s="2">
        <v>0</v>
      </c>
      <c r="CK58" s="2">
        <v>1.4E-2</v>
      </c>
      <c r="CL58" s="42" t="s">
        <v>1362</v>
      </c>
      <c r="CM58" s="42">
        <v>87</v>
      </c>
      <c r="CN58" s="42">
        <v>38</v>
      </c>
      <c r="CO58" s="74"/>
      <c r="CT58" s="89">
        <v>69</v>
      </c>
      <c r="CU58" s="2">
        <v>29</v>
      </c>
      <c r="CV58" s="2">
        <v>0</v>
      </c>
      <c r="CW58" s="2">
        <v>1.6979999999999999E-2</v>
      </c>
      <c r="CX58" s="42" t="s">
        <v>1362</v>
      </c>
      <c r="CY58" s="42">
        <v>87</v>
      </c>
      <c r="CZ58" s="42">
        <v>38</v>
      </c>
      <c r="DA58" s="74"/>
      <c r="DF58" s="89">
        <v>73</v>
      </c>
      <c r="DG58" s="2">
        <v>30</v>
      </c>
      <c r="DH58" s="2">
        <v>0</v>
      </c>
      <c r="DI58" s="2">
        <v>1.8857140000000001E-2</v>
      </c>
      <c r="DJ58" s="42" t="s">
        <v>1362</v>
      </c>
      <c r="DK58" s="42">
        <v>87</v>
      </c>
      <c r="DL58" s="42">
        <v>38</v>
      </c>
      <c r="DM58" s="74"/>
      <c r="DR58" s="89">
        <v>72</v>
      </c>
      <c r="DS58" s="2">
        <v>28</v>
      </c>
      <c r="DT58" s="2">
        <v>0</v>
      </c>
      <c r="DU58" s="2">
        <v>3.9E-2</v>
      </c>
      <c r="DV58" s="42" t="s">
        <v>1362</v>
      </c>
      <c r="DW58" s="42">
        <v>87</v>
      </c>
      <c r="DX58" s="42">
        <v>38</v>
      </c>
      <c r="DY58" s="74"/>
      <c r="ED58" s="89">
        <v>70</v>
      </c>
      <c r="EE58" s="2">
        <v>29</v>
      </c>
      <c r="EF58" s="2">
        <v>1</v>
      </c>
      <c r="EG58" s="2">
        <v>5.0000000000000001E-3</v>
      </c>
      <c r="EH58" s="42" t="s">
        <v>1362</v>
      </c>
      <c r="EI58" s="42">
        <v>87</v>
      </c>
      <c r="EJ58" s="42">
        <v>38</v>
      </c>
      <c r="EK58" s="74"/>
      <c r="ES58">
        <v>70</v>
      </c>
      <c r="ET58">
        <v>29</v>
      </c>
      <c r="EU58">
        <v>1</v>
      </c>
      <c r="EV58">
        <v>5.0000000000000001E-3</v>
      </c>
    </row>
    <row r="59" spans="1:152" x14ac:dyDescent="0.4">
      <c r="A59" s="89"/>
      <c r="B59" s="2"/>
      <c r="C59" s="2"/>
      <c r="D59" s="2"/>
      <c r="E59" s="42" t="s">
        <v>1362</v>
      </c>
      <c r="F59" s="42">
        <v>88</v>
      </c>
      <c r="G59" s="42">
        <v>38</v>
      </c>
      <c r="H59" s="74"/>
      <c r="N59" s="89">
        <v>69</v>
      </c>
      <c r="O59" s="2">
        <v>28</v>
      </c>
      <c r="P59" s="2">
        <v>0</v>
      </c>
      <c r="Q59" s="2">
        <v>0.12385690000000001</v>
      </c>
      <c r="R59" s="42" t="s">
        <v>1362</v>
      </c>
      <c r="S59" s="42">
        <v>88</v>
      </c>
      <c r="T59" s="42">
        <v>38</v>
      </c>
      <c r="U59" s="74"/>
      <c r="Z59" s="89">
        <v>76</v>
      </c>
      <c r="AA59" s="2">
        <v>28</v>
      </c>
      <c r="AB59" s="2">
        <v>0</v>
      </c>
      <c r="AC59" s="2">
        <v>1E-3</v>
      </c>
      <c r="AD59" s="42" t="s">
        <v>1362</v>
      </c>
      <c r="AE59" s="42">
        <v>88</v>
      </c>
      <c r="AF59" s="42">
        <v>38</v>
      </c>
      <c r="AG59" s="74"/>
      <c r="AL59" s="89">
        <v>66</v>
      </c>
      <c r="AM59" s="2">
        <v>29</v>
      </c>
      <c r="AN59" s="2">
        <v>0</v>
      </c>
      <c r="AO59" s="2">
        <v>0.14899999999999999</v>
      </c>
      <c r="AP59" s="42" t="s">
        <v>1362</v>
      </c>
      <c r="AQ59" s="42">
        <v>88</v>
      </c>
      <c r="AR59" s="42">
        <v>38</v>
      </c>
      <c r="AS59" s="74"/>
      <c r="AX59" s="89">
        <v>77</v>
      </c>
      <c r="AY59" s="2">
        <v>29</v>
      </c>
      <c r="AZ59" s="2">
        <v>0</v>
      </c>
      <c r="BA59" s="2">
        <v>1E-3</v>
      </c>
      <c r="BB59" s="42" t="s">
        <v>1362</v>
      </c>
      <c r="BC59" s="42">
        <v>88</v>
      </c>
      <c r="BD59" s="42">
        <v>38</v>
      </c>
      <c r="BE59" s="74"/>
      <c r="BJ59" s="89">
        <v>73</v>
      </c>
      <c r="BK59" s="2">
        <v>29</v>
      </c>
      <c r="BL59" s="2">
        <v>0</v>
      </c>
      <c r="BM59" s="2">
        <v>8.0000000000000002E-3</v>
      </c>
      <c r="BN59" s="42" t="s">
        <v>1362</v>
      </c>
      <c r="BO59" s="42">
        <v>88</v>
      </c>
      <c r="BP59" s="42">
        <v>38</v>
      </c>
      <c r="BQ59" s="74"/>
      <c r="BV59" s="89">
        <v>67</v>
      </c>
      <c r="BW59" s="2">
        <v>30</v>
      </c>
      <c r="BX59" s="2">
        <v>0</v>
      </c>
      <c r="BY59" s="2">
        <v>4.0000000000000001E-3</v>
      </c>
      <c r="BZ59" s="42" t="s">
        <v>1362</v>
      </c>
      <c r="CA59" s="42">
        <v>88</v>
      </c>
      <c r="CB59" s="42">
        <v>38</v>
      </c>
      <c r="CC59" s="74"/>
      <c r="CH59" s="89">
        <v>72</v>
      </c>
      <c r="CI59" s="2">
        <v>29</v>
      </c>
      <c r="CJ59" s="2">
        <v>0</v>
      </c>
      <c r="CK59" s="2">
        <v>0.01</v>
      </c>
      <c r="CL59" s="42" t="s">
        <v>1362</v>
      </c>
      <c r="CM59" s="42">
        <v>88</v>
      </c>
      <c r="CN59" s="42">
        <v>38</v>
      </c>
      <c r="CO59" s="74"/>
      <c r="CT59" s="89">
        <v>70</v>
      </c>
      <c r="CU59" s="2">
        <v>29</v>
      </c>
      <c r="CV59" s="2">
        <v>0</v>
      </c>
      <c r="CW59" s="2">
        <v>1.0606590000000001E-2</v>
      </c>
      <c r="CX59" s="42" t="s">
        <v>1362</v>
      </c>
      <c r="CY59" s="42">
        <v>88</v>
      </c>
      <c r="CZ59" s="42">
        <v>38</v>
      </c>
      <c r="DA59" s="74"/>
      <c r="DF59" s="89">
        <v>73</v>
      </c>
      <c r="DG59" s="2">
        <v>30</v>
      </c>
      <c r="DH59" s="2">
        <v>1</v>
      </c>
      <c r="DI59" s="2">
        <v>5.4999999999999997E-3</v>
      </c>
      <c r="DJ59" s="42" t="s">
        <v>1362</v>
      </c>
      <c r="DK59" s="42">
        <v>88</v>
      </c>
      <c r="DL59" s="42">
        <v>38</v>
      </c>
      <c r="DM59" s="74"/>
      <c r="DR59" s="89">
        <v>73</v>
      </c>
      <c r="DS59" s="2">
        <v>28</v>
      </c>
      <c r="DT59" s="2">
        <v>0</v>
      </c>
      <c r="DU59" s="2">
        <v>2.1999999999999999E-2</v>
      </c>
      <c r="DV59" s="42" t="s">
        <v>1362</v>
      </c>
      <c r="DW59" s="42">
        <v>88</v>
      </c>
      <c r="DX59" s="42">
        <v>38</v>
      </c>
      <c r="DY59" s="74"/>
      <c r="ED59" s="89">
        <v>71</v>
      </c>
      <c r="EE59" s="2">
        <v>29</v>
      </c>
      <c r="EF59" s="2">
        <v>0</v>
      </c>
      <c r="EG59" s="2">
        <v>2.1999999999999999E-2</v>
      </c>
      <c r="EH59" s="42" t="s">
        <v>1362</v>
      </c>
      <c r="EI59" s="42">
        <v>88</v>
      </c>
      <c r="EJ59" s="42">
        <v>38</v>
      </c>
      <c r="EK59" s="74"/>
      <c r="ES59">
        <v>71</v>
      </c>
      <c r="ET59">
        <v>29</v>
      </c>
      <c r="EU59">
        <v>0</v>
      </c>
      <c r="EV59">
        <v>2.1999999999999999E-2</v>
      </c>
    </row>
    <row r="60" spans="1:152" x14ac:dyDescent="0.4">
      <c r="A60" s="89"/>
      <c r="B60" s="2"/>
      <c r="C60" s="2"/>
      <c r="D60" s="2"/>
      <c r="E60" s="43" t="s">
        <v>523</v>
      </c>
      <c r="F60" s="43">
        <v>90</v>
      </c>
      <c r="G60" s="43">
        <v>38</v>
      </c>
      <c r="H60" s="74">
        <f>SUM(SUMIFS(D$14:D$1004,B$14:B$1004,G60,A$14:A$1004,F60,C$14:C$1004,0))</f>
        <v>0</v>
      </c>
      <c r="N60" s="89">
        <v>69</v>
      </c>
      <c r="O60" s="2">
        <v>28</v>
      </c>
      <c r="P60" s="2">
        <v>1</v>
      </c>
      <c r="Q60" s="2">
        <v>3.8938050000000002E-3</v>
      </c>
      <c r="R60" s="43" t="s">
        <v>523</v>
      </c>
      <c r="S60" s="43">
        <v>90</v>
      </c>
      <c r="T60" s="43">
        <v>38</v>
      </c>
      <c r="U60" s="74">
        <f>SUM(SUMIFS(Q$14:Q$1004,O$14:O$1004,T60,N$14:N$1004,S60,P$14:P$1004,0))</f>
        <v>3.3876539999999999</v>
      </c>
      <c r="Z60" s="89">
        <v>63</v>
      </c>
      <c r="AA60" s="2">
        <v>29</v>
      </c>
      <c r="AB60" s="2">
        <v>0</v>
      </c>
      <c r="AC60" s="2">
        <v>5.8000000000000003E-2</v>
      </c>
      <c r="AD60" s="43" t="s">
        <v>523</v>
      </c>
      <c r="AE60" s="43">
        <v>90</v>
      </c>
      <c r="AF60" s="43">
        <v>38</v>
      </c>
      <c r="AG60" s="74">
        <f>SUM(SUMIFS(AC$14:AC$1004,AA$14:AA$1004,AF60,Z$14:Z$1004,AE60,AB$14:AB$1004,0))</f>
        <v>3.0083709999999999</v>
      </c>
      <c r="AL60" s="89">
        <v>67</v>
      </c>
      <c r="AM60" s="2">
        <v>29</v>
      </c>
      <c r="AN60" s="2">
        <v>0</v>
      </c>
      <c r="AO60" s="2">
        <v>0.161</v>
      </c>
      <c r="AP60" s="43" t="s">
        <v>523</v>
      </c>
      <c r="AQ60" s="43">
        <v>90</v>
      </c>
      <c r="AR60" s="43">
        <v>38</v>
      </c>
      <c r="AS60" s="74">
        <f>SUM(SUMIFS(AO$14:AO$1004,AM$14:AM$1004,AR60,AL$14:AL$1004,AQ60,AN$14:AN$1004,0))</f>
        <v>2.9657819999999999</v>
      </c>
      <c r="AX60" s="89">
        <v>66</v>
      </c>
      <c r="AY60" s="2">
        <v>30</v>
      </c>
      <c r="AZ60" s="2">
        <v>0</v>
      </c>
      <c r="BA60" s="2">
        <v>2E-3</v>
      </c>
      <c r="BB60" s="43" t="s">
        <v>523</v>
      </c>
      <c r="BC60" s="43">
        <v>90</v>
      </c>
      <c r="BD60" s="43">
        <v>38</v>
      </c>
      <c r="BE60" s="74">
        <f>SUM(SUMIFS(BA$14:BA$1004,AY$14:AY$1004,BD60,AX$14:AX$1004,BC60,AZ$14:AZ$1004,0))</f>
        <v>2.4385110000000001</v>
      </c>
      <c r="BJ60" s="89">
        <v>74</v>
      </c>
      <c r="BK60" s="2">
        <v>29</v>
      </c>
      <c r="BL60" s="2">
        <v>0</v>
      </c>
      <c r="BM60" s="2">
        <v>6.0000000000000001E-3</v>
      </c>
      <c r="BN60" s="43" t="s">
        <v>523</v>
      </c>
      <c r="BO60" s="43">
        <v>90</v>
      </c>
      <c r="BP60" s="43">
        <v>38</v>
      </c>
      <c r="BQ60" s="74">
        <f>SUM(SUMIFS(BM$14:BM$1004,BK$14:BK$1004,BP60,BJ$14:BJ$1004,BO60,BL$14:BL$1004,0))</f>
        <v>1.748516</v>
      </c>
      <c r="BV60" s="89">
        <v>68</v>
      </c>
      <c r="BW60" s="2">
        <v>30</v>
      </c>
      <c r="BX60" s="2">
        <v>0</v>
      </c>
      <c r="BY60" s="2">
        <v>7.0000009999999996E-3</v>
      </c>
      <c r="BZ60" s="43" t="s">
        <v>523</v>
      </c>
      <c r="CA60" s="43">
        <v>90</v>
      </c>
      <c r="CB60" s="43">
        <v>38</v>
      </c>
      <c r="CC60" s="74">
        <f>SUM(SUMIFS(BY$14:BY$1004,BW$14:BW$1004,CB60,BV$14:BV$1004,CA60,BX$14:BX$1004,0))</f>
        <v>2.0225719999999998</v>
      </c>
      <c r="CH60" s="89">
        <v>73</v>
      </c>
      <c r="CI60" s="2">
        <v>29</v>
      </c>
      <c r="CJ60" s="2">
        <v>0</v>
      </c>
      <c r="CK60" s="2">
        <v>1.0999999999999999E-2</v>
      </c>
      <c r="CL60" s="43" t="s">
        <v>523</v>
      </c>
      <c r="CM60" s="43">
        <v>90</v>
      </c>
      <c r="CN60" s="43">
        <v>38</v>
      </c>
      <c r="CO60" s="74">
        <f>SUM(SUMIFS(CK$14:CK$1004,CI$14:CI$1004,CN60,CH$14:CH$1004,CM60,CJ$14:CJ$1004,0))</f>
        <v>1.5306960000000001</v>
      </c>
      <c r="CT60" s="89">
        <v>70</v>
      </c>
      <c r="CU60" s="2">
        <v>29</v>
      </c>
      <c r="CV60" s="2">
        <v>1</v>
      </c>
      <c r="CW60" s="2">
        <v>8.7290010000000001E-3</v>
      </c>
      <c r="CX60" s="43" t="s">
        <v>523</v>
      </c>
      <c r="CY60" s="43">
        <v>90</v>
      </c>
      <c r="CZ60" s="43">
        <v>38</v>
      </c>
      <c r="DA60" s="74">
        <f>SUM(SUMIFS(CW$14:CW$1004,CU$14:CU$1004,CZ60,CT$14:CT$1004,CY60,CV$14:CV$1004,0))</f>
        <v>0.90271199999999996</v>
      </c>
      <c r="DF60" s="89">
        <v>73</v>
      </c>
      <c r="DG60" s="2">
        <v>30</v>
      </c>
      <c r="DH60" s="2">
        <v>2</v>
      </c>
      <c r="DI60" s="2">
        <v>6.2857149999999999E-3</v>
      </c>
      <c r="DJ60" s="43" t="s">
        <v>523</v>
      </c>
      <c r="DK60" s="43">
        <v>90</v>
      </c>
      <c r="DL60" s="43">
        <v>38</v>
      </c>
      <c r="DM60" s="74">
        <f>SUM(SUMIFS(DI$14:DI$1004,DG$14:DG$1004,DL60,DF$14:DF$1004,DK60,DH$14:DH$1004,0))</f>
        <v>2.976416</v>
      </c>
      <c r="DR60" s="89">
        <v>74</v>
      </c>
      <c r="DS60" s="2">
        <v>28</v>
      </c>
      <c r="DT60" s="2">
        <v>0</v>
      </c>
      <c r="DU60" s="2">
        <v>7.0000000000000001E-3</v>
      </c>
      <c r="DV60" s="43" t="s">
        <v>523</v>
      </c>
      <c r="DW60" s="43">
        <v>90</v>
      </c>
      <c r="DX60" s="43">
        <v>38</v>
      </c>
      <c r="DY60" s="74">
        <f>SUM(SUMIFS(DU$14:DU$1004,DS$14:DS$1004,DX60,DR$14:DR$1004,DW60,DT$14:DT$1004,0))</f>
        <v>3.5900379999999998</v>
      </c>
      <c r="ED60" s="89">
        <v>72</v>
      </c>
      <c r="EE60" s="2">
        <v>29</v>
      </c>
      <c r="EF60" s="2">
        <v>0</v>
      </c>
      <c r="EG60" s="2">
        <v>6.0000009999999996E-3</v>
      </c>
      <c r="EH60" s="43" t="s">
        <v>523</v>
      </c>
      <c r="EI60" s="43">
        <v>90</v>
      </c>
      <c r="EJ60" s="43">
        <v>38</v>
      </c>
      <c r="EK60" s="74">
        <f>SUM(SUMIFS(EG$14:EG$1004,EE$14:EE$1004,EJ60,ED$14:ED$1004,EI60,EF$14:EF$1004,0))</f>
        <v>1.5902579999999999</v>
      </c>
      <c r="ES60">
        <v>72</v>
      </c>
      <c r="ET60">
        <v>29</v>
      </c>
      <c r="EU60">
        <v>0</v>
      </c>
      <c r="EV60">
        <v>6.0000009999999996E-3</v>
      </c>
    </row>
    <row r="61" spans="1:152" x14ac:dyDescent="0.4">
      <c r="A61" s="89"/>
      <c r="B61" s="2"/>
      <c r="C61" s="2"/>
      <c r="D61" s="2"/>
      <c r="E61" s="42" t="s">
        <v>1361</v>
      </c>
      <c r="F61" s="42">
        <v>89</v>
      </c>
      <c r="G61" s="42">
        <v>39</v>
      </c>
      <c r="H61" s="74">
        <f>SUM(SUMIFS(D$14:D$1004,B$14:B$1004,G61,A$14:A$1004,F61,C$14:C$1004,0))</f>
        <v>0</v>
      </c>
      <c r="N61" s="89">
        <v>70</v>
      </c>
      <c r="O61" s="2">
        <v>28</v>
      </c>
      <c r="P61" s="2">
        <v>0</v>
      </c>
      <c r="Q61" s="2">
        <v>8.1000009999999997E-2</v>
      </c>
      <c r="R61" s="42" t="s">
        <v>1361</v>
      </c>
      <c r="S61" s="42">
        <v>89</v>
      </c>
      <c r="T61" s="42">
        <v>39</v>
      </c>
      <c r="U61" s="74">
        <f>SUM(SUMIFS(Q$14:Q$1004,O$14:O$1004,T61,N$14:N$1004,S61,P$14:P$1004,0))</f>
        <v>3.721406</v>
      </c>
      <c r="Z61" s="89">
        <v>65</v>
      </c>
      <c r="AA61" s="2">
        <v>29</v>
      </c>
      <c r="AB61" s="2">
        <v>0</v>
      </c>
      <c r="AC61" s="2">
        <v>0.127</v>
      </c>
      <c r="AD61" s="42" t="s">
        <v>1361</v>
      </c>
      <c r="AE61" s="42">
        <v>89</v>
      </c>
      <c r="AF61" s="42">
        <v>39</v>
      </c>
      <c r="AG61" s="74">
        <f>SUM(SUMIFS(AC$14:AC$1004,AA$14:AA$1004,AF61,Z$14:Z$1004,AE61,AB$14:AB$1004,0))</f>
        <v>3.0647380000000002</v>
      </c>
      <c r="AL61" s="89">
        <v>68</v>
      </c>
      <c r="AM61" s="2">
        <v>29</v>
      </c>
      <c r="AN61" s="2">
        <v>0</v>
      </c>
      <c r="AO61" s="2">
        <v>0.15301229999999999</v>
      </c>
      <c r="AP61" s="42" t="s">
        <v>1361</v>
      </c>
      <c r="AQ61" s="42">
        <v>89</v>
      </c>
      <c r="AR61" s="42">
        <v>39</v>
      </c>
      <c r="AS61" s="74">
        <f>SUM(SUMIFS(AO$14:AO$1004,AM$14:AM$1004,AR61,AL$14:AL$1004,AQ61,AN$14:AN$1004,0))</f>
        <v>3.4801630000000001</v>
      </c>
      <c r="AX61" s="89">
        <v>67</v>
      </c>
      <c r="AY61" s="2">
        <v>30</v>
      </c>
      <c r="AZ61" s="2">
        <v>0</v>
      </c>
      <c r="BA61" s="2">
        <v>5.0000000000000001E-3</v>
      </c>
      <c r="BB61" s="42" t="s">
        <v>1361</v>
      </c>
      <c r="BC61" s="42">
        <v>89</v>
      </c>
      <c r="BD61" s="42">
        <v>39</v>
      </c>
      <c r="BE61" s="74">
        <f>SUM(SUMIFS(BA$14:BA$1004,AY$14:AY$1004,BD61,AX$14:AX$1004,BC61,AZ$14:AZ$1004,0))</f>
        <v>2.4318179999999998</v>
      </c>
      <c r="BJ61" s="89">
        <v>66</v>
      </c>
      <c r="BK61" s="2">
        <v>30</v>
      </c>
      <c r="BL61" s="2">
        <v>0</v>
      </c>
      <c r="BM61" s="2">
        <v>8.9999999999999993E-3</v>
      </c>
      <c r="BN61" s="42" t="s">
        <v>1361</v>
      </c>
      <c r="BO61" s="42">
        <v>89</v>
      </c>
      <c r="BP61" s="42">
        <v>39</v>
      </c>
      <c r="BQ61" s="74">
        <f>SUM(SUMIFS(BM$14:BM$1004,BK$14:BK$1004,BP61,BJ$14:BJ$1004,BO61,BL$14:BL$1004,0))</f>
        <v>1.6186449999999999</v>
      </c>
      <c r="BV61" s="89">
        <v>69</v>
      </c>
      <c r="BW61" s="2">
        <v>30</v>
      </c>
      <c r="BX61" s="2">
        <v>0</v>
      </c>
      <c r="BY61" s="2">
        <v>3.9997000000000001E-3</v>
      </c>
      <c r="BZ61" s="42" t="s">
        <v>1361</v>
      </c>
      <c r="CA61" s="42">
        <v>89</v>
      </c>
      <c r="CB61" s="42">
        <v>39</v>
      </c>
      <c r="CC61" s="74">
        <f>SUM(SUMIFS(BY$14:BY$1004,BW$14:BW$1004,CB61,BV$14:BV$1004,CA61,BX$14:BX$1004,0))</f>
        <v>1.774127</v>
      </c>
      <c r="CH61" s="89">
        <v>74</v>
      </c>
      <c r="CI61" s="2">
        <v>29</v>
      </c>
      <c r="CJ61" s="2">
        <v>0</v>
      </c>
      <c r="CK61" s="2">
        <v>2E-3</v>
      </c>
      <c r="CL61" s="42" t="s">
        <v>1361</v>
      </c>
      <c r="CM61" s="42">
        <v>89</v>
      </c>
      <c r="CN61" s="42">
        <v>39</v>
      </c>
      <c r="CO61" s="74">
        <f>SUM(SUMIFS(CK$14:CK$1004,CI$14:CI$1004,CN61,CH$14:CH$1004,CM61,CJ$14:CJ$1004,0))</f>
        <v>1.342015</v>
      </c>
      <c r="CT61" s="89">
        <v>70</v>
      </c>
      <c r="CU61" s="2">
        <v>29</v>
      </c>
      <c r="CV61" s="2">
        <v>2</v>
      </c>
      <c r="CW61" s="2">
        <v>9.1666679999999996E-4</v>
      </c>
      <c r="CX61" s="42" t="s">
        <v>1361</v>
      </c>
      <c r="CY61" s="42">
        <v>89</v>
      </c>
      <c r="CZ61" s="42">
        <v>39</v>
      </c>
      <c r="DA61" s="74">
        <f>SUM(SUMIFS(CW$14:CW$1004,CU$14:CU$1004,CZ61,CT$14:CT$1004,CY61,CV$14:CV$1004,0))</f>
        <v>0.839978</v>
      </c>
      <c r="DF61" s="89">
        <v>74</v>
      </c>
      <c r="DG61" s="2">
        <v>30</v>
      </c>
      <c r="DH61" s="2">
        <v>0</v>
      </c>
      <c r="DI61" s="2">
        <v>3.6139999999999999E-2</v>
      </c>
      <c r="DJ61" s="42" t="s">
        <v>1361</v>
      </c>
      <c r="DK61" s="42">
        <v>89</v>
      </c>
      <c r="DL61" s="42">
        <v>39</v>
      </c>
      <c r="DM61" s="74">
        <f>SUM(SUMIFS(DI$14:DI$1004,DG$14:DG$1004,DL61,DF$14:DF$1004,DK61,DH$14:DH$1004,0))</f>
        <v>2.7049910000000001</v>
      </c>
      <c r="DR61" s="89">
        <v>75</v>
      </c>
      <c r="DS61" s="2">
        <v>28</v>
      </c>
      <c r="DT61" s="2">
        <v>0</v>
      </c>
      <c r="DU61" s="2">
        <v>1E-3</v>
      </c>
      <c r="DV61" s="42" t="s">
        <v>1361</v>
      </c>
      <c r="DW61" s="42">
        <v>89</v>
      </c>
      <c r="DX61" s="42">
        <v>39</v>
      </c>
      <c r="DY61" s="74">
        <f>SUM(SUMIFS(DU$14:DU$1004,DS$14:DS$1004,DX61,DR$14:DR$1004,DW61,DT$14:DT$1004,0))</f>
        <v>3.4028309999999999</v>
      </c>
      <c r="ED61" s="89">
        <v>73</v>
      </c>
      <c r="EE61" s="2">
        <v>29</v>
      </c>
      <c r="EF61" s="2">
        <v>0</v>
      </c>
      <c r="EG61" s="2">
        <v>1.0999999999999999E-2</v>
      </c>
      <c r="EH61" s="42" t="s">
        <v>1361</v>
      </c>
      <c r="EI61" s="42">
        <v>89</v>
      </c>
      <c r="EJ61" s="42">
        <v>39</v>
      </c>
      <c r="EK61" s="74">
        <f>SUM(SUMIFS(EG$14:EG$1004,EE$14:EE$1004,EJ61,ED$14:ED$1004,EI61,EF$14:EF$1004,0))</f>
        <v>1.41194</v>
      </c>
      <c r="ES61">
        <v>73</v>
      </c>
      <c r="ET61">
        <v>29</v>
      </c>
      <c r="EU61">
        <v>0</v>
      </c>
      <c r="EV61">
        <v>1.0999999999999999E-2</v>
      </c>
    </row>
    <row r="62" spans="1:152" x14ac:dyDescent="0.4">
      <c r="A62" s="89"/>
      <c r="B62" s="2"/>
      <c r="C62" s="2"/>
      <c r="D62" s="2"/>
      <c r="E62" s="43" t="s">
        <v>1360</v>
      </c>
      <c r="F62" s="43">
        <v>90</v>
      </c>
      <c r="G62" s="43">
        <v>40</v>
      </c>
      <c r="H62" s="74" cm="1">
        <f t="array" ref="H62">SUM(SUMIFS(D$14:D$1004,B$14:B$1004,G62:G66,A$14:A$1004,F62:F66,C$14:C$1004,0))-H60</f>
        <v>0</v>
      </c>
      <c r="N62" s="89">
        <v>71</v>
      </c>
      <c r="O62" s="2">
        <v>28</v>
      </c>
      <c r="P62" s="2">
        <v>0</v>
      </c>
      <c r="Q62" s="2">
        <v>0.03</v>
      </c>
      <c r="R62" s="43" t="s">
        <v>1360</v>
      </c>
      <c r="S62" s="43">
        <v>90</v>
      </c>
      <c r="T62" s="43">
        <v>40</v>
      </c>
      <c r="U62" s="74" cm="1">
        <f t="array" ref="U62">SUM(SUMIFS(Q$14:Q$1004,O$14:O$1004,T62:T66,N$14:N$1004,S62:S66,P$14:P$1004,0))-U60</f>
        <v>15.846105</v>
      </c>
      <c r="Z62" s="89">
        <v>66</v>
      </c>
      <c r="AA62" s="2">
        <v>29</v>
      </c>
      <c r="AB62" s="2">
        <v>0</v>
      </c>
      <c r="AC62" s="2">
        <v>0.14399999999999999</v>
      </c>
      <c r="AD62" s="43" t="s">
        <v>1360</v>
      </c>
      <c r="AE62" s="43">
        <v>90</v>
      </c>
      <c r="AF62" s="43">
        <v>40</v>
      </c>
      <c r="AG62" s="74" cm="1">
        <f t="array" ref="AG62">SUM(SUMIFS(AC$14:AC$1004,AA$14:AA$1004,AF62:AF66,Z$14:Z$1004,AE62:AE66,AB$14:AB$1004,0))-AG60</f>
        <v>15.101592999999998</v>
      </c>
      <c r="AL62" s="89">
        <v>68</v>
      </c>
      <c r="AM62" s="2">
        <v>29</v>
      </c>
      <c r="AN62" s="2">
        <v>1</v>
      </c>
      <c r="AO62" s="2">
        <v>5.0173330000000002E-2</v>
      </c>
      <c r="AP62" s="43" t="s">
        <v>1360</v>
      </c>
      <c r="AQ62" s="43">
        <v>90</v>
      </c>
      <c r="AR62" s="43">
        <v>40</v>
      </c>
      <c r="AS62" s="74" cm="1">
        <f t="array" ref="AS62">SUM(SUMIFS(AO$14:AO$1004,AM$14:AM$1004,AR62:AR66,AL$14:AL$1004,AQ62:AQ66,AN$14:AN$1004,0))-AS60</f>
        <v>15.604009000000001</v>
      </c>
      <c r="AX62" s="89">
        <v>68</v>
      </c>
      <c r="AY62" s="2">
        <v>30</v>
      </c>
      <c r="AZ62" s="2">
        <v>0</v>
      </c>
      <c r="BA62" s="2">
        <v>8.0099999999999998E-3</v>
      </c>
      <c r="BB62" s="43" t="s">
        <v>1360</v>
      </c>
      <c r="BC62" s="43">
        <v>90</v>
      </c>
      <c r="BD62" s="43">
        <v>40</v>
      </c>
      <c r="BE62" s="74" cm="1">
        <f t="array" ref="BE62">SUM(SUMIFS(BA$14:BA$1004,AY$14:AY$1004,BD62:BD66,AX$14:AX$1004,BC62:BC66,AZ$14:AZ$1004,0))-BE60</f>
        <v>11.658296</v>
      </c>
      <c r="BJ62" s="89">
        <v>67</v>
      </c>
      <c r="BK62" s="2">
        <v>30</v>
      </c>
      <c r="BL62" s="2">
        <v>0</v>
      </c>
      <c r="BM62" s="2">
        <v>8.9999999999999993E-3</v>
      </c>
      <c r="BN62" s="43" t="s">
        <v>1360</v>
      </c>
      <c r="BO62" s="43">
        <v>90</v>
      </c>
      <c r="BP62" s="43">
        <v>40</v>
      </c>
      <c r="BQ62" s="74" cm="1">
        <f t="array" ref="BQ62">SUM(SUMIFS(BM$14:BM$1004,BK$14:BK$1004,BP62:BP66,BJ$14:BJ$1004,BO62:BO66,BL$14:BL$1004,0))-BQ60</f>
        <v>9.8471759999999993</v>
      </c>
      <c r="BV62" s="89">
        <v>69</v>
      </c>
      <c r="BW62" s="2">
        <v>30</v>
      </c>
      <c r="BX62" s="2">
        <v>1</v>
      </c>
      <c r="BY62" s="2">
        <v>1E-3</v>
      </c>
      <c r="BZ62" s="43" t="s">
        <v>1360</v>
      </c>
      <c r="CA62" s="43">
        <v>90</v>
      </c>
      <c r="CB62" s="43">
        <v>40</v>
      </c>
      <c r="CC62" s="74" cm="1">
        <f t="array" ref="CC62">SUM(SUMIFS(BY$14:BY$1004,BW$14:BW$1004,CB62:CB66,BV$14:BV$1004,CA62:CA66,BX$14:BX$1004,0))-CC60</f>
        <v>11.269867</v>
      </c>
      <c r="CH62" s="89">
        <v>66</v>
      </c>
      <c r="CI62" s="2">
        <v>30</v>
      </c>
      <c r="CJ62" s="2">
        <v>0</v>
      </c>
      <c r="CK62" s="2">
        <v>1.4999999999999999E-2</v>
      </c>
      <c r="CL62" s="43" t="s">
        <v>1360</v>
      </c>
      <c r="CM62" s="43">
        <v>90</v>
      </c>
      <c r="CN62" s="43">
        <v>40</v>
      </c>
      <c r="CO62" s="74" cm="1">
        <f t="array" ref="CO62">SUM(SUMIFS(CK$14:CK$1004,CI$14:CI$1004,CN62:CN66,CH$14:CH$1004,CM62:CM66,CJ$14:CJ$1004,0))-CO60</f>
        <v>8.8995079999999991</v>
      </c>
      <c r="CT62" s="89">
        <v>71</v>
      </c>
      <c r="CU62" s="2">
        <v>29</v>
      </c>
      <c r="CV62" s="2">
        <v>0</v>
      </c>
      <c r="CW62" s="2">
        <v>1.7000000000000001E-2</v>
      </c>
      <c r="CX62" s="43" t="s">
        <v>1360</v>
      </c>
      <c r="CY62" s="43">
        <v>90</v>
      </c>
      <c r="CZ62" s="43">
        <v>40</v>
      </c>
      <c r="DA62" s="74" cm="1">
        <f t="array" ref="DA62">SUM(SUMIFS(CW$14:CW$1004,CU$14:CU$1004,CZ62:CZ66,CT$14:CT$1004,CY62:CY66,CV$14:CV$1004,0))-DA60</f>
        <v>5.1092319999999996</v>
      </c>
      <c r="DF62" s="89">
        <v>75</v>
      </c>
      <c r="DG62" s="2">
        <v>30</v>
      </c>
      <c r="DH62" s="2">
        <v>0</v>
      </c>
      <c r="DI62" s="2">
        <v>2.5100000000000001E-2</v>
      </c>
      <c r="DJ62" s="43" t="s">
        <v>1360</v>
      </c>
      <c r="DK62" s="43">
        <v>90</v>
      </c>
      <c r="DL62" s="43">
        <v>40</v>
      </c>
      <c r="DM62" s="74" cm="1">
        <f t="array" ref="DM62">SUM(SUMIFS(DI$14:DI$1004,DG$14:DG$1004,DL62:DL66,DF$14:DF$1004,DK62:DK66,DH$14:DH$1004,0))-DM60</f>
        <v>15.087671</v>
      </c>
      <c r="DR62" s="89">
        <v>76</v>
      </c>
      <c r="DS62" s="2">
        <v>28</v>
      </c>
      <c r="DT62" s="2">
        <v>0</v>
      </c>
      <c r="DU62" s="2">
        <v>1E-3</v>
      </c>
      <c r="DV62" s="43" t="s">
        <v>1360</v>
      </c>
      <c r="DW62" s="43">
        <v>90</v>
      </c>
      <c r="DX62" s="43">
        <v>40</v>
      </c>
      <c r="DY62" s="74" cm="1">
        <f t="array" ref="DY62">SUM(SUMIFS(DU$14:DU$1004,DS$14:DS$1004,DX62:DX66,DR$14:DR$1004,DW62:DW66,DT$14:DT$1004,0))-DY60</f>
        <v>16.483108000000001</v>
      </c>
      <c r="ED62" s="89">
        <v>74</v>
      </c>
      <c r="EE62" s="2">
        <v>29</v>
      </c>
      <c r="EF62" s="2">
        <v>0</v>
      </c>
      <c r="EG62" s="2">
        <v>4.0000000000000001E-3</v>
      </c>
      <c r="EH62" s="43" t="s">
        <v>1360</v>
      </c>
      <c r="EI62" s="43">
        <v>90</v>
      </c>
      <c r="EJ62" s="43">
        <v>40</v>
      </c>
      <c r="EK62" s="74" cm="1">
        <f t="array" ref="EK62">SUM(SUMIFS(EG$14:EG$1004,EE$14:EE$1004,EJ62:EJ66,ED$14:ED$1004,EI62:EI66,EF$14:EF$1004,0))-EK60</f>
        <v>9.2546889999999991</v>
      </c>
      <c r="ES62">
        <v>74</v>
      </c>
      <c r="ET62">
        <v>29</v>
      </c>
      <c r="EU62">
        <v>0</v>
      </c>
      <c r="EV62">
        <v>4.0000000000000001E-3</v>
      </c>
    </row>
    <row r="63" spans="1:152" x14ac:dyDescent="0.4">
      <c r="A63" s="89"/>
      <c r="B63" s="2"/>
      <c r="C63" s="2"/>
      <c r="D63" s="2"/>
      <c r="E63" s="43" t="s">
        <v>1360</v>
      </c>
      <c r="F63" s="43">
        <v>91</v>
      </c>
      <c r="G63" s="43">
        <v>40</v>
      </c>
      <c r="H63" s="74"/>
      <c r="N63" s="89">
        <v>72</v>
      </c>
      <c r="O63" s="2">
        <v>28</v>
      </c>
      <c r="P63" s="2">
        <v>0</v>
      </c>
      <c r="Q63" s="2">
        <v>1.4999999999999999E-2</v>
      </c>
      <c r="R63" s="43" t="s">
        <v>1360</v>
      </c>
      <c r="S63" s="43">
        <v>91</v>
      </c>
      <c r="T63" s="43">
        <v>40</v>
      </c>
      <c r="U63" s="74"/>
      <c r="Z63" s="89">
        <v>67</v>
      </c>
      <c r="AA63" s="2">
        <v>29</v>
      </c>
      <c r="AB63" s="2">
        <v>0</v>
      </c>
      <c r="AC63" s="2">
        <v>0.14899999999999999</v>
      </c>
      <c r="AD63" s="43" t="s">
        <v>1360</v>
      </c>
      <c r="AE63" s="43">
        <v>91</v>
      </c>
      <c r="AF63" s="43">
        <v>40</v>
      </c>
      <c r="AG63" s="74"/>
      <c r="AL63" s="89">
        <v>69</v>
      </c>
      <c r="AM63" s="2">
        <v>29</v>
      </c>
      <c r="AN63" s="2">
        <v>0</v>
      </c>
      <c r="AO63" s="2">
        <v>0.12296</v>
      </c>
      <c r="AP63" s="43" t="s">
        <v>1360</v>
      </c>
      <c r="AQ63" s="43">
        <v>91</v>
      </c>
      <c r="AR63" s="43">
        <v>40</v>
      </c>
      <c r="AS63" s="74"/>
      <c r="AX63" s="89">
        <v>69</v>
      </c>
      <c r="AY63" s="2">
        <v>30</v>
      </c>
      <c r="AZ63" s="2">
        <v>0</v>
      </c>
      <c r="BA63" s="2">
        <v>1.099E-2</v>
      </c>
      <c r="BB63" s="43" t="s">
        <v>1360</v>
      </c>
      <c r="BC63" s="43">
        <v>91</v>
      </c>
      <c r="BD63" s="43">
        <v>40</v>
      </c>
      <c r="BE63" s="74"/>
      <c r="BJ63" s="89">
        <v>68</v>
      </c>
      <c r="BK63" s="2">
        <v>30</v>
      </c>
      <c r="BL63" s="2">
        <v>0</v>
      </c>
      <c r="BM63" s="2">
        <v>9.0100000000000006E-3</v>
      </c>
      <c r="BN63" s="43" t="s">
        <v>1360</v>
      </c>
      <c r="BO63" s="43">
        <v>91</v>
      </c>
      <c r="BP63" s="43">
        <v>40</v>
      </c>
      <c r="BQ63" s="74"/>
      <c r="BV63" s="89">
        <v>70</v>
      </c>
      <c r="BW63" s="2">
        <v>30</v>
      </c>
      <c r="BX63" s="2">
        <v>0</v>
      </c>
      <c r="BY63" s="2">
        <v>1.7000000000000001E-2</v>
      </c>
      <c r="BZ63" s="43" t="s">
        <v>1360</v>
      </c>
      <c r="CA63" s="43">
        <v>91</v>
      </c>
      <c r="CB63" s="43">
        <v>40</v>
      </c>
      <c r="CC63" s="74"/>
      <c r="CH63" s="89">
        <v>67</v>
      </c>
      <c r="CI63" s="2">
        <v>30</v>
      </c>
      <c r="CJ63" s="2">
        <v>0</v>
      </c>
      <c r="CK63" s="2">
        <v>1.2E-2</v>
      </c>
      <c r="CL63" s="43" t="s">
        <v>1360</v>
      </c>
      <c r="CM63" s="43">
        <v>91</v>
      </c>
      <c r="CN63" s="43">
        <v>40</v>
      </c>
      <c r="CO63" s="74"/>
      <c r="CT63" s="89">
        <v>72</v>
      </c>
      <c r="CU63" s="2">
        <v>29</v>
      </c>
      <c r="CV63" s="2">
        <v>0</v>
      </c>
      <c r="CW63" s="2">
        <v>7.0000000000000001E-3</v>
      </c>
      <c r="CX63" s="43" t="s">
        <v>1360</v>
      </c>
      <c r="CY63" s="43">
        <v>91</v>
      </c>
      <c r="CZ63" s="43">
        <v>40</v>
      </c>
      <c r="DA63" s="74"/>
      <c r="DF63" s="89">
        <v>76</v>
      </c>
      <c r="DG63" s="2">
        <v>30</v>
      </c>
      <c r="DH63" s="2">
        <v>0</v>
      </c>
      <c r="DI63" s="2">
        <v>5.3760000000000002E-2</v>
      </c>
      <c r="DJ63" s="43" t="s">
        <v>1360</v>
      </c>
      <c r="DK63" s="43">
        <v>91</v>
      </c>
      <c r="DL63" s="43">
        <v>40</v>
      </c>
      <c r="DM63" s="74"/>
      <c r="DR63" s="89">
        <v>78</v>
      </c>
      <c r="DS63" s="2">
        <v>28</v>
      </c>
      <c r="DT63" s="2">
        <v>0</v>
      </c>
      <c r="DU63" s="2">
        <v>1E-3</v>
      </c>
      <c r="DV63" s="43" t="s">
        <v>1360</v>
      </c>
      <c r="DW63" s="43">
        <v>91</v>
      </c>
      <c r="DX63" s="43">
        <v>40</v>
      </c>
      <c r="DY63" s="74"/>
      <c r="ED63" s="89">
        <v>75</v>
      </c>
      <c r="EE63" s="2">
        <v>29</v>
      </c>
      <c r="EF63" s="2">
        <v>0</v>
      </c>
      <c r="EG63" s="2">
        <v>3.0000000000000001E-3</v>
      </c>
      <c r="EH63" s="43" t="s">
        <v>1360</v>
      </c>
      <c r="EI63" s="43">
        <v>91</v>
      </c>
      <c r="EJ63" s="43">
        <v>40</v>
      </c>
      <c r="EK63" s="74"/>
      <c r="ES63">
        <v>75</v>
      </c>
      <c r="ET63">
        <v>29</v>
      </c>
      <c r="EU63">
        <v>0</v>
      </c>
      <c r="EV63">
        <v>3.0000000000000001E-3</v>
      </c>
    </row>
    <row r="64" spans="1:152" x14ac:dyDescent="0.4">
      <c r="A64" s="89"/>
      <c r="B64" s="2"/>
      <c r="C64" s="2"/>
      <c r="D64" s="2"/>
      <c r="E64" s="43" t="s">
        <v>1360</v>
      </c>
      <c r="F64" s="43">
        <v>92</v>
      </c>
      <c r="G64" s="43">
        <v>40</v>
      </c>
      <c r="H64" s="74"/>
      <c r="N64" s="89">
        <v>73</v>
      </c>
      <c r="O64" s="2">
        <v>28</v>
      </c>
      <c r="P64" s="2">
        <v>0</v>
      </c>
      <c r="Q64" s="2">
        <v>0.01</v>
      </c>
      <c r="R64" s="43" t="s">
        <v>1360</v>
      </c>
      <c r="S64" s="43">
        <v>92</v>
      </c>
      <c r="T64" s="43">
        <v>40</v>
      </c>
      <c r="U64" s="74"/>
      <c r="Z64" s="89">
        <v>68</v>
      </c>
      <c r="AA64" s="2">
        <v>29</v>
      </c>
      <c r="AB64" s="2">
        <v>0</v>
      </c>
      <c r="AC64" s="2">
        <v>0.15489069999999999</v>
      </c>
      <c r="AD64" s="43" t="s">
        <v>1360</v>
      </c>
      <c r="AE64" s="43">
        <v>92</v>
      </c>
      <c r="AF64" s="43">
        <v>40</v>
      </c>
      <c r="AG64" s="74"/>
      <c r="AL64" s="89">
        <v>70</v>
      </c>
      <c r="AM64" s="2">
        <v>29</v>
      </c>
      <c r="AN64" s="2">
        <v>0</v>
      </c>
      <c r="AO64" s="2">
        <v>9.3997310000000001E-2</v>
      </c>
      <c r="AP64" s="43" t="s">
        <v>1360</v>
      </c>
      <c r="AQ64" s="43">
        <v>92</v>
      </c>
      <c r="AR64" s="43">
        <v>40</v>
      </c>
      <c r="AS64" s="74"/>
      <c r="AX64" s="89">
        <v>70</v>
      </c>
      <c r="AY64" s="2">
        <v>30</v>
      </c>
      <c r="AZ64" s="2">
        <v>0</v>
      </c>
      <c r="BA64" s="2">
        <v>1.2999999999999999E-2</v>
      </c>
      <c r="BB64" s="43" t="s">
        <v>1360</v>
      </c>
      <c r="BC64" s="43">
        <v>92</v>
      </c>
      <c r="BD64" s="43">
        <v>40</v>
      </c>
      <c r="BE64" s="74"/>
      <c r="BJ64" s="89">
        <v>69</v>
      </c>
      <c r="BK64" s="2">
        <v>30</v>
      </c>
      <c r="BL64" s="2">
        <v>0</v>
      </c>
      <c r="BM64" s="2">
        <v>1.1989700000000001E-2</v>
      </c>
      <c r="BN64" s="43" t="s">
        <v>1360</v>
      </c>
      <c r="BO64" s="43">
        <v>92</v>
      </c>
      <c r="BP64" s="43">
        <v>40</v>
      </c>
      <c r="BQ64" s="74"/>
      <c r="BV64" s="89">
        <v>71</v>
      </c>
      <c r="BW64" s="2">
        <v>30</v>
      </c>
      <c r="BX64" s="2">
        <v>0</v>
      </c>
      <c r="BY64" s="2">
        <v>1.2999999999999999E-2</v>
      </c>
      <c r="BZ64" s="43" t="s">
        <v>1360</v>
      </c>
      <c r="CA64" s="43">
        <v>92</v>
      </c>
      <c r="CB64" s="43">
        <v>40</v>
      </c>
      <c r="CC64" s="74"/>
      <c r="CH64" s="89">
        <v>68</v>
      </c>
      <c r="CI64" s="2">
        <v>30</v>
      </c>
      <c r="CJ64" s="2">
        <v>0</v>
      </c>
      <c r="CK64" s="2">
        <v>1.8010000000000002E-2</v>
      </c>
      <c r="CL64" s="43" t="s">
        <v>1360</v>
      </c>
      <c r="CM64" s="43">
        <v>92</v>
      </c>
      <c r="CN64" s="43">
        <v>40</v>
      </c>
      <c r="CO64" s="74"/>
      <c r="CT64" s="89">
        <v>73</v>
      </c>
      <c r="CU64" s="2">
        <v>29</v>
      </c>
      <c r="CV64" s="2">
        <v>0</v>
      </c>
      <c r="CW64" s="2">
        <v>1.2E-2</v>
      </c>
      <c r="CX64" s="43" t="s">
        <v>1360</v>
      </c>
      <c r="CY64" s="43">
        <v>92</v>
      </c>
      <c r="CZ64" s="43">
        <v>40</v>
      </c>
      <c r="DA64" s="74"/>
      <c r="DF64" s="89">
        <v>77</v>
      </c>
      <c r="DG64" s="2">
        <v>30</v>
      </c>
      <c r="DH64" s="2">
        <v>0</v>
      </c>
      <c r="DI64" s="2">
        <v>0.02</v>
      </c>
      <c r="DJ64" s="43" t="s">
        <v>1360</v>
      </c>
      <c r="DK64" s="43">
        <v>92</v>
      </c>
      <c r="DL64" s="43">
        <v>40</v>
      </c>
      <c r="DM64" s="74"/>
      <c r="DR64" s="89">
        <v>63</v>
      </c>
      <c r="DS64" s="2">
        <v>29</v>
      </c>
      <c r="DT64" s="2">
        <v>0</v>
      </c>
      <c r="DU64" s="2">
        <v>0.126</v>
      </c>
      <c r="DV64" s="43" t="s">
        <v>1360</v>
      </c>
      <c r="DW64" s="43">
        <v>92</v>
      </c>
      <c r="DX64" s="43">
        <v>40</v>
      </c>
      <c r="DY64" s="74"/>
      <c r="ED64" s="89">
        <v>76</v>
      </c>
      <c r="EE64" s="2">
        <v>29</v>
      </c>
      <c r="EF64" s="2">
        <v>0</v>
      </c>
      <c r="EG64" s="2">
        <v>1E-3</v>
      </c>
      <c r="EH64" s="43" t="s">
        <v>1360</v>
      </c>
      <c r="EI64" s="43">
        <v>92</v>
      </c>
      <c r="EJ64" s="43">
        <v>40</v>
      </c>
      <c r="EK64" s="74"/>
      <c r="ES64">
        <v>76</v>
      </c>
      <c r="ET64">
        <v>29</v>
      </c>
      <c r="EU64">
        <v>0</v>
      </c>
      <c r="EV64">
        <v>1E-3</v>
      </c>
    </row>
    <row r="65" spans="1:152" x14ac:dyDescent="0.4">
      <c r="A65" s="89"/>
      <c r="B65" s="2"/>
      <c r="C65" s="2"/>
      <c r="D65" s="2"/>
      <c r="E65" s="43" t="s">
        <v>1360</v>
      </c>
      <c r="F65" s="43">
        <v>94</v>
      </c>
      <c r="G65" s="43">
        <v>40</v>
      </c>
      <c r="H65" s="74"/>
      <c r="N65" s="89">
        <v>74</v>
      </c>
      <c r="O65" s="2">
        <v>28</v>
      </c>
      <c r="P65" s="2">
        <v>0</v>
      </c>
      <c r="Q65" s="2">
        <v>1E-3</v>
      </c>
      <c r="R65" s="43" t="s">
        <v>1360</v>
      </c>
      <c r="S65" s="43">
        <v>94</v>
      </c>
      <c r="T65" s="43">
        <v>40</v>
      </c>
      <c r="U65" s="74"/>
      <c r="Z65" s="89">
        <v>68</v>
      </c>
      <c r="AA65" s="2">
        <v>29</v>
      </c>
      <c r="AB65" s="2">
        <v>1</v>
      </c>
      <c r="AC65" s="2">
        <v>3.3491529999999999E-2</v>
      </c>
      <c r="AD65" s="43" t="s">
        <v>1360</v>
      </c>
      <c r="AE65" s="43">
        <v>94</v>
      </c>
      <c r="AF65" s="43">
        <v>40</v>
      </c>
      <c r="AG65" s="74"/>
      <c r="AL65" s="89">
        <v>70</v>
      </c>
      <c r="AM65" s="2">
        <v>29</v>
      </c>
      <c r="AN65" s="2">
        <v>1</v>
      </c>
      <c r="AO65" s="2">
        <v>5.2682569999999998E-2</v>
      </c>
      <c r="AP65" s="43" t="s">
        <v>1360</v>
      </c>
      <c r="AQ65" s="43">
        <v>94</v>
      </c>
      <c r="AR65" s="43">
        <v>40</v>
      </c>
      <c r="AS65" s="74"/>
      <c r="AX65" s="89">
        <v>71</v>
      </c>
      <c r="AY65" s="2">
        <v>30</v>
      </c>
      <c r="AZ65" s="2">
        <v>0</v>
      </c>
      <c r="BA65" s="2">
        <v>1.2E-2</v>
      </c>
      <c r="BB65" s="43" t="s">
        <v>1360</v>
      </c>
      <c r="BC65" s="43">
        <v>94</v>
      </c>
      <c r="BD65" s="43">
        <v>40</v>
      </c>
      <c r="BE65" s="74"/>
      <c r="BJ65" s="89">
        <v>69</v>
      </c>
      <c r="BK65" s="2">
        <v>30</v>
      </c>
      <c r="BL65" s="2">
        <v>1</v>
      </c>
      <c r="BM65" s="2">
        <v>1E-3</v>
      </c>
      <c r="BN65" s="43" t="s">
        <v>1360</v>
      </c>
      <c r="BO65" s="43">
        <v>94</v>
      </c>
      <c r="BP65" s="43">
        <v>40</v>
      </c>
      <c r="BQ65" s="74"/>
      <c r="BV65" s="89">
        <v>71</v>
      </c>
      <c r="BW65" s="2">
        <v>30</v>
      </c>
      <c r="BX65" s="2">
        <v>1</v>
      </c>
      <c r="BY65" s="2">
        <v>2E-3</v>
      </c>
      <c r="BZ65" s="43" t="s">
        <v>1360</v>
      </c>
      <c r="CA65" s="43">
        <v>94</v>
      </c>
      <c r="CB65" s="43">
        <v>40</v>
      </c>
      <c r="CC65" s="74"/>
      <c r="CH65" s="89">
        <v>69</v>
      </c>
      <c r="CI65" s="2">
        <v>30</v>
      </c>
      <c r="CJ65" s="2">
        <v>0</v>
      </c>
      <c r="CK65" s="2">
        <v>1.8989099999999998E-2</v>
      </c>
      <c r="CL65" s="43" t="s">
        <v>1360</v>
      </c>
      <c r="CM65" s="43">
        <v>94</v>
      </c>
      <c r="CN65" s="43">
        <v>40</v>
      </c>
      <c r="CO65" s="74"/>
      <c r="CT65" s="89">
        <v>74</v>
      </c>
      <c r="CU65" s="2">
        <v>29</v>
      </c>
      <c r="CV65" s="2">
        <v>0</v>
      </c>
      <c r="CW65" s="2">
        <v>4.0000000000000001E-3</v>
      </c>
      <c r="CX65" s="43" t="s">
        <v>1360</v>
      </c>
      <c r="CY65" s="43">
        <v>94</v>
      </c>
      <c r="CZ65" s="43">
        <v>40</v>
      </c>
      <c r="DA65" s="74"/>
      <c r="DF65" s="89">
        <v>77</v>
      </c>
      <c r="DG65" s="2">
        <v>30</v>
      </c>
      <c r="DH65" s="2">
        <v>1</v>
      </c>
      <c r="DI65" s="2">
        <v>2E-3</v>
      </c>
      <c r="DJ65" s="43" t="s">
        <v>1360</v>
      </c>
      <c r="DK65" s="43">
        <v>94</v>
      </c>
      <c r="DL65" s="43">
        <v>40</v>
      </c>
      <c r="DM65" s="74"/>
      <c r="DR65" s="89">
        <v>65</v>
      </c>
      <c r="DS65" s="2">
        <v>29</v>
      </c>
      <c r="DT65" s="2">
        <v>0</v>
      </c>
      <c r="DU65" s="2">
        <v>0.17799999999999999</v>
      </c>
      <c r="DV65" s="43" t="s">
        <v>1360</v>
      </c>
      <c r="DW65" s="43">
        <v>94</v>
      </c>
      <c r="DX65" s="43">
        <v>40</v>
      </c>
      <c r="DY65" s="74"/>
      <c r="ED65" s="89">
        <v>66</v>
      </c>
      <c r="EE65" s="2">
        <v>30</v>
      </c>
      <c r="EF65" s="2">
        <v>0</v>
      </c>
      <c r="EG65" s="2">
        <v>6.0000000000000001E-3</v>
      </c>
      <c r="EH65" s="43" t="s">
        <v>1360</v>
      </c>
      <c r="EI65" s="43">
        <v>94</v>
      </c>
      <c r="EJ65" s="43">
        <v>40</v>
      </c>
      <c r="EK65" s="74"/>
      <c r="ES65">
        <v>66</v>
      </c>
      <c r="ET65">
        <v>30</v>
      </c>
      <c r="EU65">
        <v>0</v>
      </c>
      <c r="EV65">
        <v>6.0000000000000001E-3</v>
      </c>
    </row>
    <row r="66" spans="1:152" x14ac:dyDescent="0.4">
      <c r="A66" s="89"/>
      <c r="B66" s="2"/>
      <c r="C66" s="2"/>
      <c r="D66" s="2"/>
      <c r="E66" s="43" t="s">
        <v>1360</v>
      </c>
      <c r="F66" s="43">
        <v>96</v>
      </c>
      <c r="G66" s="43">
        <v>40</v>
      </c>
      <c r="H66" s="74"/>
      <c r="N66" s="89">
        <v>77</v>
      </c>
      <c r="O66" s="2">
        <v>28</v>
      </c>
      <c r="P66" s="2">
        <v>0</v>
      </c>
      <c r="Q66" s="2">
        <v>1E-3</v>
      </c>
      <c r="R66" s="43" t="s">
        <v>1360</v>
      </c>
      <c r="S66" s="43">
        <v>96</v>
      </c>
      <c r="T66" s="43">
        <v>40</v>
      </c>
      <c r="U66" s="74"/>
      <c r="Z66" s="89">
        <v>69</v>
      </c>
      <c r="AA66" s="2">
        <v>29</v>
      </c>
      <c r="AB66" s="2">
        <v>0</v>
      </c>
      <c r="AC66" s="2">
        <v>0.1977507</v>
      </c>
      <c r="AD66" s="43" t="s">
        <v>1360</v>
      </c>
      <c r="AE66" s="43">
        <v>96</v>
      </c>
      <c r="AF66" s="43">
        <v>40</v>
      </c>
      <c r="AG66" s="74"/>
      <c r="AL66" s="89">
        <v>70</v>
      </c>
      <c r="AM66" s="2">
        <v>29</v>
      </c>
      <c r="AN66" s="2">
        <v>2</v>
      </c>
      <c r="AO66" s="2">
        <v>3.8709679999999998E-3</v>
      </c>
      <c r="AP66" s="43" t="s">
        <v>1360</v>
      </c>
      <c r="AQ66" s="43">
        <v>96</v>
      </c>
      <c r="AR66" s="43">
        <v>40</v>
      </c>
      <c r="AS66" s="74"/>
      <c r="AX66" s="89">
        <v>71</v>
      </c>
      <c r="AY66" s="2">
        <v>30</v>
      </c>
      <c r="AZ66" s="2">
        <v>1</v>
      </c>
      <c r="BA66" s="2">
        <v>2E-3</v>
      </c>
      <c r="BB66" s="43" t="s">
        <v>1360</v>
      </c>
      <c r="BC66" s="43">
        <v>96</v>
      </c>
      <c r="BD66" s="43">
        <v>40</v>
      </c>
      <c r="BE66" s="74"/>
      <c r="BJ66" s="89">
        <v>70</v>
      </c>
      <c r="BK66" s="2">
        <v>30</v>
      </c>
      <c r="BL66" s="2">
        <v>0</v>
      </c>
      <c r="BM66" s="2">
        <v>1.7000000000000001E-2</v>
      </c>
      <c r="BN66" s="43" t="s">
        <v>1360</v>
      </c>
      <c r="BO66" s="43">
        <v>96</v>
      </c>
      <c r="BP66" s="43">
        <v>40</v>
      </c>
      <c r="BQ66" s="74"/>
      <c r="BV66" s="89">
        <v>72</v>
      </c>
      <c r="BW66" s="2">
        <v>30</v>
      </c>
      <c r="BX66" s="2">
        <v>0</v>
      </c>
      <c r="BY66" s="2">
        <v>2.1999999999999999E-2</v>
      </c>
      <c r="BZ66" s="43" t="s">
        <v>1360</v>
      </c>
      <c r="CA66" s="43">
        <v>96</v>
      </c>
      <c r="CB66" s="43">
        <v>40</v>
      </c>
      <c r="CC66" s="74"/>
      <c r="CH66" s="89">
        <v>69</v>
      </c>
      <c r="CI66" s="2">
        <v>30</v>
      </c>
      <c r="CJ66" s="2">
        <v>1</v>
      </c>
      <c r="CK66" s="2">
        <v>3.0000000000000001E-3</v>
      </c>
      <c r="CL66" s="43" t="s">
        <v>1360</v>
      </c>
      <c r="CM66" s="43">
        <v>96</v>
      </c>
      <c r="CN66" s="43">
        <v>40</v>
      </c>
      <c r="CO66" s="74"/>
      <c r="CT66" s="89">
        <v>75</v>
      </c>
      <c r="CU66" s="2">
        <v>29</v>
      </c>
      <c r="CV66" s="2">
        <v>0</v>
      </c>
      <c r="CW66" s="2">
        <v>3.0000000000000001E-3</v>
      </c>
      <c r="CX66" s="43" t="s">
        <v>1360</v>
      </c>
      <c r="CY66" s="43">
        <v>96</v>
      </c>
      <c r="CZ66" s="43">
        <v>40</v>
      </c>
      <c r="DA66" s="74"/>
      <c r="DF66" s="89">
        <v>78</v>
      </c>
      <c r="DG66" s="2">
        <v>30</v>
      </c>
      <c r="DH66" s="2">
        <v>0</v>
      </c>
      <c r="DI66" s="2">
        <v>3.0550000000000001E-2</v>
      </c>
      <c r="DJ66" s="43" t="s">
        <v>1360</v>
      </c>
      <c r="DK66" s="43">
        <v>96</v>
      </c>
      <c r="DL66" s="43">
        <v>40</v>
      </c>
      <c r="DM66" s="74"/>
      <c r="DR66" s="89">
        <v>66</v>
      </c>
      <c r="DS66" s="2">
        <v>29</v>
      </c>
      <c r="DT66" s="2">
        <v>0</v>
      </c>
      <c r="DU66" s="2">
        <v>0.20899999999999999</v>
      </c>
      <c r="DV66" s="43" t="s">
        <v>1360</v>
      </c>
      <c r="DW66" s="43">
        <v>96</v>
      </c>
      <c r="DX66" s="43">
        <v>40</v>
      </c>
      <c r="DY66" s="74"/>
      <c r="ED66" s="89">
        <v>67</v>
      </c>
      <c r="EE66" s="2">
        <v>30</v>
      </c>
      <c r="EF66" s="2">
        <v>0</v>
      </c>
      <c r="EG66" s="2">
        <v>1.2E-2</v>
      </c>
      <c r="EH66" s="43" t="s">
        <v>1360</v>
      </c>
      <c r="EI66" s="43">
        <v>96</v>
      </c>
      <c r="EJ66" s="43">
        <v>40</v>
      </c>
      <c r="EK66" s="74"/>
      <c r="ES66">
        <v>67</v>
      </c>
      <c r="ET66">
        <v>30</v>
      </c>
      <c r="EU66">
        <v>0</v>
      </c>
      <c r="EV66">
        <v>1.2E-2</v>
      </c>
    </row>
    <row r="67" spans="1:152" x14ac:dyDescent="0.4">
      <c r="A67" s="89"/>
      <c r="B67" s="2"/>
      <c r="C67" s="2"/>
      <c r="D67" s="2"/>
      <c r="E67" s="42" t="s">
        <v>1359</v>
      </c>
      <c r="F67" s="42">
        <v>93</v>
      </c>
      <c r="G67" s="42">
        <v>41</v>
      </c>
      <c r="H67" s="74">
        <f>SUM(SUMIFS(D$14:D$1004,B$14:B$1004,G67,A$14:A$1004,F67,C$14:C$1004,0))</f>
        <v>0</v>
      </c>
      <c r="N67" s="89">
        <v>63</v>
      </c>
      <c r="O67" s="2">
        <v>29</v>
      </c>
      <c r="P67" s="2">
        <v>0</v>
      </c>
      <c r="Q67" s="2">
        <v>0.16500000000000001</v>
      </c>
      <c r="R67" s="42" t="s">
        <v>1359</v>
      </c>
      <c r="S67" s="42">
        <v>93</v>
      </c>
      <c r="T67" s="42">
        <v>41</v>
      </c>
      <c r="U67" s="74">
        <f>SUM(SUMIFS(Q$14:Q$1004,O$14:O$1004,T67,N$14:N$1004,S67,P$14:P$1004,0))</f>
        <v>4.7E-2</v>
      </c>
      <c r="Z67" s="89">
        <v>70</v>
      </c>
      <c r="AA67" s="2">
        <v>29</v>
      </c>
      <c r="AB67" s="2">
        <v>0</v>
      </c>
      <c r="AC67" s="2">
        <v>0.1221566</v>
      </c>
      <c r="AD67" s="42" t="s">
        <v>1359</v>
      </c>
      <c r="AE67" s="42">
        <v>93</v>
      </c>
      <c r="AF67" s="42">
        <v>41</v>
      </c>
      <c r="AG67" s="74">
        <f>SUM(SUMIFS(AC$14:AC$1004,AA$14:AA$1004,AF67,Z$14:Z$1004,AE67,AB$14:AB$1004,0))</f>
        <v>2.1000000000000001E-2</v>
      </c>
      <c r="AL67" s="89">
        <v>71</v>
      </c>
      <c r="AM67" s="2">
        <v>29</v>
      </c>
      <c r="AN67" s="2">
        <v>0</v>
      </c>
      <c r="AO67" s="2">
        <v>8.9000010000000004E-2</v>
      </c>
      <c r="AP67" s="42" t="s">
        <v>1359</v>
      </c>
      <c r="AQ67" s="42">
        <v>93</v>
      </c>
      <c r="AR67" s="42">
        <v>41</v>
      </c>
      <c r="AS67" s="74">
        <f>SUM(SUMIFS(AO$14:AO$1004,AM$14:AM$1004,AR67,AL$14:AL$1004,AQ67,AN$14:AN$1004,0))</f>
        <v>0.13</v>
      </c>
      <c r="AX67" s="89">
        <v>72</v>
      </c>
      <c r="AY67" s="2">
        <v>30</v>
      </c>
      <c r="AZ67" s="2">
        <v>0</v>
      </c>
      <c r="BA67" s="2">
        <v>1.6E-2</v>
      </c>
      <c r="BB67" s="42" t="s">
        <v>1359</v>
      </c>
      <c r="BC67" s="42">
        <v>93</v>
      </c>
      <c r="BD67" s="42">
        <v>41</v>
      </c>
      <c r="BE67" s="74">
        <f>SUM(SUMIFS(BA$14:BA$1004,AY$14:AY$1004,BD67,AX$14:AX$1004,BC67,AZ$14:AZ$1004,0))</f>
        <v>1E-3</v>
      </c>
      <c r="BJ67" s="89">
        <v>71</v>
      </c>
      <c r="BK67" s="2">
        <v>30</v>
      </c>
      <c r="BL67" s="2">
        <v>0</v>
      </c>
      <c r="BM67" s="2">
        <v>1.9857139999999999E-2</v>
      </c>
      <c r="BN67" s="42" t="s">
        <v>1359</v>
      </c>
      <c r="BO67" s="42">
        <v>93</v>
      </c>
      <c r="BP67" s="42">
        <v>41</v>
      </c>
      <c r="BQ67" s="74">
        <f>SUM(SUMIFS(BM$14:BM$1004,BK$14:BK$1004,BP67,BJ$14:BJ$1004,BO67,BL$14:BL$1004,0))</f>
        <v>0</v>
      </c>
      <c r="BV67" s="89">
        <v>73</v>
      </c>
      <c r="BW67" s="2">
        <v>30</v>
      </c>
      <c r="BX67" s="2">
        <v>0</v>
      </c>
      <c r="BY67" s="2">
        <v>2.2195650000000001E-2</v>
      </c>
      <c r="BZ67" s="42" t="s">
        <v>1359</v>
      </c>
      <c r="CA67" s="42">
        <v>93</v>
      </c>
      <c r="CB67" s="42">
        <v>41</v>
      </c>
      <c r="CC67" s="74">
        <f>SUM(SUMIFS(BY$14:BY$1004,BW$14:BW$1004,CB67,BV$14:BV$1004,CA67,BX$14:BX$1004,0))</f>
        <v>0</v>
      </c>
      <c r="CH67" s="89">
        <v>70</v>
      </c>
      <c r="CI67" s="2">
        <v>30</v>
      </c>
      <c r="CJ67" s="2">
        <v>0</v>
      </c>
      <c r="CK67" s="2">
        <v>2.1004100000000001E-2</v>
      </c>
      <c r="CL67" s="42" t="s">
        <v>1359</v>
      </c>
      <c r="CM67" s="42">
        <v>93</v>
      </c>
      <c r="CN67" s="42">
        <v>41</v>
      </c>
      <c r="CO67" s="74">
        <f>SUM(SUMIFS(CK$14:CK$1004,CI$14:CI$1004,CN67,CH$14:CH$1004,CM67,CJ$14:CJ$1004,0))</f>
        <v>1.2E-2</v>
      </c>
      <c r="CT67" s="89">
        <v>76</v>
      </c>
      <c r="CU67" s="2">
        <v>29</v>
      </c>
      <c r="CV67" s="2">
        <v>0</v>
      </c>
      <c r="CW67" s="2">
        <v>1E-3</v>
      </c>
      <c r="CX67" s="42" t="s">
        <v>1359</v>
      </c>
      <c r="CY67" s="42">
        <v>93</v>
      </c>
      <c r="CZ67" s="42">
        <v>41</v>
      </c>
      <c r="DA67" s="74">
        <f>SUM(SUMIFS(CW$14:CW$1004,CU$14:CU$1004,CZ67,CT$14:CT$1004,CY67,CV$14:CV$1004,0))</f>
        <v>4.0000000000000001E-3</v>
      </c>
      <c r="DF67" s="89">
        <v>79</v>
      </c>
      <c r="DG67" s="2">
        <v>30</v>
      </c>
      <c r="DH67" s="2">
        <v>0</v>
      </c>
      <c r="DI67" s="2">
        <v>1.2449999999999999E-2</v>
      </c>
      <c r="DJ67" s="42" t="s">
        <v>1359</v>
      </c>
      <c r="DK67" s="42">
        <v>93</v>
      </c>
      <c r="DL67" s="42">
        <v>41</v>
      </c>
      <c r="DM67" s="74">
        <f>SUM(SUMIFS(DI$14:DI$1004,DG$14:DG$1004,DL67,DF$14:DF$1004,DK67,DH$14:DH$1004,0))</f>
        <v>0</v>
      </c>
      <c r="DR67" s="89">
        <v>67</v>
      </c>
      <c r="DS67" s="2">
        <v>29</v>
      </c>
      <c r="DT67" s="2">
        <v>0</v>
      </c>
      <c r="DU67" s="2">
        <v>0.23100000000000001</v>
      </c>
      <c r="DV67" s="42" t="s">
        <v>1359</v>
      </c>
      <c r="DW67" s="42">
        <v>93</v>
      </c>
      <c r="DX67" s="42">
        <v>41</v>
      </c>
      <c r="DY67" s="74">
        <f>SUM(SUMIFS(DU$14:DU$1004,DS$14:DS$1004,DX67,DR$14:DR$1004,DW67,DT$14:DT$1004,0))</f>
        <v>4.0000000000000001E-3</v>
      </c>
      <c r="ED67" s="89">
        <v>68</v>
      </c>
      <c r="EE67" s="2">
        <v>30</v>
      </c>
      <c r="EF67" s="2">
        <v>0</v>
      </c>
      <c r="EG67" s="2">
        <v>1.4089300000000001E-2</v>
      </c>
      <c r="EH67" s="42" t="s">
        <v>1359</v>
      </c>
      <c r="EI67" s="42">
        <v>93</v>
      </c>
      <c r="EJ67" s="42">
        <v>41</v>
      </c>
      <c r="EK67" s="74">
        <f>SUM(SUMIFS(EG$14:EG$1004,EE$14:EE$1004,EJ67,ED$14:ED$1004,EI67,EF$14:EF$1004,0))</f>
        <v>0</v>
      </c>
      <c r="ES67">
        <v>68</v>
      </c>
      <c r="ET67">
        <v>30</v>
      </c>
      <c r="EU67">
        <v>0</v>
      </c>
      <c r="EV67">
        <v>1.4089300000000001E-2</v>
      </c>
    </row>
    <row r="68" spans="1:152" x14ac:dyDescent="0.4">
      <c r="A68" s="89"/>
      <c r="B68" s="2"/>
      <c r="C68" s="2"/>
      <c r="D68" s="2"/>
      <c r="E68" s="43" t="s">
        <v>1376</v>
      </c>
      <c r="F68" s="43">
        <v>92</v>
      </c>
      <c r="G68" s="43">
        <v>42</v>
      </c>
      <c r="H68" s="74" cm="1">
        <f t="array" ref="H68">SUM(SUMIFS(D$14:D$1004,B$14:B$1004,G68:G74,A$14:A$1004,F68:F74,C$14:C$1004,0))</f>
        <v>0</v>
      </c>
      <c r="N68" s="89">
        <v>64</v>
      </c>
      <c r="O68" s="2">
        <v>29</v>
      </c>
      <c r="P68" s="2">
        <v>0</v>
      </c>
      <c r="Q68" s="2">
        <v>1E-3</v>
      </c>
      <c r="R68" s="43" t="s">
        <v>1376</v>
      </c>
      <c r="S68" s="43">
        <v>92</v>
      </c>
      <c r="T68" s="43">
        <v>42</v>
      </c>
      <c r="U68" s="74" cm="1">
        <f t="array" ref="U68">SUM(SUMIFS(Q$14:Q$1004,O$14:O$1004,T68:T74,N$14:N$1004,S68:S74,P$14:P$1004,0))</f>
        <v>18.432186000000002</v>
      </c>
      <c r="Z68" s="89">
        <v>70</v>
      </c>
      <c r="AA68" s="2">
        <v>29</v>
      </c>
      <c r="AB68" s="2">
        <v>1</v>
      </c>
      <c r="AC68" s="2">
        <v>6.5979460000000004E-2</v>
      </c>
      <c r="AD68" s="43" t="s">
        <v>1376</v>
      </c>
      <c r="AE68" s="43">
        <v>92</v>
      </c>
      <c r="AF68" s="43">
        <v>42</v>
      </c>
      <c r="AG68" s="74" cm="1">
        <f t="array" ref="AG68">SUM(SUMIFS(AC$14:AC$1004,AA$14:AA$1004,AF68:AF74,Z$14:Z$1004,AE68:AE74,AB$14:AB$1004,0))</f>
        <v>18.047519999999999</v>
      </c>
      <c r="AL68" s="89">
        <v>72</v>
      </c>
      <c r="AM68" s="2">
        <v>29</v>
      </c>
      <c r="AN68" s="2">
        <v>0</v>
      </c>
      <c r="AO68" s="2">
        <v>0.05</v>
      </c>
      <c r="AP68" s="43" t="s">
        <v>1376</v>
      </c>
      <c r="AQ68" s="43">
        <v>92</v>
      </c>
      <c r="AR68" s="43">
        <v>42</v>
      </c>
      <c r="AS68" s="74" cm="1">
        <f t="array" ref="AS68">SUM(SUMIFS(AO$14:AO$1004,AM$14:AM$1004,AR68:AR74,AL$14:AL$1004,AQ68:AQ74,AN$14:AN$1004,0))</f>
        <v>20.503694999999997</v>
      </c>
      <c r="AX68" s="89">
        <v>73</v>
      </c>
      <c r="AY68" s="2">
        <v>30</v>
      </c>
      <c r="AZ68" s="2">
        <v>0</v>
      </c>
      <c r="BA68" s="2">
        <v>3.0642860000000001E-2</v>
      </c>
      <c r="BB68" s="43" t="s">
        <v>1376</v>
      </c>
      <c r="BC68" s="43">
        <v>92</v>
      </c>
      <c r="BD68" s="43">
        <v>42</v>
      </c>
      <c r="BE68" s="74" cm="1">
        <f t="array" ref="BE68">SUM(SUMIFS(BA$14:BA$1004,AY$14:AY$1004,BD68:BD74,AX$14:AX$1004,BC68:BC74,AZ$14:AZ$1004,0))</f>
        <v>12.029343000000001</v>
      </c>
      <c r="BJ68" s="89">
        <v>71</v>
      </c>
      <c r="BK68" s="2">
        <v>30</v>
      </c>
      <c r="BL68" s="2">
        <v>1</v>
      </c>
      <c r="BM68" s="2">
        <v>1.1142859999999999E-2</v>
      </c>
      <c r="BN68" s="43" t="s">
        <v>1376</v>
      </c>
      <c r="BO68" s="43">
        <v>92</v>
      </c>
      <c r="BP68" s="43">
        <v>42</v>
      </c>
      <c r="BQ68" s="74" cm="1">
        <f t="array" ref="BQ68">SUM(SUMIFS(BM$14:BM$1004,BK$14:BK$1004,BP68:BP74,BJ$14:BJ$1004,BO68:BO74,BL$14:BL$1004,0))</f>
        <v>12.967774</v>
      </c>
      <c r="BV68" s="89">
        <v>73</v>
      </c>
      <c r="BW68" s="2">
        <v>30</v>
      </c>
      <c r="BX68" s="2">
        <v>1</v>
      </c>
      <c r="BY68" s="2">
        <v>9.2391309999999994E-3</v>
      </c>
      <c r="BZ68" s="43" t="s">
        <v>1376</v>
      </c>
      <c r="CA68" s="43">
        <v>92</v>
      </c>
      <c r="CB68" s="43">
        <v>42</v>
      </c>
      <c r="CC68" s="74" cm="1">
        <f t="array" ref="CC68">SUM(SUMIFS(BY$14:BY$1004,BW$14:BW$1004,CB68:CB74,BV$14:BV$1004,CA68:CA74,BX$14:BX$1004,0))</f>
        <v>14.136039999999999</v>
      </c>
      <c r="CH68" s="89">
        <v>71</v>
      </c>
      <c r="CI68" s="2">
        <v>30</v>
      </c>
      <c r="CJ68" s="2">
        <v>0</v>
      </c>
      <c r="CK68" s="2">
        <v>2.2800000000000001E-2</v>
      </c>
      <c r="CL68" s="43" t="s">
        <v>1376</v>
      </c>
      <c r="CM68" s="43">
        <v>92</v>
      </c>
      <c r="CN68" s="43">
        <v>42</v>
      </c>
      <c r="CO68" s="74" cm="1">
        <f t="array" ref="CO68">SUM(SUMIFS(CK$14:CK$1004,CI$14:CI$1004,CN68:CN74,CH$14:CH$1004,CM68:CM74,CJ$14:CJ$1004,0))</f>
        <v>12.624993</v>
      </c>
      <c r="CT68" s="89">
        <v>77</v>
      </c>
      <c r="CU68" s="2">
        <v>29</v>
      </c>
      <c r="CV68" s="2">
        <v>0</v>
      </c>
      <c r="CW68" s="2">
        <v>1E-3</v>
      </c>
      <c r="CX68" s="43" t="s">
        <v>1376</v>
      </c>
      <c r="CY68" s="43">
        <v>92</v>
      </c>
      <c r="CZ68" s="43">
        <v>42</v>
      </c>
      <c r="DA68" s="74" cm="1">
        <f t="array" ref="DA68">SUM(SUMIFS(CW$14:CW$1004,CU$14:CU$1004,CZ68:CZ74,CT$14:CT$1004,CY68:CY74,CV$14:CV$1004,0))</f>
        <v>7.9539349999999995</v>
      </c>
      <c r="DF68" s="89">
        <v>80</v>
      </c>
      <c r="DG68" s="2">
        <v>30</v>
      </c>
      <c r="DH68" s="2">
        <v>0</v>
      </c>
      <c r="DI68" s="2">
        <v>4.0000000000000001E-3</v>
      </c>
      <c r="DJ68" s="43" t="s">
        <v>1376</v>
      </c>
      <c r="DK68" s="43">
        <v>92</v>
      </c>
      <c r="DL68" s="43">
        <v>42</v>
      </c>
      <c r="DM68" s="74" cm="1">
        <f t="array" ref="DM68">SUM(SUMIFS(DI$14:DI$1004,DG$14:DG$1004,DL68:DL74,DF$14:DF$1004,DK68:DK74,DH$14:DH$1004,0))</f>
        <v>16.917384999999999</v>
      </c>
      <c r="DR68" s="89">
        <v>68</v>
      </c>
      <c r="DS68" s="2">
        <v>29</v>
      </c>
      <c r="DT68" s="2">
        <v>0</v>
      </c>
      <c r="DU68" s="2">
        <v>0.30429149999999999</v>
      </c>
      <c r="DV68" s="43" t="s">
        <v>1376</v>
      </c>
      <c r="DW68" s="43">
        <v>92</v>
      </c>
      <c r="DX68" s="43">
        <v>42</v>
      </c>
      <c r="DY68" s="74" cm="1">
        <f t="array" ref="DY68">SUM(SUMIFS(DU$14:DU$1004,DS$14:DS$1004,DX68:DX74,DR$14:DR$1004,DW68:DW74,DT$14:DT$1004,0))</f>
        <v>18.807327999999998</v>
      </c>
      <c r="ED68" s="89">
        <v>69</v>
      </c>
      <c r="EE68" s="2">
        <v>30</v>
      </c>
      <c r="EF68" s="2">
        <v>0</v>
      </c>
      <c r="EG68" s="2">
        <v>1.6910399999999999E-2</v>
      </c>
      <c r="EH68" s="43" t="s">
        <v>1376</v>
      </c>
      <c r="EI68" s="43">
        <v>92</v>
      </c>
      <c r="EJ68" s="43">
        <v>42</v>
      </c>
      <c r="EK68" s="74" cm="1">
        <f t="array" ref="EK68">SUM(SUMIFS(EG$14:EG$1004,EE$14:EE$1004,EJ68:EJ74,ED$14:ED$1004,EI68:EI74,EF$14:EF$1004,0))</f>
        <v>12.921814001</v>
      </c>
      <c r="ES68">
        <v>69</v>
      </c>
      <c r="ET68">
        <v>30</v>
      </c>
      <c r="EU68">
        <v>0</v>
      </c>
      <c r="EV68">
        <v>1.6910399999999999E-2</v>
      </c>
    </row>
    <row r="69" spans="1:152" x14ac:dyDescent="0.4">
      <c r="A69" s="89"/>
      <c r="B69" s="2"/>
      <c r="C69" s="2"/>
      <c r="D69" s="2"/>
      <c r="E69" s="43" t="s">
        <v>1376</v>
      </c>
      <c r="F69" s="43">
        <v>94</v>
      </c>
      <c r="G69" s="43">
        <v>42</v>
      </c>
      <c r="H69" s="74"/>
      <c r="N69" s="89">
        <v>65</v>
      </c>
      <c r="O69" s="2">
        <v>29</v>
      </c>
      <c r="P69" s="2">
        <v>0</v>
      </c>
      <c r="Q69" s="2">
        <v>0.21299999999999999</v>
      </c>
      <c r="R69" s="43" t="s">
        <v>1376</v>
      </c>
      <c r="S69" s="43">
        <v>94</v>
      </c>
      <c r="T69" s="43">
        <v>42</v>
      </c>
      <c r="U69" s="74"/>
      <c r="Z69" s="89">
        <v>70</v>
      </c>
      <c r="AA69" s="2">
        <v>29</v>
      </c>
      <c r="AB69" s="2">
        <v>2</v>
      </c>
      <c r="AC69" s="2">
        <v>4.8648650000000003E-3</v>
      </c>
      <c r="AD69" s="43" t="s">
        <v>1376</v>
      </c>
      <c r="AE69" s="43">
        <v>94</v>
      </c>
      <c r="AF69" s="43">
        <v>42</v>
      </c>
      <c r="AG69" s="74"/>
      <c r="AL69" s="89">
        <v>73</v>
      </c>
      <c r="AM69" s="2">
        <v>29</v>
      </c>
      <c r="AN69" s="2">
        <v>0</v>
      </c>
      <c r="AO69" s="2">
        <v>0.02</v>
      </c>
      <c r="AP69" s="43" t="s">
        <v>1376</v>
      </c>
      <c r="AQ69" s="43">
        <v>94</v>
      </c>
      <c r="AR69" s="43">
        <v>42</v>
      </c>
      <c r="AS69" s="74"/>
      <c r="AX69" s="89">
        <v>73</v>
      </c>
      <c r="AY69" s="2">
        <v>30</v>
      </c>
      <c r="AZ69" s="2">
        <v>1</v>
      </c>
      <c r="BA69" s="2">
        <v>1.2500000000000001E-2</v>
      </c>
      <c r="BB69" s="43" t="s">
        <v>1376</v>
      </c>
      <c r="BC69" s="43">
        <v>94</v>
      </c>
      <c r="BD69" s="43">
        <v>42</v>
      </c>
      <c r="BE69" s="74"/>
      <c r="BJ69" s="89">
        <v>72</v>
      </c>
      <c r="BK69" s="2">
        <v>30</v>
      </c>
      <c r="BL69" s="2">
        <v>0</v>
      </c>
      <c r="BM69" s="2">
        <v>3.5000000000000003E-2</v>
      </c>
      <c r="BN69" s="43" t="s">
        <v>1376</v>
      </c>
      <c r="BO69" s="43">
        <v>94</v>
      </c>
      <c r="BP69" s="43">
        <v>42</v>
      </c>
      <c r="BQ69" s="74"/>
      <c r="BV69" s="89">
        <v>73</v>
      </c>
      <c r="BW69" s="2">
        <v>30</v>
      </c>
      <c r="BX69" s="2">
        <v>2</v>
      </c>
      <c r="BY69" s="2">
        <v>9.6086959999999999E-3</v>
      </c>
      <c r="BZ69" s="43" t="s">
        <v>1376</v>
      </c>
      <c r="CA69" s="43">
        <v>94</v>
      </c>
      <c r="CB69" s="43">
        <v>42</v>
      </c>
      <c r="CC69" s="74"/>
      <c r="CH69" s="89">
        <v>71</v>
      </c>
      <c r="CI69" s="2">
        <v>30</v>
      </c>
      <c r="CJ69" s="2">
        <v>1</v>
      </c>
      <c r="CK69" s="2">
        <v>1.32E-2</v>
      </c>
      <c r="CL69" s="43" t="s">
        <v>1376</v>
      </c>
      <c r="CM69" s="43">
        <v>94</v>
      </c>
      <c r="CN69" s="43">
        <v>42</v>
      </c>
      <c r="CO69" s="74"/>
      <c r="CT69" s="89">
        <v>66</v>
      </c>
      <c r="CU69" s="2">
        <v>30</v>
      </c>
      <c r="CV69" s="2">
        <v>0</v>
      </c>
      <c r="CW69" s="2">
        <v>1.2E-2</v>
      </c>
      <c r="CX69" s="43" t="s">
        <v>1376</v>
      </c>
      <c r="CY69" s="43">
        <v>94</v>
      </c>
      <c r="CZ69" s="43">
        <v>42</v>
      </c>
      <c r="DA69" s="74"/>
      <c r="DF69" s="89">
        <v>81</v>
      </c>
      <c r="DG69" s="2">
        <v>30</v>
      </c>
      <c r="DH69" s="2">
        <v>0</v>
      </c>
      <c r="DI69" s="2">
        <v>1E-3</v>
      </c>
      <c r="DJ69" s="43" t="s">
        <v>1376</v>
      </c>
      <c r="DK69" s="43">
        <v>94</v>
      </c>
      <c r="DL69" s="43">
        <v>42</v>
      </c>
      <c r="DM69" s="74"/>
      <c r="DR69" s="89">
        <v>68</v>
      </c>
      <c r="DS69" s="2">
        <v>29</v>
      </c>
      <c r="DT69" s="2">
        <v>1</v>
      </c>
      <c r="DU69" s="2">
        <v>3.3352939999999998E-2</v>
      </c>
      <c r="DV69" s="43" t="s">
        <v>1376</v>
      </c>
      <c r="DW69" s="43">
        <v>94</v>
      </c>
      <c r="DX69" s="43">
        <v>42</v>
      </c>
      <c r="DY69" s="74"/>
      <c r="ED69" s="89">
        <v>69</v>
      </c>
      <c r="EE69" s="2">
        <v>30</v>
      </c>
      <c r="EF69" s="2">
        <v>1</v>
      </c>
      <c r="EG69" s="2">
        <v>1E-3</v>
      </c>
      <c r="EH69" s="43" t="s">
        <v>1376</v>
      </c>
      <c r="EI69" s="43">
        <v>94</v>
      </c>
      <c r="EJ69" s="43">
        <v>42</v>
      </c>
      <c r="EK69" s="74"/>
      <c r="ES69">
        <v>69</v>
      </c>
      <c r="ET69">
        <v>30</v>
      </c>
      <c r="EU69">
        <v>1</v>
      </c>
      <c r="EV69">
        <v>1E-3</v>
      </c>
    </row>
    <row r="70" spans="1:152" x14ac:dyDescent="0.4">
      <c r="A70" s="89"/>
      <c r="B70" s="2"/>
      <c r="C70" s="2"/>
      <c r="D70" s="2"/>
      <c r="E70" s="43" t="s">
        <v>1376</v>
      </c>
      <c r="F70" s="43">
        <v>95</v>
      </c>
      <c r="G70" s="43">
        <v>42</v>
      </c>
      <c r="H70" s="74"/>
      <c r="N70" s="89">
        <v>66</v>
      </c>
      <c r="O70" s="2">
        <v>29</v>
      </c>
      <c r="P70" s="2">
        <v>0</v>
      </c>
      <c r="Q70" s="2">
        <v>0.28999999999999998</v>
      </c>
      <c r="R70" s="43" t="s">
        <v>1376</v>
      </c>
      <c r="S70" s="43">
        <v>95</v>
      </c>
      <c r="T70" s="43">
        <v>42</v>
      </c>
      <c r="U70" s="74"/>
      <c r="Z70" s="89">
        <v>71</v>
      </c>
      <c r="AA70" s="2">
        <v>29</v>
      </c>
      <c r="AB70" s="2">
        <v>0</v>
      </c>
      <c r="AC70" s="2">
        <v>0.129</v>
      </c>
      <c r="AD70" s="43" t="s">
        <v>1376</v>
      </c>
      <c r="AE70" s="43">
        <v>95</v>
      </c>
      <c r="AF70" s="43">
        <v>42</v>
      </c>
      <c r="AG70" s="74"/>
      <c r="AL70" s="89">
        <v>74</v>
      </c>
      <c r="AM70" s="2">
        <v>29</v>
      </c>
      <c r="AN70" s="2">
        <v>0</v>
      </c>
      <c r="AO70" s="2">
        <v>1.2999999999999999E-2</v>
      </c>
      <c r="AP70" s="43" t="s">
        <v>1376</v>
      </c>
      <c r="AQ70" s="43">
        <v>95</v>
      </c>
      <c r="AR70" s="43">
        <v>42</v>
      </c>
      <c r="AS70" s="74"/>
      <c r="AX70" s="89">
        <v>73</v>
      </c>
      <c r="AY70" s="2">
        <v>30</v>
      </c>
      <c r="AZ70" s="2">
        <v>2</v>
      </c>
      <c r="BA70" s="2">
        <v>1.071429E-2</v>
      </c>
      <c r="BB70" s="43" t="s">
        <v>1376</v>
      </c>
      <c r="BC70" s="43">
        <v>95</v>
      </c>
      <c r="BD70" s="43">
        <v>42</v>
      </c>
      <c r="BE70" s="74"/>
      <c r="BJ70" s="89">
        <v>73</v>
      </c>
      <c r="BK70" s="2">
        <v>30</v>
      </c>
      <c r="BL70" s="2">
        <v>0</v>
      </c>
      <c r="BM70" s="2">
        <v>2.253846E-2</v>
      </c>
      <c r="BN70" s="43" t="s">
        <v>1376</v>
      </c>
      <c r="BO70" s="43">
        <v>95</v>
      </c>
      <c r="BP70" s="43">
        <v>42</v>
      </c>
      <c r="BQ70" s="74"/>
      <c r="BV70" s="89">
        <v>74</v>
      </c>
      <c r="BW70" s="2">
        <v>30</v>
      </c>
      <c r="BX70" s="2">
        <v>0</v>
      </c>
      <c r="BY70" s="2">
        <v>3.3140000000000003E-2</v>
      </c>
      <c r="BZ70" s="43" t="s">
        <v>1376</v>
      </c>
      <c r="CA70" s="43">
        <v>95</v>
      </c>
      <c r="CB70" s="43">
        <v>42</v>
      </c>
      <c r="CC70" s="74"/>
      <c r="CH70" s="89">
        <v>72</v>
      </c>
      <c r="CI70" s="2">
        <v>30</v>
      </c>
      <c r="CJ70" s="2">
        <v>0</v>
      </c>
      <c r="CK70" s="2">
        <v>2.7E-2</v>
      </c>
      <c r="CL70" s="43" t="s">
        <v>1376</v>
      </c>
      <c r="CM70" s="43">
        <v>95</v>
      </c>
      <c r="CN70" s="43">
        <v>42</v>
      </c>
      <c r="CO70" s="74"/>
      <c r="CT70" s="89">
        <v>67</v>
      </c>
      <c r="CU70" s="2">
        <v>30</v>
      </c>
      <c r="CV70" s="2">
        <v>0</v>
      </c>
      <c r="CW70" s="2">
        <v>1.0999999999999999E-2</v>
      </c>
      <c r="CX70" s="43" t="s">
        <v>1376</v>
      </c>
      <c r="CY70" s="43">
        <v>95</v>
      </c>
      <c r="CZ70" s="43">
        <v>42</v>
      </c>
      <c r="DA70" s="74"/>
      <c r="DF70" s="89">
        <v>69</v>
      </c>
      <c r="DG70" s="2">
        <v>31</v>
      </c>
      <c r="DH70" s="2">
        <v>0</v>
      </c>
      <c r="DI70" s="2">
        <v>8.0000000000000002E-3</v>
      </c>
      <c r="DJ70" s="43" t="s">
        <v>1376</v>
      </c>
      <c r="DK70" s="43">
        <v>95</v>
      </c>
      <c r="DL70" s="43">
        <v>42</v>
      </c>
      <c r="DM70" s="74"/>
      <c r="DR70" s="89">
        <v>69</v>
      </c>
      <c r="DS70" s="2">
        <v>29</v>
      </c>
      <c r="DT70" s="2">
        <v>0</v>
      </c>
      <c r="DU70" s="2">
        <v>0.29537210000000003</v>
      </c>
      <c r="DV70" s="43" t="s">
        <v>1376</v>
      </c>
      <c r="DW70" s="43">
        <v>95</v>
      </c>
      <c r="DX70" s="43">
        <v>42</v>
      </c>
      <c r="DY70" s="74"/>
      <c r="ED70" s="89">
        <v>70</v>
      </c>
      <c r="EE70" s="2">
        <v>30</v>
      </c>
      <c r="EF70" s="2">
        <v>0</v>
      </c>
      <c r="EG70" s="2">
        <v>1.2E-2</v>
      </c>
      <c r="EH70" s="43" t="s">
        <v>1376</v>
      </c>
      <c r="EI70" s="43">
        <v>95</v>
      </c>
      <c r="EJ70" s="43">
        <v>42</v>
      </c>
      <c r="EK70" s="74"/>
      <c r="ES70">
        <v>70</v>
      </c>
      <c r="ET70">
        <v>30</v>
      </c>
      <c r="EU70">
        <v>0</v>
      </c>
      <c r="EV70">
        <v>1.2E-2</v>
      </c>
    </row>
    <row r="71" spans="1:152" x14ac:dyDescent="0.4">
      <c r="A71" s="89"/>
      <c r="B71" s="2"/>
      <c r="C71" s="2"/>
      <c r="D71" s="2"/>
      <c r="E71" s="43" t="s">
        <v>1376</v>
      </c>
      <c r="F71" s="43">
        <v>96</v>
      </c>
      <c r="G71" s="43">
        <v>42</v>
      </c>
      <c r="H71" s="74"/>
      <c r="N71" s="89">
        <v>67</v>
      </c>
      <c r="O71" s="2">
        <v>29</v>
      </c>
      <c r="P71" s="2">
        <v>0</v>
      </c>
      <c r="Q71" s="2">
        <v>0.312</v>
      </c>
      <c r="R71" s="43" t="s">
        <v>1376</v>
      </c>
      <c r="S71" s="43">
        <v>96</v>
      </c>
      <c r="T71" s="43">
        <v>42</v>
      </c>
      <c r="U71" s="74"/>
      <c r="Z71" s="89">
        <v>72</v>
      </c>
      <c r="AA71" s="2">
        <v>29</v>
      </c>
      <c r="AB71" s="2">
        <v>0</v>
      </c>
      <c r="AC71" s="2">
        <v>8.8999999999999996E-2</v>
      </c>
      <c r="AD71" s="43" t="s">
        <v>1376</v>
      </c>
      <c r="AE71" s="43">
        <v>96</v>
      </c>
      <c r="AF71" s="43">
        <v>42</v>
      </c>
      <c r="AG71" s="74"/>
      <c r="AL71" s="89">
        <v>75</v>
      </c>
      <c r="AM71" s="2">
        <v>29</v>
      </c>
      <c r="AN71" s="2">
        <v>0</v>
      </c>
      <c r="AO71" s="2">
        <v>1E-3</v>
      </c>
      <c r="AP71" s="43" t="s">
        <v>1376</v>
      </c>
      <c r="AQ71" s="43">
        <v>96</v>
      </c>
      <c r="AR71" s="43">
        <v>42</v>
      </c>
      <c r="AS71" s="74"/>
      <c r="AX71" s="89">
        <v>74</v>
      </c>
      <c r="AY71" s="2">
        <v>30</v>
      </c>
      <c r="AZ71" s="2">
        <v>0</v>
      </c>
      <c r="BA71" s="2">
        <v>2.8209999999999999E-2</v>
      </c>
      <c r="BB71" s="43" t="s">
        <v>1376</v>
      </c>
      <c r="BC71" s="43">
        <v>96</v>
      </c>
      <c r="BD71" s="43">
        <v>42</v>
      </c>
      <c r="BE71" s="74"/>
      <c r="BJ71" s="89">
        <v>73</v>
      </c>
      <c r="BK71" s="2">
        <v>30</v>
      </c>
      <c r="BL71" s="2">
        <v>1</v>
      </c>
      <c r="BM71" s="2">
        <v>1.0500000000000001E-2</v>
      </c>
      <c r="BN71" s="43" t="s">
        <v>1376</v>
      </c>
      <c r="BO71" s="43">
        <v>96</v>
      </c>
      <c r="BP71" s="43">
        <v>42</v>
      </c>
      <c r="BQ71" s="74"/>
      <c r="BV71" s="89">
        <v>75</v>
      </c>
      <c r="BW71" s="2">
        <v>30</v>
      </c>
      <c r="BX71" s="2">
        <v>0</v>
      </c>
      <c r="BY71" s="2">
        <v>2.3040000000000001E-2</v>
      </c>
      <c r="BZ71" s="43" t="s">
        <v>1376</v>
      </c>
      <c r="CA71" s="43">
        <v>96</v>
      </c>
      <c r="CB71" s="43">
        <v>42</v>
      </c>
      <c r="CC71" s="74"/>
      <c r="CH71" s="89">
        <v>73</v>
      </c>
      <c r="CI71" s="2">
        <v>30</v>
      </c>
      <c r="CJ71" s="2">
        <v>0</v>
      </c>
      <c r="CK71" s="2">
        <v>3.1058829999999999E-2</v>
      </c>
      <c r="CL71" s="43" t="s">
        <v>1376</v>
      </c>
      <c r="CM71" s="43">
        <v>96</v>
      </c>
      <c r="CN71" s="43">
        <v>42</v>
      </c>
      <c r="CO71" s="74"/>
      <c r="CT71" s="89">
        <v>68</v>
      </c>
      <c r="CU71" s="2">
        <v>30</v>
      </c>
      <c r="CV71" s="2">
        <v>0</v>
      </c>
      <c r="CW71" s="2">
        <v>1.702E-2</v>
      </c>
      <c r="CX71" s="43" t="s">
        <v>1376</v>
      </c>
      <c r="CY71" s="43">
        <v>96</v>
      </c>
      <c r="CZ71" s="43">
        <v>42</v>
      </c>
      <c r="DA71" s="74"/>
      <c r="DF71" s="89">
        <v>71</v>
      </c>
      <c r="DG71" s="2">
        <v>31</v>
      </c>
      <c r="DH71" s="2">
        <v>0</v>
      </c>
      <c r="DI71" s="2">
        <v>1.9E-2</v>
      </c>
      <c r="DJ71" s="43" t="s">
        <v>1376</v>
      </c>
      <c r="DK71" s="43">
        <v>96</v>
      </c>
      <c r="DL71" s="43">
        <v>42</v>
      </c>
      <c r="DM71" s="74"/>
      <c r="DR71" s="89">
        <v>70</v>
      </c>
      <c r="DS71" s="2">
        <v>29</v>
      </c>
      <c r="DT71" s="2">
        <v>0</v>
      </c>
      <c r="DU71" s="2">
        <v>0.23026659999999999</v>
      </c>
      <c r="DV71" s="43" t="s">
        <v>1376</v>
      </c>
      <c r="DW71" s="43">
        <v>96</v>
      </c>
      <c r="DX71" s="43">
        <v>42</v>
      </c>
      <c r="DY71" s="74"/>
      <c r="ED71" s="89">
        <v>71</v>
      </c>
      <c r="EE71" s="2">
        <v>30</v>
      </c>
      <c r="EF71" s="2">
        <v>0</v>
      </c>
      <c r="EG71" s="2">
        <v>2.4E-2</v>
      </c>
      <c r="EH71" s="43" t="s">
        <v>1376</v>
      </c>
      <c r="EI71" s="43">
        <v>96</v>
      </c>
      <c r="EJ71" s="43">
        <v>42</v>
      </c>
      <c r="EK71" s="74"/>
      <c r="ES71">
        <v>71</v>
      </c>
      <c r="ET71">
        <v>30</v>
      </c>
      <c r="EU71">
        <v>0</v>
      </c>
      <c r="EV71">
        <v>2.4E-2</v>
      </c>
    </row>
    <row r="72" spans="1:152" x14ac:dyDescent="0.4">
      <c r="A72" s="89"/>
      <c r="B72" s="2"/>
      <c r="C72" s="2"/>
      <c r="D72" s="2"/>
      <c r="E72" s="43" t="s">
        <v>1376</v>
      </c>
      <c r="F72" s="43">
        <v>97</v>
      </c>
      <c r="G72" s="43">
        <v>42</v>
      </c>
      <c r="H72" s="74"/>
      <c r="N72" s="89">
        <v>68</v>
      </c>
      <c r="O72" s="2">
        <v>29</v>
      </c>
      <c r="P72" s="2">
        <v>0</v>
      </c>
      <c r="Q72" s="2">
        <v>0.31997409999999998</v>
      </c>
      <c r="R72" s="43" t="s">
        <v>1376</v>
      </c>
      <c r="S72" s="43">
        <v>97</v>
      </c>
      <c r="T72" s="43">
        <v>42</v>
      </c>
      <c r="U72" s="74"/>
      <c r="Z72" s="89">
        <v>73</v>
      </c>
      <c r="AA72" s="2">
        <v>29</v>
      </c>
      <c r="AB72" s="2">
        <v>0</v>
      </c>
      <c r="AC72" s="2">
        <v>6.6000000000000003E-2</v>
      </c>
      <c r="AD72" s="43" t="s">
        <v>1376</v>
      </c>
      <c r="AE72" s="43">
        <v>97</v>
      </c>
      <c r="AF72" s="43">
        <v>42</v>
      </c>
      <c r="AG72" s="74"/>
      <c r="AL72" s="89">
        <v>77</v>
      </c>
      <c r="AM72" s="2">
        <v>29</v>
      </c>
      <c r="AN72" s="2">
        <v>0</v>
      </c>
      <c r="AO72" s="2">
        <v>1E-3</v>
      </c>
      <c r="AP72" s="43" t="s">
        <v>1376</v>
      </c>
      <c r="AQ72" s="43">
        <v>97</v>
      </c>
      <c r="AR72" s="43">
        <v>42</v>
      </c>
      <c r="AS72" s="74"/>
      <c r="AX72" s="89">
        <v>75</v>
      </c>
      <c r="AY72" s="2">
        <v>30</v>
      </c>
      <c r="AZ72" s="2">
        <v>0</v>
      </c>
      <c r="BA72" s="2">
        <v>2.7879999999999999E-2</v>
      </c>
      <c r="BB72" s="43" t="s">
        <v>1376</v>
      </c>
      <c r="BC72" s="43">
        <v>97</v>
      </c>
      <c r="BD72" s="43">
        <v>42</v>
      </c>
      <c r="BE72" s="74"/>
      <c r="BJ72" s="89">
        <v>73</v>
      </c>
      <c r="BK72" s="2">
        <v>30</v>
      </c>
      <c r="BL72" s="2">
        <v>2</v>
      </c>
      <c r="BM72" s="2">
        <v>1.292308E-2</v>
      </c>
      <c r="BN72" s="43" t="s">
        <v>1376</v>
      </c>
      <c r="BO72" s="43">
        <v>97</v>
      </c>
      <c r="BP72" s="43">
        <v>42</v>
      </c>
      <c r="BQ72" s="74"/>
      <c r="BV72" s="89">
        <v>76</v>
      </c>
      <c r="BW72" s="2">
        <v>30</v>
      </c>
      <c r="BX72" s="2">
        <v>0</v>
      </c>
      <c r="BY72" s="2">
        <v>3.4819999999999997E-2</v>
      </c>
      <c r="BZ72" s="43" t="s">
        <v>1376</v>
      </c>
      <c r="CA72" s="43">
        <v>97</v>
      </c>
      <c r="CB72" s="43">
        <v>42</v>
      </c>
      <c r="CC72" s="74"/>
      <c r="CH72" s="89">
        <v>73</v>
      </c>
      <c r="CI72" s="2">
        <v>30</v>
      </c>
      <c r="CJ72" s="2">
        <v>1</v>
      </c>
      <c r="CK72" s="2">
        <v>1.367647E-2</v>
      </c>
      <c r="CL72" s="43" t="s">
        <v>1376</v>
      </c>
      <c r="CM72" s="43">
        <v>97</v>
      </c>
      <c r="CN72" s="43">
        <v>42</v>
      </c>
      <c r="CO72" s="74"/>
      <c r="CT72" s="89">
        <v>69</v>
      </c>
      <c r="CU72" s="2">
        <v>30</v>
      </c>
      <c r="CV72" s="2">
        <v>0</v>
      </c>
      <c r="CW72" s="2">
        <v>1.6979999999999999E-2</v>
      </c>
      <c r="CX72" s="43" t="s">
        <v>1376</v>
      </c>
      <c r="CY72" s="43">
        <v>97</v>
      </c>
      <c r="CZ72" s="43">
        <v>42</v>
      </c>
      <c r="DA72" s="74"/>
      <c r="DF72" s="89">
        <v>72</v>
      </c>
      <c r="DG72" s="2">
        <v>31</v>
      </c>
      <c r="DH72" s="2">
        <v>0</v>
      </c>
      <c r="DI72" s="2">
        <v>2.1000000000000001E-2</v>
      </c>
      <c r="DJ72" s="43" t="s">
        <v>1376</v>
      </c>
      <c r="DK72" s="43">
        <v>97</v>
      </c>
      <c r="DL72" s="43">
        <v>42</v>
      </c>
      <c r="DM72" s="74"/>
      <c r="DR72" s="89">
        <v>70</v>
      </c>
      <c r="DS72" s="2">
        <v>29</v>
      </c>
      <c r="DT72" s="2">
        <v>1</v>
      </c>
      <c r="DU72" s="2">
        <v>0.1780448</v>
      </c>
      <c r="DV72" s="43" t="s">
        <v>1376</v>
      </c>
      <c r="DW72" s="43">
        <v>97</v>
      </c>
      <c r="DX72" s="43">
        <v>42</v>
      </c>
      <c r="DY72" s="74"/>
      <c r="ED72" s="89">
        <v>71</v>
      </c>
      <c r="EE72" s="2">
        <v>30</v>
      </c>
      <c r="EF72" s="2">
        <v>1</v>
      </c>
      <c r="EG72" s="2">
        <v>7.0000009999999996E-3</v>
      </c>
      <c r="EH72" s="43" t="s">
        <v>1376</v>
      </c>
      <c r="EI72" s="43">
        <v>97</v>
      </c>
      <c r="EJ72" s="43">
        <v>42</v>
      </c>
      <c r="EK72" s="74"/>
      <c r="ES72">
        <v>71</v>
      </c>
      <c r="ET72">
        <v>30</v>
      </c>
      <c r="EU72">
        <v>1</v>
      </c>
      <c r="EV72">
        <v>7.0000009999999996E-3</v>
      </c>
    </row>
    <row r="73" spans="1:152" x14ac:dyDescent="0.4">
      <c r="A73" s="89"/>
      <c r="B73" s="2"/>
      <c r="C73" s="2"/>
      <c r="D73" s="2"/>
      <c r="E73" s="43" t="s">
        <v>1376</v>
      </c>
      <c r="F73" s="43">
        <v>98</v>
      </c>
      <c r="G73" s="43">
        <v>42</v>
      </c>
      <c r="H73" s="74"/>
      <c r="N73" s="89">
        <v>68</v>
      </c>
      <c r="O73" s="2">
        <v>29</v>
      </c>
      <c r="P73" s="2">
        <v>1</v>
      </c>
      <c r="Q73" s="2">
        <v>9.5470200000000005E-2</v>
      </c>
      <c r="R73" s="43" t="s">
        <v>1376</v>
      </c>
      <c r="S73" s="43">
        <v>98</v>
      </c>
      <c r="T73" s="43">
        <v>42</v>
      </c>
      <c r="U73" s="74"/>
      <c r="Z73" s="89">
        <v>74</v>
      </c>
      <c r="AA73" s="2">
        <v>29</v>
      </c>
      <c r="AB73" s="2">
        <v>0</v>
      </c>
      <c r="AC73" s="2">
        <v>0.03</v>
      </c>
      <c r="AD73" s="43" t="s">
        <v>1376</v>
      </c>
      <c r="AE73" s="43">
        <v>98</v>
      </c>
      <c r="AF73" s="43">
        <v>42</v>
      </c>
      <c r="AG73" s="74"/>
      <c r="AL73" s="89">
        <v>64</v>
      </c>
      <c r="AM73" s="2">
        <v>30</v>
      </c>
      <c r="AN73" s="2">
        <v>0</v>
      </c>
      <c r="AO73" s="2">
        <v>7.6959999999999995E-4</v>
      </c>
      <c r="AP73" s="43" t="s">
        <v>1376</v>
      </c>
      <c r="AQ73" s="43">
        <v>98</v>
      </c>
      <c r="AR73" s="43">
        <v>42</v>
      </c>
      <c r="AS73" s="74"/>
      <c r="AX73" s="89">
        <v>76</v>
      </c>
      <c r="AY73" s="2">
        <v>30</v>
      </c>
      <c r="AZ73" s="2">
        <v>0</v>
      </c>
      <c r="BA73" s="2">
        <v>4.5909999999999999E-2</v>
      </c>
      <c r="BB73" s="43" t="s">
        <v>1376</v>
      </c>
      <c r="BC73" s="43">
        <v>98</v>
      </c>
      <c r="BD73" s="43">
        <v>42</v>
      </c>
      <c r="BE73" s="74"/>
      <c r="BJ73" s="89">
        <v>74</v>
      </c>
      <c r="BK73" s="2">
        <v>30</v>
      </c>
      <c r="BL73" s="2">
        <v>0</v>
      </c>
      <c r="BM73" s="2">
        <v>3.1E-2</v>
      </c>
      <c r="BN73" s="43" t="s">
        <v>1376</v>
      </c>
      <c r="BO73" s="43">
        <v>98</v>
      </c>
      <c r="BP73" s="43">
        <v>42</v>
      </c>
      <c r="BQ73" s="74"/>
      <c r="BV73" s="89">
        <v>77</v>
      </c>
      <c r="BW73" s="2">
        <v>30</v>
      </c>
      <c r="BX73" s="2">
        <v>0</v>
      </c>
      <c r="BY73" s="2">
        <v>2.0500000000000001E-2</v>
      </c>
      <c r="BZ73" s="43" t="s">
        <v>1376</v>
      </c>
      <c r="CA73" s="43">
        <v>98</v>
      </c>
      <c r="CB73" s="43">
        <v>42</v>
      </c>
      <c r="CC73" s="74"/>
      <c r="CH73" s="89">
        <v>73</v>
      </c>
      <c r="CI73" s="2">
        <v>30</v>
      </c>
      <c r="CJ73" s="2">
        <v>2</v>
      </c>
      <c r="CK73" s="2">
        <v>2.188236E-2</v>
      </c>
      <c r="CL73" s="43" t="s">
        <v>1376</v>
      </c>
      <c r="CM73" s="43">
        <v>98</v>
      </c>
      <c r="CN73" s="43">
        <v>42</v>
      </c>
      <c r="CO73" s="74"/>
      <c r="CT73" s="89">
        <v>70</v>
      </c>
      <c r="CU73" s="2">
        <v>30</v>
      </c>
      <c r="CV73" s="2">
        <v>0</v>
      </c>
      <c r="CW73" s="2">
        <v>2.40041E-2</v>
      </c>
      <c r="CX73" s="43" t="s">
        <v>1376</v>
      </c>
      <c r="CY73" s="43">
        <v>98</v>
      </c>
      <c r="CZ73" s="43">
        <v>42</v>
      </c>
      <c r="DA73" s="74"/>
      <c r="DF73" s="89">
        <v>72</v>
      </c>
      <c r="DG73" s="2">
        <v>31</v>
      </c>
      <c r="DH73" s="2">
        <v>1</v>
      </c>
      <c r="DI73" s="2">
        <v>7.0560000000000002E-4</v>
      </c>
      <c r="DJ73" s="43" t="s">
        <v>1376</v>
      </c>
      <c r="DK73" s="43">
        <v>98</v>
      </c>
      <c r="DL73" s="43">
        <v>42</v>
      </c>
      <c r="DM73" s="74"/>
      <c r="DR73" s="89">
        <v>70</v>
      </c>
      <c r="DS73" s="2">
        <v>29</v>
      </c>
      <c r="DT73" s="2">
        <v>2</v>
      </c>
      <c r="DU73" s="2">
        <v>7.6717950000000004E-3</v>
      </c>
      <c r="DV73" s="43" t="s">
        <v>1376</v>
      </c>
      <c r="DW73" s="43">
        <v>98</v>
      </c>
      <c r="DX73" s="43">
        <v>42</v>
      </c>
      <c r="DY73" s="74"/>
      <c r="ED73" s="89">
        <v>72</v>
      </c>
      <c r="EE73" s="2">
        <v>30</v>
      </c>
      <c r="EF73" s="2">
        <v>0</v>
      </c>
      <c r="EG73" s="2">
        <v>2.1000000000000001E-2</v>
      </c>
      <c r="EH73" s="43" t="s">
        <v>1376</v>
      </c>
      <c r="EI73" s="43">
        <v>98</v>
      </c>
      <c r="EJ73" s="43">
        <v>42</v>
      </c>
      <c r="EK73" s="74"/>
      <c r="ES73">
        <v>72</v>
      </c>
      <c r="ET73">
        <v>30</v>
      </c>
      <c r="EU73">
        <v>0</v>
      </c>
      <c r="EV73">
        <v>2.1000000000000001E-2</v>
      </c>
    </row>
    <row r="74" spans="1:152" x14ac:dyDescent="0.4">
      <c r="A74" s="89"/>
      <c r="B74" s="2"/>
      <c r="C74" s="2"/>
      <c r="D74" s="2"/>
      <c r="E74" s="43" t="s">
        <v>1376</v>
      </c>
      <c r="F74" s="43">
        <v>100</v>
      </c>
      <c r="G74" s="43">
        <v>42</v>
      </c>
      <c r="H74" s="74"/>
      <c r="N74" s="89">
        <v>69</v>
      </c>
      <c r="O74" s="2">
        <v>29</v>
      </c>
      <c r="P74" s="2">
        <v>0</v>
      </c>
      <c r="Q74" s="2">
        <v>0.34475070000000002</v>
      </c>
      <c r="R74" s="43" t="s">
        <v>1376</v>
      </c>
      <c r="S74" s="43">
        <v>100</v>
      </c>
      <c r="T74" s="43">
        <v>42</v>
      </c>
      <c r="U74" s="74"/>
      <c r="Z74" s="89">
        <v>75</v>
      </c>
      <c r="AA74" s="2">
        <v>29</v>
      </c>
      <c r="AB74" s="2">
        <v>0</v>
      </c>
      <c r="AC74" s="2">
        <v>1.2999999999999999E-2</v>
      </c>
      <c r="AD74" s="43" t="s">
        <v>1376</v>
      </c>
      <c r="AE74" s="43">
        <v>100</v>
      </c>
      <c r="AF74" s="43">
        <v>42</v>
      </c>
      <c r="AG74" s="74"/>
      <c r="AL74" s="89">
        <v>65</v>
      </c>
      <c r="AM74" s="2">
        <v>30</v>
      </c>
      <c r="AN74" s="2">
        <v>0</v>
      </c>
      <c r="AO74" s="2">
        <v>1E-3</v>
      </c>
      <c r="AP74" s="43" t="s">
        <v>1376</v>
      </c>
      <c r="AQ74" s="43">
        <v>100</v>
      </c>
      <c r="AR74" s="43">
        <v>42</v>
      </c>
      <c r="AS74" s="74"/>
      <c r="AX74" s="89">
        <v>77</v>
      </c>
      <c r="AY74" s="2">
        <v>30</v>
      </c>
      <c r="AZ74" s="2">
        <v>0</v>
      </c>
      <c r="BA74" s="2">
        <v>2.0500000000000001E-2</v>
      </c>
      <c r="BB74" s="43" t="s">
        <v>1376</v>
      </c>
      <c r="BC74" s="43">
        <v>100</v>
      </c>
      <c r="BD74" s="43">
        <v>42</v>
      </c>
      <c r="BE74" s="74"/>
      <c r="BJ74" s="89">
        <v>75</v>
      </c>
      <c r="BK74" s="2">
        <v>30</v>
      </c>
      <c r="BL74" s="2">
        <v>0</v>
      </c>
      <c r="BM74" s="2">
        <v>1.7999999999999999E-2</v>
      </c>
      <c r="BN74" s="43" t="s">
        <v>1376</v>
      </c>
      <c r="BO74" s="43">
        <v>100</v>
      </c>
      <c r="BP74" s="43">
        <v>42</v>
      </c>
      <c r="BQ74" s="74"/>
      <c r="BV74" s="89">
        <v>77</v>
      </c>
      <c r="BW74" s="2">
        <v>30</v>
      </c>
      <c r="BX74" s="2">
        <v>1</v>
      </c>
      <c r="BY74" s="2">
        <v>1E-3</v>
      </c>
      <c r="BZ74" s="43" t="s">
        <v>1376</v>
      </c>
      <c r="CA74" s="43">
        <v>100</v>
      </c>
      <c r="CB74" s="43">
        <v>42</v>
      </c>
      <c r="CC74" s="74"/>
      <c r="CH74" s="89">
        <v>74</v>
      </c>
      <c r="CI74" s="2">
        <v>30</v>
      </c>
      <c r="CJ74" s="2">
        <v>0</v>
      </c>
      <c r="CK74" s="2">
        <v>2.4E-2</v>
      </c>
      <c r="CL74" s="43" t="s">
        <v>1376</v>
      </c>
      <c r="CM74" s="43">
        <v>100</v>
      </c>
      <c r="CN74" s="43">
        <v>42</v>
      </c>
      <c r="CO74" s="74"/>
      <c r="CT74" s="89">
        <v>71</v>
      </c>
      <c r="CU74" s="2">
        <v>30</v>
      </c>
      <c r="CV74" s="2">
        <v>0</v>
      </c>
      <c r="CW74" s="2">
        <v>2.055556E-2</v>
      </c>
      <c r="CX74" s="43" t="s">
        <v>1376</v>
      </c>
      <c r="CY74" s="43">
        <v>100</v>
      </c>
      <c r="CZ74" s="43">
        <v>42</v>
      </c>
      <c r="DA74" s="74"/>
      <c r="DF74" s="89">
        <v>73</v>
      </c>
      <c r="DG74" s="2">
        <v>31</v>
      </c>
      <c r="DH74" s="2">
        <v>0</v>
      </c>
      <c r="DI74" s="2">
        <v>2.5999999999999999E-2</v>
      </c>
      <c r="DJ74" s="43" t="s">
        <v>1376</v>
      </c>
      <c r="DK74" s="43">
        <v>100</v>
      </c>
      <c r="DL74" s="43">
        <v>42</v>
      </c>
      <c r="DM74" s="74"/>
      <c r="DR74" s="89">
        <v>71</v>
      </c>
      <c r="DS74" s="2">
        <v>29</v>
      </c>
      <c r="DT74" s="2">
        <v>0</v>
      </c>
      <c r="DU74" s="2">
        <v>0.23499999999999999</v>
      </c>
      <c r="DV74" s="43" t="s">
        <v>1376</v>
      </c>
      <c r="DW74" s="43">
        <v>100</v>
      </c>
      <c r="DX74" s="43">
        <v>42</v>
      </c>
      <c r="DY74" s="74"/>
      <c r="ED74" s="89">
        <v>73</v>
      </c>
      <c r="EE74" s="2">
        <v>30</v>
      </c>
      <c r="EF74" s="2">
        <v>0</v>
      </c>
      <c r="EG74" s="2">
        <v>3.033334E-2</v>
      </c>
      <c r="EH74" s="43" t="s">
        <v>1376</v>
      </c>
      <c r="EI74" s="43">
        <v>100</v>
      </c>
      <c r="EJ74" s="43">
        <v>42</v>
      </c>
      <c r="EK74" s="74"/>
      <c r="ES74">
        <v>73</v>
      </c>
      <c r="ET74">
        <v>30</v>
      </c>
      <c r="EU74">
        <v>0</v>
      </c>
      <c r="EV74">
        <v>3.033334E-2</v>
      </c>
    </row>
    <row r="75" spans="1:152" x14ac:dyDescent="0.4">
      <c r="A75" s="89"/>
      <c r="B75" s="2"/>
      <c r="C75" s="2"/>
      <c r="D75" s="2"/>
      <c r="E75" s="42" t="s">
        <v>1358</v>
      </c>
      <c r="F75" s="42">
        <v>97</v>
      </c>
      <c r="G75" s="42">
        <v>43</v>
      </c>
      <c r="H75" s="74" cm="1">
        <f t="array" ref="H75">SUM(SUMIFS(D$14:D$1004,B$14:B$1004,G75:G77,A$14:A$1004,F75:F77,C$14:C$1004,0))</f>
        <v>0</v>
      </c>
      <c r="N75" s="89">
        <v>70</v>
      </c>
      <c r="O75" s="2">
        <v>29</v>
      </c>
      <c r="P75" s="2">
        <v>0</v>
      </c>
      <c r="Q75" s="2">
        <v>0.21738740000000001</v>
      </c>
      <c r="R75" s="42" t="s">
        <v>1358</v>
      </c>
      <c r="S75" s="42">
        <v>97</v>
      </c>
      <c r="T75" s="42">
        <v>43</v>
      </c>
      <c r="U75" s="74" cm="1">
        <f t="array" ref="U75">SUM(SUMIFS(Q$14:Q$1004,O$14:O$1004,T75:T77,N$14:N$1004,S75:S77,P$14:P$1004,0))</f>
        <v>4.3878079999999997</v>
      </c>
      <c r="Z75" s="89">
        <v>76</v>
      </c>
      <c r="AA75" s="2">
        <v>29</v>
      </c>
      <c r="AB75" s="2">
        <v>0</v>
      </c>
      <c r="AC75" s="2">
        <v>7.4999999999999997E-3</v>
      </c>
      <c r="AD75" s="42" t="s">
        <v>1358</v>
      </c>
      <c r="AE75" s="42">
        <v>97</v>
      </c>
      <c r="AF75" s="42">
        <v>43</v>
      </c>
      <c r="AG75" s="74" cm="1">
        <f t="array" ref="AG75">SUM(SUMIFS(AC$14:AC$1004,AA$14:AA$1004,AF75:AF77,Z$14:Z$1004,AE75:AE77,AB$14:AB$1004,0))</f>
        <v>4.5334620000000001</v>
      </c>
      <c r="AL75" s="89">
        <v>66</v>
      </c>
      <c r="AM75" s="2">
        <v>30</v>
      </c>
      <c r="AN75" s="2">
        <v>0</v>
      </c>
      <c r="AO75" s="2">
        <v>0.156</v>
      </c>
      <c r="AP75" s="42" t="s">
        <v>1358</v>
      </c>
      <c r="AQ75" s="42">
        <v>97</v>
      </c>
      <c r="AR75" s="42">
        <v>43</v>
      </c>
      <c r="AS75" s="74" cm="1">
        <f t="array" ref="AS75">SUM(SUMIFS(AO$14:AO$1004,AM$14:AM$1004,AR75:AR77,AL$14:AL$1004,AQ75:AQ77,AN$14:AN$1004,0))</f>
        <v>5.1433450000000001</v>
      </c>
      <c r="AX75" s="89">
        <v>77</v>
      </c>
      <c r="AY75" s="2">
        <v>30</v>
      </c>
      <c r="AZ75" s="2">
        <v>1</v>
      </c>
      <c r="BA75" s="2">
        <v>1E-3</v>
      </c>
      <c r="BB75" s="42" t="s">
        <v>1358</v>
      </c>
      <c r="BC75" s="42">
        <v>97</v>
      </c>
      <c r="BD75" s="42">
        <v>43</v>
      </c>
      <c r="BE75" s="74" cm="1">
        <f t="array" ref="BE75">SUM(SUMIFS(BA$14:BA$1004,AY$14:AY$1004,BD75:BD77,AX$14:AX$1004,BC75:BC77,AZ$14:AZ$1004,0))</f>
        <v>2.824084</v>
      </c>
      <c r="BJ75" s="89">
        <v>76</v>
      </c>
      <c r="BK75" s="2">
        <v>30</v>
      </c>
      <c r="BL75" s="2">
        <v>0</v>
      </c>
      <c r="BM75" s="2">
        <v>1.4999999999999999E-2</v>
      </c>
      <c r="BN75" s="42" t="s">
        <v>1358</v>
      </c>
      <c r="BO75" s="42">
        <v>97</v>
      </c>
      <c r="BP75" s="42">
        <v>43</v>
      </c>
      <c r="BQ75" s="74" cm="1">
        <f t="array" ref="BQ75">SUM(SUMIFS(BM$14:BM$1004,BK$14:BK$1004,BP75:BP77,BJ$14:BJ$1004,BO75:BO77,BL$14:BL$1004,0))</f>
        <v>3.4488309999999998</v>
      </c>
      <c r="BV75" s="89">
        <v>78</v>
      </c>
      <c r="BW75" s="2">
        <v>30</v>
      </c>
      <c r="BX75" s="2">
        <v>0</v>
      </c>
      <c r="BY75" s="2">
        <v>1.2999999999999999E-2</v>
      </c>
      <c r="BZ75" s="42" t="s">
        <v>1358</v>
      </c>
      <c r="CA75" s="42">
        <v>97</v>
      </c>
      <c r="CB75" s="42">
        <v>43</v>
      </c>
      <c r="CC75" s="74" cm="1">
        <f t="array" ref="CC75">SUM(SUMIFS(BY$14:BY$1004,BW$14:BW$1004,CB75:CB77,BV$14:BV$1004,CA75:CA77,BX$14:BX$1004,0))</f>
        <v>3.6444730000000001</v>
      </c>
      <c r="CH75" s="89">
        <v>75</v>
      </c>
      <c r="CI75" s="2">
        <v>30</v>
      </c>
      <c r="CJ75" s="2">
        <v>0</v>
      </c>
      <c r="CK75" s="2">
        <v>1.4999999999999999E-2</v>
      </c>
      <c r="CL75" s="42" t="s">
        <v>1358</v>
      </c>
      <c r="CM75" s="42">
        <v>97</v>
      </c>
      <c r="CN75" s="42">
        <v>43</v>
      </c>
      <c r="CO75" s="74" cm="1">
        <f t="array" ref="CO75">SUM(SUMIFS(CK$14:CK$1004,CI$14:CI$1004,CN75:CN77,CH$14:CH$1004,CM75:CM77,CJ$14:CJ$1004,0))</f>
        <v>3.255239</v>
      </c>
      <c r="CT75" s="89">
        <v>71</v>
      </c>
      <c r="CU75" s="2">
        <v>30</v>
      </c>
      <c r="CV75" s="2">
        <v>1</v>
      </c>
      <c r="CW75" s="2">
        <v>1.2444439999999999E-2</v>
      </c>
      <c r="CX75" s="42" t="s">
        <v>1358</v>
      </c>
      <c r="CY75" s="42">
        <v>97</v>
      </c>
      <c r="CZ75" s="42">
        <v>43</v>
      </c>
      <c r="DA75" s="74" cm="1">
        <f t="array" ref="DA75">SUM(SUMIFS(CW$14:CW$1004,CU$14:CU$1004,CZ75:CZ77,CT$14:CT$1004,CY75:CY77,CV$14:CV$1004,0))</f>
        <v>2.2178659999999999</v>
      </c>
      <c r="DF75" s="89">
        <v>74</v>
      </c>
      <c r="DG75" s="2">
        <v>31</v>
      </c>
      <c r="DH75" s="2">
        <v>0</v>
      </c>
      <c r="DI75" s="2">
        <v>3.3855000000000003E-2</v>
      </c>
      <c r="DJ75" s="42" t="s">
        <v>1358</v>
      </c>
      <c r="DK75" s="42">
        <v>97</v>
      </c>
      <c r="DL75" s="42">
        <v>43</v>
      </c>
      <c r="DM75" s="74" cm="1">
        <f t="array" ref="DM75">SUM(SUMIFS(DI$14:DI$1004,DG$14:DG$1004,DL75:DL77,DF$14:DF$1004,DK75:DK77,DH$14:DH$1004,0))</f>
        <v>4.0668309999999996</v>
      </c>
      <c r="DR75" s="89">
        <v>72</v>
      </c>
      <c r="DS75" s="2">
        <v>29</v>
      </c>
      <c r="DT75" s="2">
        <v>0</v>
      </c>
      <c r="DU75" s="2">
        <v>0.191</v>
      </c>
      <c r="DV75" s="42" t="s">
        <v>1358</v>
      </c>
      <c r="DW75" s="42">
        <v>97</v>
      </c>
      <c r="DX75" s="42">
        <v>43</v>
      </c>
      <c r="DY75" s="74" cm="1">
        <f t="array" ref="DY75">SUM(SUMIFS(DU$14:DU$1004,DS$14:DS$1004,DX75:DX77,DR$14:DR$1004,DW75:DW77,DT$14:DT$1004,0))</f>
        <v>4.7153229999999997</v>
      </c>
      <c r="ED75" s="89">
        <v>73</v>
      </c>
      <c r="EE75" s="2">
        <v>30</v>
      </c>
      <c r="EF75" s="2">
        <v>1</v>
      </c>
      <c r="EG75" s="2">
        <v>1.5305559999999999E-2</v>
      </c>
      <c r="EH75" s="42" t="s">
        <v>1358</v>
      </c>
      <c r="EI75" s="42">
        <v>97</v>
      </c>
      <c r="EJ75" s="42">
        <v>43</v>
      </c>
      <c r="EK75" s="74" cm="1">
        <f t="array" ref="EK75">SUM(SUMIFS(EG$14:EG$1004,EE$14:EE$1004,EJ75:EJ77,ED$14:ED$1004,EI75:EI77,EF$14:EF$1004,0))</f>
        <v>3.3995090000000001</v>
      </c>
      <c r="ES75">
        <v>73</v>
      </c>
      <c r="ET75">
        <v>30</v>
      </c>
      <c r="EU75">
        <v>1</v>
      </c>
      <c r="EV75">
        <v>1.5305559999999999E-2</v>
      </c>
    </row>
    <row r="76" spans="1:152" x14ac:dyDescent="0.4">
      <c r="A76" s="89"/>
      <c r="B76" s="2"/>
      <c r="C76" s="2"/>
      <c r="D76" s="2"/>
      <c r="E76" s="42" t="s">
        <v>1358</v>
      </c>
      <c r="F76" s="42">
        <v>98</v>
      </c>
      <c r="G76" s="42">
        <v>43</v>
      </c>
      <c r="H76" s="74"/>
      <c r="N76" s="89">
        <v>70</v>
      </c>
      <c r="O76" s="2">
        <v>29</v>
      </c>
      <c r="P76" s="2">
        <v>1</v>
      </c>
      <c r="Q76" s="2">
        <v>0.10962719999999999</v>
      </c>
      <c r="R76" s="42" t="s">
        <v>1358</v>
      </c>
      <c r="S76" s="42">
        <v>98</v>
      </c>
      <c r="T76" s="42">
        <v>43</v>
      </c>
      <c r="U76" s="74"/>
      <c r="Z76" s="89">
        <v>76</v>
      </c>
      <c r="AA76" s="2">
        <v>29</v>
      </c>
      <c r="AB76" s="2">
        <v>1</v>
      </c>
      <c r="AC76" s="2">
        <v>5.0000000000000001E-4</v>
      </c>
      <c r="AD76" s="42" t="s">
        <v>1358</v>
      </c>
      <c r="AE76" s="42">
        <v>98</v>
      </c>
      <c r="AF76" s="42">
        <v>43</v>
      </c>
      <c r="AG76" s="74"/>
      <c r="AL76" s="89">
        <v>67</v>
      </c>
      <c r="AM76" s="2">
        <v>30</v>
      </c>
      <c r="AN76" s="2">
        <v>0</v>
      </c>
      <c r="AO76" s="2">
        <v>0.17599999999999999</v>
      </c>
      <c r="AP76" s="42" t="s">
        <v>1358</v>
      </c>
      <c r="AQ76" s="42">
        <v>98</v>
      </c>
      <c r="AR76" s="42">
        <v>43</v>
      </c>
      <c r="AS76" s="74"/>
      <c r="AX76" s="89">
        <v>78</v>
      </c>
      <c r="AY76" s="2">
        <v>30</v>
      </c>
      <c r="AZ76" s="2">
        <v>0</v>
      </c>
      <c r="BA76" s="2">
        <v>1.4999999999999999E-2</v>
      </c>
      <c r="BB76" s="42" t="s">
        <v>1358</v>
      </c>
      <c r="BC76" s="42">
        <v>98</v>
      </c>
      <c r="BD76" s="42">
        <v>43</v>
      </c>
      <c r="BE76" s="74"/>
      <c r="BJ76" s="89">
        <v>77</v>
      </c>
      <c r="BK76" s="2">
        <v>30</v>
      </c>
      <c r="BL76" s="2">
        <v>0</v>
      </c>
      <c r="BM76" s="2">
        <v>8.0000000000000002E-3</v>
      </c>
      <c r="BN76" s="42" t="s">
        <v>1358</v>
      </c>
      <c r="BO76" s="42">
        <v>98</v>
      </c>
      <c r="BP76" s="42">
        <v>43</v>
      </c>
      <c r="BQ76" s="74"/>
      <c r="BV76" s="89">
        <v>79</v>
      </c>
      <c r="BW76" s="2">
        <v>30</v>
      </c>
      <c r="BX76" s="2">
        <v>0</v>
      </c>
      <c r="BY76" s="2">
        <v>4.0000000000000001E-3</v>
      </c>
      <c r="BZ76" s="42" t="s">
        <v>1358</v>
      </c>
      <c r="CA76" s="42">
        <v>98</v>
      </c>
      <c r="CB76" s="42">
        <v>43</v>
      </c>
      <c r="CC76" s="74"/>
      <c r="CH76" s="89">
        <v>76</v>
      </c>
      <c r="CI76" s="2">
        <v>30</v>
      </c>
      <c r="CJ76" s="2">
        <v>0</v>
      </c>
      <c r="CK76" s="2">
        <v>8.0000000000000002E-3</v>
      </c>
      <c r="CL76" s="42" t="s">
        <v>1358</v>
      </c>
      <c r="CM76" s="42">
        <v>98</v>
      </c>
      <c r="CN76" s="42">
        <v>43</v>
      </c>
      <c r="CO76" s="74"/>
      <c r="CT76" s="89">
        <v>72</v>
      </c>
      <c r="CU76" s="2">
        <v>30</v>
      </c>
      <c r="CV76" s="2">
        <v>0</v>
      </c>
      <c r="CW76" s="2">
        <v>3.1E-2</v>
      </c>
      <c r="CX76" s="42" t="s">
        <v>1358</v>
      </c>
      <c r="CY76" s="42">
        <v>98</v>
      </c>
      <c r="CZ76" s="42">
        <v>43</v>
      </c>
      <c r="DA76" s="74"/>
      <c r="DF76" s="89">
        <v>74</v>
      </c>
      <c r="DG76" s="2">
        <v>31</v>
      </c>
      <c r="DH76" s="2">
        <v>1</v>
      </c>
      <c r="DI76" s="2">
        <v>3.7139999999999999E-2</v>
      </c>
      <c r="DJ76" s="42" t="s">
        <v>1358</v>
      </c>
      <c r="DK76" s="42">
        <v>98</v>
      </c>
      <c r="DL76" s="42">
        <v>43</v>
      </c>
      <c r="DM76" s="74"/>
      <c r="DR76" s="89">
        <v>73</v>
      </c>
      <c r="DS76" s="2">
        <v>29</v>
      </c>
      <c r="DT76" s="2">
        <v>0</v>
      </c>
      <c r="DU76" s="2">
        <v>0.154</v>
      </c>
      <c r="DV76" s="42" t="s">
        <v>1358</v>
      </c>
      <c r="DW76" s="42">
        <v>98</v>
      </c>
      <c r="DX76" s="42">
        <v>43</v>
      </c>
      <c r="DY76" s="74"/>
      <c r="ED76" s="89">
        <v>73</v>
      </c>
      <c r="EE76" s="2">
        <v>30</v>
      </c>
      <c r="EF76" s="2">
        <v>2</v>
      </c>
      <c r="EG76" s="2">
        <v>1.9333329999999999E-2</v>
      </c>
      <c r="EH76" s="42" t="s">
        <v>1358</v>
      </c>
      <c r="EI76" s="42">
        <v>98</v>
      </c>
      <c r="EJ76" s="42">
        <v>43</v>
      </c>
      <c r="EK76" s="74"/>
      <c r="ES76">
        <v>73</v>
      </c>
      <c r="ET76">
        <v>30</v>
      </c>
      <c r="EU76">
        <v>2</v>
      </c>
      <c r="EV76">
        <v>1.9333329999999999E-2</v>
      </c>
    </row>
    <row r="77" spans="1:152" x14ac:dyDescent="0.4">
      <c r="A77" s="89"/>
      <c r="B77" s="2"/>
      <c r="C77" s="2"/>
      <c r="D77" s="2"/>
      <c r="E77" s="42" t="s">
        <v>1358</v>
      </c>
      <c r="F77" s="42">
        <v>99</v>
      </c>
      <c r="G77" s="42">
        <v>43</v>
      </c>
      <c r="H77" s="74"/>
      <c r="N77" s="89">
        <v>70</v>
      </c>
      <c r="O77" s="2">
        <v>29</v>
      </c>
      <c r="P77" s="2">
        <v>2</v>
      </c>
      <c r="Q77" s="2">
        <v>1.2453270000000001E-2</v>
      </c>
      <c r="R77" s="42" t="s">
        <v>1358</v>
      </c>
      <c r="S77" s="42">
        <v>99</v>
      </c>
      <c r="T77" s="42">
        <v>43</v>
      </c>
      <c r="U77" s="74"/>
      <c r="Z77" s="89">
        <v>79</v>
      </c>
      <c r="AA77" s="2">
        <v>29</v>
      </c>
      <c r="AB77" s="2">
        <v>0</v>
      </c>
      <c r="AC77" s="2">
        <v>1E-3</v>
      </c>
      <c r="AD77" s="42" t="s">
        <v>1358</v>
      </c>
      <c r="AE77" s="42">
        <v>99</v>
      </c>
      <c r="AF77" s="42">
        <v>43</v>
      </c>
      <c r="AG77" s="74"/>
      <c r="AL77" s="89">
        <v>68</v>
      </c>
      <c r="AM77" s="2">
        <v>30</v>
      </c>
      <c r="AN77" s="2">
        <v>0</v>
      </c>
      <c r="AO77" s="2">
        <v>0.20504</v>
      </c>
      <c r="AP77" s="42" t="s">
        <v>1358</v>
      </c>
      <c r="AQ77" s="42">
        <v>99</v>
      </c>
      <c r="AR77" s="42">
        <v>43</v>
      </c>
      <c r="AS77" s="74"/>
      <c r="AX77" s="89">
        <v>79</v>
      </c>
      <c r="AY77" s="2">
        <v>30</v>
      </c>
      <c r="AZ77" s="2">
        <v>0</v>
      </c>
      <c r="BA77" s="2">
        <v>5.0000000000000001E-3</v>
      </c>
      <c r="BB77" s="42" t="s">
        <v>1358</v>
      </c>
      <c r="BC77" s="42">
        <v>99</v>
      </c>
      <c r="BD77" s="42">
        <v>43</v>
      </c>
      <c r="BE77" s="74"/>
      <c r="BJ77" s="89">
        <v>78</v>
      </c>
      <c r="BK77" s="2">
        <v>30</v>
      </c>
      <c r="BL77" s="2">
        <v>0</v>
      </c>
      <c r="BM77" s="2">
        <v>4.0000000000000001E-3</v>
      </c>
      <c r="BN77" s="42" t="s">
        <v>1358</v>
      </c>
      <c r="BO77" s="42">
        <v>99</v>
      </c>
      <c r="BP77" s="42">
        <v>43</v>
      </c>
      <c r="BQ77" s="74"/>
      <c r="BV77" s="89">
        <v>80</v>
      </c>
      <c r="BW77" s="2">
        <v>30</v>
      </c>
      <c r="BX77" s="2">
        <v>0</v>
      </c>
      <c r="BY77" s="2">
        <v>2E-3</v>
      </c>
      <c r="BZ77" s="42" t="s">
        <v>1358</v>
      </c>
      <c r="CA77" s="42">
        <v>99</v>
      </c>
      <c r="CB77" s="42">
        <v>43</v>
      </c>
      <c r="CC77" s="74"/>
      <c r="CH77" s="89">
        <v>77</v>
      </c>
      <c r="CI77" s="2">
        <v>30</v>
      </c>
      <c r="CJ77" s="2">
        <v>0</v>
      </c>
      <c r="CK77" s="2">
        <v>6.0000009999999996E-3</v>
      </c>
      <c r="CL77" s="42" t="s">
        <v>1358</v>
      </c>
      <c r="CM77" s="42">
        <v>99</v>
      </c>
      <c r="CN77" s="42">
        <v>43</v>
      </c>
      <c r="CO77" s="74"/>
      <c r="CT77" s="89">
        <v>73</v>
      </c>
      <c r="CU77" s="2">
        <v>30</v>
      </c>
      <c r="CV77" s="2">
        <v>0</v>
      </c>
      <c r="CW77" s="2">
        <v>1.841667E-2</v>
      </c>
      <c r="CX77" s="42" t="s">
        <v>1358</v>
      </c>
      <c r="CY77" s="42">
        <v>99</v>
      </c>
      <c r="CZ77" s="42">
        <v>43</v>
      </c>
      <c r="DA77" s="74"/>
      <c r="DF77" s="89">
        <v>75</v>
      </c>
      <c r="DG77" s="2">
        <v>31</v>
      </c>
      <c r="DH77" s="2">
        <v>0</v>
      </c>
      <c r="DI77" s="2">
        <v>3.7100000000000001E-2</v>
      </c>
      <c r="DJ77" s="42" t="s">
        <v>1358</v>
      </c>
      <c r="DK77" s="42">
        <v>99</v>
      </c>
      <c r="DL77" s="42">
        <v>43</v>
      </c>
      <c r="DM77" s="74"/>
      <c r="DR77" s="89">
        <v>74</v>
      </c>
      <c r="DS77" s="2">
        <v>29</v>
      </c>
      <c r="DT77" s="2">
        <v>0</v>
      </c>
      <c r="DU77" s="2">
        <v>7.1015999999999996E-2</v>
      </c>
      <c r="DV77" s="42" t="s">
        <v>1358</v>
      </c>
      <c r="DW77" s="42">
        <v>99</v>
      </c>
      <c r="DX77" s="42">
        <v>43</v>
      </c>
      <c r="DY77" s="74"/>
      <c r="ED77" s="89">
        <v>74</v>
      </c>
      <c r="EE77" s="2">
        <v>30</v>
      </c>
      <c r="EF77" s="2">
        <v>0</v>
      </c>
      <c r="EG77" s="2">
        <v>3.5104999999999997E-2</v>
      </c>
      <c r="EH77" s="42" t="s">
        <v>1358</v>
      </c>
      <c r="EI77" s="42">
        <v>99</v>
      </c>
      <c r="EJ77" s="42">
        <v>43</v>
      </c>
      <c r="EK77" s="74"/>
      <c r="ES77">
        <v>74</v>
      </c>
      <c r="ET77">
        <v>30</v>
      </c>
      <c r="EU77">
        <v>0</v>
      </c>
      <c r="EV77">
        <v>3.5104999999999997E-2</v>
      </c>
    </row>
    <row r="78" spans="1:152" x14ac:dyDescent="0.4">
      <c r="A78" s="89"/>
      <c r="B78" s="2"/>
      <c r="C78" s="2"/>
      <c r="D78" s="2"/>
      <c r="E78" s="43" t="s">
        <v>1357</v>
      </c>
      <c r="F78" s="43">
        <v>96</v>
      </c>
      <c r="G78" s="43">
        <v>44</v>
      </c>
      <c r="H78" s="74" cm="1">
        <f t="array" ref="H78">SUM(SUMIFS(D$14:D$1004,B$14:B$1004,G78:G84,A$14:A$1004,F78:F84,C$14:C$1004,0))</f>
        <v>0</v>
      </c>
      <c r="N78" s="89">
        <v>71</v>
      </c>
      <c r="O78" s="2">
        <v>29</v>
      </c>
      <c r="P78" s="2">
        <v>0</v>
      </c>
      <c r="Q78" s="2">
        <v>0.20599999999999999</v>
      </c>
      <c r="R78" s="43" t="s">
        <v>1357</v>
      </c>
      <c r="S78" s="43">
        <v>96</v>
      </c>
      <c r="T78" s="43">
        <v>44</v>
      </c>
      <c r="U78" s="74" cm="1">
        <f t="array" ref="U78">SUM(SUMIFS(Q$14:Q$1004,O$14:O$1004,T78:T84,N$14:N$1004,S78:S84,P$14:P$1004,0))</f>
        <v>17.38916</v>
      </c>
      <c r="Z78" s="89">
        <v>66</v>
      </c>
      <c r="AA78" s="2">
        <v>30</v>
      </c>
      <c r="AB78" s="2">
        <v>0</v>
      </c>
      <c r="AC78" s="2">
        <v>0.14599999999999999</v>
      </c>
      <c r="AD78" s="43" t="s">
        <v>1357</v>
      </c>
      <c r="AE78" s="43">
        <v>96</v>
      </c>
      <c r="AF78" s="43">
        <v>44</v>
      </c>
      <c r="AG78" s="74" cm="1">
        <f t="array" ref="AG78">SUM(SUMIFS(AC$14:AC$1004,AA$14:AA$1004,AF78:AF84,Z$14:Z$1004,AE78:AE84,AB$14:AB$1004,0))</f>
        <v>18.469723999999999</v>
      </c>
      <c r="AL78" s="89">
        <v>69</v>
      </c>
      <c r="AM78" s="2">
        <v>30</v>
      </c>
      <c r="AN78" s="2">
        <v>0</v>
      </c>
      <c r="AO78" s="2">
        <v>0.18094589999999999</v>
      </c>
      <c r="AP78" s="43" t="s">
        <v>1357</v>
      </c>
      <c r="AQ78" s="43">
        <v>96</v>
      </c>
      <c r="AR78" s="43">
        <v>44</v>
      </c>
      <c r="AS78" s="74" cm="1">
        <f t="array" ref="AS78">SUM(SUMIFS(AO$14:AO$1004,AM$14:AM$1004,AR78:AR84,AL$14:AL$1004,AQ78:AQ84,AN$14:AN$1004,0))</f>
        <v>20.932465000000001</v>
      </c>
      <c r="AX78" s="89">
        <v>80</v>
      </c>
      <c r="AY78" s="2">
        <v>30</v>
      </c>
      <c r="AZ78" s="2">
        <v>0</v>
      </c>
      <c r="BA78" s="2">
        <v>4.0000000000000001E-3</v>
      </c>
      <c r="BB78" s="43" t="s">
        <v>1357</v>
      </c>
      <c r="BC78" s="43">
        <v>96</v>
      </c>
      <c r="BD78" s="43">
        <v>44</v>
      </c>
      <c r="BE78" s="74" cm="1">
        <f t="array" ref="BE78">SUM(SUMIFS(BA$14:BA$1004,AY$14:AY$1004,BD78:BD84,AX$14:AX$1004,BC78:BC84,AZ$14:AZ$1004,0))</f>
        <v>13.359603</v>
      </c>
      <c r="BJ78" s="89">
        <v>79</v>
      </c>
      <c r="BK78" s="2">
        <v>30</v>
      </c>
      <c r="BL78" s="2">
        <v>0</v>
      </c>
      <c r="BM78" s="2">
        <v>1E-3</v>
      </c>
      <c r="BN78" s="43" t="s">
        <v>1357</v>
      </c>
      <c r="BO78" s="43">
        <v>96</v>
      </c>
      <c r="BP78" s="43">
        <v>44</v>
      </c>
      <c r="BQ78" s="74" cm="1">
        <f t="array" ref="BQ78">SUM(SUMIFS(BM$14:BM$1004,BK$14:BK$1004,BP78:BP84,BJ$14:BJ$1004,BO78:BO84,BL$14:BL$1004,0))</f>
        <v>14.864357000000002</v>
      </c>
      <c r="BV78" s="89">
        <v>69</v>
      </c>
      <c r="BW78" s="2">
        <v>31</v>
      </c>
      <c r="BX78" s="2">
        <v>0</v>
      </c>
      <c r="BY78" s="2">
        <v>4.0000000000000001E-3</v>
      </c>
      <c r="BZ78" s="43" t="s">
        <v>1357</v>
      </c>
      <c r="CA78" s="43">
        <v>96</v>
      </c>
      <c r="CB78" s="43">
        <v>44</v>
      </c>
      <c r="CC78" s="74" cm="1">
        <f t="array" ref="CC78">SUM(SUMIFS(BY$14:BY$1004,BW$14:BW$1004,CB78:CB84,BV$14:BV$1004,CA78:CA84,BX$14:BX$1004,0))</f>
        <v>14.905071</v>
      </c>
      <c r="CH78" s="89">
        <v>77</v>
      </c>
      <c r="CI78" s="2">
        <v>30</v>
      </c>
      <c r="CJ78" s="2">
        <v>1</v>
      </c>
      <c r="CK78" s="2">
        <v>2E-3</v>
      </c>
      <c r="CL78" s="43" t="s">
        <v>1357</v>
      </c>
      <c r="CM78" s="43">
        <v>96</v>
      </c>
      <c r="CN78" s="43">
        <v>44</v>
      </c>
      <c r="CO78" s="74" cm="1">
        <f t="array" ref="CO78">SUM(SUMIFS(CK$14:CK$1004,CI$14:CI$1004,CN78:CN84,CH$14:CH$1004,CM78:CM84,CJ$14:CJ$1004,0))</f>
        <v>14.754245000000001</v>
      </c>
      <c r="CT78" s="89">
        <v>73</v>
      </c>
      <c r="CU78" s="2">
        <v>30</v>
      </c>
      <c r="CV78" s="2">
        <v>1</v>
      </c>
      <c r="CW78" s="2">
        <v>5.4999999999999997E-3</v>
      </c>
      <c r="CX78" s="43" t="s">
        <v>1357</v>
      </c>
      <c r="CY78" s="43">
        <v>96</v>
      </c>
      <c r="CZ78" s="43">
        <v>44</v>
      </c>
      <c r="DA78" s="74" cm="1">
        <f t="array" ref="DA78">SUM(SUMIFS(CW$14:CW$1004,CU$14:CU$1004,CZ78:CZ84,CT$14:CT$1004,CY78:CY84,CV$14:CV$1004,0))</f>
        <v>10.773109000000002</v>
      </c>
      <c r="DF78" s="89">
        <v>76</v>
      </c>
      <c r="DG78" s="2">
        <v>31</v>
      </c>
      <c r="DH78" s="2">
        <v>0</v>
      </c>
      <c r="DI78" s="2">
        <v>8.7760000000000005E-2</v>
      </c>
      <c r="DJ78" s="43" t="s">
        <v>1357</v>
      </c>
      <c r="DK78" s="43">
        <v>96</v>
      </c>
      <c r="DL78" s="43">
        <v>44</v>
      </c>
      <c r="DM78" s="74" cm="1">
        <f t="array" ref="DM78">SUM(SUMIFS(DI$14:DI$1004,DG$14:DG$1004,DL78:DL84,DF$14:DF$1004,DK78:DK84,DH$14:DH$1004,0))</f>
        <v>14.326068000999999</v>
      </c>
      <c r="DR78" s="89">
        <v>75</v>
      </c>
      <c r="DS78" s="2">
        <v>29</v>
      </c>
      <c r="DT78" s="2">
        <v>0</v>
      </c>
      <c r="DU78" s="2">
        <v>3.3984E-2</v>
      </c>
      <c r="DV78" s="43" t="s">
        <v>1357</v>
      </c>
      <c r="DW78" s="43">
        <v>96</v>
      </c>
      <c r="DX78" s="43">
        <v>44</v>
      </c>
      <c r="DY78" s="74" cm="1">
        <f t="array" ref="DY78">SUM(SUMIFS(DU$14:DU$1004,DS$14:DS$1004,DX78:DX84,DR$14:DR$1004,DW78:DW84,DT$14:DT$1004,0))</f>
        <v>19.439957</v>
      </c>
      <c r="ED78" s="89">
        <v>75</v>
      </c>
      <c r="EE78" s="2">
        <v>30</v>
      </c>
      <c r="EF78" s="2">
        <v>0</v>
      </c>
      <c r="EG78" s="2">
        <v>2.7924999999999998E-2</v>
      </c>
      <c r="EH78" s="43" t="s">
        <v>1357</v>
      </c>
      <c r="EI78" s="43">
        <v>96</v>
      </c>
      <c r="EJ78" s="43">
        <v>44</v>
      </c>
      <c r="EK78" s="74" cm="1">
        <f t="array" ref="EK78">SUM(SUMIFS(EG$14:EG$1004,EE$14:EE$1004,EJ78:EJ84,ED$14:ED$1004,EI78:EI84,EF$14:EF$1004,0))</f>
        <v>14.947680999999999</v>
      </c>
      <c r="ES78">
        <v>75</v>
      </c>
      <c r="ET78">
        <v>30</v>
      </c>
      <c r="EU78">
        <v>0</v>
      </c>
      <c r="EV78">
        <v>2.7924999999999998E-2</v>
      </c>
    </row>
    <row r="79" spans="1:152" x14ac:dyDescent="0.4">
      <c r="A79" s="89"/>
      <c r="B79" s="2"/>
      <c r="C79" s="2"/>
      <c r="D79" s="2"/>
      <c r="E79" s="43" t="s">
        <v>1357</v>
      </c>
      <c r="F79" s="43">
        <v>98</v>
      </c>
      <c r="G79" s="43">
        <v>44</v>
      </c>
      <c r="H79" s="74"/>
      <c r="N79" s="89">
        <v>72</v>
      </c>
      <c r="O79" s="2">
        <v>29</v>
      </c>
      <c r="P79" s="2">
        <v>0</v>
      </c>
      <c r="Q79" s="2">
        <v>0.12</v>
      </c>
      <c r="R79" s="43" t="s">
        <v>1357</v>
      </c>
      <c r="S79" s="43">
        <v>98</v>
      </c>
      <c r="T79" s="43">
        <v>44</v>
      </c>
      <c r="U79" s="74"/>
      <c r="Z79" s="89">
        <v>67</v>
      </c>
      <c r="AA79" s="2">
        <v>30</v>
      </c>
      <c r="AB79" s="2">
        <v>0</v>
      </c>
      <c r="AC79" s="2">
        <v>0.159</v>
      </c>
      <c r="AD79" s="43" t="s">
        <v>1357</v>
      </c>
      <c r="AE79" s="43">
        <v>98</v>
      </c>
      <c r="AF79" s="43">
        <v>44</v>
      </c>
      <c r="AG79" s="74"/>
      <c r="AL79" s="89">
        <v>69</v>
      </c>
      <c r="AM79" s="2">
        <v>30</v>
      </c>
      <c r="AN79" s="2">
        <v>1</v>
      </c>
      <c r="AO79" s="2">
        <v>4.7E-2</v>
      </c>
      <c r="AP79" s="43" t="s">
        <v>1357</v>
      </c>
      <c r="AQ79" s="43">
        <v>98</v>
      </c>
      <c r="AR79" s="43">
        <v>44</v>
      </c>
      <c r="AS79" s="74"/>
      <c r="AX79" s="89">
        <v>69</v>
      </c>
      <c r="AY79" s="2">
        <v>31</v>
      </c>
      <c r="AZ79" s="2">
        <v>0</v>
      </c>
      <c r="BA79" s="2">
        <v>1.099E-2</v>
      </c>
      <c r="BB79" s="43" t="s">
        <v>1357</v>
      </c>
      <c r="BC79" s="43">
        <v>98</v>
      </c>
      <c r="BD79" s="43">
        <v>44</v>
      </c>
      <c r="BE79" s="74"/>
      <c r="BJ79" s="89">
        <v>80</v>
      </c>
      <c r="BK79" s="2">
        <v>30</v>
      </c>
      <c r="BL79" s="2">
        <v>0</v>
      </c>
      <c r="BM79" s="2">
        <v>1E-3</v>
      </c>
      <c r="BN79" s="43" t="s">
        <v>1357</v>
      </c>
      <c r="BO79" s="43">
        <v>98</v>
      </c>
      <c r="BP79" s="43">
        <v>44</v>
      </c>
      <c r="BQ79" s="74"/>
      <c r="BV79" s="89">
        <v>71</v>
      </c>
      <c r="BW79" s="2">
        <v>31</v>
      </c>
      <c r="BX79" s="2">
        <v>0</v>
      </c>
      <c r="BY79" s="2">
        <v>1.4999999999999999E-2</v>
      </c>
      <c r="BZ79" s="43" t="s">
        <v>1357</v>
      </c>
      <c r="CA79" s="43">
        <v>98</v>
      </c>
      <c r="CB79" s="43">
        <v>44</v>
      </c>
      <c r="CC79" s="74"/>
      <c r="CH79" s="89">
        <v>78</v>
      </c>
      <c r="CI79" s="2">
        <v>30</v>
      </c>
      <c r="CJ79" s="2">
        <v>0</v>
      </c>
      <c r="CK79" s="2">
        <v>4.0000000000000001E-3</v>
      </c>
      <c r="CL79" s="43" t="s">
        <v>1357</v>
      </c>
      <c r="CM79" s="43">
        <v>98</v>
      </c>
      <c r="CN79" s="43">
        <v>44</v>
      </c>
      <c r="CO79" s="74"/>
      <c r="CT79" s="89">
        <v>73</v>
      </c>
      <c r="CU79" s="2">
        <v>30</v>
      </c>
      <c r="CV79" s="2">
        <v>2</v>
      </c>
      <c r="CW79" s="2">
        <v>9.1666669999999999E-3</v>
      </c>
      <c r="CX79" s="43" t="s">
        <v>1357</v>
      </c>
      <c r="CY79" s="43">
        <v>98</v>
      </c>
      <c r="CZ79" s="43">
        <v>44</v>
      </c>
      <c r="DA79" s="74"/>
      <c r="DF79" s="89">
        <v>77</v>
      </c>
      <c r="DG79" s="2">
        <v>31</v>
      </c>
      <c r="DH79" s="2">
        <v>0</v>
      </c>
      <c r="DI79" s="2">
        <v>6.7000000000000004E-2</v>
      </c>
      <c r="DJ79" s="43" t="s">
        <v>1357</v>
      </c>
      <c r="DK79" s="43">
        <v>98</v>
      </c>
      <c r="DL79" s="43">
        <v>44</v>
      </c>
      <c r="DM79" s="74"/>
      <c r="DR79" s="89">
        <v>76</v>
      </c>
      <c r="DS79" s="2">
        <v>29</v>
      </c>
      <c r="DT79" s="2">
        <v>0</v>
      </c>
      <c r="DU79" s="2">
        <v>1.95E-2</v>
      </c>
      <c r="DV79" s="43" t="s">
        <v>1357</v>
      </c>
      <c r="DW79" s="43">
        <v>98</v>
      </c>
      <c r="DX79" s="43">
        <v>44</v>
      </c>
      <c r="DY79" s="74"/>
      <c r="ED79" s="89">
        <v>76</v>
      </c>
      <c r="EE79" s="2">
        <v>30</v>
      </c>
      <c r="EF79" s="2">
        <v>0</v>
      </c>
      <c r="EG79" s="2">
        <v>1.4970000000000001E-2</v>
      </c>
      <c r="EH79" s="43" t="s">
        <v>1357</v>
      </c>
      <c r="EI79" s="43">
        <v>98</v>
      </c>
      <c r="EJ79" s="43">
        <v>44</v>
      </c>
      <c r="EK79" s="74"/>
      <c r="ES79">
        <v>76</v>
      </c>
      <c r="ET79">
        <v>30</v>
      </c>
      <c r="EU79">
        <v>0</v>
      </c>
      <c r="EV79">
        <v>1.4970000000000001E-2</v>
      </c>
    </row>
    <row r="80" spans="1:152" x14ac:dyDescent="0.4">
      <c r="A80" s="89"/>
      <c r="B80" s="2"/>
      <c r="C80" s="2"/>
      <c r="D80" s="2"/>
      <c r="E80" s="43" t="s">
        <v>1357</v>
      </c>
      <c r="F80" s="43">
        <v>99</v>
      </c>
      <c r="G80" s="43">
        <v>44</v>
      </c>
      <c r="H80" s="74"/>
      <c r="N80" s="89">
        <v>73</v>
      </c>
      <c r="O80" s="2">
        <v>29</v>
      </c>
      <c r="P80" s="2">
        <v>0</v>
      </c>
      <c r="Q80" s="2">
        <v>6.2E-2</v>
      </c>
      <c r="R80" s="43" t="s">
        <v>1357</v>
      </c>
      <c r="S80" s="43">
        <v>99</v>
      </c>
      <c r="T80" s="43">
        <v>44</v>
      </c>
      <c r="U80" s="74"/>
      <c r="Z80" s="89">
        <v>68</v>
      </c>
      <c r="AA80" s="2">
        <v>30</v>
      </c>
      <c r="AB80" s="2">
        <v>0</v>
      </c>
      <c r="AC80" s="2">
        <v>0.1822493</v>
      </c>
      <c r="AD80" s="43" t="s">
        <v>1357</v>
      </c>
      <c r="AE80" s="43">
        <v>99</v>
      </c>
      <c r="AF80" s="43">
        <v>44</v>
      </c>
      <c r="AG80" s="74"/>
      <c r="AL80" s="89">
        <v>70</v>
      </c>
      <c r="AM80" s="2">
        <v>30</v>
      </c>
      <c r="AN80" s="2">
        <v>0</v>
      </c>
      <c r="AO80" s="2">
        <v>0.26211889999999999</v>
      </c>
      <c r="AP80" s="43" t="s">
        <v>1357</v>
      </c>
      <c r="AQ80" s="43">
        <v>99</v>
      </c>
      <c r="AR80" s="43">
        <v>44</v>
      </c>
      <c r="AS80" s="74"/>
      <c r="AX80" s="89">
        <v>71</v>
      </c>
      <c r="AY80" s="2">
        <v>31</v>
      </c>
      <c r="AZ80" s="2">
        <v>0</v>
      </c>
      <c r="BA80" s="2">
        <v>1.4E-2</v>
      </c>
      <c r="BB80" s="43" t="s">
        <v>1357</v>
      </c>
      <c r="BC80" s="43">
        <v>99</v>
      </c>
      <c r="BD80" s="43">
        <v>44</v>
      </c>
      <c r="BE80" s="74"/>
      <c r="BJ80" s="89">
        <v>69</v>
      </c>
      <c r="BK80" s="2">
        <v>31</v>
      </c>
      <c r="BL80" s="2">
        <v>0</v>
      </c>
      <c r="BM80" s="2">
        <v>1.1990000000000001E-2</v>
      </c>
      <c r="BN80" s="43" t="s">
        <v>1357</v>
      </c>
      <c r="BO80" s="43">
        <v>99</v>
      </c>
      <c r="BP80" s="43">
        <v>44</v>
      </c>
      <c r="BQ80" s="74"/>
      <c r="BV80" s="89">
        <v>72</v>
      </c>
      <c r="BW80" s="2">
        <v>31</v>
      </c>
      <c r="BX80" s="2">
        <v>0</v>
      </c>
      <c r="BY80" s="2">
        <v>2.3E-2</v>
      </c>
      <c r="BZ80" s="43" t="s">
        <v>1357</v>
      </c>
      <c r="CA80" s="43">
        <v>99</v>
      </c>
      <c r="CB80" s="43">
        <v>44</v>
      </c>
      <c r="CC80" s="74"/>
      <c r="CH80" s="89">
        <v>79</v>
      </c>
      <c r="CI80" s="2">
        <v>30</v>
      </c>
      <c r="CJ80" s="2">
        <v>0</v>
      </c>
      <c r="CK80" s="2">
        <v>1E-3</v>
      </c>
      <c r="CL80" s="43" t="s">
        <v>1357</v>
      </c>
      <c r="CM80" s="43">
        <v>99</v>
      </c>
      <c r="CN80" s="43">
        <v>44</v>
      </c>
      <c r="CO80" s="74"/>
      <c r="CT80" s="89">
        <v>74</v>
      </c>
      <c r="CU80" s="2">
        <v>30</v>
      </c>
      <c r="CV80" s="2">
        <v>0</v>
      </c>
      <c r="CW80" s="2">
        <v>2.3105000000000001E-2</v>
      </c>
      <c r="CX80" s="43" t="s">
        <v>1357</v>
      </c>
      <c r="CY80" s="43">
        <v>99</v>
      </c>
      <c r="CZ80" s="43">
        <v>44</v>
      </c>
      <c r="DA80" s="74"/>
      <c r="DF80" s="89">
        <v>78</v>
      </c>
      <c r="DG80" s="2">
        <v>31</v>
      </c>
      <c r="DH80" s="2">
        <v>0</v>
      </c>
      <c r="DI80" s="2">
        <v>9.8711859999999998E-2</v>
      </c>
      <c r="DJ80" s="43" t="s">
        <v>1357</v>
      </c>
      <c r="DK80" s="43">
        <v>99</v>
      </c>
      <c r="DL80" s="43">
        <v>44</v>
      </c>
      <c r="DM80" s="74"/>
      <c r="DR80" s="89">
        <v>76</v>
      </c>
      <c r="DS80" s="2">
        <v>29</v>
      </c>
      <c r="DT80" s="2">
        <v>1</v>
      </c>
      <c r="DU80" s="2">
        <v>5.0000000000000001E-4</v>
      </c>
      <c r="DV80" s="43" t="s">
        <v>1357</v>
      </c>
      <c r="DW80" s="43">
        <v>99</v>
      </c>
      <c r="DX80" s="43">
        <v>44</v>
      </c>
      <c r="DY80" s="74"/>
      <c r="ED80" s="89">
        <v>77</v>
      </c>
      <c r="EE80" s="2">
        <v>30</v>
      </c>
      <c r="EF80" s="2">
        <v>0</v>
      </c>
      <c r="EG80" s="2">
        <v>1.4500000000000001E-2</v>
      </c>
      <c r="EH80" s="43" t="s">
        <v>1357</v>
      </c>
      <c r="EI80" s="43">
        <v>99</v>
      </c>
      <c r="EJ80" s="43">
        <v>44</v>
      </c>
      <c r="EK80" s="74"/>
      <c r="ES80">
        <v>77</v>
      </c>
      <c r="ET80">
        <v>30</v>
      </c>
      <c r="EU80">
        <v>0</v>
      </c>
      <c r="EV80">
        <v>1.4500000000000001E-2</v>
      </c>
    </row>
    <row r="81" spans="1:152" x14ac:dyDescent="0.4">
      <c r="A81" s="89"/>
      <c r="B81" s="2"/>
      <c r="C81" s="2"/>
      <c r="D81" s="2"/>
      <c r="E81" s="43" t="s">
        <v>1357</v>
      </c>
      <c r="F81" s="43">
        <v>100</v>
      </c>
      <c r="G81" s="43">
        <v>44</v>
      </c>
      <c r="H81" s="74"/>
      <c r="N81" s="89">
        <v>74</v>
      </c>
      <c r="O81" s="2">
        <v>29</v>
      </c>
      <c r="P81" s="2">
        <v>0</v>
      </c>
      <c r="Q81" s="2">
        <v>2.4E-2</v>
      </c>
      <c r="R81" s="43" t="s">
        <v>1357</v>
      </c>
      <c r="S81" s="43">
        <v>100</v>
      </c>
      <c r="T81" s="43">
        <v>44</v>
      </c>
      <c r="U81" s="74"/>
      <c r="Z81" s="89">
        <v>69</v>
      </c>
      <c r="AA81" s="2">
        <v>30</v>
      </c>
      <c r="AB81" s="2">
        <v>0</v>
      </c>
      <c r="AC81" s="2">
        <v>0.24773990000000001</v>
      </c>
      <c r="AD81" s="43" t="s">
        <v>1357</v>
      </c>
      <c r="AE81" s="43">
        <v>100</v>
      </c>
      <c r="AF81" s="43">
        <v>44</v>
      </c>
      <c r="AG81" s="74"/>
      <c r="AL81" s="89">
        <v>71</v>
      </c>
      <c r="AM81" s="2">
        <v>30</v>
      </c>
      <c r="AN81" s="2">
        <v>0</v>
      </c>
      <c r="AO81" s="2">
        <v>0.1232978</v>
      </c>
      <c r="AP81" s="43" t="s">
        <v>1357</v>
      </c>
      <c r="AQ81" s="43">
        <v>100</v>
      </c>
      <c r="AR81" s="43">
        <v>44</v>
      </c>
      <c r="AS81" s="74"/>
      <c r="AX81" s="89">
        <v>72</v>
      </c>
      <c r="AY81" s="2">
        <v>31</v>
      </c>
      <c r="AZ81" s="2">
        <v>0</v>
      </c>
      <c r="BA81" s="2">
        <v>1.7000000000000001E-2</v>
      </c>
      <c r="BB81" s="43" t="s">
        <v>1357</v>
      </c>
      <c r="BC81" s="43">
        <v>100</v>
      </c>
      <c r="BD81" s="43">
        <v>44</v>
      </c>
      <c r="BE81" s="74"/>
      <c r="BJ81" s="89">
        <v>71</v>
      </c>
      <c r="BK81" s="2">
        <v>31</v>
      </c>
      <c r="BL81" s="2">
        <v>0</v>
      </c>
      <c r="BM81" s="2">
        <v>3.2000000000000001E-2</v>
      </c>
      <c r="BN81" s="43" t="s">
        <v>1357</v>
      </c>
      <c r="BO81" s="43">
        <v>100</v>
      </c>
      <c r="BP81" s="43">
        <v>44</v>
      </c>
      <c r="BQ81" s="74"/>
      <c r="BV81" s="89">
        <v>72</v>
      </c>
      <c r="BW81" s="2">
        <v>31</v>
      </c>
      <c r="BX81" s="2">
        <v>1</v>
      </c>
      <c r="BY81" s="2">
        <v>7.3919999999999997E-4</v>
      </c>
      <c r="BZ81" s="43" t="s">
        <v>1357</v>
      </c>
      <c r="CA81" s="43">
        <v>100</v>
      </c>
      <c r="CB81" s="43">
        <v>44</v>
      </c>
      <c r="CC81" s="74"/>
      <c r="CH81" s="89">
        <v>69</v>
      </c>
      <c r="CI81" s="2">
        <v>31</v>
      </c>
      <c r="CJ81" s="2">
        <v>0</v>
      </c>
      <c r="CK81" s="2">
        <v>1.899E-2</v>
      </c>
      <c r="CL81" s="43" t="s">
        <v>1357</v>
      </c>
      <c r="CM81" s="43">
        <v>100</v>
      </c>
      <c r="CN81" s="43">
        <v>44</v>
      </c>
      <c r="CO81" s="74"/>
      <c r="CT81" s="89">
        <v>75</v>
      </c>
      <c r="CU81" s="2">
        <v>30</v>
      </c>
      <c r="CV81" s="2">
        <v>0</v>
      </c>
      <c r="CW81" s="2">
        <v>1.4925000000000001E-2</v>
      </c>
      <c r="CX81" s="43" t="s">
        <v>1357</v>
      </c>
      <c r="CY81" s="43">
        <v>100</v>
      </c>
      <c r="CZ81" s="43">
        <v>44</v>
      </c>
      <c r="DA81" s="74"/>
      <c r="DF81" s="89">
        <v>79</v>
      </c>
      <c r="DG81" s="2">
        <v>31</v>
      </c>
      <c r="DH81" s="2">
        <v>0</v>
      </c>
      <c r="DI81" s="2">
        <v>0.1022882</v>
      </c>
      <c r="DJ81" s="43" t="s">
        <v>1357</v>
      </c>
      <c r="DK81" s="43">
        <v>100</v>
      </c>
      <c r="DL81" s="43">
        <v>44</v>
      </c>
      <c r="DM81" s="74"/>
      <c r="DR81" s="89">
        <v>77</v>
      </c>
      <c r="DS81" s="2">
        <v>29</v>
      </c>
      <c r="DT81" s="2">
        <v>0</v>
      </c>
      <c r="DU81" s="2">
        <v>8.0000000000000002E-3</v>
      </c>
      <c r="DV81" s="43" t="s">
        <v>1357</v>
      </c>
      <c r="DW81" s="43">
        <v>100</v>
      </c>
      <c r="DX81" s="43">
        <v>44</v>
      </c>
      <c r="DY81" s="74"/>
      <c r="ED81" s="89">
        <v>77</v>
      </c>
      <c r="EE81" s="2">
        <v>30</v>
      </c>
      <c r="EF81" s="2">
        <v>1</v>
      </c>
      <c r="EG81" s="2">
        <v>1E-3</v>
      </c>
      <c r="EH81" s="43" t="s">
        <v>1357</v>
      </c>
      <c r="EI81" s="43">
        <v>100</v>
      </c>
      <c r="EJ81" s="43">
        <v>44</v>
      </c>
      <c r="EK81" s="74"/>
      <c r="ES81">
        <v>77</v>
      </c>
      <c r="ET81">
        <v>30</v>
      </c>
      <c r="EU81">
        <v>1</v>
      </c>
      <c r="EV81">
        <v>1E-3</v>
      </c>
    </row>
    <row r="82" spans="1:152" x14ac:dyDescent="0.4">
      <c r="A82" s="89"/>
      <c r="B82" s="2"/>
      <c r="C82" s="2"/>
      <c r="D82" s="2"/>
      <c r="E82" s="43" t="s">
        <v>1357</v>
      </c>
      <c r="F82" s="43">
        <v>101</v>
      </c>
      <c r="G82" s="43">
        <v>44</v>
      </c>
      <c r="H82" s="74"/>
      <c r="N82" s="89">
        <v>75</v>
      </c>
      <c r="O82" s="2">
        <v>29</v>
      </c>
      <c r="P82" s="2">
        <v>0</v>
      </c>
      <c r="Q82" s="2">
        <v>1.0999999999999999E-2</v>
      </c>
      <c r="R82" s="43" t="s">
        <v>1357</v>
      </c>
      <c r="S82" s="43">
        <v>101</v>
      </c>
      <c r="T82" s="43">
        <v>44</v>
      </c>
      <c r="U82" s="74"/>
      <c r="Z82" s="89">
        <v>69</v>
      </c>
      <c r="AA82" s="2">
        <v>30</v>
      </c>
      <c r="AB82" s="2">
        <v>1</v>
      </c>
      <c r="AC82" s="2">
        <v>3.5999999999999997E-2</v>
      </c>
      <c r="AD82" s="43" t="s">
        <v>1357</v>
      </c>
      <c r="AE82" s="43">
        <v>101</v>
      </c>
      <c r="AF82" s="43">
        <v>44</v>
      </c>
      <c r="AG82" s="74"/>
      <c r="AL82" s="89">
        <v>71</v>
      </c>
      <c r="AM82" s="2">
        <v>30</v>
      </c>
      <c r="AN82" s="2">
        <v>1</v>
      </c>
      <c r="AO82" s="2">
        <v>0.13070229999999999</v>
      </c>
      <c r="AP82" s="43" t="s">
        <v>1357</v>
      </c>
      <c r="AQ82" s="43">
        <v>101</v>
      </c>
      <c r="AR82" s="43">
        <v>44</v>
      </c>
      <c r="AS82" s="74"/>
      <c r="AX82" s="89">
        <v>72</v>
      </c>
      <c r="AY82" s="2">
        <v>31</v>
      </c>
      <c r="AZ82" s="2">
        <v>1</v>
      </c>
      <c r="BA82" s="2">
        <v>5.3759999999999995E-4</v>
      </c>
      <c r="BB82" s="43" t="s">
        <v>1357</v>
      </c>
      <c r="BC82" s="43">
        <v>101</v>
      </c>
      <c r="BD82" s="43">
        <v>44</v>
      </c>
      <c r="BE82" s="74"/>
      <c r="BJ82" s="89">
        <v>72</v>
      </c>
      <c r="BK82" s="2">
        <v>31</v>
      </c>
      <c r="BL82" s="2">
        <v>0</v>
      </c>
      <c r="BM82" s="2">
        <v>3.5999999999999997E-2</v>
      </c>
      <c r="BN82" s="43" t="s">
        <v>1357</v>
      </c>
      <c r="BO82" s="43">
        <v>101</v>
      </c>
      <c r="BP82" s="43">
        <v>44</v>
      </c>
      <c r="BQ82" s="74"/>
      <c r="BV82" s="89">
        <v>73</v>
      </c>
      <c r="BW82" s="2">
        <v>31</v>
      </c>
      <c r="BX82" s="2">
        <v>0</v>
      </c>
      <c r="BY82" s="2">
        <v>0.03</v>
      </c>
      <c r="BZ82" s="43" t="s">
        <v>1357</v>
      </c>
      <c r="CA82" s="43">
        <v>101</v>
      </c>
      <c r="CB82" s="43">
        <v>44</v>
      </c>
      <c r="CC82" s="74"/>
      <c r="CH82" s="89">
        <v>70</v>
      </c>
      <c r="CI82" s="2">
        <v>31</v>
      </c>
      <c r="CJ82" s="2">
        <v>0</v>
      </c>
      <c r="CK82" s="2">
        <v>1E-3</v>
      </c>
      <c r="CL82" s="43" t="s">
        <v>1357</v>
      </c>
      <c r="CM82" s="43">
        <v>101</v>
      </c>
      <c r="CN82" s="43">
        <v>44</v>
      </c>
      <c r="CO82" s="74"/>
      <c r="CT82" s="89">
        <v>76</v>
      </c>
      <c r="CU82" s="2">
        <v>30</v>
      </c>
      <c r="CV82" s="2">
        <v>0</v>
      </c>
      <c r="CW82" s="2">
        <v>1.4970000000000001E-2</v>
      </c>
      <c r="CX82" s="43" t="s">
        <v>1357</v>
      </c>
      <c r="CY82" s="43">
        <v>101</v>
      </c>
      <c r="CZ82" s="43">
        <v>44</v>
      </c>
      <c r="DA82" s="74"/>
      <c r="DF82" s="89">
        <v>80</v>
      </c>
      <c r="DG82" s="2">
        <v>31</v>
      </c>
      <c r="DH82" s="2">
        <v>0</v>
      </c>
      <c r="DI82" s="2">
        <v>5.3074999999999997E-2</v>
      </c>
      <c r="DJ82" s="43" t="s">
        <v>1357</v>
      </c>
      <c r="DK82" s="43">
        <v>101</v>
      </c>
      <c r="DL82" s="43">
        <v>44</v>
      </c>
      <c r="DM82" s="74"/>
      <c r="DR82" s="89">
        <v>78</v>
      </c>
      <c r="DS82" s="2">
        <v>29</v>
      </c>
      <c r="DT82" s="2">
        <v>0</v>
      </c>
      <c r="DU82" s="2">
        <v>3.0000000000000001E-3</v>
      </c>
      <c r="DV82" s="43" t="s">
        <v>1357</v>
      </c>
      <c r="DW82" s="43">
        <v>101</v>
      </c>
      <c r="DX82" s="43">
        <v>44</v>
      </c>
      <c r="DY82" s="74"/>
      <c r="ED82" s="89">
        <v>78</v>
      </c>
      <c r="EE82" s="2">
        <v>30</v>
      </c>
      <c r="EF82" s="2">
        <v>0</v>
      </c>
      <c r="EG82" s="2">
        <v>7.0000000000000001E-3</v>
      </c>
      <c r="EH82" s="43" t="s">
        <v>1357</v>
      </c>
      <c r="EI82" s="43">
        <v>101</v>
      </c>
      <c r="EJ82" s="43">
        <v>44</v>
      </c>
      <c r="EK82" s="74"/>
      <c r="ES82">
        <v>78</v>
      </c>
      <c r="ET82">
        <v>30</v>
      </c>
      <c r="EU82">
        <v>0</v>
      </c>
      <c r="EV82">
        <v>7.0000000000000001E-3</v>
      </c>
    </row>
    <row r="83" spans="1:152" x14ac:dyDescent="0.4">
      <c r="A83" s="89"/>
      <c r="B83" s="2"/>
      <c r="C83" s="2"/>
      <c r="D83" s="2"/>
      <c r="E83" s="43" t="s">
        <v>1357</v>
      </c>
      <c r="F83" s="43">
        <v>102</v>
      </c>
      <c r="G83" s="43">
        <v>44</v>
      </c>
      <c r="H83" s="74"/>
      <c r="N83" s="89">
        <v>76</v>
      </c>
      <c r="O83" s="2">
        <v>29</v>
      </c>
      <c r="P83" s="2">
        <v>0</v>
      </c>
      <c r="Q83" s="2">
        <v>3.0000000000000001E-3</v>
      </c>
      <c r="R83" s="43" t="s">
        <v>1357</v>
      </c>
      <c r="S83" s="43">
        <v>102</v>
      </c>
      <c r="T83" s="43">
        <v>44</v>
      </c>
      <c r="U83" s="74"/>
      <c r="Z83" s="89">
        <v>70</v>
      </c>
      <c r="AA83" s="2">
        <v>30</v>
      </c>
      <c r="AB83" s="2">
        <v>0</v>
      </c>
      <c r="AC83" s="2">
        <v>0.26903280000000002</v>
      </c>
      <c r="AD83" s="43" t="s">
        <v>1357</v>
      </c>
      <c r="AE83" s="43">
        <v>102</v>
      </c>
      <c r="AF83" s="43">
        <v>44</v>
      </c>
      <c r="AG83" s="74"/>
      <c r="AL83" s="89">
        <v>72</v>
      </c>
      <c r="AM83" s="2">
        <v>30</v>
      </c>
      <c r="AN83" s="2">
        <v>0</v>
      </c>
      <c r="AO83" s="2">
        <v>0.26500000000000001</v>
      </c>
      <c r="AP83" s="43" t="s">
        <v>1357</v>
      </c>
      <c r="AQ83" s="43">
        <v>102</v>
      </c>
      <c r="AR83" s="43">
        <v>44</v>
      </c>
      <c r="AS83" s="74"/>
      <c r="AX83" s="89">
        <v>73</v>
      </c>
      <c r="AY83" s="2">
        <v>31</v>
      </c>
      <c r="AZ83" s="2">
        <v>0</v>
      </c>
      <c r="BA83" s="2">
        <v>4.1000000000000002E-2</v>
      </c>
      <c r="BB83" s="43" t="s">
        <v>1357</v>
      </c>
      <c r="BC83" s="43">
        <v>102</v>
      </c>
      <c r="BD83" s="43">
        <v>44</v>
      </c>
      <c r="BE83" s="74"/>
      <c r="BJ83" s="89">
        <v>72</v>
      </c>
      <c r="BK83" s="2">
        <v>31</v>
      </c>
      <c r="BL83" s="2">
        <v>1</v>
      </c>
      <c r="BM83" s="2">
        <v>1.176E-3</v>
      </c>
      <c r="BN83" s="43" t="s">
        <v>1357</v>
      </c>
      <c r="BO83" s="43">
        <v>102</v>
      </c>
      <c r="BP83" s="43">
        <v>44</v>
      </c>
      <c r="BQ83" s="74"/>
      <c r="BV83" s="89">
        <v>74</v>
      </c>
      <c r="BW83" s="2">
        <v>31</v>
      </c>
      <c r="BX83" s="2">
        <v>0</v>
      </c>
      <c r="BY83" s="2">
        <v>3.7622860000000001E-2</v>
      </c>
      <c r="BZ83" s="43" t="s">
        <v>1357</v>
      </c>
      <c r="CA83" s="43">
        <v>102</v>
      </c>
      <c r="CB83" s="43">
        <v>44</v>
      </c>
      <c r="CC83" s="74"/>
      <c r="CH83" s="89">
        <v>71</v>
      </c>
      <c r="CI83" s="2">
        <v>31</v>
      </c>
      <c r="CJ83" s="2">
        <v>0</v>
      </c>
      <c r="CK83" s="2">
        <v>4.2000000000000003E-2</v>
      </c>
      <c r="CL83" s="43" t="s">
        <v>1357</v>
      </c>
      <c r="CM83" s="43">
        <v>102</v>
      </c>
      <c r="CN83" s="43">
        <v>44</v>
      </c>
      <c r="CO83" s="74"/>
      <c r="CT83" s="89">
        <v>77</v>
      </c>
      <c r="CU83" s="2">
        <v>30</v>
      </c>
      <c r="CV83" s="2">
        <v>0</v>
      </c>
      <c r="CW83" s="2">
        <v>1.2E-2</v>
      </c>
      <c r="CX83" s="43" t="s">
        <v>1357</v>
      </c>
      <c r="CY83" s="43">
        <v>102</v>
      </c>
      <c r="CZ83" s="43">
        <v>44</v>
      </c>
      <c r="DA83" s="74"/>
      <c r="DF83" s="89">
        <v>81</v>
      </c>
      <c r="DG83" s="2">
        <v>31</v>
      </c>
      <c r="DH83" s="2">
        <v>0</v>
      </c>
      <c r="DI83" s="2">
        <v>2.8924999999999999E-2</v>
      </c>
      <c r="DJ83" s="43" t="s">
        <v>1357</v>
      </c>
      <c r="DK83" s="43">
        <v>102</v>
      </c>
      <c r="DL83" s="43">
        <v>44</v>
      </c>
      <c r="DM83" s="74"/>
      <c r="DR83" s="89">
        <v>66</v>
      </c>
      <c r="DS83" s="2">
        <v>30</v>
      </c>
      <c r="DT83" s="2">
        <v>0</v>
      </c>
      <c r="DU83" s="2">
        <v>0.20899999999999999</v>
      </c>
      <c r="DV83" s="43" t="s">
        <v>1357</v>
      </c>
      <c r="DW83" s="43">
        <v>102</v>
      </c>
      <c r="DX83" s="43">
        <v>44</v>
      </c>
      <c r="DY83" s="74"/>
      <c r="ED83" s="89">
        <v>80</v>
      </c>
      <c r="EE83" s="2">
        <v>30</v>
      </c>
      <c r="EF83" s="2">
        <v>0</v>
      </c>
      <c r="EG83" s="2">
        <v>2E-3</v>
      </c>
      <c r="EH83" s="43" t="s">
        <v>1357</v>
      </c>
      <c r="EI83" s="43">
        <v>102</v>
      </c>
      <c r="EJ83" s="43">
        <v>44</v>
      </c>
      <c r="EK83" s="74"/>
      <c r="ES83">
        <v>80</v>
      </c>
      <c r="ET83">
        <v>30</v>
      </c>
      <c r="EU83">
        <v>0</v>
      </c>
      <c r="EV83">
        <v>2E-3</v>
      </c>
    </row>
    <row r="84" spans="1:152" x14ac:dyDescent="0.4">
      <c r="A84" s="89"/>
      <c r="B84" s="2"/>
      <c r="C84" s="2"/>
      <c r="D84" s="2"/>
      <c r="E84" s="43" t="s">
        <v>1357</v>
      </c>
      <c r="F84" s="43">
        <v>104</v>
      </c>
      <c r="G84" s="43">
        <v>44</v>
      </c>
      <c r="H84" s="74"/>
      <c r="N84" s="89">
        <v>77</v>
      </c>
      <c r="O84" s="2">
        <v>29</v>
      </c>
      <c r="P84" s="2">
        <v>0</v>
      </c>
      <c r="Q84" s="2">
        <v>4.0000000000000001E-3</v>
      </c>
      <c r="R84" s="43" t="s">
        <v>1357</v>
      </c>
      <c r="S84" s="43">
        <v>104</v>
      </c>
      <c r="T84" s="43">
        <v>44</v>
      </c>
      <c r="U84" s="74"/>
      <c r="Z84" s="89">
        <v>71</v>
      </c>
      <c r="AA84" s="2">
        <v>30</v>
      </c>
      <c r="AB84" s="2">
        <v>0</v>
      </c>
      <c r="AC84" s="2">
        <v>0.15670629999999999</v>
      </c>
      <c r="AD84" s="43" t="s">
        <v>1357</v>
      </c>
      <c r="AE84" s="43">
        <v>104</v>
      </c>
      <c r="AF84" s="43">
        <v>44</v>
      </c>
      <c r="AG84" s="74"/>
      <c r="AL84" s="89">
        <v>73</v>
      </c>
      <c r="AM84" s="2">
        <v>30</v>
      </c>
      <c r="AN84" s="2">
        <v>0</v>
      </c>
      <c r="AO84" s="2">
        <v>0.1194286</v>
      </c>
      <c r="AP84" s="43" t="s">
        <v>1357</v>
      </c>
      <c r="AQ84" s="43">
        <v>104</v>
      </c>
      <c r="AR84" s="43">
        <v>44</v>
      </c>
      <c r="AS84" s="74"/>
      <c r="AX84" s="89">
        <v>74</v>
      </c>
      <c r="AY84" s="2">
        <v>31</v>
      </c>
      <c r="AZ84" s="2">
        <v>0</v>
      </c>
      <c r="BA84" s="2">
        <v>3.3461070000000002E-2</v>
      </c>
      <c r="BB84" s="43" t="s">
        <v>1357</v>
      </c>
      <c r="BC84" s="43">
        <v>104</v>
      </c>
      <c r="BD84" s="43">
        <v>44</v>
      </c>
      <c r="BE84" s="74"/>
      <c r="BJ84" s="89">
        <v>73</v>
      </c>
      <c r="BK84" s="2">
        <v>31</v>
      </c>
      <c r="BL84" s="2">
        <v>0</v>
      </c>
      <c r="BM84" s="2">
        <v>3.5999999999999997E-2</v>
      </c>
      <c r="BN84" s="43" t="s">
        <v>1357</v>
      </c>
      <c r="BO84" s="43">
        <v>104</v>
      </c>
      <c r="BP84" s="43">
        <v>44</v>
      </c>
      <c r="BQ84" s="74"/>
      <c r="BV84" s="89">
        <v>74</v>
      </c>
      <c r="BW84" s="2">
        <v>31</v>
      </c>
      <c r="BX84" s="2">
        <v>1</v>
      </c>
      <c r="BY84" s="2">
        <v>3.4068569999999999E-2</v>
      </c>
      <c r="BZ84" s="43" t="s">
        <v>1357</v>
      </c>
      <c r="CA84" s="43">
        <v>104</v>
      </c>
      <c r="CB84" s="43">
        <v>44</v>
      </c>
      <c r="CC84" s="74"/>
      <c r="CH84" s="89">
        <v>72</v>
      </c>
      <c r="CI84" s="2">
        <v>31</v>
      </c>
      <c r="CJ84" s="2">
        <v>0</v>
      </c>
      <c r="CK84" s="2">
        <v>3.7999999999999999E-2</v>
      </c>
      <c r="CL84" s="43" t="s">
        <v>1357</v>
      </c>
      <c r="CM84" s="43">
        <v>104</v>
      </c>
      <c r="CN84" s="43">
        <v>44</v>
      </c>
      <c r="CO84" s="74"/>
      <c r="CT84" s="89">
        <v>78</v>
      </c>
      <c r="CU84" s="2">
        <v>30</v>
      </c>
      <c r="CV84" s="2">
        <v>0</v>
      </c>
      <c r="CW84" s="2">
        <v>2E-3</v>
      </c>
      <c r="CX84" s="43" t="s">
        <v>1357</v>
      </c>
      <c r="CY84" s="43">
        <v>104</v>
      </c>
      <c r="CZ84" s="43">
        <v>44</v>
      </c>
      <c r="DA84" s="74"/>
      <c r="DF84" s="89">
        <v>82</v>
      </c>
      <c r="DG84" s="2">
        <v>31</v>
      </c>
      <c r="DH84" s="2">
        <v>0</v>
      </c>
      <c r="DI84" s="2">
        <v>4.0000000000000001E-3</v>
      </c>
      <c r="DJ84" s="43" t="s">
        <v>1357</v>
      </c>
      <c r="DK84" s="43">
        <v>104</v>
      </c>
      <c r="DL84" s="43">
        <v>44</v>
      </c>
      <c r="DM84" s="74"/>
      <c r="DR84" s="89">
        <v>67</v>
      </c>
      <c r="DS84" s="2">
        <v>30</v>
      </c>
      <c r="DT84" s="2">
        <v>0</v>
      </c>
      <c r="DU84" s="2">
        <v>0.23200000000000001</v>
      </c>
      <c r="DV84" s="43" t="s">
        <v>1357</v>
      </c>
      <c r="DW84" s="43">
        <v>104</v>
      </c>
      <c r="DX84" s="43">
        <v>44</v>
      </c>
      <c r="DY84" s="74"/>
      <c r="ED84" s="89">
        <v>69</v>
      </c>
      <c r="EE84" s="2">
        <v>31</v>
      </c>
      <c r="EF84" s="2">
        <v>0</v>
      </c>
      <c r="EG84" s="2">
        <v>1.6910700000000001E-2</v>
      </c>
      <c r="EH84" s="43" t="s">
        <v>1357</v>
      </c>
      <c r="EI84" s="43">
        <v>104</v>
      </c>
      <c r="EJ84" s="43">
        <v>44</v>
      </c>
      <c r="EK84" s="74"/>
      <c r="ES84">
        <v>69</v>
      </c>
      <c r="ET84">
        <v>31</v>
      </c>
      <c r="EU84">
        <v>0</v>
      </c>
      <c r="EV84">
        <v>1.6910700000000001E-2</v>
      </c>
    </row>
    <row r="85" spans="1:152" x14ac:dyDescent="0.4">
      <c r="A85" s="89"/>
      <c r="B85" s="2"/>
      <c r="C85" s="2"/>
      <c r="D85" s="2"/>
      <c r="E85" s="42" t="s">
        <v>548</v>
      </c>
      <c r="F85" s="42">
        <v>106</v>
      </c>
      <c r="G85" s="42">
        <v>44</v>
      </c>
      <c r="H85" s="74">
        <f>SUM(SUMIFS(D$14:D$1004,B$14:B$1004,G85,A$14:A$1004,F85,C$14:C$1004,0))</f>
        <v>0</v>
      </c>
      <c r="N85" s="89">
        <v>64</v>
      </c>
      <c r="O85" s="2">
        <v>30</v>
      </c>
      <c r="P85" s="2">
        <v>0</v>
      </c>
      <c r="Q85" s="2">
        <v>3.8479999999999997E-4</v>
      </c>
      <c r="R85" s="42" t="s">
        <v>548</v>
      </c>
      <c r="S85" s="42">
        <v>106</v>
      </c>
      <c r="T85" s="42">
        <v>44</v>
      </c>
      <c r="U85" s="74">
        <f>SUM(SUMIFS(Q$14:Q$1004,O$14:O$1004,T85,N$14:N$1004,S85,P$14:P$1004,0))</f>
        <v>2.8686250000000002</v>
      </c>
      <c r="Z85" s="89">
        <v>71</v>
      </c>
      <c r="AA85" s="2">
        <v>30</v>
      </c>
      <c r="AB85" s="2">
        <v>1</v>
      </c>
      <c r="AC85" s="2">
        <v>0.1152937</v>
      </c>
      <c r="AD85" s="42" t="s">
        <v>548</v>
      </c>
      <c r="AE85" s="42">
        <v>106</v>
      </c>
      <c r="AF85" s="42">
        <v>44</v>
      </c>
      <c r="AG85" s="74">
        <f>SUM(SUMIFS(AC$14:AC$1004,AA$14:AA$1004,AF85,Z$14:Z$1004,AE85,AB$14:AB$1004,0))</f>
        <v>3.5866850000000001</v>
      </c>
      <c r="AL85" s="89">
        <v>73</v>
      </c>
      <c r="AM85" s="2">
        <v>30</v>
      </c>
      <c r="AN85" s="2">
        <v>1</v>
      </c>
      <c r="AO85" s="2">
        <v>8.5714289999999999E-2</v>
      </c>
      <c r="AP85" s="42" t="s">
        <v>548</v>
      </c>
      <c r="AQ85" s="42">
        <v>106</v>
      </c>
      <c r="AR85" s="42">
        <v>44</v>
      </c>
      <c r="AS85" s="74">
        <f>SUM(SUMIFS(AO$14:AO$1004,AM$14:AM$1004,AR85,AL$14:AL$1004,AQ85,AN$14:AN$1004,0))</f>
        <v>3.1738200000000001</v>
      </c>
      <c r="AX85" s="89">
        <v>74</v>
      </c>
      <c r="AY85" s="2">
        <v>31</v>
      </c>
      <c r="AZ85" s="2">
        <v>1</v>
      </c>
      <c r="BA85" s="2">
        <v>3.0995720000000001E-2</v>
      </c>
      <c r="BB85" s="42" t="s">
        <v>548</v>
      </c>
      <c r="BC85" s="42">
        <v>106</v>
      </c>
      <c r="BD85" s="42">
        <v>44</v>
      </c>
      <c r="BE85" s="74">
        <f>SUM(SUMIFS(BA$14:BA$1004,AY$14:AY$1004,BD85,AX$14:AX$1004,BC85,AZ$14:AZ$1004,0))</f>
        <v>4.1839079999999997</v>
      </c>
      <c r="BJ85" s="89">
        <v>74</v>
      </c>
      <c r="BK85" s="2">
        <v>31</v>
      </c>
      <c r="BL85" s="2">
        <v>0</v>
      </c>
      <c r="BM85" s="2">
        <v>4.3011899999999999E-2</v>
      </c>
      <c r="BN85" s="42" t="s">
        <v>548</v>
      </c>
      <c r="BO85" s="42">
        <v>106</v>
      </c>
      <c r="BP85" s="42">
        <v>44</v>
      </c>
      <c r="BQ85" s="74">
        <f>SUM(SUMIFS(BM$14:BM$1004,BK$14:BK$1004,BP85,BJ$14:BJ$1004,BO85,BL$14:BL$1004,0))</f>
        <v>3.9797400000000001</v>
      </c>
      <c r="BV85" s="89">
        <v>75</v>
      </c>
      <c r="BW85" s="2">
        <v>31</v>
      </c>
      <c r="BX85" s="2">
        <v>0</v>
      </c>
      <c r="BY85" s="2">
        <v>4.2040010000000003E-2</v>
      </c>
      <c r="BZ85" s="42" t="s">
        <v>548</v>
      </c>
      <c r="CA85" s="42">
        <v>106</v>
      </c>
      <c r="CB85" s="42">
        <v>44</v>
      </c>
      <c r="CC85" s="74">
        <f>SUM(SUMIFS(BY$14:BY$1004,BW$14:BW$1004,CB85,BV$14:BV$1004,CA85,BX$14:BX$1004,0))</f>
        <v>3.4516749999999998</v>
      </c>
      <c r="CH85" s="89">
        <v>72</v>
      </c>
      <c r="CI85" s="2">
        <v>31</v>
      </c>
      <c r="CJ85" s="2">
        <v>1</v>
      </c>
      <c r="CK85" s="2">
        <v>9.0720000000000004E-4</v>
      </c>
      <c r="CL85" s="42" t="s">
        <v>548</v>
      </c>
      <c r="CM85" s="42">
        <v>106</v>
      </c>
      <c r="CN85" s="42">
        <v>44</v>
      </c>
      <c r="CO85" s="74">
        <f>SUM(SUMIFS(CK$14:CK$1004,CI$14:CI$1004,CN85,CH$14:CH$1004,CM85,CJ$14:CJ$1004,0))</f>
        <v>3.630185</v>
      </c>
      <c r="CT85" s="89">
        <v>79</v>
      </c>
      <c r="CU85" s="2">
        <v>30</v>
      </c>
      <c r="CV85" s="2">
        <v>0</v>
      </c>
      <c r="CW85" s="2">
        <v>3.0000000000000001E-3</v>
      </c>
      <c r="CX85" s="42" t="s">
        <v>548</v>
      </c>
      <c r="CY85" s="42">
        <v>106</v>
      </c>
      <c r="CZ85" s="42">
        <v>44</v>
      </c>
      <c r="DA85" s="74">
        <f>SUM(SUMIFS(CW$14:CW$1004,CU$14:CU$1004,CZ85,CT$14:CT$1004,CY85,CV$14:CV$1004,0))</f>
        <v>3.1494599999999999</v>
      </c>
      <c r="DF85" s="89">
        <v>72</v>
      </c>
      <c r="DG85" s="2">
        <v>32</v>
      </c>
      <c r="DH85" s="2">
        <v>0</v>
      </c>
      <c r="DI85" s="2">
        <v>2.1000000000000001E-2</v>
      </c>
      <c r="DJ85" s="42" t="s">
        <v>548</v>
      </c>
      <c r="DK85" s="42">
        <v>106</v>
      </c>
      <c r="DL85" s="42">
        <v>44</v>
      </c>
      <c r="DM85" s="74">
        <f>SUM(SUMIFS(DI$14:DI$1004,DG$14:DG$1004,DL85,DF$14:DF$1004,DK85,DH$14:DH$1004,0))</f>
        <v>2.5433819999999998</v>
      </c>
      <c r="DR85" s="89">
        <v>68</v>
      </c>
      <c r="DS85" s="2">
        <v>30</v>
      </c>
      <c r="DT85" s="2">
        <v>0</v>
      </c>
      <c r="DU85" s="2">
        <v>0.31862790000000002</v>
      </c>
      <c r="DV85" s="42" t="s">
        <v>548</v>
      </c>
      <c r="DW85" s="42">
        <v>106</v>
      </c>
      <c r="DX85" s="42">
        <v>44</v>
      </c>
      <c r="DY85" s="74">
        <f>SUM(SUMIFS(DU$14:DU$1004,DS$14:DS$1004,DX85,DR$14:DR$1004,DW85,DT$14:DT$1004,0))</f>
        <v>4.3466019999999999</v>
      </c>
      <c r="ED85" s="89">
        <v>71</v>
      </c>
      <c r="EE85" s="2">
        <v>31</v>
      </c>
      <c r="EF85" s="2">
        <v>0</v>
      </c>
      <c r="EG85" s="2">
        <v>3.3000000000000002E-2</v>
      </c>
      <c r="EH85" s="42" t="s">
        <v>548</v>
      </c>
      <c r="EI85" s="42">
        <v>106</v>
      </c>
      <c r="EJ85" s="42">
        <v>44</v>
      </c>
      <c r="EK85" s="74">
        <f>SUM(SUMIFS(EG$14:EG$1004,EE$14:EE$1004,EJ85,ED$14:ED$1004,EI85,EF$14:EF$1004,0))</f>
        <v>3.7392340000000002</v>
      </c>
      <c r="ES85">
        <v>71</v>
      </c>
      <c r="ET85">
        <v>31</v>
      </c>
      <c r="EU85">
        <v>0</v>
      </c>
      <c r="EV85">
        <v>3.3000000000000002E-2</v>
      </c>
    </row>
    <row r="86" spans="1:152" x14ac:dyDescent="0.4">
      <c r="A86" s="89"/>
      <c r="B86" s="2"/>
      <c r="C86" s="2"/>
      <c r="D86" s="2"/>
      <c r="E86" s="43" t="s">
        <v>1356</v>
      </c>
      <c r="F86" s="43">
        <v>103</v>
      </c>
      <c r="G86" s="43">
        <v>45</v>
      </c>
      <c r="H86" s="74">
        <f>SUM(SUMIFS(D$14:D$1004,B$14:B$1004,G86,A$14:A$1004,F86,C$14:C$1004,0))</f>
        <v>0</v>
      </c>
      <c r="N86" s="89">
        <v>66</v>
      </c>
      <c r="O86" s="2">
        <v>30</v>
      </c>
      <c r="P86" s="2">
        <v>0</v>
      </c>
      <c r="Q86" s="2">
        <v>0.29499999999999998</v>
      </c>
      <c r="R86" s="43" t="s">
        <v>1356</v>
      </c>
      <c r="S86" s="43">
        <v>103</v>
      </c>
      <c r="T86" s="43">
        <v>45</v>
      </c>
      <c r="U86" s="74">
        <f>SUM(SUMIFS(Q$14:Q$1004,O$14:O$1004,T86,N$14:N$1004,S86,P$14:P$1004,0))</f>
        <v>4.1101700000000001</v>
      </c>
      <c r="Z86" s="89">
        <v>72</v>
      </c>
      <c r="AA86" s="2">
        <v>30</v>
      </c>
      <c r="AB86" s="2">
        <v>0</v>
      </c>
      <c r="AC86" s="2">
        <v>0.34599999999999997</v>
      </c>
      <c r="AD86" s="43" t="s">
        <v>1356</v>
      </c>
      <c r="AE86" s="43">
        <v>103</v>
      </c>
      <c r="AF86" s="43">
        <v>45</v>
      </c>
      <c r="AG86" s="74">
        <f>SUM(SUMIFS(AC$14:AC$1004,AA$14:AA$1004,AF86,Z$14:Z$1004,AE86,AB$14:AB$1004,0))</f>
        <v>4.6870839999999996</v>
      </c>
      <c r="AL86" s="89">
        <v>73</v>
      </c>
      <c r="AM86" s="2">
        <v>30</v>
      </c>
      <c r="AN86" s="2">
        <v>2</v>
      </c>
      <c r="AO86" s="2">
        <v>0.1251429</v>
      </c>
      <c r="AP86" s="43" t="s">
        <v>1356</v>
      </c>
      <c r="AQ86" s="43">
        <v>103</v>
      </c>
      <c r="AR86" s="43">
        <v>45</v>
      </c>
      <c r="AS86" s="74">
        <f>SUM(SUMIFS(AO$14:AO$1004,AM$14:AM$1004,AR86,AL$14:AL$1004,AQ86,AN$14:AN$1004,0))</f>
        <v>5.1810840000000002</v>
      </c>
      <c r="AX86" s="89">
        <v>75</v>
      </c>
      <c r="AY86" s="2">
        <v>31</v>
      </c>
      <c r="AZ86" s="2">
        <v>0</v>
      </c>
      <c r="BA86" s="2">
        <v>6.4879999999999993E-2</v>
      </c>
      <c r="BB86" s="43" t="s">
        <v>1356</v>
      </c>
      <c r="BC86" s="43">
        <v>103</v>
      </c>
      <c r="BD86" s="43">
        <v>45</v>
      </c>
      <c r="BE86" s="74">
        <f>SUM(SUMIFS(BA$14:BA$1004,AY$14:AY$1004,BD86,AX$14:AX$1004,BC86,AZ$14:AZ$1004,0))</f>
        <v>3.5662829999999999</v>
      </c>
      <c r="BJ86" s="89">
        <v>74</v>
      </c>
      <c r="BK86" s="2">
        <v>31</v>
      </c>
      <c r="BL86" s="2">
        <v>1</v>
      </c>
      <c r="BM86" s="2">
        <v>3.1952380000000002E-2</v>
      </c>
      <c r="BN86" s="43" t="s">
        <v>1356</v>
      </c>
      <c r="BO86" s="43">
        <v>103</v>
      </c>
      <c r="BP86" s="43">
        <v>45</v>
      </c>
      <c r="BQ86" s="74">
        <f>SUM(SUMIFS(BM$14:BM$1004,BK$14:BK$1004,BP86,BJ$14:BJ$1004,BO86,BL$14:BL$1004,0))</f>
        <v>3.8283019999999999</v>
      </c>
      <c r="BV86" s="89">
        <v>76</v>
      </c>
      <c r="BW86" s="2">
        <v>31</v>
      </c>
      <c r="BX86" s="2">
        <v>0</v>
      </c>
      <c r="BY86" s="2">
        <v>6.6820000000000004E-2</v>
      </c>
      <c r="BZ86" s="43" t="s">
        <v>1356</v>
      </c>
      <c r="CA86" s="43">
        <v>103</v>
      </c>
      <c r="CB86" s="43">
        <v>45</v>
      </c>
      <c r="CC86" s="74">
        <f>SUM(SUMIFS(BY$14:BY$1004,BW$14:BW$1004,CB86,BV$14:BV$1004,CA86,BX$14:BX$1004,0))</f>
        <v>3.6642139999999999</v>
      </c>
      <c r="CH86" s="89">
        <v>73</v>
      </c>
      <c r="CI86" s="2">
        <v>31</v>
      </c>
      <c r="CJ86" s="2">
        <v>0</v>
      </c>
      <c r="CK86" s="2">
        <v>0.06</v>
      </c>
      <c r="CL86" s="43" t="s">
        <v>1356</v>
      </c>
      <c r="CM86" s="43">
        <v>103</v>
      </c>
      <c r="CN86" s="43">
        <v>45</v>
      </c>
      <c r="CO86" s="74">
        <f>SUM(SUMIFS(CK$14:CK$1004,CI$14:CI$1004,CN86,CH$14:CH$1004,CM86,CJ$14:CJ$1004,0))</f>
        <v>3.8221790000000002</v>
      </c>
      <c r="CT86" s="89">
        <v>69</v>
      </c>
      <c r="CU86" s="2">
        <v>31</v>
      </c>
      <c r="CV86" s="2">
        <v>0</v>
      </c>
      <c r="CW86" s="2">
        <v>1.6979999999999999E-2</v>
      </c>
      <c r="CX86" s="43" t="s">
        <v>1356</v>
      </c>
      <c r="CY86" s="43">
        <v>103</v>
      </c>
      <c r="CZ86" s="43">
        <v>45</v>
      </c>
      <c r="DA86" s="74">
        <f>SUM(SUMIFS(CW$14:CW$1004,CU$14:CU$1004,CZ86,CT$14:CT$1004,CY86,CV$14:CV$1004,0))</f>
        <v>3.0739209999999999</v>
      </c>
      <c r="DF86" s="89">
        <v>73</v>
      </c>
      <c r="DG86" s="2">
        <v>32</v>
      </c>
      <c r="DH86" s="2">
        <v>0</v>
      </c>
      <c r="DI86" s="2">
        <v>2.5999999999999999E-2</v>
      </c>
      <c r="DJ86" s="43" t="s">
        <v>1356</v>
      </c>
      <c r="DK86" s="43">
        <v>103</v>
      </c>
      <c r="DL86" s="43">
        <v>45</v>
      </c>
      <c r="DM86" s="74">
        <f>SUM(SUMIFS(DI$14:DI$1004,DG$14:DG$1004,DL86,DF$14:DF$1004,DK86,DH$14:DH$1004,0))</f>
        <v>3.211249</v>
      </c>
      <c r="DR86" s="89">
        <v>69</v>
      </c>
      <c r="DS86" s="2">
        <v>30</v>
      </c>
      <c r="DT86" s="2">
        <v>0</v>
      </c>
      <c r="DU86" s="2">
        <v>0.32636399999999999</v>
      </c>
      <c r="DV86" s="43" t="s">
        <v>1356</v>
      </c>
      <c r="DW86" s="43">
        <v>103</v>
      </c>
      <c r="DX86" s="43">
        <v>45</v>
      </c>
      <c r="DY86" s="74">
        <f>SUM(SUMIFS(DU$14:DU$1004,DS$14:DS$1004,DX86,DR$14:DR$1004,DW86,DT$14:DT$1004,0))</f>
        <v>4.7896369999999999</v>
      </c>
      <c r="ED86" s="89">
        <v>72</v>
      </c>
      <c r="EE86" s="2">
        <v>31</v>
      </c>
      <c r="EF86" s="2">
        <v>0</v>
      </c>
      <c r="EG86" s="2">
        <v>2.1999999999999999E-2</v>
      </c>
      <c r="EH86" s="43" t="s">
        <v>1356</v>
      </c>
      <c r="EI86" s="43">
        <v>103</v>
      </c>
      <c r="EJ86" s="43">
        <v>45</v>
      </c>
      <c r="EK86" s="74">
        <f>SUM(SUMIFS(EG$14:EG$1004,EE$14:EE$1004,EJ86,ED$14:ED$1004,EI86,EF$14:EF$1004,0))</f>
        <v>3.8140960000000002</v>
      </c>
      <c r="ES86">
        <v>72</v>
      </c>
      <c r="ET86">
        <v>31</v>
      </c>
      <c r="EU86">
        <v>0</v>
      </c>
      <c r="EV86">
        <v>2.1999999999999999E-2</v>
      </c>
    </row>
    <row r="87" spans="1:152" x14ac:dyDescent="0.4">
      <c r="A87" s="89"/>
      <c r="B87" s="2"/>
      <c r="C87" s="2"/>
      <c r="D87" s="2"/>
      <c r="E87" s="42" t="s">
        <v>1355</v>
      </c>
      <c r="F87" s="42">
        <v>102</v>
      </c>
      <c r="G87" s="42">
        <v>46</v>
      </c>
      <c r="H87" s="74" cm="1">
        <f t="array" ref="H87">SUM(SUMIFS(D$14:D$1004,B$14:B$1004,G87:G92,A$14:A$1004,F87:F92,C$14:C$1004,0))-H85</f>
        <v>0</v>
      </c>
      <c r="N87" s="89">
        <v>67</v>
      </c>
      <c r="O87" s="2">
        <v>30</v>
      </c>
      <c r="P87" s="2">
        <v>0</v>
      </c>
      <c r="Q87" s="2">
        <v>0.32500000000000001</v>
      </c>
      <c r="R87" s="42" t="s">
        <v>1355</v>
      </c>
      <c r="S87" s="42">
        <v>102</v>
      </c>
      <c r="T87" s="42">
        <v>46</v>
      </c>
      <c r="U87" s="74" cm="1">
        <f t="array" ref="U87">SUM(SUMIFS(Q$14:Q$1004,O$14:O$1004,T87:T92,N$14:N$1004,S87:S92,P$14:P$1004,0))-U85</f>
        <v>10.679186799999998</v>
      </c>
      <c r="Z87" s="89">
        <v>73</v>
      </c>
      <c r="AA87" s="2">
        <v>30</v>
      </c>
      <c r="AB87" s="2">
        <v>0</v>
      </c>
      <c r="AC87" s="2">
        <v>0.1858523</v>
      </c>
      <c r="AD87" s="42" t="s">
        <v>1355</v>
      </c>
      <c r="AE87" s="42">
        <v>102</v>
      </c>
      <c r="AF87" s="42">
        <v>46</v>
      </c>
      <c r="AG87" s="74" cm="1">
        <f t="array" ref="AG87">SUM(SUMIFS(AC$14:AC$1004,AA$14:AA$1004,AF87:AF92,Z$14:Z$1004,AE87:AE92,AB$14:AB$1004,0))-AG85</f>
        <v>12.533164600000003</v>
      </c>
      <c r="AL87" s="89">
        <v>74</v>
      </c>
      <c r="AM87" s="2">
        <v>30</v>
      </c>
      <c r="AN87" s="2">
        <v>0</v>
      </c>
      <c r="AO87" s="2">
        <v>0.13803499999999999</v>
      </c>
      <c r="AP87" s="42" t="s">
        <v>1355</v>
      </c>
      <c r="AQ87" s="42">
        <v>102</v>
      </c>
      <c r="AR87" s="42">
        <v>46</v>
      </c>
      <c r="AS87" s="74" cm="1">
        <f t="array" ref="AS87">SUM(SUMIFS(AO$14:AO$1004,AM$14:AM$1004,AR87:AR92,AL$14:AL$1004,AQ87:AQ92,AN$14:AN$1004,0))-AS85</f>
        <v>14.389071927</v>
      </c>
      <c r="AX87" s="89">
        <v>76</v>
      </c>
      <c r="AY87" s="2">
        <v>31</v>
      </c>
      <c r="AZ87" s="2">
        <v>0</v>
      </c>
      <c r="BA87" s="2">
        <v>9.9910009999999994E-2</v>
      </c>
      <c r="BB87" s="42" t="s">
        <v>1355</v>
      </c>
      <c r="BC87" s="42">
        <v>102</v>
      </c>
      <c r="BD87" s="42">
        <v>46</v>
      </c>
      <c r="BE87" s="74" cm="1">
        <f t="array" ref="BE87">SUM(SUMIFS(BA$14:BA$1004,AY$14:AY$1004,BD87:BD92,AX$14:AX$1004,BC87:BC92,AZ$14:AZ$1004,0))-BE85</f>
        <v>14.060094000000003</v>
      </c>
      <c r="BJ87" s="89">
        <v>75</v>
      </c>
      <c r="BK87" s="2">
        <v>31</v>
      </c>
      <c r="BL87" s="2">
        <v>0</v>
      </c>
      <c r="BM87" s="2">
        <v>5.2999999999999999E-2</v>
      </c>
      <c r="BN87" s="42" t="s">
        <v>1355</v>
      </c>
      <c r="BO87" s="42">
        <v>102</v>
      </c>
      <c r="BP87" s="42">
        <v>46</v>
      </c>
      <c r="BQ87" s="74" cm="1">
        <f t="array" ref="BQ87">SUM(SUMIFS(BM$14:BM$1004,BK$14:BK$1004,BP87:BP92,BJ$14:BJ$1004,BO87:BO92,BL$14:BL$1004,0))-BQ85</f>
        <v>13.48316956</v>
      </c>
      <c r="BV87" s="89">
        <v>77</v>
      </c>
      <c r="BW87" s="2">
        <v>31</v>
      </c>
      <c r="BX87" s="2">
        <v>0</v>
      </c>
      <c r="BY87" s="2">
        <v>7.2999999999999995E-2</v>
      </c>
      <c r="BZ87" s="42" t="s">
        <v>1355</v>
      </c>
      <c r="CA87" s="42">
        <v>102</v>
      </c>
      <c r="CB87" s="42">
        <v>46</v>
      </c>
      <c r="CC87" s="74" cm="1">
        <f t="array" ref="CC87">SUM(SUMIFS(BY$14:BY$1004,BW$14:BW$1004,CB87:CB92,BV$14:BV$1004,CA87:CA92,BX$14:BX$1004,0))-CC85</f>
        <v>11.080151518000001</v>
      </c>
      <c r="CH87" s="89">
        <v>74</v>
      </c>
      <c r="CI87" s="2">
        <v>31</v>
      </c>
      <c r="CJ87" s="2">
        <v>0</v>
      </c>
      <c r="CK87" s="2">
        <v>5.127143E-2</v>
      </c>
      <c r="CL87" s="42" t="s">
        <v>1355</v>
      </c>
      <c r="CM87" s="42">
        <v>102</v>
      </c>
      <c r="CN87" s="42">
        <v>46</v>
      </c>
      <c r="CO87" s="74" cm="1">
        <f t="array" ref="CO87">SUM(SUMIFS(CK$14:CK$1004,CI$14:CI$1004,CN87:CN92,CH$14:CH$1004,CM87:CM92,CJ$14:CJ$1004,0))-CO85</f>
        <v>12.39719019</v>
      </c>
      <c r="CT87" s="89">
        <v>70</v>
      </c>
      <c r="CU87" s="2">
        <v>31</v>
      </c>
      <c r="CV87" s="2">
        <v>0</v>
      </c>
      <c r="CW87" s="2">
        <v>1E-3</v>
      </c>
      <c r="CX87" s="42" t="s">
        <v>1355</v>
      </c>
      <c r="CY87" s="42">
        <v>102</v>
      </c>
      <c r="CZ87" s="42">
        <v>46</v>
      </c>
      <c r="DA87" s="74" cm="1">
        <f t="array" ref="DA87">SUM(SUMIFS(CW$14:CW$1004,CU$14:CU$1004,CZ87:CZ92,CT$14:CT$1004,CY87:CY92,CV$14:CV$1004,0))-DA85</f>
        <v>11.412228750000001</v>
      </c>
      <c r="DF87" s="89">
        <v>73</v>
      </c>
      <c r="DG87" s="2">
        <v>32</v>
      </c>
      <c r="DH87" s="2">
        <v>1</v>
      </c>
      <c r="DI87" s="2">
        <v>2.56178E-2</v>
      </c>
      <c r="DJ87" s="42" t="s">
        <v>1355</v>
      </c>
      <c r="DK87" s="42">
        <v>102</v>
      </c>
      <c r="DL87" s="42">
        <v>46</v>
      </c>
      <c r="DM87" s="74" cm="1">
        <f t="array" ref="DM87">SUM(SUMIFS(DI$14:DI$1004,DG$14:DG$1004,DL87:DL92,DF$14:DF$1004,DK87:DK92,DH$14:DH$1004,0))-DM85</f>
        <v>7.9462605059999998</v>
      </c>
      <c r="DR87" s="89">
        <v>69</v>
      </c>
      <c r="DS87" s="2">
        <v>30</v>
      </c>
      <c r="DT87" s="2">
        <v>1</v>
      </c>
      <c r="DU87" s="2">
        <v>2.7E-2</v>
      </c>
      <c r="DV87" s="42" t="s">
        <v>1355</v>
      </c>
      <c r="DW87" s="42">
        <v>102</v>
      </c>
      <c r="DX87" s="42">
        <v>46</v>
      </c>
      <c r="DY87" s="74" cm="1">
        <f t="array" ref="DY87">SUM(SUMIFS(DU$14:DU$1004,DS$14:DS$1004,DX87:DX92,DR$14:DR$1004,DW87:DW92,DT$14:DT$1004,0))-DY85</f>
        <v>12.863753059999997</v>
      </c>
      <c r="ED87" s="89">
        <v>72</v>
      </c>
      <c r="EE87" s="2">
        <v>31</v>
      </c>
      <c r="EF87" s="2">
        <v>1</v>
      </c>
      <c r="EG87" s="2">
        <v>7.0560000000000002E-4</v>
      </c>
      <c r="EH87" s="42" t="s">
        <v>1355</v>
      </c>
      <c r="EI87" s="42">
        <v>102</v>
      </c>
      <c r="EJ87" s="42">
        <v>46</v>
      </c>
      <c r="EK87" s="74" cm="1">
        <f t="array" ref="EK87">SUM(SUMIFS(EG$14:EG$1004,EE$14:EE$1004,EJ87:EJ92,ED$14:ED$1004,EI87:EI92,EF$14:EF$1004,0))-EK85</f>
        <v>12.060961069999999</v>
      </c>
      <c r="ES87">
        <v>72</v>
      </c>
      <c r="ET87">
        <v>31</v>
      </c>
      <c r="EU87">
        <v>1</v>
      </c>
      <c r="EV87">
        <v>7.0560000000000002E-4</v>
      </c>
    </row>
    <row r="88" spans="1:152" x14ac:dyDescent="0.4">
      <c r="A88" s="89"/>
      <c r="B88" s="2"/>
      <c r="C88" s="2"/>
      <c r="D88" s="2"/>
      <c r="E88" s="42" t="s">
        <v>1355</v>
      </c>
      <c r="F88" s="42">
        <v>104</v>
      </c>
      <c r="G88" s="42">
        <v>46</v>
      </c>
      <c r="H88" s="74"/>
      <c r="N88" s="89">
        <v>68</v>
      </c>
      <c r="O88" s="2">
        <v>30</v>
      </c>
      <c r="P88" s="2">
        <v>0</v>
      </c>
      <c r="Q88" s="2">
        <v>0.39624930000000003</v>
      </c>
      <c r="R88" s="42" t="s">
        <v>1355</v>
      </c>
      <c r="S88" s="42">
        <v>104</v>
      </c>
      <c r="T88" s="42">
        <v>46</v>
      </c>
      <c r="U88" s="74"/>
      <c r="Z88" s="89">
        <v>73</v>
      </c>
      <c r="AA88" s="2">
        <v>30</v>
      </c>
      <c r="AB88" s="2">
        <v>1</v>
      </c>
      <c r="AC88" s="2">
        <v>9.8143190000000005E-2</v>
      </c>
      <c r="AD88" s="42" t="s">
        <v>1355</v>
      </c>
      <c r="AE88" s="42">
        <v>104</v>
      </c>
      <c r="AF88" s="42">
        <v>46</v>
      </c>
      <c r="AG88" s="74"/>
      <c r="AL88" s="89">
        <v>75</v>
      </c>
      <c r="AM88" s="2">
        <v>30</v>
      </c>
      <c r="AN88" s="2">
        <v>0</v>
      </c>
      <c r="AO88" s="2">
        <v>5.1964999999999997E-2</v>
      </c>
      <c r="AP88" s="42" t="s">
        <v>1355</v>
      </c>
      <c r="AQ88" s="42">
        <v>104</v>
      </c>
      <c r="AR88" s="42">
        <v>46</v>
      </c>
      <c r="AS88" s="74"/>
      <c r="AX88" s="89">
        <v>77</v>
      </c>
      <c r="AY88" s="2">
        <v>31</v>
      </c>
      <c r="AZ88" s="2">
        <v>0</v>
      </c>
      <c r="BA88" s="2">
        <v>9.7000000000000003E-2</v>
      </c>
      <c r="BB88" s="42" t="s">
        <v>1355</v>
      </c>
      <c r="BC88" s="42">
        <v>104</v>
      </c>
      <c r="BD88" s="42">
        <v>46</v>
      </c>
      <c r="BE88" s="74"/>
      <c r="BJ88" s="89">
        <v>76</v>
      </c>
      <c r="BK88" s="2">
        <v>31</v>
      </c>
      <c r="BL88" s="2">
        <v>0</v>
      </c>
      <c r="BM88" s="2">
        <v>4.5999999999999999E-2</v>
      </c>
      <c r="BN88" s="42" t="s">
        <v>1355</v>
      </c>
      <c r="BO88" s="42">
        <v>104</v>
      </c>
      <c r="BP88" s="42">
        <v>46</v>
      </c>
      <c r="BQ88" s="74"/>
      <c r="BV88" s="89">
        <v>78</v>
      </c>
      <c r="BW88" s="2">
        <v>31</v>
      </c>
      <c r="BX88" s="2">
        <v>0</v>
      </c>
      <c r="BY88" s="2">
        <v>5.6051999999999998E-2</v>
      </c>
      <c r="BZ88" s="42" t="s">
        <v>1355</v>
      </c>
      <c r="CA88" s="42">
        <v>104</v>
      </c>
      <c r="CB88" s="42">
        <v>46</v>
      </c>
      <c r="CC88" s="74"/>
      <c r="CH88" s="89">
        <v>74</v>
      </c>
      <c r="CI88" s="2">
        <v>31</v>
      </c>
      <c r="CJ88" s="2">
        <v>1</v>
      </c>
      <c r="CK88" s="2">
        <v>2.691429E-2</v>
      </c>
      <c r="CL88" s="42" t="s">
        <v>1355</v>
      </c>
      <c r="CM88" s="42">
        <v>104</v>
      </c>
      <c r="CN88" s="42">
        <v>46</v>
      </c>
      <c r="CO88" s="74"/>
      <c r="CT88" s="89">
        <v>71</v>
      </c>
      <c r="CU88" s="2">
        <v>31</v>
      </c>
      <c r="CV88" s="2">
        <v>0</v>
      </c>
      <c r="CW88" s="2">
        <v>3.5999999999999997E-2</v>
      </c>
      <c r="CX88" s="42" t="s">
        <v>1355</v>
      </c>
      <c r="CY88" s="42">
        <v>104</v>
      </c>
      <c r="CZ88" s="42">
        <v>46</v>
      </c>
      <c r="DA88" s="74"/>
      <c r="DF88" s="89">
        <v>74</v>
      </c>
      <c r="DG88" s="2">
        <v>32</v>
      </c>
      <c r="DH88" s="2">
        <v>0</v>
      </c>
      <c r="DI88" s="2">
        <v>4.3139999999999998E-2</v>
      </c>
      <c r="DJ88" s="42" t="s">
        <v>1355</v>
      </c>
      <c r="DK88" s="42">
        <v>104</v>
      </c>
      <c r="DL88" s="42">
        <v>46</v>
      </c>
      <c r="DM88" s="74"/>
      <c r="DR88" s="89">
        <v>70</v>
      </c>
      <c r="DS88" s="2">
        <v>30</v>
      </c>
      <c r="DT88" s="2">
        <v>0</v>
      </c>
      <c r="DU88" s="2">
        <v>0.41901640000000001</v>
      </c>
      <c r="DV88" s="42" t="s">
        <v>1355</v>
      </c>
      <c r="DW88" s="42">
        <v>104</v>
      </c>
      <c r="DX88" s="42">
        <v>46</v>
      </c>
      <c r="DY88" s="74"/>
      <c r="ED88" s="89">
        <v>73</v>
      </c>
      <c r="EE88" s="2">
        <v>31</v>
      </c>
      <c r="EF88" s="2">
        <v>0</v>
      </c>
      <c r="EG88" s="2">
        <v>4.7000010000000002E-2</v>
      </c>
      <c r="EH88" s="42" t="s">
        <v>1355</v>
      </c>
      <c r="EI88" s="42">
        <v>104</v>
      </c>
      <c r="EJ88" s="42">
        <v>46</v>
      </c>
      <c r="EK88" s="74"/>
      <c r="ES88">
        <v>73</v>
      </c>
      <c r="ET88">
        <v>31</v>
      </c>
      <c r="EU88">
        <v>0</v>
      </c>
      <c r="EV88">
        <v>4.7000010000000002E-2</v>
      </c>
    </row>
    <row r="89" spans="1:152" x14ac:dyDescent="0.4">
      <c r="A89" s="89"/>
      <c r="B89" s="2"/>
      <c r="C89" s="2"/>
      <c r="D89" s="2"/>
      <c r="E89" s="42" t="s">
        <v>1355</v>
      </c>
      <c r="F89" s="42">
        <v>105</v>
      </c>
      <c r="G89" s="42">
        <v>46</v>
      </c>
      <c r="H89" s="74"/>
      <c r="N89" s="89">
        <v>69</v>
      </c>
      <c r="O89" s="2">
        <v>30</v>
      </c>
      <c r="P89" s="2">
        <v>0</v>
      </c>
      <c r="Q89" s="2">
        <v>0.45872429999999997</v>
      </c>
      <c r="R89" s="42" t="s">
        <v>1355</v>
      </c>
      <c r="S89" s="42">
        <v>105</v>
      </c>
      <c r="T89" s="42">
        <v>46</v>
      </c>
      <c r="U89" s="74"/>
      <c r="Z89" s="89">
        <v>73</v>
      </c>
      <c r="AA89" s="2">
        <v>30</v>
      </c>
      <c r="AB89" s="2">
        <v>2</v>
      </c>
      <c r="AC89" s="2">
        <v>0.15829550000000001</v>
      </c>
      <c r="AD89" s="42" t="s">
        <v>1355</v>
      </c>
      <c r="AE89" s="42">
        <v>105</v>
      </c>
      <c r="AF89" s="42">
        <v>46</v>
      </c>
      <c r="AG89" s="74"/>
      <c r="AL89" s="89">
        <v>76</v>
      </c>
      <c r="AM89" s="2">
        <v>30</v>
      </c>
      <c r="AN89" s="2">
        <v>0</v>
      </c>
      <c r="AO89" s="2">
        <v>3.6999999999999998E-2</v>
      </c>
      <c r="AP89" s="42" t="s">
        <v>1355</v>
      </c>
      <c r="AQ89" s="42">
        <v>105</v>
      </c>
      <c r="AR89" s="42">
        <v>46</v>
      </c>
      <c r="AS89" s="74"/>
      <c r="AX89" s="89">
        <v>78</v>
      </c>
      <c r="AY89" s="2">
        <v>31</v>
      </c>
      <c r="AZ89" s="2">
        <v>0</v>
      </c>
      <c r="BA89" s="2">
        <v>0.104065</v>
      </c>
      <c r="BB89" s="42" t="s">
        <v>1355</v>
      </c>
      <c r="BC89" s="42">
        <v>105</v>
      </c>
      <c r="BD89" s="42">
        <v>46</v>
      </c>
      <c r="BE89" s="74"/>
      <c r="BJ89" s="89">
        <v>77</v>
      </c>
      <c r="BK89" s="2">
        <v>31</v>
      </c>
      <c r="BL89" s="2">
        <v>0</v>
      </c>
      <c r="BM89" s="2">
        <v>5.1999999999999998E-2</v>
      </c>
      <c r="BN89" s="42" t="s">
        <v>1355</v>
      </c>
      <c r="BO89" s="42">
        <v>105</v>
      </c>
      <c r="BP89" s="42">
        <v>46</v>
      </c>
      <c r="BQ89" s="74"/>
      <c r="BV89" s="89">
        <v>79</v>
      </c>
      <c r="BW89" s="2">
        <v>31</v>
      </c>
      <c r="BX89" s="2">
        <v>0</v>
      </c>
      <c r="BY89" s="2">
        <v>3.8948000000000003E-2</v>
      </c>
      <c r="BZ89" s="42" t="s">
        <v>1355</v>
      </c>
      <c r="CA89" s="42">
        <v>105</v>
      </c>
      <c r="CB89" s="42">
        <v>46</v>
      </c>
      <c r="CC89" s="74"/>
      <c r="CH89" s="89">
        <v>75</v>
      </c>
      <c r="CI89" s="2">
        <v>31</v>
      </c>
      <c r="CJ89" s="2">
        <v>0</v>
      </c>
      <c r="CK89" s="2">
        <v>5.3999999999999999E-2</v>
      </c>
      <c r="CL89" s="42" t="s">
        <v>1355</v>
      </c>
      <c r="CM89" s="42">
        <v>105</v>
      </c>
      <c r="CN89" s="42">
        <v>46</v>
      </c>
      <c r="CO89" s="74"/>
      <c r="CT89" s="89">
        <v>72</v>
      </c>
      <c r="CU89" s="2">
        <v>31</v>
      </c>
      <c r="CV89" s="2">
        <v>0</v>
      </c>
      <c r="CW89" s="2">
        <v>3.4000000000000002E-2</v>
      </c>
      <c r="CX89" s="42" t="s">
        <v>1355</v>
      </c>
      <c r="CY89" s="42">
        <v>105</v>
      </c>
      <c r="CZ89" s="42">
        <v>46</v>
      </c>
      <c r="DA89" s="74"/>
      <c r="DF89" s="89">
        <v>75</v>
      </c>
      <c r="DG89" s="2">
        <v>32</v>
      </c>
      <c r="DH89" s="2">
        <v>0</v>
      </c>
      <c r="DI89" s="2">
        <v>3.9099259999999997E-2</v>
      </c>
      <c r="DJ89" s="42" t="s">
        <v>1355</v>
      </c>
      <c r="DK89" s="42">
        <v>105</v>
      </c>
      <c r="DL89" s="42">
        <v>46</v>
      </c>
      <c r="DM89" s="74"/>
      <c r="DR89" s="89">
        <v>71</v>
      </c>
      <c r="DS89" s="2">
        <v>30</v>
      </c>
      <c r="DT89" s="2">
        <v>0</v>
      </c>
      <c r="DU89" s="2">
        <v>0.27016420000000002</v>
      </c>
      <c r="DV89" s="42" t="s">
        <v>1355</v>
      </c>
      <c r="DW89" s="42">
        <v>105</v>
      </c>
      <c r="DX89" s="42">
        <v>46</v>
      </c>
      <c r="DY89" s="74"/>
      <c r="ED89" s="89">
        <v>74</v>
      </c>
      <c r="EE89" s="2">
        <v>31</v>
      </c>
      <c r="EF89" s="2">
        <v>0</v>
      </c>
      <c r="EG89" s="2">
        <v>4.5091249999999999E-2</v>
      </c>
      <c r="EH89" s="42" t="s">
        <v>1355</v>
      </c>
      <c r="EI89" s="42">
        <v>105</v>
      </c>
      <c r="EJ89" s="42">
        <v>46</v>
      </c>
      <c r="EK89" s="74"/>
      <c r="ES89">
        <v>74</v>
      </c>
      <c r="ET89">
        <v>31</v>
      </c>
      <c r="EU89">
        <v>0</v>
      </c>
      <c r="EV89">
        <v>4.5091249999999999E-2</v>
      </c>
    </row>
    <row r="90" spans="1:152" x14ac:dyDescent="0.4">
      <c r="A90" s="89"/>
      <c r="B90" s="2"/>
      <c r="C90" s="2"/>
      <c r="D90" s="2"/>
      <c r="E90" s="42" t="s">
        <v>1355</v>
      </c>
      <c r="F90" s="42">
        <v>106</v>
      </c>
      <c r="G90" s="42">
        <v>46</v>
      </c>
      <c r="H90" s="74"/>
      <c r="N90" s="89">
        <v>69</v>
      </c>
      <c r="O90" s="2">
        <v>30</v>
      </c>
      <c r="P90" s="2">
        <v>1</v>
      </c>
      <c r="Q90" s="2">
        <v>8.7999999999999995E-2</v>
      </c>
      <c r="R90" s="42" t="s">
        <v>1355</v>
      </c>
      <c r="S90" s="42">
        <v>106</v>
      </c>
      <c r="T90" s="42">
        <v>46</v>
      </c>
      <c r="U90" s="74"/>
      <c r="Z90" s="89">
        <v>74</v>
      </c>
      <c r="AA90" s="2">
        <v>30</v>
      </c>
      <c r="AB90" s="2">
        <v>0</v>
      </c>
      <c r="AC90" s="2">
        <v>0.22945499999999999</v>
      </c>
      <c r="AD90" s="42" t="s">
        <v>1355</v>
      </c>
      <c r="AE90" s="42">
        <v>106</v>
      </c>
      <c r="AF90" s="42">
        <v>46</v>
      </c>
      <c r="AG90" s="74"/>
      <c r="AL90" s="89">
        <v>77</v>
      </c>
      <c r="AM90" s="2">
        <v>30</v>
      </c>
      <c r="AN90" s="2">
        <v>0</v>
      </c>
      <c r="AO90" s="2">
        <v>9.5000009999999992E-3</v>
      </c>
      <c r="AP90" s="42" t="s">
        <v>1355</v>
      </c>
      <c r="AQ90" s="42">
        <v>106</v>
      </c>
      <c r="AR90" s="42">
        <v>46</v>
      </c>
      <c r="AS90" s="74"/>
      <c r="AX90" s="89">
        <v>79</v>
      </c>
      <c r="AY90" s="2">
        <v>31</v>
      </c>
      <c r="AZ90" s="2">
        <v>0</v>
      </c>
      <c r="BA90" s="2">
        <v>8.9935000000000001E-2</v>
      </c>
      <c r="BB90" s="42" t="s">
        <v>1355</v>
      </c>
      <c r="BC90" s="42">
        <v>106</v>
      </c>
      <c r="BD90" s="42">
        <v>46</v>
      </c>
      <c r="BE90" s="74"/>
      <c r="BJ90" s="89">
        <v>78</v>
      </c>
      <c r="BK90" s="2">
        <v>31</v>
      </c>
      <c r="BL90" s="2">
        <v>0</v>
      </c>
      <c r="BM90" s="2">
        <v>2.9013000000000001E-2</v>
      </c>
      <c r="BN90" s="42" t="s">
        <v>1355</v>
      </c>
      <c r="BO90" s="42">
        <v>106</v>
      </c>
      <c r="BP90" s="42">
        <v>46</v>
      </c>
      <c r="BQ90" s="74"/>
      <c r="BV90" s="89">
        <v>80</v>
      </c>
      <c r="BW90" s="2">
        <v>31</v>
      </c>
      <c r="BX90" s="2">
        <v>0</v>
      </c>
      <c r="BY90" s="2">
        <v>1.9E-2</v>
      </c>
      <c r="BZ90" s="42" t="s">
        <v>1355</v>
      </c>
      <c r="CA90" s="42">
        <v>106</v>
      </c>
      <c r="CB90" s="42">
        <v>46</v>
      </c>
      <c r="CC90" s="74"/>
      <c r="CH90" s="89">
        <v>76</v>
      </c>
      <c r="CI90" s="2">
        <v>31</v>
      </c>
      <c r="CJ90" s="2">
        <v>0</v>
      </c>
      <c r="CK90" s="2">
        <v>0.04</v>
      </c>
      <c r="CL90" s="42" t="s">
        <v>1355</v>
      </c>
      <c r="CM90" s="42">
        <v>106</v>
      </c>
      <c r="CN90" s="42">
        <v>46</v>
      </c>
      <c r="CO90" s="74"/>
      <c r="CT90" s="89">
        <v>72</v>
      </c>
      <c r="CU90" s="2">
        <v>31</v>
      </c>
      <c r="CV90" s="2">
        <v>1</v>
      </c>
      <c r="CW90" s="2">
        <v>1.0415999999999999E-3</v>
      </c>
      <c r="CX90" s="42" t="s">
        <v>1355</v>
      </c>
      <c r="CY90" s="42">
        <v>106</v>
      </c>
      <c r="CZ90" s="42">
        <v>46</v>
      </c>
      <c r="DA90" s="74"/>
      <c r="DF90" s="89">
        <v>75</v>
      </c>
      <c r="DG90" s="2">
        <v>32</v>
      </c>
      <c r="DH90" s="2">
        <v>1</v>
      </c>
      <c r="DI90" s="2">
        <v>2.4840000000000001E-3</v>
      </c>
      <c r="DJ90" s="42" t="s">
        <v>1355</v>
      </c>
      <c r="DK90" s="42">
        <v>106</v>
      </c>
      <c r="DL90" s="42">
        <v>46</v>
      </c>
      <c r="DM90" s="74"/>
      <c r="DR90" s="89">
        <v>71</v>
      </c>
      <c r="DS90" s="2">
        <v>30</v>
      </c>
      <c r="DT90" s="2">
        <v>1</v>
      </c>
      <c r="DU90" s="2">
        <v>0.15083579999999999</v>
      </c>
      <c r="DV90" s="42" t="s">
        <v>1355</v>
      </c>
      <c r="DW90" s="42">
        <v>106</v>
      </c>
      <c r="DX90" s="42">
        <v>46</v>
      </c>
      <c r="DY90" s="74"/>
      <c r="ED90" s="89">
        <v>74</v>
      </c>
      <c r="EE90" s="2">
        <v>31</v>
      </c>
      <c r="EF90" s="2">
        <v>1</v>
      </c>
      <c r="EG90" s="2">
        <v>3.6054999999999997E-2</v>
      </c>
      <c r="EH90" s="42" t="s">
        <v>1355</v>
      </c>
      <c r="EI90" s="42">
        <v>106</v>
      </c>
      <c r="EJ90" s="42">
        <v>46</v>
      </c>
      <c r="EK90" s="74"/>
      <c r="ES90">
        <v>74</v>
      </c>
      <c r="ET90">
        <v>31</v>
      </c>
      <c r="EU90">
        <v>1</v>
      </c>
      <c r="EV90">
        <v>3.6054999999999997E-2</v>
      </c>
    </row>
    <row r="91" spans="1:152" x14ac:dyDescent="0.4">
      <c r="A91" s="89"/>
      <c r="B91" s="2"/>
      <c r="C91" s="2"/>
      <c r="D91" s="2"/>
      <c r="E91" s="42" t="s">
        <v>1355</v>
      </c>
      <c r="F91" s="42">
        <v>108</v>
      </c>
      <c r="G91" s="42">
        <v>46</v>
      </c>
      <c r="H91" s="74"/>
      <c r="N91" s="89">
        <v>70</v>
      </c>
      <c r="O91" s="2">
        <v>30</v>
      </c>
      <c r="P91" s="2">
        <v>0</v>
      </c>
      <c r="Q91" s="2">
        <v>0.51912709999999995</v>
      </c>
      <c r="R91" s="42" t="s">
        <v>1355</v>
      </c>
      <c r="S91" s="42">
        <v>108</v>
      </c>
      <c r="T91" s="42">
        <v>46</v>
      </c>
      <c r="U91" s="74"/>
      <c r="Z91" s="89">
        <v>75</v>
      </c>
      <c r="AA91" s="2">
        <v>30</v>
      </c>
      <c r="AB91" s="2">
        <v>0</v>
      </c>
      <c r="AC91" s="2">
        <v>0.10277</v>
      </c>
      <c r="AD91" s="42" t="s">
        <v>1355</v>
      </c>
      <c r="AE91" s="42">
        <v>108</v>
      </c>
      <c r="AF91" s="42">
        <v>46</v>
      </c>
      <c r="AG91" s="74"/>
      <c r="AL91" s="89">
        <v>77</v>
      </c>
      <c r="AM91" s="2">
        <v>30</v>
      </c>
      <c r="AN91" s="2">
        <v>1</v>
      </c>
      <c r="AO91" s="2">
        <v>1E-3</v>
      </c>
      <c r="AP91" s="42" t="s">
        <v>1355</v>
      </c>
      <c r="AQ91" s="42">
        <v>108</v>
      </c>
      <c r="AR91" s="42">
        <v>46</v>
      </c>
      <c r="AS91" s="74"/>
      <c r="AX91" s="89">
        <v>80</v>
      </c>
      <c r="AY91" s="2">
        <v>31</v>
      </c>
      <c r="AZ91" s="2">
        <v>0</v>
      </c>
      <c r="BA91" s="2">
        <v>4.4999999999999998E-2</v>
      </c>
      <c r="BB91" s="42" t="s">
        <v>1355</v>
      </c>
      <c r="BC91" s="42">
        <v>108</v>
      </c>
      <c r="BD91" s="42">
        <v>46</v>
      </c>
      <c r="BE91" s="74"/>
      <c r="BJ91" s="89">
        <v>79</v>
      </c>
      <c r="BK91" s="2">
        <v>31</v>
      </c>
      <c r="BL91" s="2">
        <v>0</v>
      </c>
      <c r="BM91" s="2">
        <v>3.6986999999999999E-2</v>
      </c>
      <c r="BN91" s="42" t="s">
        <v>1355</v>
      </c>
      <c r="BO91" s="42">
        <v>108</v>
      </c>
      <c r="BP91" s="42">
        <v>46</v>
      </c>
      <c r="BQ91" s="74"/>
      <c r="BV91" s="89">
        <v>81</v>
      </c>
      <c r="BW91" s="2">
        <v>31</v>
      </c>
      <c r="BX91" s="2">
        <v>0</v>
      </c>
      <c r="BY91" s="2">
        <v>7.0000000000000001E-3</v>
      </c>
      <c r="BZ91" s="42" t="s">
        <v>1355</v>
      </c>
      <c r="CA91" s="42">
        <v>108</v>
      </c>
      <c r="CB91" s="42">
        <v>46</v>
      </c>
      <c r="CC91" s="74"/>
      <c r="CH91" s="89">
        <v>77</v>
      </c>
      <c r="CI91" s="2">
        <v>31</v>
      </c>
      <c r="CJ91" s="2">
        <v>0</v>
      </c>
      <c r="CK91" s="2">
        <v>3.5000000000000003E-2</v>
      </c>
      <c r="CL91" s="42" t="s">
        <v>1355</v>
      </c>
      <c r="CM91" s="42">
        <v>108</v>
      </c>
      <c r="CN91" s="42">
        <v>46</v>
      </c>
      <c r="CO91" s="74"/>
      <c r="CT91" s="89">
        <v>73</v>
      </c>
      <c r="CU91" s="2">
        <v>31</v>
      </c>
      <c r="CV91" s="2">
        <v>0</v>
      </c>
      <c r="CW91" s="2">
        <v>3.1E-2</v>
      </c>
      <c r="CX91" s="42" t="s">
        <v>1355</v>
      </c>
      <c r="CY91" s="42">
        <v>108</v>
      </c>
      <c r="CZ91" s="42">
        <v>46</v>
      </c>
      <c r="DA91" s="74"/>
      <c r="DF91" s="89">
        <v>76</v>
      </c>
      <c r="DG91" s="2">
        <v>32</v>
      </c>
      <c r="DH91" s="2">
        <v>0</v>
      </c>
      <c r="DI91" s="2">
        <v>9.3759999999999996E-2</v>
      </c>
      <c r="DJ91" s="42" t="s">
        <v>1355</v>
      </c>
      <c r="DK91" s="42">
        <v>108</v>
      </c>
      <c r="DL91" s="42">
        <v>46</v>
      </c>
      <c r="DM91" s="74"/>
      <c r="DR91" s="89">
        <v>72</v>
      </c>
      <c r="DS91" s="2">
        <v>30</v>
      </c>
      <c r="DT91" s="2">
        <v>0</v>
      </c>
      <c r="DU91" s="2">
        <v>0.47099999999999997</v>
      </c>
      <c r="DV91" s="42" t="s">
        <v>1355</v>
      </c>
      <c r="DW91" s="42">
        <v>108</v>
      </c>
      <c r="DX91" s="42">
        <v>46</v>
      </c>
      <c r="DY91" s="74"/>
      <c r="ED91" s="89">
        <v>75</v>
      </c>
      <c r="EE91" s="2">
        <v>31</v>
      </c>
      <c r="EF91" s="2">
        <v>0</v>
      </c>
      <c r="EG91" s="2">
        <v>4.9924999999999997E-2</v>
      </c>
      <c r="EH91" s="42" t="s">
        <v>1355</v>
      </c>
      <c r="EI91" s="42">
        <v>108</v>
      </c>
      <c r="EJ91" s="42">
        <v>46</v>
      </c>
      <c r="EK91" s="74"/>
      <c r="ES91">
        <v>75</v>
      </c>
      <c r="ET91">
        <v>31</v>
      </c>
      <c r="EU91">
        <v>0</v>
      </c>
      <c r="EV91">
        <v>4.9924999999999997E-2</v>
      </c>
    </row>
    <row r="92" spans="1:152" x14ac:dyDescent="0.4">
      <c r="A92" s="89"/>
      <c r="B92" s="2"/>
      <c r="C92" s="2"/>
      <c r="D92" s="2"/>
      <c r="E92" s="42" t="s">
        <v>1355</v>
      </c>
      <c r="F92" s="42">
        <v>110</v>
      </c>
      <c r="G92" s="42">
        <v>46</v>
      </c>
      <c r="H92" s="74"/>
      <c r="N92" s="89">
        <v>71</v>
      </c>
      <c r="O92" s="2">
        <v>30</v>
      </c>
      <c r="P92" s="2">
        <v>0</v>
      </c>
      <c r="Q92" s="2">
        <v>0.26602730000000002</v>
      </c>
      <c r="R92" s="42" t="s">
        <v>1355</v>
      </c>
      <c r="S92" s="42">
        <v>110</v>
      </c>
      <c r="T92" s="42">
        <v>46</v>
      </c>
      <c r="U92" s="74"/>
      <c r="Z92" s="89">
        <v>76</v>
      </c>
      <c r="AA92" s="2">
        <v>30</v>
      </c>
      <c r="AB92" s="2">
        <v>0</v>
      </c>
      <c r="AC92" s="2">
        <v>5.9775000000000002E-2</v>
      </c>
      <c r="AD92" s="42" t="s">
        <v>1355</v>
      </c>
      <c r="AE92" s="42">
        <v>110</v>
      </c>
      <c r="AF92" s="42">
        <v>46</v>
      </c>
      <c r="AG92" s="74"/>
      <c r="AL92" s="89">
        <v>78</v>
      </c>
      <c r="AM92" s="2">
        <v>30</v>
      </c>
      <c r="AN92" s="2">
        <v>0</v>
      </c>
      <c r="AO92" s="2">
        <v>6.0000000000000001E-3</v>
      </c>
      <c r="AP92" s="42" t="s">
        <v>1355</v>
      </c>
      <c r="AQ92" s="42">
        <v>110</v>
      </c>
      <c r="AR92" s="42">
        <v>46</v>
      </c>
      <c r="AS92" s="74"/>
      <c r="AX92" s="89">
        <v>81</v>
      </c>
      <c r="AY92" s="2">
        <v>31</v>
      </c>
      <c r="AZ92" s="2">
        <v>0</v>
      </c>
      <c r="BA92" s="2">
        <v>1.6E-2</v>
      </c>
      <c r="BB92" s="42" t="s">
        <v>1355</v>
      </c>
      <c r="BC92" s="42">
        <v>110</v>
      </c>
      <c r="BD92" s="42">
        <v>46</v>
      </c>
      <c r="BE92" s="74"/>
      <c r="BJ92" s="89">
        <v>80</v>
      </c>
      <c r="BK92" s="2">
        <v>31</v>
      </c>
      <c r="BL92" s="2">
        <v>0</v>
      </c>
      <c r="BM92" s="2">
        <v>1.0999999999999999E-2</v>
      </c>
      <c r="BN92" s="42" t="s">
        <v>1355</v>
      </c>
      <c r="BO92" s="42">
        <v>110</v>
      </c>
      <c r="BP92" s="42">
        <v>46</v>
      </c>
      <c r="BQ92" s="74"/>
      <c r="BV92" s="89">
        <v>82</v>
      </c>
      <c r="BW92" s="2">
        <v>31</v>
      </c>
      <c r="BX92" s="2">
        <v>0</v>
      </c>
      <c r="BY92" s="2">
        <v>1E-3</v>
      </c>
      <c r="BZ92" s="42" t="s">
        <v>1355</v>
      </c>
      <c r="CA92" s="42">
        <v>110</v>
      </c>
      <c r="CB92" s="42">
        <v>46</v>
      </c>
      <c r="CC92" s="74"/>
      <c r="CH92" s="89">
        <v>78</v>
      </c>
      <c r="CI92" s="2">
        <v>31</v>
      </c>
      <c r="CJ92" s="2">
        <v>0</v>
      </c>
      <c r="CK92" s="2">
        <v>2.6013000000000001E-2</v>
      </c>
      <c r="CL92" s="42" t="s">
        <v>1355</v>
      </c>
      <c r="CM92" s="42">
        <v>110</v>
      </c>
      <c r="CN92" s="42">
        <v>46</v>
      </c>
      <c r="CO92" s="74"/>
      <c r="CT92" s="89">
        <v>74</v>
      </c>
      <c r="CU92" s="2">
        <v>31</v>
      </c>
      <c r="CV92" s="2">
        <v>0</v>
      </c>
      <c r="CW92" s="2">
        <v>3.409264E-2</v>
      </c>
      <c r="CX92" s="42" t="s">
        <v>1355</v>
      </c>
      <c r="CY92" s="42">
        <v>110</v>
      </c>
      <c r="CZ92" s="42">
        <v>46</v>
      </c>
      <c r="DA92" s="74"/>
      <c r="DF92" s="89">
        <v>77</v>
      </c>
      <c r="DG92" s="2">
        <v>32</v>
      </c>
      <c r="DH92" s="2">
        <v>0</v>
      </c>
      <c r="DI92" s="2">
        <v>4.0526760000000002E-2</v>
      </c>
      <c r="DJ92" s="42" t="s">
        <v>1355</v>
      </c>
      <c r="DK92" s="42">
        <v>110</v>
      </c>
      <c r="DL92" s="42">
        <v>46</v>
      </c>
      <c r="DM92" s="74"/>
      <c r="DR92" s="89">
        <v>73</v>
      </c>
      <c r="DS92" s="2">
        <v>30</v>
      </c>
      <c r="DT92" s="2">
        <v>0</v>
      </c>
      <c r="DU92" s="2">
        <v>0.35581449999999998</v>
      </c>
      <c r="DV92" s="42" t="s">
        <v>1355</v>
      </c>
      <c r="DW92" s="42">
        <v>110</v>
      </c>
      <c r="DX92" s="42">
        <v>46</v>
      </c>
      <c r="DY92" s="74"/>
      <c r="ED92" s="89">
        <v>76</v>
      </c>
      <c r="EE92" s="2">
        <v>31</v>
      </c>
      <c r="EF92" s="2">
        <v>0</v>
      </c>
      <c r="EG92" s="2">
        <v>4.9970000000000001E-2</v>
      </c>
      <c r="EH92" s="42" t="s">
        <v>1355</v>
      </c>
      <c r="EI92" s="42">
        <v>110</v>
      </c>
      <c r="EJ92" s="42">
        <v>46</v>
      </c>
      <c r="EK92" s="74"/>
      <c r="ES92">
        <v>76</v>
      </c>
      <c r="ET92">
        <v>31</v>
      </c>
      <c r="EU92">
        <v>0</v>
      </c>
      <c r="EV92">
        <v>4.9970000000000001E-2</v>
      </c>
    </row>
    <row r="93" spans="1:152" x14ac:dyDescent="0.4">
      <c r="A93" s="89"/>
      <c r="B93" s="2"/>
      <c r="C93" s="2"/>
      <c r="D93" s="2"/>
      <c r="E93" s="43" t="s">
        <v>1354</v>
      </c>
      <c r="F93" s="43">
        <v>107</v>
      </c>
      <c r="G93" s="43">
        <v>47</v>
      </c>
      <c r="H93" s="74" cm="1">
        <f t="array" ref="H93">SUM(SUMIFS(D$14:D$1004,B$14:B$1004,G93:G94,A$14:A$1004,F93:F94,C$14:C$1004,0))</f>
        <v>0</v>
      </c>
      <c r="N93" s="89">
        <v>71</v>
      </c>
      <c r="O93" s="2">
        <v>30</v>
      </c>
      <c r="P93" s="2">
        <v>1</v>
      </c>
      <c r="Q93" s="2">
        <v>0.27797270000000002</v>
      </c>
      <c r="R93" s="43" t="s">
        <v>1354</v>
      </c>
      <c r="S93" s="43">
        <v>107</v>
      </c>
      <c r="T93" s="43">
        <v>47</v>
      </c>
      <c r="U93" s="74" cm="1">
        <f t="array" ref="U93">SUM(SUMIFS(Q$14:Q$1004,O$14:O$1004,T93:T94,N$14:N$1004,S93:S94,P$14:P$1004,0))</f>
        <v>3.0947560000000003</v>
      </c>
      <c r="Z93" s="89">
        <v>77</v>
      </c>
      <c r="AA93" s="2">
        <v>30</v>
      </c>
      <c r="AB93" s="2">
        <v>0</v>
      </c>
      <c r="AC93" s="2">
        <v>1.2999999999999999E-2</v>
      </c>
      <c r="AD93" s="43" t="s">
        <v>1354</v>
      </c>
      <c r="AE93" s="43">
        <v>107</v>
      </c>
      <c r="AF93" s="43">
        <v>47</v>
      </c>
      <c r="AG93" s="74" cm="1">
        <f t="array" ref="AG93">SUM(SUMIFS(AC$14:AC$1004,AA$14:AA$1004,AF93:AF94,Z$14:Z$1004,AE93:AE94,AB$14:AB$1004,0))</f>
        <v>3.6986509999999999</v>
      </c>
      <c r="AL93" s="89">
        <v>66</v>
      </c>
      <c r="AM93" s="2">
        <v>31</v>
      </c>
      <c r="AN93" s="2">
        <v>0</v>
      </c>
      <c r="AO93" s="2">
        <v>1E-3</v>
      </c>
      <c r="AP93" s="43" t="s">
        <v>1354</v>
      </c>
      <c r="AQ93" s="43">
        <v>107</v>
      </c>
      <c r="AR93" s="43">
        <v>47</v>
      </c>
      <c r="AS93" s="74" cm="1">
        <f t="array" ref="AS93">SUM(SUMIFS(AO$14:AO$1004,AM$14:AM$1004,AR93:AR94,AL$14:AL$1004,AQ93:AQ94,AN$14:AN$1004,0))</f>
        <v>4.2788769999999996</v>
      </c>
      <c r="AX93" s="89">
        <v>82</v>
      </c>
      <c r="AY93" s="2">
        <v>31</v>
      </c>
      <c r="AZ93" s="2">
        <v>0</v>
      </c>
      <c r="BA93" s="2">
        <v>1E-3</v>
      </c>
      <c r="BB93" s="43" t="s">
        <v>1354</v>
      </c>
      <c r="BC93" s="43">
        <v>107</v>
      </c>
      <c r="BD93" s="43">
        <v>47</v>
      </c>
      <c r="BE93" s="74" cm="1">
        <f t="array" ref="BE93">SUM(SUMIFS(BA$14:BA$1004,AY$14:AY$1004,BD93:BD94,AX$14:AX$1004,BC93:BC94,AZ$14:AZ$1004,0))</f>
        <v>4.9422990000000002</v>
      </c>
      <c r="BJ93" s="89">
        <v>81</v>
      </c>
      <c r="BK93" s="2">
        <v>31</v>
      </c>
      <c r="BL93" s="2">
        <v>0</v>
      </c>
      <c r="BM93" s="2">
        <v>4.0000000000000001E-3</v>
      </c>
      <c r="BN93" s="43" t="s">
        <v>1354</v>
      </c>
      <c r="BO93" s="43">
        <v>107</v>
      </c>
      <c r="BP93" s="43">
        <v>47</v>
      </c>
      <c r="BQ93" s="74" cm="1">
        <f t="array" ref="BQ93">SUM(SUMIFS(BM$14:BM$1004,BK$14:BK$1004,BP93:BP94,BJ$14:BJ$1004,BO93:BO94,BL$14:BL$1004,0))</f>
        <v>4.6272989999999998</v>
      </c>
      <c r="BV93" s="89">
        <v>72</v>
      </c>
      <c r="BW93" s="2">
        <v>32</v>
      </c>
      <c r="BX93" s="2">
        <v>0</v>
      </c>
      <c r="BY93" s="2">
        <v>2.3E-2</v>
      </c>
      <c r="BZ93" s="43" t="s">
        <v>1354</v>
      </c>
      <c r="CA93" s="43">
        <v>107</v>
      </c>
      <c r="CB93" s="43">
        <v>47</v>
      </c>
      <c r="CC93" s="74" cm="1">
        <f t="array" ref="CC93">SUM(SUMIFS(BY$14:BY$1004,BW$14:BW$1004,CB93:CB94,BV$14:BV$1004,CA93:CA94,BX$14:BX$1004,0))</f>
        <v>3.6486360000000002</v>
      </c>
      <c r="CH93" s="89">
        <v>79</v>
      </c>
      <c r="CI93" s="2">
        <v>31</v>
      </c>
      <c r="CJ93" s="2">
        <v>0</v>
      </c>
      <c r="CK93" s="2">
        <v>1.0987E-2</v>
      </c>
      <c r="CL93" s="43" t="s">
        <v>1354</v>
      </c>
      <c r="CM93" s="43">
        <v>107</v>
      </c>
      <c r="CN93" s="43">
        <v>47</v>
      </c>
      <c r="CO93" s="74" cm="1">
        <f t="array" ref="CO93">SUM(SUMIFS(CK$14:CK$1004,CI$14:CI$1004,CN93:CN94,CH$14:CH$1004,CM93:CM94,CJ$14:CJ$1004,0))</f>
        <v>4.0414889999999994</v>
      </c>
      <c r="CT93" s="89">
        <v>74</v>
      </c>
      <c r="CU93" s="2">
        <v>31</v>
      </c>
      <c r="CV93" s="2">
        <v>1</v>
      </c>
      <c r="CW93" s="2">
        <v>2.404945E-2</v>
      </c>
      <c r="CX93" s="43" t="s">
        <v>1354</v>
      </c>
      <c r="CY93" s="43">
        <v>107</v>
      </c>
      <c r="CZ93" s="43">
        <v>47</v>
      </c>
      <c r="DA93" s="74" cm="1">
        <f t="array" ref="DA93">SUM(SUMIFS(CW$14:CW$1004,CU$14:CU$1004,CZ93:CZ94,CT$14:CT$1004,CY93:CY94,CV$14:CV$1004,0))</f>
        <v>3.7316729999999998</v>
      </c>
      <c r="DF93" s="89">
        <v>77</v>
      </c>
      <c r="DG93" s="2">
        <v>32</v>
      </c>
      <c r="DH93" s="2">
        <v>1</v>
      </c>
      <c r="DI93" s="2">
        <v>7.218919E-2</v>
      </c>
      <c r="DJ93" s="43" t="s">
        <v>1354</v>
      </c>
      <c r="DK93" s="43">
        <v>107</v>
      </c>
      <c r="DL93" s="43">
        <v>47</v>
      </c>
      <c r="DM93" s="74" cm="1">
        <f t="array" ref="DM93">SUM(SUMIFS(DI$14:DI$1004,DG$14:DG$1004,DL93:DL94,DF$14:DF$1004,DK93:DK94,DH$14:DH$1004,0))</f>
        <v>2.592848</v>
      </c>
      <c r="DR93" s="89">
        <v>73</v>
      </c>
      <c r="DS93" s="2">
        <v>30</v>
      </c>
      <c r="DT93" s="2">
        <v>1</v>
      </c>
      <c r="DU93" s="2">
        <v>0.16424730000000001</v>
      </c>
      <c r="DV93" s="43" t="s">
        <v>1354</v>
      </c>
      <c r="DW93" s="43">
        <v>107</v>
      </c>
      <c r="DX93" s="43">
        <v>47</v>
      </c>
      <c r="DY93" s="74" cm="1">
        <f t="array" ref="DY93">SUM(SUMIFS(DU$14:DU$1004,DS$14:DS$1004,DX93:DX94,DR$14:DR$1004,DW93:DW94,DT$14:DT$1004,0))</f>
        <v>4.0935730000000001</v>
      </c>
      <c r="ED93" s="89">
        <v>77</v>
      </c>
      <c r="EE93" s="2">
        <v>31</v>
      </c>
      <c r="EF93" s="2">
        <v>0</v>
      </c>
      <c r="EG93" s="2">
        <v>5.7000000000000002E-2</v>
      </c>
      <c r="EH93" s="43" t="s">
        <v>1354</v>
      </c>
      <c r="EI93" s="43">
        <v>107</v>
      </c>
      <c r="EJ93" s="43">
        <v>47</v>
      </c>
      <c r="EK93" s="74" cm="1">
        <f t="array" ref="EK93">SUM(SUMIFS(EG$14:EG$1004,EE$14:EE$1004,EJ93:EJ94,ED$14:ED$1004,EI93:EI94,EF$14:EF$1004,0))</f>
        <v>3.991406</v>
      </c>
      <c r="ES93">
        <v>77</v>
      </c>
      <c r="ET93">
        <v>31</v>
      </c>
      <c r="EU93">
        <v>0</v>
      </c>
      <c r="EV93">
        <v>5.7000000000000002E-2</v>
      </c>
    </row>
    <row r="94" spans="1:152" x14ac:dyDescent="0.4">
      <c r="A94" s="89"/>
      <c r="B94" s="2"/>
      <c r="C94" s="2"/>
      <c r="D94" s="2"/>
      <c r="E94" s="43" t="s">
        <v>1354</v>
      </c>
      <c r="F94" s="43">
        <v>109</v>
      </c>
      <c r="G94" s="43">
        <v>47</v>
      </c>
      <c r="H94" s="74"/>
      <c r="N94" s="89">
        <v>72</v>
      </c>
      <c r="O94" s="2">
        <v>30</v>
      </c>
      <c r="P94" s="2">
        <v>0</v>
      </c>
      <c r="Q94" s="2">
        <v>0.52</v>
      </c>
      <c r="R94" s="43" t="s">
        <v>1354</v>
      </c>
      <c r="S94" s="43">
        <v>109</v>
      </c>
      <c r="T94" s="43">
        <v>47</v>
      </c>
      <c r="U94" s="74"/>
      <c r="Z94" s="89">
        <v>78</v>
      </c>
      <c r="AA94" s="2">
        <v>30</v>
      </c>
      <c r="AB94" s="2">
        <v>0</v>
      </c>
      <c r="AC94" s="2">
        <v>9.5500010000000007E-3</v>
      </c>
      <c r="AD94" s="43" t="s">
        <v>1354</v>
      </c>
      <c r="AE94" s="43">
        <v>109</v>
      </c>
      <c r="AF94" s="43">
        <v>47</v>
      </c>
      <c r="AG94" s="74"/>
      <c r="AL94" s="89">
        <v>67</v>
      </c>
      <c r="AM94" s="2">
        <v>31</v>
      </c>
      <c r="AN94" s="2">
        <v>0</v>
      </c>
      <c r="AO94" s="2">
        <v>1E-3</v>
      </c>
      <c r="AP94" s="43" t="s">
        <v>1354</v>
      </c>
      <c r="AQ94" s="43">
        <v>109</v>
      </c>
      <c r="AR94" s="43">
        <v>47</v>
      </c>
      <c r="AS94" s="74"/>
      <c r="AX94" s="89">
        <v>72</v>
      </c>
      <c r="AY94" s="2">
        <v>32</v>
      </c>
      <c r="AZ94" s="2">
        <v>0</v>
      </c>
      <c r="BA94" s="2">
        <v>1.7000000000000001E-2</v>
      </c>
      <c r="BB94" s="43" t="s">
        <v>1354</v>
      </c>
      <c r="BC94" s="43">
        <v>109</v>
      </c>
      <c r="BD94" s="43">
        <v>47</v>
      </c>
      <c r="BE94" s="74"/>
      <c r="BJ94" s="89">
        <v>82</v>
      </c>
      <c r="BK94" s="2">
        <v>31</v>
      </c>
      <c r="BL94" s="2">
        <v>0</v>
      </c>
      <c r="BM94" s="2">
        <v>1E-3</v>
      </c>
      <c r="BN94" s="43" t="s">
        <v>1354</v>
      </c>
      <c r="BO94" s="43">
        <v>109</v>
      </c>
      <c r="BP94" s="43">
        <v>47</v>
      </c>
      <c r="BQ94" s="74"/>
      <c r="BV94" s="89">
        <v>73</v>
      </c>
      <c r="BW94" s="2">
        <v>32</v>
      </c>
      <c r="BX94" s="2">
        <v>0</v>
      </c>
      <c r="BY94" s="2">
        <v>0.03</v>
      </c>
      <c r="BZ94" s="43" t="s">
        <v>1354</v>
      </c>
      <c r="CA94" s="43">
        <v>109</v>
      </c>
      <c r="CB94" s="43">
        <v>47</v>
      </c>
      <c r="CC94" s="74"/>
      <c r="CH94" s="89">
        <v>80</v>
      </c>
      <c r="CI94" s="2">
        <v>31</v>
      </c>
      <c r="CJ94" s="2">
        <v>0</v>
      </c>
      <c r="CK94" s="2">
        <v>5.0000000000000001E-3</v>
      </c>
      <c r="CL94" s="43" t="s">
        <v>1354</v>
      </c>
      <c r="CM94" s="43">
        <v>109</v>
      </c>
      <c r="CN94" s="43">
        <v>47</v>
      </c>
      <c r="CO94" s="74"/>
      <c r="CT94" s="89">
        <v>75</v>
      </c>
      <c r="CU94" s="2">
        <v>31</v>
      </c>
      <c r="CV94" s="2">
        <v>0</v>
      </c>
      <c r="CW94" s="2">
        <v>4.4925E-2</v>
      </c>
      <c r="CX94" s="43" t="s">
        <v>1354</v>
      </c>
      <c r="CY94" s="43">
        <v>109</v>
      </c>
      <c r="CZ94" s="43">
        <v>47</v>
      </c>
      <c r="DA94" s="74"/>
      <c r="DF94" s="89">
        <v>78</v>
      </c>
      <c r="DG94" s="2">
        <v>32</v>
      </c>
      <c r="DH94" s="2">
        <v>0</v>
      </c>
      <c r="DI94" s="2">
        <v>0.1608039</v>
      </c>
      <c r="DJ94" s="43" t="s">
        <v>1354</v>
      </c>
      <c r="DK94" s="43">
        <v>109</v>
      </c>
      <c r="DL94" s="43">
        <v>47</v>
      </c>
      <c r="DM94" s="74"/>
      <c r="DR94" s="89">
        <v>73</v>
      </c>
      <c r="DS94" s="2">
        <v>30</v>
      </c>
      <c r="DT94" s="2">
        <v>2</v>
      </c>
      <c r="DU94" s="2">
        <v>0.24637100000000001</v>
      </c>
      <c r="DV94" s="43" t="s">
        <v>1354</v>
      </c>
      <c r="DW94" s="43">
        <v>109</v>
      </c>
      <c r="DX94" s="43">
        <v>47</v>
      </c>
      <c r="DY94" s="74"/>
      <c r="ED94" s="89">
        <v>78</v>
      </c>
      <c r="EE94" s="2">
        <v>31</v>
      </c>
      <c r="EF94" s="2">
        <v>0</v>
      </c>
      <c r="EG94" s="2">
        <v>4.2000000000000003E-2</v>
      </c>
      <c r="EH94" s="43" t="s">
        <v>1354</v>
      </c>
      <c r="EI94" s="43">
        <v>109</v>
      </c>
      <c r="EJ94" s="43">
        <v>47</v>
      </c>
      <c r="EK94" s="74"/>
      <c r="ES94">
        <v>78</v>
      </c>
      <c r="ET94">
        <v>31</v>
      </c>
      <c r="EU94">
        <v>0</v>
      </c>
      <c r="EV94">
        <v>4.2000000000000003E-2</v>
      </c>
    </row>
    <row r="95" spans="1:152" x14ac:dyDescent="0.4">
      <c r="A95" s="89"/>
      <c r="B95" s="2"/>
      <c r="C95" s="2"/>
      <c r="D95" s="2"/>
      <c r="E95" s="42" t="s">
        <v>1353</v>
      </c>
      <c r="F95" s="42">
        <v>106</v>
      </c>
      <c r="G95" s="42">
        <v>48</v>
      </c>
      <c r="H95" s="74" cm="1">
        <f t="array" ref="H95">SUM(SUMIFS(D$14:D$1004,B$14:B$1004,G95:G102,A$14:A$1004,F95:F102,C$14:C$1004,0))</f>
        <v>0</v>
      </c>
      <c r="N95" s="89">
        <v>73</v>
      </c>
      <c r="O95" s="2">
        <v>30</v>
      </c>
      <c r="P95" s="2">
        <v>0</v>
      </c>
      <c r="Q95" s="2">
        <v>0.2453574</v>
      </c>
      <c r="R95" s="42" t="s">
        <v>1353</v>
      </c>
      <c r="S95" s="42">
        <v>106</v>
      </c>
      <c r="T95" s="42">
        <v>48</v>
      </c>
      <c r="U95" s="74" cm="1">
        <f t="array" ref="U95">SUM(SUMIFS(Q$14:Q$1004,O$14:O$1004,T95:T102,N$14:N$1004,S95:S102,P$14:P$1004,0))</f>
        <v>10.57568638</v>
      </c>
      <c r="Z95" s="89">
        <v>79</v>
      </c>
      <c r="AA95" s="2">
        <v>30</v>
      </c>
      <c r="AB95" s="2">
        <v>0</v>
      </c>
      <c r="AC95" s="2">
        <v>2.4499999999999999E-3</v>
      </c>
      <c r="AD95" s="42" t="s">
        <v>1353</v>
      </c>
      <c r="AE95" s="42">
        <v>106</v>
      </c>
      <c r="AF95" s="42">
        <v>48</v>
      </c>
      <c r="AG95" s="74" cm="1">
        <f t="array" ref="AG95">SUM(SUMIFS(AC$14:AC$1004,AA$14:AA$1004,AF95:AF102,Z$14:Z$1004,AE95:AE102,AB$14:AB$1004,0))</f>
        <v>13.618128123</v>
      </c>
      <c r="AL95" s="89">
        <v>69</v>
      </c>
      <c r="AM95" s="2">
        <v>31</v>
      </c>
      <c r="AN95" s="2">
        <v>0</v>
      </c>
      <c r="AO95" s="2">
        <v>0.19095999999999999</v>
      </c>
      <c r="AP95" s="42" t="s">
        <v>1353</v>
      </c>
      <c r="AQ95" s="42">
        <v>106</v>
      </c>
      <c r="AR95" s="42">
        <v>48</v>
      </c>
      <c r="AS95" s="74" cm="1">
        <f t="array" ref="AS95">SUM(SUMIFS(AO$14:AO$1004,AM$14:AM$1004,AR95:AR102,AL$14:AL$1004,AQ95:AQ102,AN$14:AN$1004,0))</f>
        <v>14.863827560000001</v>
      </c>
      <c r="AX95" s="89">
        <v>73</v>
      </c>
      <c r="AY95" s="2">
        <v>32</v>
      </c>
      <c r="AZ95" s="2">
        <v>0</v>
      </c>
      <c r="BA95" s="2">
        <v>4.1000000000000002E-2</v>
      </c>
      <c r="BB95" s="42" t="s">
        <v>1353</v>
      </c>
      <c r="BC95" s="42">
        <v>106</v>
      </c>
      <c r="BD95" s="42">
        <v>48</v>
      </c>
      <c r="BE95" s="74" cm="1">
        <f t="array" ref="BE95">SUM(SUMIFS(BA$14:BA$1004,AY$14:AY$1004,BD95:BD102,AX$14:AX$1004,BC95:BC102,AZ$14:AZ$1004,0))</f>
        <v>25.654718689999999</v>
      </c>
      <c r="BJ95" s="89">
        <v>71</v>
      </c>
      <c r="BK95" s="2">
        <v>32</v>
      </c>
      <c r="BL95" s="2">
        <v>0</v>
      </c>
      <c r="BM95" s="2">
        <v>1E-3</v>
      </c>
      <c r="BN95" s="42" t="s">
        <v>1353</v>
      </c>
      <c r="BO95" s="42">
        <v>106</v>
      </c>
      <c r="BP95" s="42">
        <v>48</v>
      </c>
      <c r="BQ95" s="74" cm="1">
        <f t="array" ref="BQ95">SUM(SUMIFS(BM$14:BM$1004,BK$14:BK$1004,BP95:BP102,BJ$14:BJ$1004,BO95:BO102,BL$14:BL$1004,0))</f>
        <v>24.918008914599998</v>
      </c>
      <c r="BV95" s="89">
        <v>73</v>
      </c>
      <c r="BW95" s="2">
        <v>32</v>
      </c>
      <c r="BX95" s="2">
        <v>1</v>
      </c>
      <c r="BY95" s="2">
        <v>2.9558999999999998E-2</v>
      </c>
      <c r="BZ95" s="42" t="s">
        <v>1353</v>
      </c>
      <c r="CA95" s="42">
        <v>106</v>
      </c>
      <c r="CB95" s="42">
        <v>48</v>
      </c>
      <c r="CC95" s="74" cm="1">
        <f t="array" ref="CC95">SUM(SUMIFS(BY$14:BY$1004,BW$14:BW$1004,CB95:CB102,BV$14:BV$1004,CA95:CA102,BX$14:BX$1004,0))</f>
        <v>20.463205797000001</v>
      </c>
      <c r="CH95" s="89">
        <v>81</v>
      </c>
      <c r="CI95" s="2">
        <v>31</v>
      </c>
      <c r="CJ95" s="2">
        <v>0</v>
      </c>
      <c r="CK95" s="2">
        <v>1E-3</v>
      </c>
      <c r="CL95" s="42" t="s">
        <v>1353</v>
      </c>
      <c r="CM95" s="42">
        <v>106</v>
      </c>
      <c r="CN95" s="42">
        <v>48</v>
      </c>
      <c r="CO95" s="74" cm="1">
        <f t="array" ref="CO95">SUM(SUMIFS(CK$14:CK$1004,CI$14:CI$1004,CN95:CN102,CH$14:CH$1004,CM95:CM102,CJ$14:CJ$1004,0))</f>
        <v>20.878981413800002</v>
      </c>
      <c r="CT95" s="89">
        <v>76</v>
      </c>
      <c r="CU95" s="2">
        <v>31</v>
      </c>
      <c r="CV95" s="2">
        <v>0</v>
      </c>
      <c r="CW95" s="2">
        <v>4.7969999999999999E-2</v>
      </c>
      <c r="CX95" s="42" t="s">
        <v>1353</v>
      </c>
      <c r="CY95" s="42">
        <v>106</v>
      </c>
      <c r="CZ95" s="42">
        <v>48</v>
      </c>
      <c r="DA95" s="74" cm="1">
        <f t="array" ref="DA95">SUM(SUMIFS(CW$14:CW$1004,CU$14:CU$1004,CZ95:CZ102,CT$14:CT$1004,CY95:CY102,CV$14:CV$1004,0))</f>
        <v>19.248645881999998</v>
      </c>
      <c r="DF95" s="89">
        <v>79</v>
      </c>
      <c r="DG95" s="2">
        <v>32</v>
      </c>
      <c r="DH95" s="2">
        <v>0</v>
      </c>
      <c r="DI95" s="2">
        <v>0.16032879999999999</v>
      </c>
      <c r="DJ95" s="42" t="s">
        <v>1353</v>
      </c>
      <c r="DK95" s="42">
        <v>106</v>
      </c>
      <c r="DL95" s="42">
        <v>48</v>
      </c>
      <c r="DM95" s="74" cm="1">
        <f t="array" ref="DM95">SUM(SUMIFS(DI$14:DI$1004,DG$14:DG$1004,DL95:DL102,DF$14:DF$1004,DK95:DK102,DH$14:DH$1004,0))</f>
        <v>14.068612959300001</v>
      </c>
      <c r="DR95" s="89">
        <v>74</v>
      </c>
      <c r="DS95" s="2">
        <v>30</v>
      </c>
      <c r="DT95" s="2">
        <v>0</v>
      </c>
      <c r="DU95" s="2">
        <v>0.42120550000000001</v>
      </c>
      <c r="DV95" s="42" t="s">
        <v>1353</v>
      </c>
      <c r="DW95" s="42">
        <v>106</v>
      </c>
      <c r="DX95" s="42">
        <v>48</v>
      </c>
      <c r="DY95" s="74" cm="1">
        <f t="array" ref="DY95">SUM(SUMIFS(DU$14:DU$1004,DS$14:DS$1004,DX95:DX102,DR$14:DR$1004,DW95:DW102,DT$14:DT$1004,0))</f>
        <v>16.240023547699998</v>
      </c>
      <c r="ED95" s="89">
        <v>79</v>
      </c>
      <c r="EE95" s="2">
        <v>31</v>
      </c>
      <c r="EF95" s="2">
        <v>0</v>
      </c>
      <c r="EG95" s="2">
        <v>2.8000000000000001E-2</v>
      </c>
      <c r="EH95" s="42" t="s">
        <v>1353</v>
      </c>
      <c r="EI95" s="42">
        <v>106</v>
      </c>
      <c r="EJ95" s="42">
        <v>48</v>
      </c>
      <c r="EK95" s="74" cm="1">
        <f t="array" ref="EK95">SUM(SUMIFS(EG$14:EG$1004,EE$14:EE$1004,EJ95:EJ102,ED$14:ED$1004,EI95:EI102,EF$14:EF$1004,0))</f>
        <v>21.599647564600001</v>
      </c>
      <c r="ES95">
        <v>79</v>
      </c>
      <c r="ET95">
        <v>31</v>
      </c>
      <c r="EU95">
        <v>0</v>
      </c>
      <c r="EV95">
        <v>2.8000000000000001E-2</v>
      </c>
    </row>
    <row r="96" spans="1:152" x14ac:dyDescent="0.4">
      <c r="A96" s="89"/>
      <c r="B96" s="2"/>
      <c r="C96" s="2"/>
      <c r="D96" s="2"/>
      <c r="E96" s="42" t="s">
        <v>1353</v>
      </c>
      <c r="F96" s="42">
        <v>108</v>
      </c>
      <c r="G96" s="42">
        <v>48</v>
      </c>
      <c r="H96" s="74"/>
      <c r="N96" s="89">
        <v>73</v>
      </c>
      <c r="O96" s="2">
        <v>30</v>
      </c>
      <c r="P96" s="2">
        <v>1</v>
      </c>
      <c r="Q96" s="2">
        <v>0.15169849999999999</v>
      </c>
      <c r="R96" s="42" t="s">
        <v>1353</v>
      </c>
      <c r="S96" s="42">
        <v>108</v>
      </c>
      <c r="T96" s="42">
        <v>48</v>
      </c>
      <c r="U96" s="74"/>
      <c r="Z96" s="89">
        <v>80</v>
      </c>
      <c r="AA96" s="2">
        <v>30</v>
      </c>
      <c r="AB96" s="2">
        <v>0</v>
      </c>
      <c r="AC96" s="2">
        <v>1E-3</v>
      </c>
      <c r="AD96" s="42" t="s">
        <v>1353</v>
      </c>
      <c r="AE96" s="42">
        <v>108</v>
      </c>
      <c r="AF96" s="42">
        <v>48</v>
      </c>
      <c r="AG96" s="74"/>
      <c r="AL96" s="89">
        <v>70</v>
      </c>
      <c r="AM96" s="2">
        <v>31</v>
      </c>
      <c r="AN96" s="2">
        <v>0</v>
      </c>
      <c r="AO96" s="2">
        <v>2.9000000000000001E-2</v>
      </c>
      <c r="AP96" s="42" t="s">
        <v>1353</v>
      </c>
      <c r="AQ96" s="42">
        <v>108</v>
      </c>
      <c r="AR96" s="42">
        <v>48</v>
      </c>
      <c r="AS96" s="74"/>
      <c r="AX96" s="89">
        <v>73</v>
      </c>
      <c r="AY96" s="2">
        <v>32</v>
      </c>
      <c r="AZ96" s="2">
        <v>1</v>
      </c>
      <c r="BA96" s="2">
        <v>4.0397299999999997E-2</v>
      </c>
      <c r="BB96" s="42" t="s">
        <v>1353</v>
      </c>
      <c r="BC96" s="42">
        <v>108</v>
      </c>
      <c r="BD96" s="42">
        <v>48</v>
      </c>
      <c r="BE96" s="74"/>
      <c r="BJ96" s="89">
        <v>71</v>
      </c>
      <c r="BK96" s="2">
        <v>32</v>
      </c>
      <c r="BL96" s="2">
        <v>1</v>
      </c>
      <c r="BM96" s="2">
        <v>1E-3</v>
      </c>
      <c r="BN96" s="42" t="s">
        <v>1353</v>
      </c>
      <c r="BO96" s="42">
        <v>108</v>
      </c>
      <c r="BP96" s="42">
        <v>48</v>
      </c>
      <c r="BQ96" s="74"/>
      <c r="BV96" s="89">
        <v>74</v>
      </c>
      <c r="BW96" s="2">
        <v>32</v>
      </c>
      <c r="BX96" s="2">
        <v>0</v>
      </c>
      <c r="BY96" s="2">
        <v>5.0139999999999997E-2</v>
      </c>
      <c r="BZ96" s="42" t="s">
        <v>1353</v>
      </c>
      <c r="CA96" s="42">
        <v>108</v>
      </c>
      <c r="CB96" s="42">
        <v>48</v>
      </c>
      <c r="CC96" s="74"/>
      <c r="CH96" s="89">
        <v>70</v>
      </c>
      <c r="CI96" s="2">
        <v>32</v>
      </c>
      <c r="CJ96" s="2">
        <v>0</v>
      </c>
      <c r="CK96" s="2">
        <v>9.9590000000000008E-4</v>
      </c>
      <c r="CL96" s="42" t="s">
        <v>1353</v>
      </c>
      <c r="CM96" s="42">
        <v>108</v>
      </c>
      <c r="CN96" s="42">
        <v>48</v>
      </c>
      <c r="CO96" s="74"/>
      <c r="CT96" s="89">
        <v>77</v>
      </c>
      <c r="CU96" s="2">
        <v>31</v>
      </c>
      <c r="CV96" s="2">
        <v>0</v>
      </c>
      <c r="CW96" s="2">
        <v>3.5999999999999997E-2</v>
      </c>
      <c r="CX96" s="42" t="s">
        <v>1353</v>
      </c>
      <c r="CY96" s="42">
        <v>108</v>
      </c>
      <c r="CZ96" s="42">
        <v>48</v>
      </c>
      <c r="DA96" s="74"/>
      <c r="DF96" s="89">
        <v>79</v>
      </c>
      <c r="DG96" s="2">
        <v>32</v>
      </c>
      <c r="DH96" s="2">
        <v>1</v>
      </c>
      <c r="DI96" s="2">
        <v>5.7153429999999998E-2</v>
      </c>
      <c r="DJ96" s="42" t="s">
        <v>1353</v>
      </c>
      <c r="DK96" s="42">
        <v>108</v>
      </c>
      <c r="DL96" s="42">
        <v>48</v>
      </c>
      <c r="DM96" s="74"/>
      <c r="DR96" s="89">
        <v>75</v>
      </c>
      <c r="DS96" s="2">
        <v>30</v>
      </c>
      <c r="DT96" s="2">
        <v>0</v>
      </c>
      <c r="DU96" s="2">
        <v>0.26137959999999999</v>
      </c>
      <c r="DV96" s="42" t="s">
        <v>1353</v>
      </c>
      <c r="DW96" s="42">
        <v>108</v>
      </c>
      <c r="DX96" s="42">
        <v>48</v>
      </c>
      <c r="DY96" s="74"/>
      <c r="ED96" s="89">
        <v>80</v>
      </c>
      <c r="EE96" s="2">
        <v>31</v>
      </c>
      <c r="EF96" s="2">
        <v>0</v>
      </c>
      <c r="EG96" s="2">
        <v>2.1000000000000001E-2</v>
      </c>
      <c r="EH96" s="42" t="s">
        <v>1353</v>
      </c>
      <c r="EI96" s="42">
        <v>108</v>
      </c>
      <c r="EJ96" s="42">
        <v>48</v>
      </c>
      <c r="EK96" s="74"/>
      <c r="ES96">
        <v>80</v>
      </c>
      <c r="ET96">
        <v>31</v>
      </c>
      <c r="EU96">
        <v>0</v>
      </c>
      <c r="EV96">
        <v>2.1000000000000001E-2</v>
      </c>
    </row>
    <row r="97" spans="1:152" x14ac:dyDescent="0.4">
      <c r="A97" s="89"/>
      <c r="B97" s="2"/>
      <c r="C97" s="2"/>
      <c r="D97" s="2"/>
      <c r="E97" s="42" t="s">
        <v>1353</v>
      </c>
      <c r="F97" s="42">
        <v>110</v>
      </c>
      <c r="G97" s="42">
        <v>48</v>
      </c>
      <c r="H97" s="74"/>
      <c r="N97" s="89">
        <v>73</v>
      </c>
      <c r="O97" s="2">
        <v>30</v>
      </c>
      <c r="P97" s="2">
        <v>2</v>
      </c>
      <c r="Q97" s="2">
        <v>0.2312853</v>
      </c>
      <c r="R97" s="42" t="s">
        <v>1353</v>
      </c>
      <c r="S97" s="42">
        <v>110</v>
      </c>
      <c r="T97" s="42">
        <v>48</v>
      </c>
      <c r="U97" s="74"/>
      <c r="Z97" s="89">
        <v>68</v>
      </c>
      <c r="AA97" s="2">
        <v>31</v>
      </c>
      <c r="AB97" s="2">
        <v>0</v>
      </c>
      <c r="AC97" s="2">
        <v>1E-3</v>
      </c>
      <c r="AD97" s="42" t="s">
        <v>1353</v>
      </c>
      <c r="AE97" s="42">
        <v>110</v>
      </c>
      <c r="AF97" s="42">
        <v>48</v>
      </c>
      <c r="AG97" s="74"/>
      <c r="AL97" s="89">
        <v>71</v>
      </c>
      <c r="AM97" s="2">
        <v>31</v>
      </c>
      <c r="AN97" s="2">
        <v>0</v>
      </c>
      <c r="AO97" s="2">
        <v>0.35599999999999998</v>
      </c>
      <c r="AP97" s="42" t="s">
        <v>1353</v>
      </c>
      <c r="AQ97" s="42">
        <v>110</v>
      </c>
      <c r="AR97" s="42">
        <v>48</v>
      </c>
      <c r="AS97" s="74"/>
      <c r="AX97" s="89">
        <v>74</v>
      </c>
      <c r="AY97" s="2">
        <v>32</v>
      </c>
      <c r="AZ97" s="2">
        <v>0</v>
      </c>
      <c r="BA97" s="2">
        <v>4.3209999999999998E-2</v>
      </c>
      <c r="BB97" s="42" t="s">
        <v>1353</v>
      </c>
      <c r="BC97" s="42">
        <v>110</v>
      </c>
      <c r="BD97" s="42">
        <v>48</v>
      </c>
      <c r="BE97" s="74"/>
      <c r="BJ97" s="89">
        <v>72</v>
      </c>
      <c r="BK97" s="2">
        <v>32</v>
      </c>
      <c r="BL97" s="2">
        <v>0</v>
      </c>
      <c r="BM97" s="2">
        <v>3.6999999999999998E-2</v>
      </c>
      <c r="BN97" s="42" t="s">
        <v>1353</v>
      </c>
      <c r="BO97" s="42">
        <v>110</v>
      </c>
      <c r="BP97" s="42">
        <v>48</v>
      </c>
      <c r="BQ97" s="74"/>
      <c r="BV97" s="89">
        <v>75</v>
      </c>
      <c r="BW97" s="2">
        <v>32</v>
      </c>
      <c r="BX97" s="2">
        <v>0</v>
      </c>
      <c r="BY97" s="2">
        <v>4.7038299999999998E-2</v>
      </c>
      <c r="BZ97" s="42" t="s">
        <v>1353</v>
      </c>
      <c r="CA97" s="42">
        <v>110</v>
      </c>
      <c r="CB97" s="42">
        <v>48</v>
      </c>
      <c r="CC97" s="74"/>
      <c r="CH97" s="89">
        <v>72</v>
      </c>
      <c r="CI97" s="2">
        <v>32</v>
      </c>
      <c r="CJ97" s="2">
        <v>0</v>
      </c>
      <c r="CK97" s="2">
        <v>4.2000000000000003E-2</v>
      </c>
      <c r="CL97" s="42" t="s">
        <v>1353</v>
      </c>
      <c r="CM97" s="42">
        <v>110</v>
      </c>
      <c r="CN97" s="42">
        <v>48</v>
      </c>
      <c r="CO97" s="74"/>
      <c r="CT97" s="89">
        <v>78</v>
      </c>
      <c r="CU97" s="2">
        <v>31</v>
      </c>
      <c r="CV97" s="2">
        <v>0</v>
      </c>
      <c r="CW97" s="2">
        <v>2.5038999999999999E-2</v>
      </c>
      <c r="CX97" s="42" t="s">
        <v>1353</v>
      </c>
      <c r="CY97" s="42">
        <v>110</v>
      </c>
      <c r="CZ97" s="42">
        <v>48</v>
      </c>
      <c r="DA97" s="74"/>
      <c r="DF97" s="89">
        <v>80</v>
      </c>
      <c r="DG97" s="2">
        <v>32</v>
      </c>
      <c r="DH97" s="2">
        <v>0</v>
      </c>
      <c r="DI97" s="2">
        <v>0.25251709999999999</v>
      </c>
      <c r="DJ97" s="42" t="s">
        <v>1353</v>
      </c>
      <c r="DK97" s="42">
        <v>110</v>
      </c>
      <c r="DL97" s="42">
        <v>48</v>
      </c>
      <c r="DM97" s="74"/>
      <c r="DR97" s="89">
        <v>76</v>
      </c>
      <c r="DS97" s="2">
        <v>30</v>
      </c>
      <c r="DT97" s="2">
        <v>0</v>
      </c>
      <c r="DU97" s="2">
        <v>0.19741500000000001</v>
      </c>
      <c r="DV97" s="42" t="s">
        <v>1353</v>
      </c>
      <c r="DW97" s="42">
        <v>110</v>
      </c>
      <c r="DX97" s="42">
        <v>48</v>
      </c>
      <c r="DY97" s="74"/>
      <c r="ED97" s="89">
        <v>81</v>
      </c>
      <c r="EE97" s="2">
        <v>31</v>
      </c>
      <c r="EF97" s="2">
        <v>0</v>
      </c>
      <c r="EG97" s="2">
        <v>4.0000000000000001E-3</v>
      </c>
      <c r="EH97" s="42" t="s">
        <v>1353</v>
      </c>
      <c r="EI97" s="42">
        <v>110</v>
      </c>
      <c r="EJ97" s="42">
        <v>48</v>
      </c>
      <c r="EK97" s="74"/>
      <c r="ES97">
        <v>81</v>
      </c>
      <c r="ET97">
        <v>31</v>
      </c>
      <c r="EU97">
        <v>0</v>
      </c>
      <c r="EV97">
        <v>4.0000000000000001E-3</v>
      </c>
    </row>
    <row r="98" spans="1:152" x14ac:dyDescent="0.4">
      <c r="A98" s="89"/>
      <c r="B98" s="2"/>
      <c r="C98" s="2"/>
      <c r="D98" s="2"/>
      <c r="E98" s="42" t="s">
        <v>1353</v>
      </c>
      <c r="F98" s="42">
        <v>111</v>
      </c>
      <c r="G98" s="42">
        <v>48</v>
      </c>
      <c r="H98" s="74"/>
      <c r="N98" s="89">
        <v>74</v>
      </c>
      <c r="O98" s="2">
        <v>30</v>
      </c>
      <c r="P98" s="2">
        <v>0</v>
      </c>
      <c r="Q98" s="2">
        <v>0.24638499999999999</v>
      </c>
      <c r="R98" s="42" t="s">
        <v>1353</v>
      </c>
      <c r="S98" s="42">
        <v>111</v>
      </c>
      <c r="T98" s="42">
        <v>48</v>
      </c>
      <c r="U98" s="74"/>
      <c r="Z98" s="89">
        <v>69</v>
      </c>
      <c r="AA98" s="2">
        <v>31</v>
      </c>
      <c r="AB98" s="2">
        <v>0</v>
      </c>
      <c r="AC98" s="2">
        <v>0.24975069999999999</v>
      </c>
      <c r="AD98" s="42" t="s">
        <v>1353</v>
      </c>
      <c r="AE98" s="42">
        <v>111</v>
      </c>
      <c r="AF98" s="42">
        <v>48</v>
      </c>
      <c r="AG98" s="74"/>
      <c r="AL98" s="89">
        <v>72</v>
      </c>
      <c r="AM98" s="2">
        <v>31</v>
      </c>
      <c r="AN98" s="2">
        <v>0</v>
      </c>
      <c r="AO98" s="2">
        <v>0.39600000000000002</v>
      </c>
      <c r="AP98" s="42" t="s">
        <v>1353</v>
      </c>
      <c r="AQ98" s="42">
        <v>111</v>
      </c>
      <c r="AR98" s="42">
        <v>48</v>
      </c>
      <c r="AS98" s="74"/>
      <c r="AX98" s="89">
        <v>75</v>
      </c>
      <c r="AY98" s="2">
        <v>32</v>
      </c>
      <c r="AZ98" s="2">
        <v>0</v>
      </c>
      <c r="BA98" s="2">
        <v>7.9875619999999994E-2</v>
      </c>
      <c r="BB98" s="42" t="s">
        <v>1353</v>
      </c>
      <c r="BC98" s="42">
        <v>111</v>
      </c>
      <c r="BD98" s="42">
        <v>48</v>
      </c>
      <c r="BE98" s="74"/>
      <c r="BJ98" s="89">
        <v>73</v>
      </c>
      <c r="BK98" s="2">
        <v>32</v>
      </c>
      <c r="BL98" s="2">
        <v>0</v>
      </c>
      <c r="BM98" s="2">
        <v>4.2000000000000003E-2</v>
      </c>
      <c r="BN98" s="42" t="s">
        <v>1353</v>
      </c>
      <c r="BO98" s="42">
        <v>111</v>
      </c>
      <c r="BP98" s="42">
        <v>48</v>
      </c>
      <c r="BQ98" s="74"/>
      <c r="BV98" s="89">
        <v>75</v>
      </c>
      <c r="BW98" s="2">
        <v>32</v>
      </c>
      <c r="BX98" s="2">
        <v>1</v>
      </c>
      <c r="BY98" s="2">
        <v>5.6816000000000002E-3</v>
      </c>
      <c r="BZ98" s="42" t="s">
        <v>1353</v>
      </c>
      <c r="CA98" s="42">
        <v>111</v>
      </c>
      <c r="CB98" s="42">
        <v>48</v>
      </c>
      <c r="CC98" s="74"/>
      <c r="CH98" s="89">
        <v>73</v>
      </c>
      <c r="CI98" s="2">
        <v>32</v>
      </c>
      <c r="CJ98" s="2">
        <v>0</v>
      </c>
      <c r="CK98" s="2">
        <v>6.2E-2</v>
      </c>
      <c r="CL98" s="42" t="s">
        <v>1353</v>
      </c>
      <c r="CM98" s="42">
        <v>111</v>
      </c>
      <c r="CN98" s="42">
        <v>48</v>
      </c>
      <c r="CO98" s="74"/>
      <c r="CT98" s="89">
        <v>79</v>
      </c>
      <c r="CU98" s="2">
        <v>31</v>
      </c>
      <c r="CV98" s="2">
        <v>0</v>
      </c>
      <c r="CW98" s="2">
        <v>1.5960999999999999E-2</v>
      </c>
      <c r="CX98" s="42" t="s">
        <v>1353</v>
      </c>
      <c r="CY98" s="42">
        <v>111</v>
      </c>
      <c r="CZ98" s="42">
        <v>48</v>
      </c>
      <c r="DA98" s="74"/>
      <c r="DF98" s="89">
        <v>81</v>
      </c>
      <c r="DG98" s="2">
        <v>32</v>
      </c>
      <c r="DH98" s="2">
        <v>0</v>
      </c>
      <c r="DI98" s="2">
        <v>0.17288480000000001</v>
      </c>
      <c r="DJ98" s="42" t="s">
        <v>1353</v>
      </c>
      <c r="DK98" s="42">
        <v>111</v>
      </c>
      <c r="DL98" s="42">
        <v>48</v>
      </c>
      <c r="DM98" s="74"/>
      <c r="DR98" s="89">
        <v>77</v>
      </c>
      <c r="DS98" s="2">
        <v>30</v>
      </c>
      <c r="DT98" s="2">
        <v>0</v>
      </c>
      <c r="DU98" s="2">
        <v>6.9500010000000001E-2</v>
      </c>
      <c r="DV98" s="42" t="s">
        <v>1353</v>
      </c>
      <c r="DW98" s="42">
        <v>111</v>
      </c>
      <c r="DX98" s="42">
        <v>48</v>
      </c>
      <c r="DY98" s="74"/>
      <c r="ED98" s="89">
        <v>83</v>
      </c>
      <c r="EE98" s="2">
        <v>31</v>
      </c>
      <c r="EF98" s="2">
        <v>0</v>
      </c>
      <c r="EG98" s="2">
        <v>1E-3</v>
      </c>
      <c r="EH98" s="42" t="s">
        <v>1353</v>
      </c>
      <c r="EI98" s="42">
        <v>111</v>
      </c>
      <c r="EJ98" s="42">
        <v>48</v>
      </c>
      <c r="EK98" s="74"/>
      <c r="ES98">
        <v>83</v>
      </c>
      <c r="ET98">
        <v>31</v>
      </c>
      <c r="EU98">
        <v>0</v>
      </c>
      <c r="EV98">
        <v>1E-3</v>
      </c>
    </row>
    <row r="99" spans="1:152" x14ac:dyDescent="0.4">
      <c r="A99" s="89"/>
      <c r="B99" s="2"/>
      <c r="C99" s="2"/>
      <c r="D99" s="2"/>
      <c r="E99" s="42" t="s">
        <v>1353</v>
      </c>
      <c r="F99" s="42">
        <v>112</v>
      </c>
      <c r="G99" s="42">
        <v>48</v>
      </c>
      <c r="H99" s="74"/>
      <c r="N99" s="89">
        <v>75</v>
      </c>
      <c r="O99" s="2">
        <v>30</v>
      </c>
      <c r="P99" s="2">
        <v>0</v>
      </c>
      <c r="Q99" s="2">
        <v>0.12170499999999999</v>
      </c>
      <c r="R99" s="42" t="s">
        <v>1353</v>
      </c>
      <c r="S99" s="42">
        <v>112</v>
      </c>
      <c r="T99" s="42">
        <v>48</v>
      </c>
      <c r="U99" s="74"/>
      <c r="Z99" s="89">
        <v>70</v>
      </c>
      <c r="AA99" s="2">
        <v>31</v>
      </c>
      <c r="AB99" s="2">
        <v>0</v>
      </c>
      <c r="AC99" s="2">
        <v>8.0000000000000002E-3</v>
      </c>
      <c r="AD99" s="42" t="s">
        <v>1353</v>
      </c>
      <c r="AE99" s="42">
        <v>112</v>
      </c>
      <c r="AF99" s="42">
        <v>48</v>
      </c>
      <c r="AG99" s="74"/>
      <c r="AL99" s="89">
        <v>72</v>
      </c>
      <c r="AM99" s="2">
        <v>31</v>
      </c>
      <c r="AN99" s="2">
        <v>1</v>
      </c>
      <c r="AO99" s="2">
        <v>9.9039999999999996E-3</v>
      </c>
      <c r="AP99" s="42" t="s">
        <v>1353</v>
      </c>
      <c r="AQ99" s="42">
        <v>112</v>
      </c>
      <c r="AR99" s="42">
        <v>48</v>
      </c>
      <c r="AS99" s="74"/>
      <c r="AX99" s="89">
        <v>75</v>
      </c>
      <c r="AY99" s="2">
        <v>32</v>
      </c>
      <c r="AZ99" s="2">
        <v>1</v>
      </c>
      <c r="BA99" s="2">
        <v>1.4595199999999999E-2</v>
      </c>
      <c r="BB99" s="42" t="s">
        <v>1353</v>
      </c>
      <c r="BC99" s="42">
        <v>112</v>
      </c>
      <c r="BD99" s="42">
        <v>48</v>
      </c>
      <c r="BE99" s="74"/>
      <c r="BJ99" s="89">
        <v>73</v>
      </c>
      <c r="BK99" s="2">
        <v>32</v>
      </c>
      <c r="BL99" s="2">
        <v>1</v>
      </c>
      <c r="BM99" s="2">
        <v>3.5470799999999997E-2</v>
      </c>
      <c r="BN99" s="42" t="s">
        <v>1353</v>
      </c>
      <c r="BO99" s="42">
        <v>112</v>
      </c>
      <c r="BP99" s="42">
        <v>48</v>
      </c>
      <c r="BQ99" s="74"/>
      <c r="BV99" s="89">
        <v>76</v>
      </c>
      <c r="BW99" s="2">
        <v>32</v>
      </c>
      <c r="BX99" s="2">
        <v>0</v>
      </c>
      <c r="BY99" s="2">
        <v>7.4819999999999998E-2</v>
      </c>
      <c r="BZ99" s="42" t="s">
        <v>1353</v>
      </c>
      <c r="CA99" s="42">
        <v>112</v>
      </c>
      <c r="CB99" s="42">
        <v>48</v>
      </c>
      <c r="CC99" s="74"/>
      <c r="CH99" s="89">
        <v>73</v>
      </c>
      <c r="CI99" s="2">
        <v>32</v>
      </c>
      <c r="CJ99" s="2">
        <v>1</v>
      </c>
      <c r="CK99" s="2">
        <v>5.9117999999999997E-2</v>
      </c>
      <c r="CL99" s="42" t="s">
        <v>1353</v>
      </c>
      <c r="CM99" s="42">
        <v>112</v>
      </c>
      <c r="CN99" s="42">
        <v>48</v>
      </c>
      <c r="CO99" s="74"/>
      <c r="CT99" s="89">
        <v>80</v>
      </c>
      <c r="CU99" s="2">
        <v>31</v>
      </c>
      <c r="CV99" s="2">
        <v>0</v>
      </c>
      <c r="CW99" s="2">
        <v>4.0000000000000001E-3</v>
      </c>
      <c r="CX99" s="42" t="s">
        <v>1353</v>
      </c>
      <c r="CY99" s="42">
        <v>112</v>
      </c>
      <c r="CZ99" s="42">
        <v>48</v>
      </c>
      <c r="DA99" s="74"/>
      <c r="DF99" s="89">
        <v>81</v>
      </c>
      <c r="DG99" s="2">
        <v>32</v>
      </c>
      <c r="DH99" s="2">
        <v>1</v>
      </c>
      <c r="DI99" s="2">
        <v>2.7450120000000001E-2</v>
      </c>
      <c r="DJ99" s="42" t="s">
        <v>1353</v>
      </c>
      <c r="DK99" s="42">
        <v>112</v>
      </c>
      <c r="DL99" s="42">
        <v>48</v>
      </c>
      <c r="DM99" s="74"/>
      <c r="DR99" s="89">
        <v>77</v>
      </c>
      <c r="DS99" s="2">
        <v>30</v>
      </c>
      <c r="DT99" s="2">
        <v>1</v>
      </c>
      <c r="DU99" s="2">
        <v>1E-3</v>
      </c>
      <c r="DV99" s="42" t="s">
        <v>1353</v>
      </c>
      <c r="DW99" s="42">
        <v>112</v>
      </c>
      <c r="DX99" s="42">
        <v>48</v>
      </c>
      <c r="DY99" s="74"/>
      <c r="ED99" s="89">
        <v>72</v>
      </c>
      <c r="EE99" s="2">
        <v>32</v>
      </c>
      <c r="EF99" s="2">
        <v>0</v>
      </c>
      <c r="EG99" s="2">
        <v>2.1999999999999999E-2</v>
      </c>
      <c r="EH99" s="42" t="s">
        <v>1353</v>
      </c>
      <c r="EI99" s="42">
        <v>112</v>
      </c>
      <c r="EJ99" s="42">
        <v>48</v>
      </c>
      <c r="EK99" s="74"/>
      <c r="ES99">
        <v>72</v>
      </c>
      <c r="ET99">
        <v>32</v>
      </c>
      <c r="EU99">
        <v>0</v>
      </c>
      <c r="EV99">
        <v>2.1999999999999999E-2</v>
      </c>
    </row>
    <row r="100" spans="1:152" x14ac:dyDescent="0.4">
      <c r="A100" s="89"/>
      <c r="B100" s="2"/>
      <c r="C100" s="2"/>
      <c r="D100" s="2"/>
      <c r="E100" s="42" t="s">
        <v>1353</v>
      </c>
      <c r="F100" s="42">
        <v>113</v>
      </c>
      <c r="G100" s="42">
        <v>48</v>
      </c>
      <c r="H100" s="74"/>
      <c r="N100" s="89">
        <v>76</v>
      </c>
      <c r="O100" s="2">
        <v>30</v>
      </c>
      <c r="P100" s="2">
        <v>0</v>
      </c>
      <c r="Q100" s="2">
        <v>7.1910009999999996E-2</v>
      </c>
      <c r="R100" s="42" t="s">
        <v>1353</v>
      </c>
      <c r="S100" s="42">
        <v>113</v>
      </c>
      <c r="T100" s="42">
        <v>48</v>
      </c>
      <c r="U100" s="74"/>
      <c r="Z100" s="89">
        <v>71</v>
      </c>
      <c r="AA100" s="2">
        <v>31</v>
      </c>
      <c r="AB100" s="2">
        <v>0</v>
      </c>
      <c r="AC100" s="2">
        <v>0.31</v>
      </c>
      <c r="AD100" s="42" t="s">
        <v>1353</v>
      </c>
      <c r="AE100" s="42">
        <v>113</v>
      </c>
      <c r="AF100" s="42">
        <v>48</v>
      </c>
      <c r="AG100" s="74"/>
      <c r="AL100" s="89">
        <v>73</v>
      </c>
      <c r="AM100" s="2">
        <v>31</v>
      </c>
      <c r="AN100" s="2">
        <v>0</v>
      </c>
      <c r="AO100" s="2">
        <v>0.38200000000000001</v>
      </c>
      <c r="AP100" s="42" t="s">
        <v>1353</v>
      </c>
      <c r="AQ100" s="42">
        <v>113</v>
      </c>
      <c r="AR100" s="42">
        <v>48</v>
      </c>
      <c r="AS100" s="74"/>
      <c r="AX100" s="89">
        <v>76</v>
      </c>
      <c r="AY100" s="2">
        <v>32</v>
      </c>
      <c r="AZ100" s="2">
        <v>0</v>
      </c>
      <c r="BA100" s="2">
        <v>0.13791</v>
      </c>
      <c r="BB100" s="42" t="s">
        <v>1353</v>
      </c>
      <c r="BC100" s="42">
        <v>113</v>
      </c>
      <c r="BD100" s="42">
        <v>48</v>
      </c>
      <c r="BE100" s="74"/>
      <c r="BJ100" s="89">
        <v>74</v>
      </c>
      <c r="BK100" s="2">
        <v>32</v>
      </c>
      <c r="BL100" s="2">
        <v>0</v>
      </c>
      <c r="BM100" s="2">
        <v>0.06</v>
      </c>
      <c r="BN100" s="42" t="s">
        <v>1353</v>
      </c>
      <c r="BO100" s="42">
        <v>113</v>
      </c>
      <c r="BP100" s="42">
        <v>48</v>
      </c>
      <c r="BQ100" s="74"/>
      <c r="BV100" s="89">
        <v>77</v>
      </c>
      <c r="BW100" s="2">
        <v>32</v>
      </c>
      <c r="BX100" s="2">
        <v>0</v>
      </c>
      <c r="BY100" s="2">
        <v>5.308413E-2</v>
      </c>
      <c r="BZ100" s="42" t="s">
        <v>1353</v>
      </c>
      <c r="CA100" s="42">
        <v>113</v>
      </c>
      <c r="CB100" s="42">
        <v>48</v>
      </c>
      <c r="CC100" s="74"/>
      <c r="CH100" s="89">
        <v>74</v>
      </c>
      <c r="CI100" s="2">
        <v>32</v>
      </c>
      <c r="CJ100" s="2">
        <v>0</v>
      </c>
      <c r="CK100" s="2">
        <v>6.7000000000000004E-2</v>
      </c>
      <c r="CL100" s="42" t="s">
        <v>1353</v>
      </c>
      <c r="CM100" s="42">
        <v>113</v>
      </c>
      <c r="CN100" s="42">
        <v>48</v>
      </c>
      <c r="CO100" s="74"/>
      <c r="CT100" s="89">
        <v>81</v>
      </c>
      <c r="CU100" s="2">
        <v>31</v>
      </c>
      <c r="CV100" s="2">
        <v>0</v>
      </c>
      <c r="CW100" s="2">
        <v>1E-3</v>
      </c>
      <c r="CX100" s="42" t="s">
        <v>1353</v>
      </c>
      <c r="CY100" s="42">
        <v>113</v>
      </c>
      <c r="CZ100" s="42">
        <v>48</v>
      </c>
      <c r="DA100" s="74"/>
      <c r="DF100" s="89">
        <v>82</v>
      </c>
      <c r="DG100" s="2">
        <v>32</v>
      </c>
      <c r="DH100" s="2">
        <v>0</v>
      </c>
      <c r="DI100" s="2">
        <v>0.12914800000000001</v>
      </c>
      <c r="DJ100" s="42" t="s">
        <v>1353</v>
      </c>
      <c r="DK100" s="42">
        <v>113</v>
      </c>
      <c r="DL100" s="42">
        <v>48</v>
      </c>
      <c r="DM100" s="74"/>
      <c r="DR100" s="89">
        <v>78</v>
      </c>
      <c r="DS100" s="2">
        <v>30</v>
      </c>
      <c r="DT100" s="2">
        <v>0</v>
      </c>
      <c r="DU100" s="2">
        <v>2.7E-2</v>
      </c>
      <c r="DV100" s="42" t="s">
        <v>1353</v>
      </c>
      <c r="DW100" s="42">
        <v>113</v>
      </c>
      <c r="DX100" s="42">
        <v>48</v>
      </c>
      <c r="DY100" s="74"/>
      <c r="ED100" s="89">
        <v>73</v>
      </c>
      <c r="EE100" s="2">
        <v>32</v>
      </c>
      <c r="EF100" s="2">
        <v>0</v>
      </c>
      <c r="EG100" s="2">
        <v>4.9000009999999997E-2</v>
      </c>
      <c r="EH100" s="42" t="s">
        <v>1353</v>
      </c>
      <c r="EI100" s="42">
        <v>113</v>
      </c>
      <c r="EJ100" s="42">
        <v>48</v>
      </c>
      <c r="EK100" s="74"/>
      <c r="ES100">
        <v>73</v>
      </c>
      <c r="ET100">
        <v>32</v>
      </c>
      <c r="EU100">
        <v>0</v>
      </c>
      <c r="EV100">
        <v>4.9000009999999997E-2</v>
      </c>
    </row>
    <row r="101" spans="1:152" x14ac:dyDescent="0.4">
      <c r="A101" s="89"/>
      <c r="B101" s="2"/>
      <c r="C101" s="2"/>
      <c r="D101" s="2"/>
      <c r="E101" s="42" t="s">
        <v>1353</v>
      </c>
      <c r="F101" s="42">
        <v>114</v>
      </c>
      <c r="G101" s="42">
        <v>48</v>
      </c>
      <c r="H101" s="74"/>
      <c r="N101" s="89">
        <v>77</v>
      </c>
      <c r="O101" s="2">
        <v>30</v>
      </c>
      <c r="P101" s="2">
        <v>0</v>
      </c>
      <c r="Q101" s="2">
        <v>3.4000000000000002E-2</v>
      </c>
      <c r="R101" s="42" t="s">
        <v>1353</v>
      </c>
      <c r="S101" s="42">
        <v>114</v>
      </c>
      <c r="T101" s="42">
        <v>48</v>
      </c>
      <c r="U101" s="74"/>
      <c r="Z101" s="89">
        <v>72</v>
      </c>
      <c r="AA101" s="2">
        <v>31</v>
      </c>
      <c r="AB101" s="2">
        <v>0</v>
      </c>
      <c r="AC101" s="2">
        <v>0.42399999999999999</v>
      </c>
      <c r="AD101" s="42" t="s">
        <v>1353</v>
      </c>
      <c r="AE101" s="42">
        <v>114</v>
      </c>
      <c r="AF101" s="42">
        <v>48</v>
      </c>
      <c r="AG101" s="74"/>
      <c r="AL101" s="89">
        <v>74</v>
      </c>
      <c r="AM101" s="2">
        <v>31</v>
      </c>
      <c r="AN101" s="2">
        <v>0</v>
      </c>
      <c r="AO101" s="2">
        <v>0.34362189999999998</v>
      </c>
      <c r="AP101" s="42" t="s">
        <v>1353</v>
      </c>
      <c r="AQ101" s="42">
        <v>114</v>
      </c>
      <c r="AR101" s="42">
        <v>48</v>
      </c>
      <c r="AS101" s="74"/>
      <c r="AX101" s="89">
        <v>77</v>
      </c>
      <c r="AY101" s="2">
        <v>32</v>
      </c>
      <c r="AZ101" s="2">
        <v>0</v>
      </c>
      <c r="BA101" s="2">
        <v>9.2783089999999999E-2</v>
      </c>
      <c r="BB101" s="42" t="s">
        <v>1353</v>
      </c>
      <c r="BC101" s="42">
        <v>114</v>
      </c>
      <c r="BD101" s="42">
        <v>48</v>
      </c>
      <c r="BE101" s="74"/>
      <c r="BJ101" s="89">
        <v>75</v>
      </c>
      <c r="BK101" s="2">
        <v>32</v>
      </c>
      <c r="BL101" s="2">
        <v>0</v>
      </c>
      <c r="BM101" s="2">
        <v>6.9995760000000004E-2</v>
      </c>
      <c r="BN101" s="42" t="s">
        <v>1353</v>
      </c>
      <c r="BO101" s="42">
        <v>114</v>
      </c>
      <c r="BP101" s="42">
        <v>48</v>
      </c>
      <c r="BQ101" s="74"/>
      <c r="BV101" s="89">
        <v>77</v>
      </c>
      <c r="BW101" s="2">
        <v>32</v>
      </c>
      <c r="BX101" s="2">
        <v>1</v>
      </c>
      <c r="BY101" s="2">
        <v>7.7673909999999999E-2</v>
      </c>
      <c r="BZ101" s="42" t="s">
        <v>1353</v>
      </c>
      <c r="CA101" s="42">
        <v>114</v>
      </c>
      <c r="CB101" s="42">
        <v>48</v>
      </c>
      <c r="CC101" s="74"/>
      <c r="CH101" s="89">
        <v>75</v>
      </c>
      <c r="CI101" s="2">
        <v>32</v>
      </c>
      <c r="CJ101" s="2">
        <v>0</v>
      </c>
      <c r="CK101" s="2">
        <v>7.5993350000000001E-2</v>
      </c>
      <c r="CL101" s="42" t="s">
        <v>1353</v>
      </c>
      <c r="CM101" s="42">
        <v>114</v>
      </c>
      <c r="CN101" s="42">
        <v>48</v>
      </c>
      <c r="CO101" s="74"/>
      <c r="CT101" s="89">
        <v>82</v>
      </c>
      <c r="CU101" s="2">
        <v>31</v>
      </c>
      <c r="CV101" s="2">
        <v>0</v>
      </c>
      <c r="CW101" s="2">
        <v>1E-3</v>
      </c>
      <c r="CX101" s="42" t="s">
        <v>1353</v>
      </c>
      <c r="CY101" s="42">
        <v>114</v>
      </c>
      <c r="CZ101" s="42">
        <v>48</v>
      </c>
      <c r="DA101" s="74"/>
      <c r="DF101" s="89">
        <v>83</v>
      </c>
      <c r="DG101" s="2">
        <v>32</v>
      </c>
      <c r="DH101" s="2">
        <v>0</v>
      </c>
      <c r="DI101" s="2">
        <v>0.04</v>
      </c>
      <c r="DJ101" s="42" t="s">
        <v>1353</v>
      </c>
      <c r="DK101" s="42">
        <v>114</v>
      </c>
      <c r="DL101" s="42">
        <v>48</v>
      </c>
      <c r="DM101" s="74"/>
      <c r="DR101" s="89">
        <v>79</v>
      </c>
      <c r="DS101" s="2">
        <v>30</v>
      </c>
      <c r="DT101" s="2">
        <v>0</v>
      </c>
      <c r="DU101" s="2">
        <v>8.0000000000000002E-3</v>
      </c>
      <c r="DV101" s="42" t="s">
        <v>1353</v>
      </c>
      <c r="DW101" s="42">
        <v>114</v>
      </c>
      <c r="DX101" s="42">
        <v>48</v>
      </c>
      <c r="DY101" s="74"/>
      <c r="ED101" s="89">
        <v>73</v>
      </c>
      <c r="EE101" s="2">
        <v>32</v>
      </c>
      <c r="EF101" s="2">
        <v>1</v>
      </c>
      <c r="EG101" s="2">
        <v>4.73091E-2</v>
      </c>
      <c r="EH101" s="42" t="s">
        <v>1353</v>
      </c>
      <c r="EI101" s="42">
        <v>114</v>
      </c>
      <c r="EJ101" s="42">
        <v>48</v>
      </c>
      <c r="EK101" s="74"/>
      <c r="ES101">
        <v>73</v>
      </c>
      <c r="ET101">
        <v>32</v>
      </c>
      <c r="EU101">
        <v>1</v>
      </c>
      <c r="EV101">
        <v>4.73091E-2</v>
      </c>
    </row>
    <row r="102" spans="1:152" x14ac:dyDescent="0.4">
      <c r="A102" s="89"/>
      <c r="B102" s="2"/>
      <c r="C102" s="2"/>
      <c r="D102" s="2"/>
      <c r="E102" s="42" t="s">
        <v>1353</v>
      </c>
      <c r="F102" s="42">
        <v>116</v>
      </c>
      <c r="G102" s="42">
        <v>48</v>
      </c>
      <c r="H102" s="74"/>
      <c r="N102" s="89">
        <v>78</v>
      </c>
      <c r="O102" s="2">
        <v>30</v>
      </c>
      <c r="P102" s="2">
        <v>0</v>
      </c>
      <c r="Q102" s="2">
        <v>1.2E-2</v>
      </c>
      <c r="R102" s="42" t="s">
        <v>1353</v>
      </c>
      <c r="S102" s="42">
        <v>116</v>
      </c>
      <c r="T102" s="42">
        <v>48</v>
      </c>
      <c r="U102" s="74"/>
      <c r="Z102" s="89">
        <v>72</v>
      </c>
      <c r="AA102" s="2">
        <v>31</v>
      </c>
      <c r="AB102" s="2">
        <v>1</v>
      </c>
      <c r="AC102" s="2">
        <v>1.2625600000000001E-2</v>
      </c>
      <c r="AD102" s="42" t="s">
        <v>1353</v>
      </c>
      <c r="AE102" s="42">
        <v>116</v>
      </c>
      <c r="AF102" s="42">
        <v>48</v>
      </c>
      <c r="AG102" s="74"/>
      <c r="AL102" s="89">
        <v>74</v>
      </c>
      <c r="AM102" s="2">
        <v>31</v>
      </c>
      <c r="AN102" s="2">
        <v>1</v>
      </c>
      <c r="AO102" s="2">
        <v>0.14965249999999999</v>
      </c>
      <c r="AP102" s="42" t="s">
        <v>1353</v>
      </c>
      <c r="AQ102" s="42">
        <v>116</v>
      </c>
      <c r="AR102" s="42">
        <v>48</v>
      </c>
      <c r="AS102" s="74"/>
      <c r="AX102" s="89">
        <v>77</v>
      </c>
      <c r="AY102" s="2">
        <v>32</v>
      </c>
      <c r="AZ102" s="2">
        <v>1</v>
      </c>
      <c r="BA102" s="2">
        <v>0.1101443</v>
      </c>
      <c r="BB102" s="42" t="s">
        <v>1353</v>
      </c>
      <c r="BC102" s="42">
        <v>116</v>
      </c>
      <c r="BD102" s="42">
        <v>48</v>
      </c>
      <c r="BE102" s="74"/>
      <c r="BJ102" s="89">
        <v>75</v>
      </c>
      <c r="BK102" s="2">
        <v>32</v>
      </c>
      <c r="BL102" s="2">
        <v>1</v>
      </c>
      <c r="BM102" s="2">
        <v>1.4120000000000001E-2</v>
      </c>
      <c r="BN102" s="42" t="s">
        <v>1353</v>
      </c>
      <c r="BO102" s="42">
        <v>116</v>
      </c>
      <c r="BP102" s="42">
        <v>48</v>
      </c>
      <c r="BQ102" s="74"/>
      <c r="BV102" s="89">
        <v>78</v>
      </c>
      <c r="BW102" s="2">
        <v>32</v>
      </c>
      <c r="BX102" s="2">
        <v>0</v>
      </c>
      <c r="BY102" s="2">
        <v>0.1510871</v>
      </c>
      <c r="BZ102" s="42" t="s">
        <v>1353</v>
      </c>
      <c r="CA102" s="42">
        <v>116</v>
      </c>
      <c r="CB102" s="42">
        <v>48</v>
      </c>
      <c r="CC102" s="74"/>
      <c r="CH102" s="89">
        <v>75</v>
      </c>
      <c r="CI102" s="2">
        <v>32</v>
      </c>
      <c r="CJ102" s="2">
        <v>1</v>
      </c>
      <c r="CK102" s="2">
        <v>2.2159999999999999E-2</v>
      </c>
      <c r="CL102" s="42" t="s">
        <v>1353</v>
      </c>
      <c r="CM102" s="42">
        <v>116</v>
      </c>
      <c r="CN102" s="42">
        <v>48</v>
      </c>
      <c r="CO102" s="74"/>
      <c r="CT102" s="89">
        <v>70</v>
      </c>
      <c r="CU102" s="2">
        <v>32</v>
      </c>
      <c r="CV102" s="2">
        <v>0</v>
      </c>
      <c r="CW102" s="2">
        <v>9.9590000000000008E-4</v>
      </c>
      <c r="CX102" s="42" t="s">
        <v>1353</v>
      </c>
      <c r="CY102" s="42">
        <v>116</v>
      </c>
      <c r="CZ102" s="42">
        <v>48</v>
      </c>
      <c r="DA102" s="74"/>
      <c r="DF102" s="89">
        <v>84</v>
      </c>
      <c r="DG102" s="2">
        <v>32</v>
      </c>
      <c r="DH102" s="2">
        <v>0</v>
      </c>
      <c r="DI102" s="2">
        <v>1.4E-2</v>
      </c>
      <c r="DJ102" s="42" t="s">
        <v>1353</v>
      </c>
      <c r="DK102" s="42">
        <v>116</v>
      </c>
      <c r="DL102" s="42">
        <v>48</v>
      </c>
      <c r="DM102" s="74"/>
      <c r="DR102" s="89">
        <v>80</v>
      </c>
      <c r="DS102" s="2">
        <v>30</v>
      </c>
      <c r="DT102" s="2">
        <v>0</v>
      </c>
      <c r="DU102" s="2">
        <v>7.0000000000000001E-3</v>
      </c>
      <c r="DV102" s="42" t="s">
        <v>1353</v>
      </c>
      <c r="DW102" s="42">
        <v>116</v>
      </c>
      <c r="DX102" s="42">
        <v>48</v>
      </c>
      <c r="DY102" s="74"/>
      <c r="ED102" s="89">
        <v>74</v>
      </c>
      <c r="EE102" s="2">
        <v>32</v>
      </c>
      <c r="EF102" s="2">
        <v>0</v>
      </c>
      <c r="EG102" s="2">
        <v>5.9104999999999998E-2</v>
      </c>
      <c r="EH102" s="42" t="s">
        <v>1353</v>
      </c>
      <c r="EI102" s="42">
        <v>116</v>
      </c>
      <c r="EJ102" s="42">
        <v>48</v>
      </c>
      <c r="EK102" s="74"/>
      <c r="ES102">
        <v>74</v>
      </c>
      <c r="ET102">
        <v>32</v>
      </c>
      <c r="EU102">
        <v>0</v>
      </c>
      <c r="EV102">
        <v>5.9104999999999998E-2</v>
      </c>
    </row>
    <row r="103" spans="1:152" x14ac:dyDescent="0.4">
      <c r="A103" s="89"/>
      <c r="B103" s="2"/>
      <c r="C103" s="2"/>
      <c r="D103" s="2"/>
      <c r="E103" s="43" t="s">
        <v>1352</v>
      </c>
      <c r="F103" s="43">
        <v>113</v>
      </c>
      <c r="G103" s="43">
        <v>49</v>
      </c>
      <c r="H103" s="74" cm="1">
        <f t="array" ref="H103">SUM(SUMIFS(D$14:D$1004,B$14:B$1004,G103:G104,A$14:A$1004,F103:F104,C$14:C$1004,0))</f>
        <v>0</v>
      </c>
      <c r="N103" s="89">
        <v>79</v>
      </c>
      <c r="O103" s="2">
        <v>30</v>
      </c>
      <c r="P103" s="2">
        <v>0</v>
      </c>
      <c r="Q103" s="2">
        <v>2E-3</v>
      </c>
      <c r="R103" s="43" t="s">
        <v>1352</v>
      </c>
      <c r="S103" s="43">
        <v>113</v>
      </c>
      <c r="T103" s="43">
        <v>49</v>
      </c>
      <c r="U103" s="74" cm="1">
        <f t="array" ref="U103">SUM(SUMIFS(Q$14:Q$1004,O$14:O$1004,T103:T104,N$14:N$1004,S103:S104,P$14:P$1004,0))</f>
        <v>2.3317085999999998</v>
      </c>
      <c r="Z103" s="89">
        <v>73</v>
      </c>
      <c r="AA103" s="2">
        <v>31</v>
      </c>
      <c r="AB103" s="2">
        <v>0</v>
      </c>
      <c r="AC103" s="2">
        <v>0.44900000000000001</v>
      </c>
      <c r="AD103" s="43" t="s">
        <v>1352</v>
      </c>
      <c r="AE103" s="43">
        <v>113</v>
      </c>
      <c r="AF103" s="43">
        <v>49</v>
      </c>
      <c r="AG103" s="74" cm="1">
        <f t="array" ref="AG103">SUM(SUMIFS(AC$14:AC$1004,AA$14:AA$1004,AF103:AF104,Z$14:Z$1004,AE103:AE104,AB$14:AB$1004,0))</f>
        <v>2.7107882000000001</v>
      </c>
      <c r="AL103" s="89">
        <v>75</v>
      </c>
      <c r="AM103" s="2">
        <v>31</v>
      </c>
      <c r="AN103" s="2">
        <v>0</v>
      </c>
      <c r="AO103" s="2">
        <v>0.27096500000000001</v>
      </c>
      <c r="AP103" s="43" t="s">
        <v>1352</v>
      </c>
      <c r="AQ103" s="43">
        <v>113</v>
      </c>
      <c r="AR103" s="43">
        <v>49</v>
      </c>
      <c r="AS103" s="74" cm="1">
        <f t="array" ref="AS103">SUM(SUMIFS(AO$14:AO$1004,AM$14:AM$1004,AR103:AR104,AL$14:AL$1004,AQ103:AQ104,AN$14:AN$1004,0))</f>
        <v>3.5336927</v>
      </c>
      <c r="AX103" s="89">
        <v>78</v>
      </c>
      <c r="AY103" s="2">
        <v>32</v>
      </c>
      <c r="AZ103" s="2">
        <v>0</v>
      </c>
      <c r="BA103" s="2">
        <v>0.26514599999999999</v>
      </c>
      <c r="BB103" s="43" t="s">
        <v>1352</v>
      </c>
      <c r="BC103" s="43">
        <v>113</v>
      </c>
      <c r="BD103" s="43">
        <v>49</v>
      </c>
      <c r="BE103" s="74" cm="1">
        <f t="array" ref="BE103">SUM(SUMIFS(BA$14:BA$1004,AY$14:AY$1004,BD103:BD104,AX$14:AX$1004,BC103:BC104,AZ$14:AZ$1004,0))</f>
        <v>4.890174</v>
      </c>
      <c r="BJ103" s="89">
        <v>76</v>
      </c>
      <c r="BK103" s="2">
        <v>32</v>
      </c>
      <c r="BL103" s="2">
        <v>0</v>
      </c>
      <c r="BM103" s="2">
        <v>8.5000010000000001E-2</v>
      </c>
      <c r="BN103" s="43" t="s">
        <v>1352</v>
      </c>
      <c r="BO103" s="43">
        <v>113</v>
      </c>
      <c r="BP103" s="43">
        <v>49</v>
      </c>
      <c r="BQ103" s="74" cm="1">
        <f t="array" ref="BQ103">SUM(SUMIFS(BM$14:BM$1004,BK$14:BK$1004,BP103:BP104,BJ$14:BJ$1004,BO103:BO104,BL$14:BL$1004,0))</f>
        <v>5.2669094000000003</v>
      </c>
      <c r="BV103" s="89">
        <v>79</v>
      </c>
      <c r="BW103" s="2">
        <v>32</v>
      </c>
      <c r="BX103" s="2">
        <v>0</v>
      </c>
      <c r="BY103" s="2">
        <v>8.2936869999999996E-2</v>
      </c>
      <c r="BZ103" s="43" t="s">
        <v>1352</v>
      </c>
      <c r="CA103" s="43">
        <v>113</v>
      </c>
      <c r="CB103" s="43">
        <v>49</v>
      </c>
      <c r="CC103" s="74" cm="1">
        <f t="array" ref="CC103">SUM(SUMIFS(BY$14:BY$1004,BW$14:BW$1004,CB103:CB104,BV$14:BV$1004,CA103:CA104,BX$14:BX$1004,0))</f>
        <v>3.9828520200000002</v>
      </c>
      <c r="CH103" s="89">
        <v>76</v>
      </c>
      <c r="CI103" s="2">
        <v>32</v>
      </c>
      <c r="CJ103" s="2">
        <v>0</v>
      </c>
      <c r="CK103" s="2">
        <v>9.2000009999999993E-2</v>
      </c>
      <c r="CL103" s="43" t="s">
        <v>1352</v>
      </c>
      <c r="CM103" s="43">
        <v>113</v>
      </c>
      <c r="CN103" s="43">
        <v>49</v>
      </c>
      <c r="CO103" s="74" cm="1">
        <f t="array" ref="CO103">SUM(SUMIFS(CK$14:CK$1004,CI$14:CI$1004,CN103:CN104,CH$14:CH$1004,CM103:CM104,CJ$14:CJ$1004,0))</f>
        <v>4.5283572000000003</v>
      </c>
      <c r="CT103" s="89">
        <v>72</v>
      </c>
      <c r="CU103" s="2">
        <v>32</v>
      </c>
      <c r="CV103" s="2">
        <v>0</v>
      </c>
      <c r="CW103" s="2">
        <v>3.5999999999999997E-2</v>
      </c>
      <c r="CX103" s="43" t="s">
        <v>1352</v>
      </c>
      <c r="CY103" s="43">
        <v>113</v>
      </c>
      <c r="CZ103" s="43">
        <v>49</v>
      </c>
      <c r="DA103" s="74" cm="1">
        <f t="array" ref="DA103">SUM(SUMIFS(CW$14:CW$1004,CU$14:CU$1004,CZ103:CZ104,CT$14:CT$1004,CY103:CY104,CV$14:CV$1004,0))</f>
        <v>4.1799992000000001</v>
      </c>
      <c r="DF103" s="89">
        <v>85</v>
      </c>
      <c r="DG103" s="2">
        <v>32</v>
      </c>
      <c r="DH103" s="2">
        <v>0</v>
      </c>
      <c r="DI103" s="2">
        <v>6.0000000000000001E-3</v>
      </c>
      <c r="DJ103" s="43" t="s">
        <v>1352</v>
      </c>
      <c r="DK103" s="43">
        <v>113</v>
      </c>
      <c r="DL103" s="43">
        <v>49</v>
      </c>
      <c r="DM103" s="74" cm="1">
        <f t="array" ref="DM103">SUM(SUMIFS(DI$14:DI$1004,DG$14:DG$1004,DL103:DL104,DF$14:DF$1004,DK103:DK104,DH$14:DH$1004,0))</f>
        <v>2.7234174100000001</v>
      </c>
      <c r="DR103" s="89">
        <v>81</v>
      </c>
      <c r="DS103" s="2">
        <v>30</v>
      </c>
      <c r="DT103" s="2">
        <v>0</v>
      </c>
      <c r="DU103" s="2">
        <v>1E-3</v>
      </c>
      <c r="DV103" s="43" t="s">
        <v>1352</v>
      </c>
      <c r="DW103" s="43">
        <v>113</v>
      </c>
      <c r="DX103" s="43">
        <v>49</v>
      </c>
      <c r="DY103" s="74" cm="1">
        <f t="array" ref="DY103">SUM(SUMIFS(DU$14:DU$1004,DS$14:DS$1004,DX103:DX104,DR$14:DR$1004,DW103:DW104,DT$14:DT$1004,0))</f>
        <v>2.8194655000000002</v>
      </c>
      <c r="ED103" s="89">
        <v>75</v>
      </c>
      <c r="EE103" s="2">
        <v>32</v>
      </c>
      <c r="EF103" s="2">
        <v>0</v>
      </c>
      <c r="EG103" s="2">
        <v>5.7922599999999998E-2</v>
      </c>
      <c r="EH103" s="43" t="s">
        <v>1352</v>
      </c>
      <c r="EI103" s="43">
        <v>113</v>
      </c>
      <c r="EJ103" s="43">
        <v>49</v>
      </c>
      <c r="EK103" s="74" cm="1">
        <f t="array" ref="EK103">SUM(SUMIFS(EG$14:EG$1004,EE$14:EE$1004,EJ103:EJ104,ED$14:ED$1004,EI103:EI104,EF$14:EF$1004,0))</f>
        <v>4.3294875000000008</v>
      </c>
      <c r="ES103">
        <v>75</v>
      </c>
      <c r="ET103">
        <v>32</v>
      </c>
      <c r="EU103">
        <v>0</v>
      </c>
      <c r="EV103">
        <v>5.7922599999999998E-2</v>
      </c>
    </row>
    <row r="104" spans="1:152" x14ac:dyDescent="0.4">
      <c r="A104" s="89"/>
      <c r="B104" s="2"/>
      <c r="C104" s="2"/>
      <c r="D104" s="2"/>
      <c r="E104" s="43" t="s">
        <v>1352</v>
      </c>
      <c r="F104" s="43">
        <v>115</v>
      </c>
      <c r="G104" s="43">
        <v>49</v>
      </c>
      <c r="H104" s="74"/>
      <c r="N104" s="89">
        <v>68</v>
      </c>
      <c r="O104" s="2">
        <v>31</v>
      </c>
      <c r="P104" s="2">
        <v>0</v>
      </c>
      <c r="Q104" s="2">
        <v>1E-3</v>
      </c>
      <c r="R104" s="43" t="s">
        <v>1352</v>
      </c>
      <c r="S104" s="43">
        <v>115</v>
      </c>
      <c r="T104" s="43">
        <v>49</v>
      </c>
      <c r="U104" s="74"/>
      <c r="Z104" s="89">
        <v>74</v>
      </c>
      <c r="AA104" s="2">
        <v>31</v>
      </c>
      <c r="AB104" s="2">
        <v>0</v>
      </c>
      <c r="AC104" s="2">
        <v>0.37715670000000001</v>
      </c>
      <c r="AD104" s="43" t="s">
        <v>1352</v>
      </c>
      <c r="AE104" s="43">
        <v>115</v>
      </c>
      <c r="AF104" s="43">
        <v>49</v>
      </c>
      <c r="AG104" s="74"/>
      <c r="AL104" s="89">
        <v>76</v>
      </c>
      <c r="AM104" s="2">
        <v>31</v>
      </c>
      <c r="AN104" s="2">
        <v>0</v>
      </c>
      <c r="AO104" s="2">
        <v>0.186</v>
      </c>
      <c r="AP104" s="43" t="s">
        <v>1352</v>
      </c>
      <c r="AQ104" s="43">
        <v>115</v>
      </c>
      <c r="AR104" s="43">
        <v>49</v>
      </c>
      <c r="AS104" s="74"/>
      <c r="AX104" s="89">
        <v>79</v>
      </c>
      <c r="AY104" s="2">
        <v>32</v>
      </c>
      <c r="AZ104" s="2">
        <v>0</v>
      </c>
      <c r="BA104" s="2">
        <v>0.2247246</v>
      </c>
      <c r="BB104" s="43" t="s">
        <v>1352</v>
      </c>
      <c r="BC104" s="43">
        <v>115</v>
      </c>
      <c r="BD104" s="43">
        <v>49</v>
      </c>
      <c r="BE104" s="74"/>
      <c r="BJ104" s="89">
        <v>77</v>
      </c>
      <c r="BK104" s="2">
        <v>32</v>
      </c>
      <c r="BL104" s="2">
        <v>0</v>
      </c>
      <c r="BM104" s="2">
        <v>7.0560460000000005E-2</v>
      </c>
      <c r="BN104" s="43" t="s">
        <v>1352</v>
      </c>
      <c r="BO104" s="43">
        <v>115</v>
      </c>
      <c r="BP104" s="43">
        <v>49</v>
      </c>
      <c r="BQ104" s="74"/>
      <c r="BV104" s="89">
        <v>79</v>
      </c>
      <c r="BW104" s="2">
        <v>32</v>
      </c>
      <c r="BX104" s="2">
        <v>1</v>
      </c>
      <c r="BY104" s="2">
        <v>5.2058420000000001E-2</v>
      </c>
      <c r="BZ104" s="43" t="s">
        <v>1352</v>
      </c>
      <c r="CA104" s="43">
        <v>115</v>
      </c>
      <c r="CB104" s="43">
        <v>49</v>
      </c>
      <c r="CC104" s="74"/>
      <c r="CH104" s="89">
        <v>77</v>
      </c>
      <c r="CI104" s="2">
        <v>32</v>
      </c>
      <c r="CJ104" s="2">
        <v>0</v>
      </c>
      <c r="CK104" s="2">
        <v>7.7036080000000007E-2</v>
      </c>
      <c r="CL104" s="43" t="s">
        <v>1352</v>
      </c>
      <c r="CM104" s="43">
        <v>115</v>
      </c>
      <c r="CN104" s="43">
        <v>49</v>
      </c>
      <c r="CO104" s="74"/>
      <c r="CT104" s="89">
        <v>73</v>
      </c>
      <c r="CU104" s="2">
        <v>32</v>
      </c>
      <c r="CV104" s="2">
        <v>0</v>
      </c>
      <c r="CW104" s="2">
        <v>3.2000000000000001E-2</v>
      </c>
      <c r="CX104" s="43" t="s">
        <v>1352</v>
      </c>
      <c r="CY104" s="43">
        <v>115</v>
      </c>
      <c r="CZ104" s="43">
        <v>49</v>
      </c>
      <c r="DA104" s="74"/>
      <c r="DF104" s="89">
        <v>86</v>
      </c>
      <c r="DG104" s="2">
        <v>32</v>
      </c>
      <c r="DH104" s="2">
        <v>0</v>
      </c>
      <c r="DI104" s="2">
        <v>2E-3</v>
      </c>
      <c r="DJ104" s="43" t="s">
        <v>1352</v>
      </c>
      <c r="DK104" s="43">
        <v>115</v>
      </c>
      <c r="DL104" s="43">
        <v>49</v>
      </c>
      <c r="DM104" s="74"/>
      <c r="DR104" s="89">
        <v>68</v>
      </c>
      <c r="DS104" s="2">
        <v>31</v>
      </c>
      <c r="DT104" s="2">
        <v>0</v>
      </c>
      <c r="DU104" s="2">
        <v>1E-3</v>
      </c>
      <c r="DV104" s="43" t="s">
        <v>1352</v>
      </c>
      <c r="DW104" s="43">
        <v>115</v>
      </c>
      <c r="DX104" s="43">
        <v>49</v>
      </c>
      <c r="DY104" s="74"/>
      <c r="ED104" s="89">
        <v>75</v>
      </c>
      <c r="EE104" s="2">
        <v>32</v>
      </c>
      <c r="EF104" s="2">
        <v>1</v>
      </c>
      <c r="EG104" s="2">
        <v>7.9970000000000006E-3</v>
      </c>
      <c r="EH104" s="43" t="s">
        <v>1352</v>
      </c>
      <c r="EI104" s="43">
        <v>115</v>
      </c>
      <c r="EJ104" s="43">
        <v>49</v>
      </c>
      <c r="EK104" s="74"/>
      <c r="ES104">
        <v>75</v>
      </c>
      <c r="ET104">
        <v>32</v>
      </c>
      <c r="EU104">
        <v>1</v>
      </c>
      <c r="EV104">
        <v>7.9970000000000006E-3</v>
      </c>
    </row>
    <row r="105" spans="1:152" x14ac:dyDescent="0.4">
      <c r="A105" s="89"/>
      <c r="B105" s="2"/>
      <c r="C105" s="2"/>
      <c r="D105" s="2"/>
      <c r="E105" s="42" t="s">
        <v>1351</v>
      </c>
      <c r="F105" s="42">
        <v>112</v>
      </c>
      <c r="G105" s="42">
        <v>50</v>
      </c>
      <c r="H105" s="74" cm="1">
        <f t="array" ref="H105">SUM(SUMIFS(D$14:D$1004,B$14:B$1004,G105:G114,A$14:A$1004,F105:F114,C$14:C$1004,0))</f>
        <v>0</v>
      </c>
      <c r="N105" s="89">
        <v>69</v>
      </c>
      <c r="O105" s="2">
        <v>31</v>
      </c>
      <c r="P105" s="2">
        <v>0</v>
      </c>
      <c r="Q105" s="2">
        <v>0.46975070000000002</v>
      </c>
      <c r="R105" s="42" t="s">
        <v>1351</v>
      </c>
      <c r="S105" s="42">
        <v>112</v>
      </c>
      <c r="T105" s="42">
        <v>50</v>
      </c>
      <c r="U105" s="74" cm="1">
        <f t="array" ref="U105">SUM(SUMIFS(Q$14:Q$1004,O$14:O$1004,T105:T114,N$14:N$1004,S105:S114,P$14:P$1004,0))</f>
        <v>6.2831449700000004</v>
      </c>
      <c r="Z105" s="89">
        <v>74</v>
      </c>
      <c r="AA105" s="2">
        <v>31</v>
      </c>
      <c r="AB105" s="2">
        <v>1</v>
      </c>
      <c r="AC105" s="2">
        <v>0.2371933</v>
      </c>
      <c r="AD105" s="42" t="s">
        <v>1351</v>
      </c>
      <c r="AE105" s="42">
        <v>112</v>
      </c>
      <c r="AF105" s="42">
        <v>50</v>
      </c>
      <c r="AG105" s="74" cm="1">
        <f t="array" ref="AG105">SUM(SUMIFS(AC$14:AC$1004,AA$14:AA$1004,AF105:AF114,Z$14:Z$1004,AE105:AE114,AB$14:AB$1004,0))</f>
        <v>8.4133136499999992</v>
      </c>
      <c r="AL105" s="89">
        <v>77</v>
      </c>
      <c r="AM105" s="2">
        <v>31</v>
      </c>
      <c r="AN105" s="2">
        <v>0</v>
      </c>
      <c r="AO105" s="2">
        <v>0.111</v>
      </c>
      <c r="AP105" s="42" t="s">
        <v>1351</v>
      </c>
      <c r="AQ105" s="42">
        <v>112</v>
      </c>
      <c r="AR105" s="42">
        <v>50</v>
      </c>
      <c r="AS105" s="74" cm="1">
        <f t="array" ref="AS105">SUM(SUMIFS(AO$14:AO$1004,AM$14:AM$1004,AR105:AR114,AL$14:AL$1004,AQ105:AQ114,AN$14:AN$1004,0))</f>
        <v>9.6386558000000004</v>
      </c>
      <c r="AX105" s="89">
        <v>79</v>
      </c>
      <c r="AY105" s="2">
        <v>32</v>
      </c>
      <c r="AZ105" s="2">
        <v>1</v>
      </c>
      <c r="BA105" s="2">
        <v>0.12513489999999999</v>
      </c>
      <c r="BB105" s="42" t="s">
        <v>1351</v>
      </c>
      <c r="BC105" s="42">
        <v>112</v>
      </c>
      <c r="BD105" s="42">
        <v>50</v>
      </c>
      <c r="BE105" s="74" cm="1">
        <f t="array" ref="BE105">SUM(SUMIFS(BA$14:BA$1004,AY$14:AY$1004,BD105:BD114,AX$14:AX$1004,BC105:BC114,AZ$14:AZ$1004,0))</f>
        <v>22.630908325</v>
      </c>
      <c r="BJ105" s="89">
        <v>77</v>
      </c>
      <c r="BK105" s="2">
        <v>32</v>
      </c>
      <c r="BL105" s="2">
        <v>1</v>
      </c>
      <c r="BM105" s="2">
        <v>5.4863639999999998E-2</v>
      </c>
      <c r="BN105" s="42" t="s">
        <v>1351</v>
      </c>
      <c r="BO105" s="42">
        <v>112</v>
      </c>
      <c r="BP105" s="42">
        <v>50</v>
      </c>
      <c r="BQ105" s="74" cm="1">
        <f t="array" ref="BQ105">SUM(SUMIFS(BM$14:BM$1004,BK$14:BK$1004,BP105:BP114,BJ$14:BJ$1004,BO105:BO114,BL$14:BL$1004,0))</f>
        <v>25.235484119999999</v>
      </c>
      <c r="BV105" s="89">
        <v>80</v>
      </c>
      <c r="BW105" s="2">
        <v>32</v>
      </c>
      <c r="BX105" s="2">
        <v>0</v>
      </c>
      <c r="BY105" s="2">
        <v>0.13783300000000001</v>
      </c>
      <c r="BZ105" s="42" t="s">
        <v>1351</v>
      </c>
      <c r="CA105" s="42">
        <v>112</v>
      </c>
      <c r="CB105" s="42">
        <v>50</v>
      </c>
      <c r="CC105" s="74" cm="1">
        <f t="array" ref="CC105">SUM(SUMIFS(BY$14:BY$1004,BW$14:BW$1004,CB105:CB114,BV$14:BV$1004,CA105:CA114,BX$14:BX$1004,0))</f>
        <v>22.996222799999998</v>
      </c>
      <c r="CH105" s="89">
        <v>77</v>
      </c>
      <c r="CI105" s="2">
        <v>32</v>
      </c>
      <c r="CJ105" s="2">
        <v>1</v>
      </c>
      <c r="CK105" s="2">
        <v>4.0696200000000002E-2</v>
      </c>
      <c r="CL105" s="42" t="s">
        <v>1351</v>
      </c>
      <c r="CM105" s="42">
        <v>112</v>
      </c>
      <c r="CN105" s="42">
        <v>50</v>
      </c>
      <c r="CO105" s="74" cm="1">
        <f t="array" ref="CO105">SUM(SUMIFS(CK$14:CK$1004,CI$14:CI$1004,CN105:CN114,CH$14:CH$1004,CM105:CM114,CJ$14:CJ$1004,0))</f>
        <v>23.053448780100002</v>
      </c>
      <c r="CT105" s="89">
        <v>73</v>
      </c>
      <c r="CU105" s="2">
        <v>32</v>
      </c>
      <c r="CV105" s="2">
        <v>1</v>
      </c>
      <c r="CW105" s="2">
        <v>3.05443E-2</v>
      </c>
      <c r="CX105" s="42" t="s">
        <v>1351</v>
      </c>
      <c r="CY105" s="42">
        <v>112</v>
      </c>
      <c r="CZ105" s="42">
        <v>50</v>
      </c>
      <c r="DA105" s="74" cm="1">
        <f t="array" ref="DA105">SUM(SUMIFS(CW$14:CW$1004,CU$14:CU$1004,CZ105:CZ114,CT$14:CT$1004,CY105:CY114,CV$14:CV$1004,0))</f>
        <v>21.373266350000002</v>
      </c>
      <c r="DF105" s="89">
        <v>75</v>
      </c>
      <c r="DG105" s="2">
        <v>33</v>
      </c>
      <c r="DH105" s="2">
        <v>0</v>
      </c>
      <c r="DI105" s="2">
        <v>4.0099999999999997E-2</v>
      </c>
      <c r="DJ105" s="42" t="s">
        <v>1351</v>
      </c>
      <c r="DK105" s="42">
        <v>112</v>
      </c>
      <c r="DL105" s="42">
        <v>50</v>
      </c>
      <c r="DM105" s="74" cm="1">
        <f t="array" ref="DM105">SUM(SUMIFS(DI$14:DI$1004,DG$14:DG$1004,DL105:DL114,DF$14:DF$1004,DK105:DK114,DH$14:DH$1004,0))</f>
        <v>16.237867300000001</v>
      </c>
      <c r="DR105" s="89">
        <v>69</v>
      </c>
      <c r="DS105" s="2">
        <v>31</v>
      </c>
      <c r="DT105" s="2">
        <v>0</v>
      </c>
      <c r="DU105" s="2">
        <v>0.3263721</v>
      </c>
      <c r="DV105" s="42" t="s">
        <v>1351</v>
      </c>
      <c r="DW105" s="42">
        <v>112</v>
      </c>
      <c r="DX105" s="42">
        <v>50</v>
      </c>
      <c r="DY105" s="74" cm="1">
        <f t="array" ref="DY105">SUM(SUMIFS(DU$14:DU$1004,DS$14:DS$1004,DX105:DX114,DR$14:DR$1004,DW105:DW114,DT$14:DT$1004,0))</f>
        <v>10.5295624</v>
      </c>
      <c r="ED105" s="89">
        <v>76</v>
      </c>
      <c r="EE105" s="2">
        <v>32</v>
      </c>
      <c r="EF105" s="2">
        <v>0</v>
      </c>
      <c r="EG105" s="2">
        <v>7.7969999999999998E-2</v>
      </c>
      <c r="EH105" s="42" t="s">
        <v>1351</v>
      </c>
      <c r="EI105" s="42">
        <v>112</v>
      </c>
      <c r="EJ105" s="42">
        <v>50</v>
      </c>
      <c r="EK105" s="74" cm="1">
        <f t="array" ref="EK105">SUM(SUMIFS(EG$14:EG$1004,EE$14:EE$1004,EJ105:EJ114,ED$14:ED$1004,EI105:EI114,EF$14:EF$1004,0))</f>
        <v>24.385583099999998</v>
      </c>
      <c r="ES105">
        <v>76</v>
      </c>
      <c r="ET105">
        <v>32</v>
      </c>
      <c r="EU105">
        <v>0</v>
      </c>
      <c r="EV105">
        <v>7.7969999999999998E-2</v>
      </c>
    </row>
    <row r="106" spans="1:152" x14ac:dyDescent="0.4">
      <c r="A106" s="89"/>
      <c r="B106" s="2"/>
      <c r="C106" s="2"/>
      <c r="D106" s="2"/>
      <c r="E106" s="42" t="s">
        <v>1351</v>
      </c>
      <c r="F106" s="42">
        <v>114</v>
      </c>
      <c r="G106" s="42">
        <v>50</v>
      </c>
      <c r="H106" s="74"/>
      <c r="N106" s="89">
        <v>70</v>
      </c>
      <c r="O106" s="2">
        <v>31</v>
      </c>
      <c r="P106" s="2">
        <v>0</v>
      </c>
      <c r="Q106" s="2">
        <v>3.1E-2</v>
      </c>
      <c r="R106" s="42" t="s">
        <v>1351</v>
      </c>
      <c r="S106" s="42">
        <v>114</v>
      </c>
      <c r="T106" s="42">
        <v>50</v>
      </c>
      <c r="U106" s="74"/>
      <c r="Z106" s="89">
        <v>75</v>
      </c>
      <c r="AA106" s="2">
        <v>31</v>
      </c>
      <c r="AB106" s="2">
        <v>0</v>
      </c>
      <c r="AC106" s="2">
        <v>0.38977000000000001</v>
      </c>
      <c r="AD106" s="42" t="s">
        <v>1351</v>
      </c>
      <c r="AE106" s="42">
        <v>114</v>
      </c>
      <c r="AF106" s="42">
        <v>50</v>
      </c>
      <c r="AG106" s="74"/>
      <c r="AL106" s="89">
        <v>78</v>
      </c>
      <c r="AM106" s="2">
        <v>31</v>
      </c>
      <c r="AN106" s="2">
        <v>0</v>
      </c>
      <c r="AO106" s="2">
        <v>5.0999999999999997E-2</v>
      </c>
      <c r="AP106" s="42" t="s">
        <v>1351</v>
      </c>
      <c r="AQ106" s="42">
        <v>114</v>
      </c>
      <c r="AR106" s="42">
        <v>50</v>
      </c>
      <c r="AS106" s="74"/>
      <c r="AX106" s="89">
        <v>80</v>
      </c>
      <c r="AY106" s="2">
        <v>32</v>
      </c>
      <c r="AZ106" s="2">
        <v>0</v>
      </c>
      <c r="BA106" s="2">
        <v>0.39390399999999998</v>
      </c>
      <c r="BB106" s="42" t="s">
        <v>1351</v>
      </c>
      <c r="BC106" s="42">
        <v>114</v>
      </c>
      <c r="BD106" s="42">
        <v>50</v>
      </c>
      <c r="BE106" s="74"/>
      <c r="BJ106" s="89">
        <v>78</v>
      </c>
      <c r="BK106" s="2">
        <v>32</v>
      </c>
      <c r="BL106" s="2">
        <v>0</v>
      </c>
      <c r="BM106" s="2">
        <v>0.1080463</v>
      </c>
      <c r="BN106" s="42" t="s">
        <v>1351</v>
      </c>
      <c r="BO106" s="42">
        <v>114</v>
      </c>
      <c r="BP106" s="42">
        <v>50</v>
      </c>
      <c r="BQ106" s="74"/>
      <c r="BV106" s="89">
        <v>81</v>
      </c>
      <c r="BW106" s="2">
        <v>32</v>
      </c>
      <c r="BX106" s="2">
        <v>0</v>
      </c>
      <c r="BY106" s="2">
        <v>7.6363609999999998E-2</v>
      </c>
      <c r="BZ106" s="42" t="s">
        <v>1351</v>
      </c>
      <c r="CA106" s="42">
        <v>114</v>
      </c>
      <c r="CB106" s="42">
        <v>50</v>
      </c>
      <c r="CC106" s="74"/>
      <c r="CH106" s="89">
        <v>78</v>
      </c>
      <c r="CI106" s="2">
        <v>32</v>
      </c>
      <c r="CJ106" s="2">
        <v>0</v>
      </c>
      <c r="CK106" s="2">
        <v>0.1050229</v>
      </c>
      <c r="CL106" s="42" t="s">
        <v>1351</v>
      </c>
      <c r="CM106" s="42">
        <v>114</v>
      </c>
      <c r="CN106" s="42">
        <v>50</v>
      </c>
      <c r="CO106" s="74"/>
      <c r="CT106" s="89">
        <v>74</v>
      </c>
      <c r="CU106" s="2">
        <v>32</v>
      </c>
      <c r="CV106" s="2">
        <v>0</v>
      </c>
      <c r="CW106" s="2">
        <v>4.9105000000000003E-2</v>
      </c>
      <c r="CX106" s="42" t="s">
        <v>1351</v>
      </c>
      <c r="CY106" s="42">
        <v>114</v>
      </c>
      <c r="CZ106" s="42">
        <v>50</v>
      </c>
      <c r="DA106" s="74"/>
      <c r="DF106" s="89">
        <v>75</v>
      </c>
      <c r="DG106" s="2">
        <v>33</v>
      </c>
      <c r="DH106" s="2">
        <v>1</v>
      </c>
      <c r="DI106" s="2">
        <v>5.0000000000000001E-4</v>
      </c>
      <c r="DJ106" s="42" t="s">
        <v>1351</v>
      </c>
      <c r="DK106" s="42">
        <v>114</v>
      </c>
      <c r="DL106" s="42">
        <v>50</v>
      </c>
      <c r="DM106" s="74"/>
      <c r="DR106" s="89">
        <v>70</v>
      </c>
      <c r="DS106" s="2">
        <v>31</v>
      </c>
      <c r="DT106" s="2">
        <v>0</v>
      </c>
      <c r="DU106" s="2">
        <v>4.0000000000000001E-3</v>
      </c>
      <c r="DV106" s="42" t="s">
        <v>1351</v>
      </c>
      <c r="DW106" s="42">
        <v>114</v>
      </c>
      <c r="DX106" s="42">
        <v>50</v>
      </c>
      <c r="DY106" s="74"/>
      <c r="ED106" s="89">
        <v>77</v>
      </c>
      <c r="EE106" s="2">
        <v>32</v>
      </c>
      <c r="EF106" s="2">
        <v>0</v>
      </c>
      <c r="EG106" s="2">
        <v>5.229255E-2</v>
      </c>
      <c r="EH106" s="42" t="s">
        <v>1351</v>
      </c>
      <c r="EI106" s="42">
        <v>114</v>
      </c>
      <c r="EJ106" s="42">
        <v>50</v>
      </c>
      <c r="EK106" s="74"/>
      <c r="ES106">
        <v>77</v>
      </c>
      <c r="ET106">
        <v>32</v>
      </c>
      <c r="EU106">
        <v>0</v>
      </c>
      <c r="EV106">
        <v>5.229255E-2</v>
      </c>
    </row>
    <row r="107" spans="1:152" x14ac:dyDescent="0.4">
      <c r="A107" s="89"/>
      <c r="B107" s="2"/>
      <c r="C107" s="2"/>
      <c r="D107" s="2"/>
      <c r="E107" s="42" t="s">
        <v>1351</v>
      </c>
      <c r="F107" s="42">
        <v>115</v>
      </c>
      <c r="G107" s="42">
        <v>50</v>
      </c>
      <c r="H107" s="74"/>
      <c r="N107" s="89">
        <v>71</v>
      </c>
      <c r="O107" s="2">
        <v>31</v>
      </c>
      <c r="P107" s="2">
        <v>0</v>
      </c>
      <c r="Q107" s="2">
        <v>0.65200009999999997</v>
      </c>
      <c r="R107" s="42" t="s">
        <v>1351</v>
      </c>
      <c r="S107" s="42">
        <v>115</v>
      </c>
      <c r="T107" s="42">
        <v>50</v>
      </c>
      <c r="U107" s="74"/>
      <c r="Z107" s="89">
        <v>76</v>
      </c>
      <c r="AA107" s="2">
        <v>31</v>
      </c>
      <c r="AB107" s="2">
        <v>0</v>
      </c>
      <c r="AC107" s="2">
        <v>0.26677499999999998</v>
      </c>
      <c r="AD107" s="42" t="s">
        <v>1351</v>
      </c>
      <c r="AE107" s="42">
        <v>115</v>
      </c>
      <c r="AF107" s="42">
        <v>50</v>
      </c>
      <c r="AG107" s="74"/>
      <c r="AL107" s="89">
        <v>79</v>
      </c>
      <c r="AM107" s="2">
        <v>31</v>
      </c>
      <c r="AN107" s="2">
        <v>0</v>
      </c>
      <c r="AO107" s="2">
        <v>1.4E-2</v>
      </c>
      <c r="AP107" s="42" t="s">
        <v>1351</v>
      </c>
      <c r="AQ107" s="42">
        <v>115</v>
      </c>
      <c r="AR107" s="42">
        <v>50</v>
      </c>
      <c r="AS107" s="74"/>
      <c r="AX107" s="89">
        <v>81</v>
      </c>
      <c r="AY107" s="2">
        <v>32</v>
      </c>
      <c r="AZ107" s="2">
        <v>0</v>
      </c>
      <c r="BA107" s="2">
        <v>0.20355129999999999</v>
      </c>
      <c r="BB107" s="42" t="s">
        <v>1351</v>
      </c>
      <c r="BC107" s="42">
        <v>115</v>
      </c>
      <c r="BD107" s="42">
        <v>50</v>
      </c>
      <c r="BE107" s="74"/>
      <c r="BJ107" s="89">
        <v>79</v>
      </c>
      <c r="BK107" s="2">
        <v>32</v>
      </c>
      <c r="BL107" s="2">
        <v>0</v>
      </c>
      <c r="BM107" s="2">
        <v>7.1940450000000003E-2</v>
      </c>
      <c r="BN107" s="42" t="s">
        <v>1351</v>
      </c>
      <c r="BO107" s="42">
        <v>115</v>
      </c>
      <c r="BP107" s="42">
        <v>50</v>
      </c>
      <c r="BQ107" s="74"/>
      <c r="BV107" s="89">
        <v>81</v>
      </c>
      <c r="BW107" s="2">
        <v>32</v>
      </c>
      <c r="BX107" s="2">
        <v>1</v>
      </c>
      <c r="BY107" s="2">
        <v>9.0164000000000008E-3</v>
      </c>
      <c r="BZ107" s="42" t="s">
        <v>1351</v>
      </c>
      <c r="CA107" s="42">
        <v>115</v>
      </c>
      <c r="CB107" s="42">
        <v>50</v>
      </c>
      <c r="CC107" s="74"/>
      <c r="CH107" s="89">
        <v>79</v>
      </c>
      <c r="CI107" s="2">
        <v>32</v>
      </c>
      <c r="CJ107" s="2">
        <v>0</v>
      </c>
      <c r="CK107" s="2">
        <v>3.2361290000000001E-2</v>
      </c>
      <c r="CL107" s="42" t="s">
        <v>1351</v>
      </c>
      <c r="CM107" s="42">
        <v>115</v>
      </c>
      <c r="CN107" s="42">
        <v>50</v>
      </c>
      <c r="CO107" s="74"/>
      <c r="CT107" s="89">
        <v>75</v>
      </c>
      <c r="CU107" s="2">
        <v>32</v>
      </c>
      <c r="CV107" s="2">
        <v>0</v>
      </c>
      <c r="CW107" s="2">
        <v>6.2919660000000002E-2</v>
      </c>
      <c r="CX107" s="42" t="s">
        <v>1351</v>
      </c>
      <c r="CY107" s="42">
        <v>115</v>
      </c>
      <c r="CZ107" s="42">
        <v>50</v>
      </c>
      <c r="DA107" s="74"/>
      <c r="DF107" s="89">
        <v>77</v>
      </c>
      <c r="DG107" s="2">
        <v>33</v>
      </c>
      <c r="DH107" s="2">
        <v>0</v>
      </c>
      <c r="DI107" s="2">
        <v>0.1</v>
      </c>
      <c r="DJ107" s="42" t="s">
        <v>1351</v>
      </c>
      <c r="DK107" s="42">
        <v>115</v>
      </c>
      <c r="DL107" s="42">
        <v>50</v>
      </c>
      <c r="DM107" s="74"/>
      <c r="DR107" s="89">
        <v>71</v>
      </c>
      <c r="DS107" s="2">
        <v>31</v>
      </c>
      <c r="DT107" s="2">
        <v>0</v>
      </c>
      <c r="DU107" s="2">
        <v>0.45</v>
      </c>
      <c r="DV107" s="42" t="s">
        <v>1351</v>
      </c>
      <c r="DW107" s="42">
        <v>115</v>
      </c>
      <c r="DX107" s="42">
        <v>50</v>
      </c>
      <c r="DY107" s="74"/>
      <c r="ED107" s="89">
        <v>77</v>
      </c>
      <c r="EE107" s="2">
        <v>32</v>
      </c>
      <c r="EF107" s="2">
        <v>1</v>
      </c>
      <c r="EG107" s="2">
        <v>6.3836370000000003E-2</v>
      </c>
      <c r="EH107" s="42" t="s">
        <v>1351</v>
      </c>
      <c r="EI107" s="42">
        <v>115</v>
      </c>
      <c r="EJ107" s="42">
        <v>50</v>
      </c>
      <c r="EK107" s="74"/>
      <c r="ES107">
        <v>77</v>
      </c>
      <c r="ET107">
        <v>32</v>
      </c>
      <c r="EU107">
        <v>1</v>
      </c>
      <c r="EV107">
        <v>6.3836370000000003E-2</v>
      </c>
    </row>
    <row r="108" spans="1:152" x14ac:dyDescent="0.4">
      <c r="A108" s="89"/>
      <c r="B108" s="2"/>
      <c r="C108" s="2"/>
      <c r="D108" s="2"/>
      <c r="E108" s="42" t="s">
        <v>1351</v>
      </c>
      <c r="F108" s="42">
        <v>116</v>
      </c>
      <c r="G108" s="42">
        <v>50</v>
      </c>
      <c r="H108" s="74"/>
      <c r="N108" s="89">
        <v>72</v>
      </c>
      <c r="O108" s="2">
        <v>31</v>
      </c>
      <c r="P108" s="2">
        <v>0</v>
      </c>
      <c r="Q108" s="2">
        <v>0.71599999999999997</v>
      </c>
      <c r="R108" s="42" t="s">
        <v>1351</v>
      </c>
      <c r="S108" s="42">
        <v>116</v>
      </c>
      <c r="T108" s="42">
        <v>50</v>
      </c>
      <c r="U108" s="74"/>
      <c r="Z108" s="89">
        <v>77</v>
      </c>
      <c r="AA108" s="2">
        <v>31</v>
      </c>
      <c r="AB108" s="2">
        <v>0</v>
      </c>
      <c r="AC108" s="2">
        <v>0.16</v>
      </c>
      <c r="AD108" s="42" t="s">
        <v>1351</v>
      </c>
      <c r="AE108" s="42">
        <v>116</v>
      </c>
      <c r="AF108" s="42">
        <v>50</v>
      </c>
      <c r="AG108" s="74"/>
      <c r="AL108" s="89">
        <v>80</v>
      </c>
      <c r="AM108" s="2">
        <v>31</v>
      </c>
      <c r="AN108" s="2">
        <v>0</v>
      </c>
      <c r="AO108" s="2">
        <v>5.0000000000000001E-3</v>
      </c>
      <c r="AP108" s="42" t="s">
        <v>1351</v>
      </c>
      <c r="AQ108" s="42">
        <v>116</v>
      </c>
      <c r="AR108" s="42">
        <v>50</v>
      </c>
      <c r="AS108" s="74"/>
      <c r="AX108" s="89">
        <v>81</v>
      </c>
      <c r="AY108" s="2">
        <v>32</v>
      </c>
      <c r="AZ108" s="2">
        <v>1</v>
      </c>
      <c r="BA108" s="2">
        <v>2.2757699999999999E-2</v>
      </c>
      <c r="BB108" s="42" t="s">
        <v>1351</v>
      </c>
      <c r="BC108" s="42">
        <v>116</v>
      </c>
      <c r="BD108" s="42">
        <v>50</v>
      </c>
      <c r="BE108" s="74"/>
      <c r="BJ108" s="89">
        <v>79</v>
      </c>
      <c r="BK108" s="2">
        <v>32</v>
      </c>
      <c r="BL108" s="2">
        <v>1</v>
      </c>
      <c r="BM108" s="2">
        <v>7.6055479999999995E-2</v>
      </c>
      <c r="BN108" s="42" t="s">
        <v>1351</v>
      </c>
      <c r="BO108" s="42">
        <v>116</v>
      </c>
      <c r="BP108" s="42">
        <v>50</v>
      </c>
      <c r="BQ108" s="74"/>
      <c r="BV108" s="89">
        <v>82</v>
      </c>
      <c r="BW108" s="2">
        <v>32</v>
      </c>
      <c r="BX108" s="2">
        <v>0</v>
      </c>
      <c r="BY108" s="2">
        <v>6.3786999999999996E-2</v>
      </c>
      <c r="BZ108" s="42" t="s">
        <v>1351</v>
      </c>
      <c r="CA108" s="42">
        <v>116</v>
      </c>
      <c r="CB108" s="42">
        <v>50</v>
      </c>
      <c r="CC108" s="74"/>
      <c r="CH108" s="89">
        <v>79</v>
      </c>
      <c r="CI108" s="2">
        <v>32</v>
      </c>
      <c r="CJ108" s="2">
        <v>1</v>
      </c>
      <c r="CK108" s="2">
        <v>6.0016479999999997E-2</v>
      </c>
      <c r="CL108" s="42" t="s">
        <v>1351</v>
      </c>
      <c r="CM108" s="42">
        <v>116</v>
      </c>
      <c r="CN108" s="42">
        <v>50</v>
      </c>
      <c r="CO108" s="74"/>
      <c r="CT108" s="89">
        <v>75</v>
      </c>
      <c r="CU108" s="2">
        <v>32</v>
      </c>
      <c r="CV108" s="2">
        <v>1</v>
      </c>
      <c r="CW108" s="2">
        <v>1.7797E-2</v>
      </c>
      <c r="CX108" s="42" t="s">
        <v>1351</v>
      </c>
      <c r="CY108" s="42">
        <v>116</v>
      </c>
      <c r="CZ108" s="42">
        <v>50</v>
      </c>
      <c r="DA108" s="74"/>
      <c r="DF108" s="89">
        <v>78</v>
      </c>
      <c r="DG108" s="2">
        <v>33</v>
      </c>
      <c r="DH108" s="2">
        <v>0</v>
      </c>
      <c r="DI108" s="2">
        <v>0.16980390000000001</v>
      </c>
      <c r="DJ108" s="42" t="s">
        <v>1351</v>
      </c>
      <c r="DK108" s="42">
        <v>116</v>
      </c>
      <c r="DL108" s="42">
        <v>50</v>
      </c>
      <c r="DM108" s="74"/>
      <c r="DR108" s="89">
        <v>72</v>
      </c>
      <c r="DS108" s="2">
        <v>31</v>
      </c>
      <c r="DT108" s="2">
        <v>0</v>
      </c>
      <c r="DU108" s="2">
        <v>0.53900000000000003</v>
      </c>
      <c r="DV108" s="42" t="s">
        <v>1351</v>
      </c>
      <c r="DW108" s="42">
        <v>116</v>
      </c>
      <c r="DX108" s="42">
        <v>50</v>
      </c>
      <c r="DY108" s="74"/>
      <c r="ED108" s="89">
        <v>78</v>
      </c>
      <c r="EE108" s="2">
        <v>32</v>
      </c>
      <c r="EF108" s="2">
        <v>0</v>
      </c>
      <c r="EG108" s="2">
        <v>0.1100252</v>
      </c>
      <c r="EH108" s="42" t="s">
        <v>1351</v>
      </c>
      <c r="EI108" s="42">
        <v>116</v>
      </c>
      <c r="EJ108" s="42">
        <v>50</v>
      </c>
      <c r="EK108" s="74"/>
      <c r="ES108">
        <v>78</v>
      </c>
      <c r="ET108">
        <v>32</v>
      </c>
      <c r="EU108">
        <v>0</v>
      </c>
      <c r="EV108">
        <v>0.1100252</v>
      </c>
    </row>
    <row r="109" spans="1:152" x14ac:dyDescent="0.4">
      <c r="A109" s="89"/>
      <c r="B109" s="2"/>
      <c r="C109" s="2"/>
      <c r="D109" s="2"/>
      <c r="E109" s="42" t="s">
        <v>1351</v>
      </c>
      <c r="F109" s="42">
        <v>117</v>
      </c>
      <c r="G109" s="42">
        <v>50</v>
      </c>
      <c r="H109" s="74"/>
      <c r="N109" s="89">
        <v>72</v>
      </c>
      <c r="O109" s="2">
        <v>31</v>
      </c>
      <c r="P109" s="2">
        <v>1</v>
      </c>
      <c r="Q109" s="2">
        <v>2.3472E-2</v>
      </c>
      <c r="R109" s="42" t="s">
        <v>1351</v>
      </c>
      <c r="S109" s="42">
        <v>117</v>
      </c>
      <c r="T109" s="42">
        <v>50</v>
      </c>
      <c r="U109" s="74"/>
      <c r="Z109" s="89">
        <v>78</v>
      </c>
      <c r="AA109" s="2">
        <v>31</v>
      </c>
      <c r="AB109" s="2">
        <v>0</v>
      </c>
      <c r="AC109" s="2">
        <v>9.5581849999999996E-2</v>
      </c>
      <c r="AD109" s="42" t="s">
        <v>1351</v>
      </c>
      <c r="AE109" s="42">
        <v>117</v>
      </c>
      <c r="AF109" s="42">
        <v>50</v>
      </c>
      <c r="AG109" s="74"/>
      <c r="AL109" s="89">
        <v>81</v>
      </c>
      <c r="AM109" s="2">
        <v>31</v>
      </c>
      <c r="AN109" s="2">
        <v>0</v>
      </c>
      <c r="AO109" s="2">
        <v>2E-3</v>
      </c>
      <c r="AP109" s="42" t="s">
        <v>1351</v>
      </c>
      <c r="AQ109" s="42">
        <v>117</v>
      </c>
      <c r="AR109" s="42">
        <v>50</v>
      </c>
      <c r="AS109" s="74"/>
      <c r="AX109" s="89">
        <v>82</v>
      </c>
      <c r="AY109" s="2">
        <v>32</v>
      </c>
      <c r="AZ109" s="2">
        <v>0</v>
      </c>
      <c r="BA109" s="2">
        <v>0.12178700000000001</v>
      </c>
      <c r="BB109" s="42" t="s">
        <v>1351</v>
      </c>
      <c r="BC109" s="42">
        <v>117</v>
      </c>
      <c r="BD109" s="42">
        <v>50</v>
      </c>
      <c r="BE109" s="74"/>
      <c r="BJ109" s="89">
        <v>80</v>
      </c>
      <c r="BK109" s="2">
        <v>32</v>
      </c>
      <c r="BL109" s="2">
        <v>0</v>
      </c>
      <c r="BM109" s="2">
        <v>0.104476</v>
      </c>
      <c r="BN109" s="42" t="s">
        <v>1351</v>
      </c>
      <c r="BO109" s="42">
        <v>117</v>
      </c>
      <c r="BP109" s="42">
        <v>50</v>
      </c>
      <c r="BQ109" s="74"/>
      <c r="BV109" s="89">
        <v>83</v>
      </c>
      <c r="BW109" s="2">
        <v>32</v>
      </c>
      <c r="BX109" s="2">
        <v>0</v>
      </c>
      <c r="BY109" s="2">
        <v>1.4999999999999999E-2</v>
      </c>
      <c r="BZ109" s="42" t="s">
        <v>1351</v>
      </c>
      <c r="CA109" s="42">
        <v>117</v>
      </c>
      <c r="CB109" s="42">
        <v>50</v>
      </c>
      <c r="CC109" s="74"/>
      <c r="CH109" s="89">
        <v>80</v>
      </c>
      <c r="CI109" s="2">
        <v>32</v>
      </c>
      <c r="CJ109" s="2">
        <v>0</v>
      </c>
      <c r="CK109" s="2">
        <v>5.8118999999999997E-2</v>
      </c>
      <c r="CL109" s="42" t="s">
        <v>1351</v>
      </c>
      <c r="CM109" s="42">
        <v>117</v>
      </c>
      <c r="CN109" s="42">
        <v>50</v>
      </c>
      <c r="CO109" s="74"/>
      <c r="CT109" s="89">
        <v>76</v>
      </c>
      <c r="CU109" s="2">
        <v>32</v>
      </c>
      <c r="CV109" s="2">
        <v>0</v>
      </c>
      <c r="CW109" s="2">
        <v>8.097E-2</v>
      </c>
      <c r="CX109" s="42" t="s">
        <v>1351</v>
      </c>
      <c r="CY109" s="42">
        <v>117</v>
      </c>
      <c r="CZ109" s="42">
        <v>50</v>
      </c>
      <c r="DA109" s="74"/>
      <c r="DF109" s="89">
        <v>79</v>
      </c>
      <c r="DG109" s="2">
        <v>33</v>
      </c>
      <c r="DH109" s="2">
        <v>0</v>
      </c>
      <c r="DI109" s="2">
        <v>0.23819609999999999</v>
      </c>
      <c r="DJ109" s="42" t="s">
        <v>1351</v>
      </c>
      <c r="DK109" s="42">
        <v>117</v>
      </c>
      <c r="DL109" s="42">
        <v>50</v>
      </c>
      <c r="DM109" s="74"/>
      <c r="DR109" s="89">
        <v>72</v>
      </c>
      <c r="DS109" s="2">
        <v>31</v>
      </c>
      <c r="DT109" s="2">
        <v>1</v>
      </c>
      <c r="DU109" s="2">
        <v>1.5825599999999999E-2</v>
      </c>
      <c r="DV109" s="42" t="s">
        <v>1351</v>
      </c>
      <c r="DW109" s="42">
        <v>117</v>
      </c>
      <c r="DX109" s="42">
        <v>50</v>
      </c>
      <c r="DY109" s="74"/>
      <c r="ED109" s="89">
        <v>79</v>
      </c>
      <c r="EE109" s="2">
        <v>32</v>
      </c>
      <c r="EF109" s="2">
        <v>0</v>
      </c>
      <c r="EG109" s="2">
        <v>5.189448E-2</v>
      </c>
      <c r="EH109" s="42" t="s">
        <v>1351</v>
      </c>
      <c r="EI109" s="42">
        <v>117</v>
      </c>
      <c r="EJ109" s="42">
        <v>50</v>
      </c>
      <c r="EK109" s="74"/>
      <c r="ES109">
        <v>79</v>
      </c>
      <c r="ET109">
        <v>32</v>
      </c>
      <c r="EU109">
        <v>0</v>
      </c>
      <c r="EV109">
        <v>5.189448E-2</v>
      </c>
    </row>
    <row r="110" spans="1:152" x14ac:dyDescent="0.4">
      <c r="A110" s="89"/>
      <c r="B110" s="2"/>
      <c r="C110" s="2"/>
      <c r="D110" s="2"/>
      <c r="E110" s="42" t="s">
        <v>1351</v>
      </c>
      <c r="F110" s="42">
        <v>118</v>
      </c>
      <c r="G110" s="42">
        <v>50</v>
      </c>
      <c r="H110" s="74"/>
      <c r="N110" s="89">
        <v>73</v>
      </c>
      <c r="O110" s="2">
        <v>31</v>
      </c>
      <c r="P110" s="2">
        <v>0</v>
      </c>
      <c r="Q110" s="2">
        <v>0.70600010000000002</v>
      </c>
      <c r="R110" s="42" t="s">
        <v>1351</v>
      </c>
      <c r="S110" s="42">
        <v>118</v>
      </c>
      <c r="T110" s="42">
        <v>50</v>
      </c>
      <c r="U110" s="74"/>
      <c r="Z110" s="89">
        <v>79</v>
      </c>
      <c r="AA110" s="2">
        <v>31</v>
      </c>
      <c r="AB110" s="2">
        <v>0</v>
      </c>
      <c r="AC110" s="2">
        <v>4.2418150000000002E-2</v>
      </c>
      <c r="AD110" s="42" t="s">
        <v>1351</v>
      </c>
      <c r="AE110" s="42">
        <v>118</v>
      </c>
      <c r="AF110" s="42">
        <v>50</v>
      </c>
      <c r="AG110" s="74"/>
      <c r="AL110" s="89">
        <v>82</v>
      </c>
      <c r="AM110" s="2">
        <v>31</v>
      </c>
      <c r="AN110" s="2">
        <v>0</v>
      </c>
      <c r="AO110" s="2">
        <v>2E-3</v>
      </c>
      <c r="AP110" s="42" t="s">
        <v>1351</v>
      </c>
      <c r="AQ110" s="42">
        <v>118</v>
      </c>
      <c r="AR110" s="42">
        <v>50</v>
      </c>
      <c r="AS110" s="74"/>
      <c r="AX110" s="89">
        <v>83</v>
      </c>
      <c r="AY110" s="2">
        <v>32</v>
      </c>
      <c r="AZ110" s="2">
        <v>0</v>
      </c>
      <c r="BA110" s="2">
        <v>2.1999999999999999E-2</v>
      </c>
      <c r="BB110" s="42" t="s">
        <v>1351</v>
      </c>
      <c r="BC110" s="42">
        <v>118</v>
      </c>
      <c r="BD110" s="42">
        <v>50</v>
      </c>
      <c r="BE110" s="74"/>
      <c r="BJ110" s="89">
        <v>81</v>
      </c>
      <c r="BK110" s="2">
        <v>32</v>
      </c>
      <c r="BL110" s="2">
        <v>0</v>
      </c>
      <c r="BM110" s="2">
        <v>6.7967700000000006E-2</v>
      </c>
      <c r="BN110" s="42" t="s">
        <v>1351</v>
      </c>
      <c r="BO110" s="42">
        <v>118</v>
      </c>
      <c r="BP110" s="42">
        <v>50</v>
      </c>
      <c r="BQ110" s="74"/>
      <c r="BV110" s="89">
        <v>84</v>
      </c>
      <c r="BW110" s="2">
        <v>32</v>
      </c>
      <c r="BX110" s="2">
        <v>0</v>
      </c>
      <c r="BY110" s="2">
        <v>1.2E-2</v>
      </c>
      <c r="BZ110" s="42" t="s">
        <v>1351</v>
      </c>
      <c r="CA110" s="42">
        <v>118</v>
      </c>
      <c r="CB110" s="42">
        <v>50</v>
      </c>
      <c r="CC110" s="74"/>
      <c r="CH110" s="89">
        <v>81</v>
      </c>
      <c r="CI110" s="2">
        <v>32</v>
      </c>
      <c r="CJ110" s="2">
        <v>0</v>
      </c>
      <c r="CK110" s="2">
        <v>3.9465300000000002E-2</v>
      </c>
      <c r="CL110" s="42" t="s">
        <v>1351</v>
      </c>
      <c r="CM110" s="42">
        <v>118</v>
      </c>
      <c r="CN110" s="42">
        <v>50</v>
      </c>
      <c r="CO110" s="74"/>
      <c r="CT110" s="89">
        <v>77</v>
      </c>
      <c r="CU110" s="2">
        <v>32</v>
      </c>
      <c r="CV110" s="2">
        <v>0</v>
      </c>
      <c r="CW110" s="2">
        <v>5.572001E-2</v>
      </c>
      <c r="CX110" s="42" t="s">
        <v>1351</v>
      </c>
      <c r="CY110" s="42">
        <v>118</v>
      </c>
      <c r="CZ110" s="42">
        <v>50</v>
      </c>
      <c r="DA110" s="74"/>
      <c r="DF110" s="89">
        <v>80</v>
      </c>
      <c r="DG110" s="2">
        <v>33</v>
      </c>
      <c r="DH110" s="2">
        <v>0</v>
      </c>
      <c r="DI110" s="2">
        <v>0.33351710000000001</v>
      </c>
      <c r="DJ110" s="42" t="s">
        <v>1351</v>
      </c>
      <c r="DK110" s="42">
        <v>118</v>
      </c>
      <c r="DL110" s="42">
        <v>50</v>
      </c>
      <c r="DM110" s="74"/>
      <c r="DR110" s="89">
        <v>73</v>
      </c>
      <c r="DS110" s="2">
        <v>31</v>
      </c>
      <c r="DT110" s="2">
        <v>0</v>
      </c>
      <c r="DU110" s="2">
        <v>0.626</v>
      </c>
      <c r="DV110" s="42" t="s">
        <v>1351</v>
      </c>
      <c r="DW110" s="42">
        <v>118</v>
      </c>
      <c r="DX110" s="42">
        <v>50</v>
      </c>
      <c r="DY110" s="74"/>
      <c r="ED110" s="89">
        <v>79</v>
      </c>
      <c r="EE110" s="2">
        <v>32</v>
      </c>
      <c r="EF110" s="2">
        <v>1</v>
      </c>
      <c r="EG110" s="2">
        <v>4.9042000000000002E-2</v>
      </c>
      <c r="EH110" s="42" t="s">
        <v>1351</v>
      </c>
      <c r="EI110" s="42">
        <v>118</v>
      </c>
      <c r="EJ110" s="42">
        <v>50</v>
      </c>
      <c r="EK110" s="74"/>
      <c r="ES110">
        <v>79</v>
      </c>
      <c r="ET110">
        <v>32</v>
      </c>
      <c r="EU110">
        <v>1</v>
      </c>
      <c r="EV110">
        <v>4.9042000000000002E-2</v>
      </c>
    </row>
    <row r="111" spans="1:152" x14ac:dyDescent="0.4">
      <c r="A111" s="89"/>
      <c r="B111" s="2"/>
      <c r="C111" s="2"/>
      <c r="D111" s="2"/>
      <c r="E111" s="42" t="s">
        <v>1351</v>
      </c>
      <c r="F111" s="42">
        <v>119</v>
      </c>
      <c r="G111" s="42">
        <v>50</v>
      </c>
      <c r="H111" s="74"/>
      <c r="N111" s="89">
        <v>74</v>
      </c>
      <c r="O111" s="2">
        <v>31</v>
      </c>
      <c r="P111" s="2">
        <v>0</v>
      </c>
      <c r="Q111" s="2">
        <v>0.56017240000000001</v>
      </c>
      <c r="R111" s="42" t="s">
        <v>1351</v>
      </c>
      <c r="S111" s="42">
        <v>119</v>
      </c>
      <c r="T111" s="42">
        <v>50</v>
      </c>
      <c r="U111" s="74"/>
      <c r="Z111" s="89">
        <v>80</v>
      </c>
      <c r="AA111" s="2">
        <v>31</v>
      </c>
      <c r="AB111" s="2">
        <v>0</v>
      </c>
      <c r="AC111" s="2">
        <v>2.1999999999999999E-2</v>
      </c>
      <c r="AD111" s="42" t="s">
        <v>1351</v>
      </c>
      <c r="AE111" s="42">
        <v>119</v>
      </c>
      <c r="AF111" s="42">
        <v>50</v>
      </c>
      <c r="AG111" s="74"/>
      <c r="AL111" s="89">
        <v>70</v>
      </c>
      <c r="AM111" s="2">
        <v>32</v>
      </c>
      <c r="AN111" s="2">
        <v>0</v>
      </c>
      <c r="AO111" s="2">
        <v>3.2881100000000003E-2</v>
      </c>
      <c r="AP111" s="42" t="s">
        <v>1351</v>
      </c>
      <c r="AQ111" s="42">
        <v>119</v>
      </c>
      <c r="AR111" s="42">
        <v>50</v>
      </c>
      <c r="AS111" s="74"/>
      <c r="AX111" s="89">
        <v>84</v>
      </c>
      <c r="AY111" s="2">
        <v>32</v>
      </c>
      <c r="AZ111" s="2">
        <v>0</v>
      </c>
      <c r="BA111" s="2">
        <v>6.0000000000000001E-3</v>
      </c>
      <c r="BB111" s="42" t="s">
        <v>1351</v>
      </c>
      <c r="BC111" s="42">
        <v>119</v>
      </c>
      <c r="BD111" s="42">
        <v>50</v>
      </c>
      <c r="BE111" s="74"/>
      <c r="BJ111" s="89">
        <v>81</v>
      </c>
      <c r="BK111" s="2">
        <v>32</v>
      </c>
      <c r="BL111" s="2">
        <v>1</v>
      </c>
      <c r="BM111" s="2">
        <v>3.7693000000000002E-3</v>
      </c>
      <c r="BN111" s="42" t="s">
        <v>1351</v>
      </c>
      <c r="BO111" s="42">
        <v>119</v>
      </c>
      <c r="BP111" s="42">
        <v>50</v>
      </c>
      <c r="BQ111" s="74"/>
      <c r="BV111" s="89">
        <v>85</v>
      </c>
      <c r="BW111" s="2">
        <v>32</v>
      </c>
      <c r="BX111" s="2">
        <v>0</v>
      </c>
      <c r="BY111" s="2">
        <v>2E-3</v>
      </c>
      <c r="BZ111" s="42" t="s">
        <v>1351</v>
      </c>
      <c r="CA111" s="42">
        <v>119</v>
      </c>
      <c r="CB111" s="42">
        <v>50</v>
      </c>
      <c r="CC111" s="74"/>
      <c r="CH111" s="89">
        <v>81</v>
      </c>
      <c r="CI111" s="2">
        <v>32</v>
      </c>
      <c r="CJ111" s="2">
        <v>1</v>
      </c>
      <c r="CK111" s="2">
        <v>4.1570000000000002E-4</v>
      </c>
      <c r="CL111" s="42" t="s">
        <v>1351</v>
      </c>
      <c r="CM111" s="42">
        <v>119</v>
      </c>
      <c r="CN111" s="42">
        <v>50</v>
      </c>
      <c r="CO111" s="74"/>
      <c r="CT111" s="89">
        <v>77</v>
      </c>
      <c r="CU111" s="2">
        <v>32</v>
      </c>
      <c r="CV111" s="2">
        <v>1</v>
      </c>
      <c r="CW111" s="2">
        <v>3.9851860000000003E-2</v>
      </c>
      <c r="CX111" s="42" t="s">
        <v>1351</v>
      </c>
      <c r="CY111" s="42">
        <v>119</v>
      </c>
      <c r="CZ111" s="42">
        <v>50</v>
      </c>
      <c r="DA111" s="74"/>
      <c r="DF111" s="89">
        <v>81</v>
      </c>
      <c r="DG111" s="2">
        <v>33</v>
      </c>
      <c r="DH111" s="2">
        <v>0</v>
      </c>
      <c r="DI111" s="2">
        <v>0.37933489999999997</v>
      </c>
      <c r="DJ111" s="42" t="s">
        <v>1351</v>
      </c>
      <c r="DK111" s="42">
        <v>119</v>
      </c>
      <c r="DL111" s="42">
        <v>50</v>
      </c>
      <c r="DM111" s="74"/>
      <c r="DR111" s="89">
        <v>74</v>
      </c>
      <c r="DS111" s="2">
        <v>31</v>
      </c>
      <c r="DT111" s="2">
        <v>0</v>
      </c>
      <c r="DU111" s="2">
        <v>0.5641003</v>
      </c>
      <c r="DV111" s="42" t="s">
        <v>1351</v>
      </c>
      <c r="DW111" s="42">
        <v>119</v>
      </c>
      <c r="DX111" s="42">
        <v>50</v>
      </c>
      <c r="DY111" s="74"/>
      <c r="ED111" s="89">
        <v>80</v>
      </c>
      <c r="EE111" s="2">
        <v>32</v>
      </c>
      <c r="EF111" s="2">
        <v>0</v>
      </c>
      <c r="EG111" s="2">
        <v>0.116476</v>
      </c>
      <c r="EH111" s="42" t="s">
        <v>1351</v>
      </c>
      <c r="EI111" s="42">
        <v>119</v>
      </c>
      <c r="EJ111" s="42">
        <v>50</v>
      </c>
      <c r="EK111" s="74"/>
      <c r="ES111">
        <v>80</v>
      </c>
      <c r="ET111">
        <v>32</v>
      </c>
      <c r="EU111">
        <v>0</v>
      </c>
      <c r="EV111">
        <v>0.116476</v>
      </c>
    </row>
    <row r="112" spans="1:152" x14ac:dyDescent="0.4">
      <c r="A112" s="89"/>
      <c r="B112" s="2"/>
      <c r="C112" s="2"/>
      <c r="D112" s="2"/>
      <c r="E112" s="42" t="s">
        <v>1351</v>
      </c>
      <c r="F112" s="42">
        <v>120</v>
      </c>
      <c r="G112" s="42">
        <v>50</v>
      </c>
      <c r="H112" s="74"/>
      <c r="N112" s="89">
        <v>74</v>
      </c>
      <c r="O112" s="2">
        <v>31</v>
      </c>
      <c r="P112" s="2">
        <v>1</v>
      </c>
      <c r="Q112" s="2">
        <v>0.26485049999999999</v>
      </c>
      <c r="R112" s="42" t="s">
        <v>1351</v>
      </c>
      <c r="S112" s="42">
        <v>120</v>
      </c>
      <c r="T112" s="42">
        <v>50</v>
      </c>
      <c r="U112" s="74"/>
      <c r="Z112" s="89">
        <v>81</v>
      </c>
      <c r="AA112" s="2">
        <v>31</v>
      </c>
      <c r="AB112" s="2">
        <v>0</v>
      </c>
      <c r="AC112" s="2">
        <v>8.0000000000000002E-3</v>
      </c>
      <c r="AD112" s="42" t="s">
        <v>1351</v>
      </c>
      <c r="AE112" s="42">
        <v>120</v>
      </c>
      <c r="AF112" s="42">
        <v>50</v>
      </c>
      <c r="AG112" s="74"/>
      <c r="AL112" s="89">
        <v>71</v>
      </c>
      <c r="AM112" s="2">
        <v>32</v>
      </c>
      <c r="AN112" s="2">
        <v>0</v>
      </c>
      <c r="AO112" s="2">
        <v>1.7000000000000001E-2</v>
      </c>
      <c r="AP112" s="42" t="s">
        <v>1351</v>
      </c>
      <c r="AQ112" s="42">
        <v>120</v>
      </c>
      <c r="AR112" s="42">
        <v>50</v>
      </c>
      <c r="AS112" s="74"/>
      <c r="AX112" s="89">
        <v>85</v>
      </c>
      <c r="AY112" s="2">
        <v>32</v>
      </c>
      <c r="AZ112" s="2">
        <v>0</v>
      </c>
      <c r="BA112" s="2">
        <v>1E-3</v>
      </c>
      <c r="BB112" s="42" t="s">
        <v>1351</v>
      </c>
      <c r="BC112" s="42">
        <v>120</v>
      </c>
      <c r="BD112" s="42">
        <v>50</v>
      </c>
      <c r="BE112" s="74"/>
      <c r="BJ112" s="89">
        <v>82</v>
      </c>
      <c r="BK112" s="2">
        <v>32</v>
      </c>
      <c r="BL112" s="2">
        <v>0</v>
      </c>
      <c r="BM112" s="2">
        <v>2.9787000000000001E-2</v>
      </c>
      <c r="BN112" s="42" t="s">
        <v>1351</v>
      </c>
      <c r="BO112" s="42">
        <v>120</v>
      </c>
      <c r="BP112" s="42">
        <v>50</v>
      </c>
      <c r="BQ112" s="74"/>
      <c r="BV112" s="89">
        <v>75</v>
      </c>
      <c r="BW112" s="2">
        <v>33</v>
      </c>
      <c r="BX112" s="2">
        <v>0</v>
      </c>
      <c r="BY112" s="2">
        <v>4.704001E-2</v>
      </c>
      <c r="BZ112" s="42" t="s">
        <v>1351</v>
      </c>
      <c r="CA112" s="42">
        <v>120</v>
      </c>
      <c r="CB112" s="42">
        <v>50</v>
      </c>
      <c r="CC112" s="74"/>
      <c r="CH112" s="89">
        <v>82</v>
      </c>
      <c r="CI112" s="2">
        <v>32</v>
      </c>
      <c r="CJ112" s="2">
        <v>0</v>
      </c>
      <c r="CK112" s="2">
        <v>1.7000000000000001E-2</v>
      </c>
      <c r="CL112" s="42" t="s">
        <v>1351</v>
      </c>
      <c r="CM112" s="42">
        <v>120</v>
      </c>
      <c r="CN112" s="42">
        <v>50</v>
      </c>
      <c r="CO112" s="74"/>
      <c r="CT112" s="89">
        <v>78</v>
      </c>
      <c r="CU112" s="2">
        <v>32</v>
      </c>
      <c r="CV112" s="2">
        <v>0</v>
      </c>
      <c r="CW112" s="2">
        <v>8.6053370000000004E-2</v>
      </c>
      <c r="CX112" s="42" t="s">
        <v>1351</v>
      </c>
      <c r="CY112" s="42">
        <v>120</v>
      </c>
      <c r="CZ112" s="42">
        <v>50</v>
      </c>
      <c r="DA112" s="74"/>
      <c r="DF112" s="89">
        <v>82</v>
      </c>
      <c r="DG112" s="2">
        <v>33</v>
      </c>
      <c r="DH112" s="2">
        <v>0</v>
      </c>
      <c r="DI112" s="2">
        <v>0.29172880000000001</v>
      </c>
      <c r="DJ112" s="42" t="s">
        <v>1351</v>
      </c>
      <c r="DK112" s="42">
        <v>120</v>
      </c>
      <c r="DL112" s="42">
        <v>50</v>
      </c>
      <c r="DM112" s="74"/>
      <c r="DR112" s="89">
        <v>74</v>
      </c>
      <c r="DS112" s="2">
        <v>31</v>
      </c>
      <c r="DT112" s="2">
        <v>1</v>
      </c>
      <c r="DU112" s="2">
        <v>0.43642059999999999</v>
      </c>
      <c r="DV112" s="42" t="s">
        <v>1351</v>
      </c>
      <c r="DW112" s="42">
        <v>120</v>
      </c>
      <c r="DX112" s="42">
        <v>50</v>
      </c>
      <c r="DY112" s="74"/>
      <c r="ED112" s="89">
        <v>81</v>
      </c>
      <c r="EE112" s="2">
        <v>32</v>
      </c>
      <c r="EF112" s="2">
        <v>0</v>
      </c>
      <c r="EG112" s="2">
        <v>5.1861200000000003E-2</v>
      </c>
      <c r="EH112" s="42" t="s">
        <v>1351</v>
      </c>
      <c r="EI112" s="42">
        <v>120</v>
      </c>
      <c r="EJ112" s="42">
        <v>50</v>
      </c>
      <c r="EK112" s="74"/>
      <c r="ES112">
        <v>81</v>
      </c>
      <c r="ET112">
        <v>32</v>
      </c>
      <c r="EU112">
        <v>0</v>
      </c>
      <c r="EV112">
        <v>5.1861200000000003E-2</v>
      </c>
    </row>
    <row r="113" spans="1:152" x14ac:dyDescent="0.4">
      <c r="A113" s="89"/>
      <c r="B113" s="2"/>
      <c r="C113" s="2"/>
      <c r="D113" s="2"/>
      <c r="E113" s="42" t="s">
        <v>1351</v>
      </c>
      <c r="F113" s="42">
        <v>122</v>
      </c>
      <c r="G113" s="42">
        <v>50</v>
      </c>
      <c r="H113" s="74"/>
      <c r="N113" s="89">
        <v>75</v>
      </c>
      <c r="O113" s="2">
        <v>31</v>
      </c>
      <c r="P113" s="2">
        <v>0</v>
      </c>
      <c r="Q113" s="2">
        <v>0.54370499999999999</v>
      </c>
      <c r="R113" s="42" t="s">
        <v>1351</v>
      </c>
      <c r="S113" s="42">
        <v>122</v>
      </c>
      <c r="T113" s="42">
        <v>50</v>
      </c>
      <c r="U113" s="74"/>
      <c r="Z113" s="89">
        <v>82</v>
      </c>
      <c r="AA113" s="2">
        <v>31</v>
      </c>
      <c r="AB113" s="2">
        <v>0</v>
      </c>
      <c r="AC113" s="2">
        <v>2E-3</v>
      </c>
      <c r="AD113" s="42" t="s">
        <v>1351</v>
      </c>
      <c r="AE113" s="42">
        <v>122</v>
      </c>
      <c r="AF113" s="42">
        <v>50</v>
      </c>
      <c r="AG113" s="74"/>
      <c r="AL113" s="89">
        <v>71</v>
      </c>
      <c r="AM113" s="2">
        <v>32</v>
      </c>
      <c r="AN113" s="2">
        <v>1</v>
      </c>
      <c r="AO113" s="2">
        <v>1.1631580000000001E-2</v>
      </c>
      <c r="AP113" s="42" t="s">
        <v>1351</v>
      </c>
      <c r="AQ113" s="42">
        <v>122</v>
      </c>
      <c r="AR113" s="42">
        <v>50</v>
      </c>
      <c r="AS113" s="74"/>
      <c r="AX113" s="89">
        <v>87</v>
      </c>
      <c r="AY113" s="2">
        <v>32</v>
      </c>
      <c r="AZ113" s="2">
        <v>0</v>
      </c>
      <c r="BA113" s="2">
        <v>1E-3</v>
      </c>
      <c r="BB113" s="42" t="s">
        <v>1351</v>
      </c>
      <c r="BC113" s="42">
        <v>122</v>
      </c>
      <c r="BD113" s="42">
        <v>50</v>
      </c>
      <c r="BE113" s="74"/>
      <c r="BJ113" s="89">
        <v>83</v>
      </c>
      <c r="BK113" s="2">
        <v>32</v>
      </c>
      <c r="BL113" s="2">
        <v>0</v>
      </c>
      <c r="BM113" s="2">
        <v>0.01</v>
      </c>
      <c r="BN113" s="42" t="s">
        <v>1351</v>
      </c>
      <c r="BO113" s="42">
        <v>122</v>
      </c>
      <c r="BP113" s="42">
        <v>50</v>
      </c>
      <c r="BQ113" s="74"/>
      <c r="BV113" s="89">
        <v>76</v>
      </c>
      <c r="BW113" s="2">
        <v>33</v>
      </c>
      <c r="BX113" s="2">
        <v>0</v>
      </c>
      <c r="BY113" s="2">
        <v>2E-3</v>
      </c>
      <c r="BZ113" s="42" t="s">
        <v>1351</v>
      </c>
      <c r="CA113" s="42">
        <v>122</v>
      </c>
      <c r="CB113" s="42">
        <v>50</v>
      </c>
      <c r="CC113" s="74"/>
      <c r="CH113" s="89">
        <v>83</v>
      </c>
      <c r="CI113" s="2">
        <v>32</v>
      </c>
      <c r="CJ113" s="2">
        <v>0</v>
      </c>
      <c r="CK113" s="2">
        <v>6.0000000000000001E-3</v>
      </c>
      <c r="CL113" s="42" t="s">
        <v>1351</v>
      </c>
      <c r="CM113" s="42">
        <v>122</v>
      </c>
      <c r="CN113" s="42">
        <v>50</v>
      </c>
      <c r="CO113" s="74"/>
      <c r="CT113" s="89">
        <v>79</v>
      </c>
      <c r="CU113" s="2">
        <v>32</v>
      </c>
      <c r="CV113" s="2">
        <v>0</v>
      </c>
      <c r="CW113" s="2">
        <v>3.008365E-2</v>
      </c>
      <c r="CX113" s="42" t="s">
        <v>1351</v>
      </c>
      <c r="CY113" s="42">
        <v>122</v>
      </c>
      <c r="CZ113" s="42">
        <v>50</v>
      </c>
      <c r="DA113" s="74"/>
      <c r="DF113" s="89">
        <v>82</v>
      </c>
      <c r="DG113" s="2">
        <v>33</v>
      </c>
      <c r="DH113" s="2">
        <v>1</v>
      </c>
      <c r="DI113" s="2">
        <v>9.0419250000000007E-2</v>
      </c>
      <c r="DJ113" s="42" t="s">
        <v>1351</v>
      </c>
      <c r="DK113" s="42">
        <v>122</v>
      </c>
      <c r="DL113" s="42">
        <v>50</v>
      </c>
      <c r="DM113" s="74"/>
      <c r="DR113" s="89">
        <v>75</v>
      </c>
      <c r="DS113" s="2">
        <v>31</v>
      </c>
      <c r="DT113" s="2">
        <v>0</v>
      </c>
      <c r="DU113" s="2">
        <v>0.64137960000000005</v>
      </c>
      <c r="DV113" s="42" t="s">
        <v>1351</v>
      </c>
      <c r="DW113" s="42">
        <v>122</v>
      </c>
      <c r="DX113" s="42">
        <v>50</v>
      </c>
      <c r="DY113" s="74"/>
      <c r="ED113" s="89">
        <v>81</v>
      </c>
      <c r="EE113" s="2">
        <v>32</v>
      </c>
      <c r="EF113" s="2">
        <v>1</v>
      </c>
      <c r="EG113" s="2">
        <v>3.6627999999999999E-3</v>
      </c>
      <c r="EH113" s="42" t="s">
        <v>1351</v>
      </c>
      <c r="EI113" s="42">
        <v>122</v>
      </c>
      <c r="EJ113" s="42">
        <v>50</v>
      </c>
      <c r="EK113" s="74"/>
      <c r="ES113">
        <v>81</v>
      </c>
      <c r="ET113">
        <v>32</v>
      </c>
      <c r="EU113">
        <v>1</v>
      </c>
      <c r="EV113">
        <v>3.6627999999999999E-3</v>
      </c>
    </row>
    <row r="114" spans="1:152" x14ac:dyDescent="0.4">
      <c r="A114" s="89"/>
      <c r="B114" s="2"/>
      <c r="C114" s="2"/>
      <c r="D114" s="2"/>
      <c r="E114" s="42" t="s">
        <v>1351</v>
      </c>
      <c r="F114" s="42">
        <v>124</v>
      </c>
      <c r="G114" s="42">
        <v>50</v>
      </c>
      <c r="H114" s="74"/>
      <c r="N114" s="89">
        <v>76</v>
      </c>
      <c r="O114" s="2">
        <v>31</v>
      </c>
      <c r="P114" s="2">
        <v>0</v>
      </c>
      <c r="Q114" s="2">
        <v>0.36491000000000001</v>
      </c>
      <c r="R114" s="42" t="s">
        <v>1351</v>
      </c>
      <c r="S114" s="42">
        <v>124</v>
      </c>
      <c r="T114" s="42">
        <v>50</v>
      </c>
      <c r="U114" s="74"/>
      <c r="Z114" s="89">
        <v>70</v>
      </c>
      <c r="AA114" s="2">
        <v>32</v>
      </c>
      <c r="AB114" s="2">
        <v>0</v>
      </c>
      <c r="AC114" s="2">
        <v>7.9672000000000007E-3</v>
      </c>
      <c r="AD114" s="42" t="s">
        <v>1351</v>
      </c>
      <c r="AE114" s="42">
        <v>124</v>
      </c>
      <c r="AF114" s="42">
        <v>50</v>
      </c>
      <c r="AG114" s="74"/>
      <c r="AL114" s="89">
        <v>72</v>
      </c>
      <c r="AM114" s="2">
        <v>32</v>
      </c>
      <c r="AN114" s="2">
        <v>0</v>
      </c>
      <c r="AO114" s="2">
        <v>0.44500000000000001</v>
      </c>
      <c r="AP114" s="42" t="s">
        <v>1351</v>
      </c>
      <c r="AQ114" s="42">
        <v>124</v>
      </c>
      <c r="AR114" s="42">
        <v>50</v>
      </c>
      <c r="AS114" s="74"/>
      <c r="AX114" s="89">
        <v>75</v>
      </c>
      <c r="AY114" s="2">
        <v>33</v>
      </c>
      <c r="AZ114" s="2">
        <v>0</v>
      </c>
      <c r="BA114" s="2">
        <v>7.9880000000000007E-2</v>
      </c>
      <c r="BB114" s="42" t="s">
        <v>1351</v>
      </c>
      <c r="BC114" s="42">
        <v>124</v>
      </c>
      <c r="BD114" s="42">
        <v>50</v>
      </c>
      <c r="BE114" s="74"/>
      <c r="BJ114" s="89">
        <v>84</v>
      </c>
      <c r="BK114" s="2">
        <v>32</v>
      </c>
      <c r="BL114" s="2">
        <v>0</v>
      </c>
      <c r="BM114" s="2">
        <v>3.0000000000000001E-3</v>
      </c>
      <c r="BN114" s="42" t="s">
        <v>1351</v>
      </c>
      <c r="BO114" s="42">
        <v>124</v>
      </c>
      <c r="BP114" s="42">
        <v>50</v>
      </c>
      <c r="BQ114" s="74"/>
      <c r="BV114" s="89">
        <v>77</v>
      </c>
      <c r="BW114" s="2">
        <v>33</v>
      </c>
      <c r="BX114" s="2">
        <v>0</v>
      </c>
      <c r="BY114" s="2">
        <v>0.11899999999999999</v>
      </c>
      <c r="BZ114" s="42" t="s">
        <v>1351</v>
      </c>
      <c r="CA114" s="42">
        <v>124</v>
      </c>
      <c r="CB114" s="42">
        <v>50</v>
      </c>
      <c r="CC114" s="74"/>
      <c r="CH114" s="89">
        <v>84</v>
      </c>
      <c r="CI114" s="2">
        <v>32</v>
      </c>
      <c r="CJ114" s="2">
        <v>0</v>
      </c>
      <c r="CK114" s="2">
        <v>1E-3</v>
      </c>
      <c r="CL114" s="42" t="s">
        <v>1351</v>
      </c>
      <c r="CM114" s="42">
        <v>124</v>
      </c>
      <c r="CN114" s="42">
        <v>50</v>
      </c>
      <c r="CO114" s="74"/>
      <c r="CT114" s="89">
        <v>79</v>
      </c>
      <c r="CU114" s="2">
        <v>32</v>
      </c>
      <c r="CV114" s="2">
        <v>1</v>
      </c>
      <c r="CW114" s="2">
        <v>5.4023939999999999E-2</v>
      </c>
      <c r="CX114" s="42" t="s">
        <v>1351</v>
      </c>
      <c r="CY114" s="42">
        <v>124</v>
      </c>
      <c r="CZ114" s="42">
        <v>50</v>
      </c>
      <c r="DA114" s="74"/>
      <c r="DF114" s="89">
        <v>83</v>
      </c>
      <c r="DG114" s="2">
        <v>33</v>
      </c>
      <c r="DH114" s="2">
        <v>0</v>
      </c>
      <c r="DI114" s="2">
        <v>0.36751200000000001</v>
      </c>
      <c r="DJ114" s="42" t="s">
        <v>1351</v>
      </c>
      <c r="DK114" s="42">
        <v>124</v>
      </c>
      <c r="DL114" s="42">
        <v>50</v>
      </c>
      <c r="DM114" s="74"/>
      <c r="DR114" s="89">
        <v>76</v>
      </c>
      <c r="DS114" s="2">
        <v>31</v>
      </c>
      <c r="DT114" s="2">
        <v>0</v>
      </c>
      <c r="DU114" s="2">
        <v>0.61441500000000004</v>
      </c>
      <c r="DV114" s="42" t="s">
        <v>1351</v>
      </c>
      <c r="DW114" s="42">
        <v>124</v>
      </c>
      <c r="DX114" s="42">
        <v>50</v>
      </c>
      <c r="DY114" s="74"/>
      <c r="ED114" s="89">
        <v>82</v>
      </c>
      <c r="EE114" s="2">
        <v>32</v>
      </c>
      <c r="EF114" s="2">
        <v>0</v>
      </c>
      <c r="EG114" s="2">
        <v>2.537E-2</v>
      </c>
      <c r="EH114" s="42" t="s">
        <v>1351</v>
      </c>
      <c r="EI114" s="42">
        <v>124</v>
      </c>
      <c r="EJ114" s="42">
        <v>50</v>
      </c>
      <c r="EK114" s="74"/>
      <c r="ES114">
        <v>82</v>
      </c>
      <c r="ET114">
        <v>32</v>
      </c>
      <c r="EU114">
        <v>0</v>
      </c>
      <c r="EV114">
        <v>2.537E-2</v>
      </c>
    </row>
    <row r="115" spans="1:152" x14ac:dyDescent="0.4">
      <c r="A115" s="89"/>
      <c r="B115" s="2"/>
      <c r="C115" s="2"/>
      <c r="D115" s="2"/>
      <c r="E115" s="43" t="s">
        <v>1350</v>
      </c>
      <c r="F115" s="43">
        <v>121</v>
      </c>
      <c r="G115" s="43">
        <v>51</v>
      </c>
      <c r="H115" s="74" cm="1">
        <f t="array" ref="H115">SUM(SUMIFS(D$14:D$1004,B$14:B$1004,G115:G116,A$14:A$1004,F115:F116,C$14:C$1004,0))</f>
        <v>0</v>
      </c>
      <c r="N115" s="89">
        <v>77</v>
      </c>
      <c r="O115" s="2">
        <v>31</v>
      </c>
      <c r="P115" s="2">
        <v>0</v>
      </c>
      <c r="Q115" s="2">
        <v>0.221</v>
      </c>
      <c r="R115" s="43" t="s">
        <v>1350</v>
      </c>
      <c r="S115" s="43">
        <v>121</v>
      </c>
      <c r="T115" s="43">
        <v>51</v>
      </c>
      <c r="U115" s="74" cm="1">
        <f t="array" ref="U115">SUM(SUMIFS(Q$14:Q$1004,O$14:O$1004,T115:T116,N$14:N$1004,S115:S116,P$14:P$1004,0))</f>
        <v>1.4489999999999998</v>
      </c>
      <c r="Z115" s="89">
        <v>71</v>
      </c>
      <c r="AA115" s="2">
        <v>32</v>
      </c>
      <c r="AB115" s="2">
        <v>0</v>
      </c>
      <c r="AC115" s="2">
        <v>5.0000000000000001E-3</v>
      </c>
      <c r="AD115" s="43" t="s">
        <v>1350</v>
      </c>
      <c r="AE115" s="43">
        <v>121</v>
      </c>
      <c r="AF115" s="43">
        <v>51</v>
      </c>
      <c r="AG115" s="74" cm="1">
        <f t="array" ref="AG115">SUM(SUMIFS(AC$14:AC$1004,AA$14:AA$1004,AF115:AF116,Z$14:Z$1004,AE115:AE116,AB$14:AB$1004,0))</f>
        <v>2.2119955</v>
      </c>
      <c r="AL115" s="89">
        <v>73</v>
      </c>
      <c r="AM115" s="2">
        <v>32</v>
      </c>
      <c r="AN115" s="2">
        <v>0</v>
      </c>
      <c r="AO115" s="2">
        <v>0.48899999999999999</v>
      </c>
      <c r="AP115" s="43" t="s">
        <v>1350</v>
      </c>
      <c r="AQ115" s="43">
        <v>121</v>
      </c>
      <c r="AR115" s="43">
        <v>51</v>
      </c>
      <c r="AS115" s="74" cm="1">
        <f t="array" ref="AS115">SUM(SUMIFS(AO$14:AO$1004,AM$14:AM$1004,AR115:AR116,AL$14:AL$1004,AQ115:AQ116,AN$14:AN$1004,0))</f>
        <v>2.1959999999999997</v>
      </c>
      <c r="AX115" s="89">
        <v>76</v>
      </c>
      <c r="AY115" s="2">
        <v>33</v>
      </c>
      <c r="AZ115" s="2">
        <v>0</v>
      </c>
      <c r="BA115" s="2">
        <v>1E-3</v>
      </c>
      <c r="BB115" s="43" t="s">
        <v>1350</v>
      </c>
      <c r="BC115" s="43">
        <v>121</v>
      </c>
      <c r="BD115" s="43">
        <v>51</v>
      </c>
      <c r="BE115" s="74" cm="1">
        <f t="array" ref="BE115">SUM(SUMIFS(BA$14:BA$1004,AY$14:AY$1004,BD115:BD116,AX$14:AX$1004,BC115:BC116,AZ$14:AZ$1004,0))</f>
        <v>6.6649849999999997</v>
      </c>
      <c r="BJ115" s="89">
        <v>85</v>
      </c>
      <c r="BK115" s="2">
        <v>32</v>
      </c>
      <c r="BL115" s="2">
        <v>0</v>
      </c>
      <c r="BM115" s="2">
        <v>1E-3</v>
      </c>
      <c r="BN115" s="43" t="s">
        <v>1350</v>
      </c>
      <c r="BO115" s="43">
        <v>121</v>
      </c>
      <c r="BP115" s="43">
        <v>51</v>
      </c>
      <c r="BQ115" s="74" cm="1">
        <f t="array" ref="BQ115">SUM(SUMIFS(BM$14:BM$1004,BK$14:BK$1004,BP115:BP116,BJ$14:BJ$1004,BO115:BO116,BL$14:BL$1004,0))</f>
        <v>8.172993</v>
      </c>
      <c r="BV115" s="89">
        <v>78</v>
      </c>
      <c r="BW115" s="2">
        <v>33</v>
      </c>
      <c r="BX115" s="2">
        <v>0</v>
      </c>
      <c r="BY115" s="2">
        <v>0.15908710000000001</v>
      </c>
      <c r="BZ115" s="43" t="s">
        <v>1350</v>
      </c>
      <c r="CA115" s="43">
        <v>121</v>
      </c>
      <c r="CB115" s="43">
        <v>51</v>
      </c>
      <c r="CC115" s="74" cm="1">
        <f t="array" ref="CC115">SUM(SUMIFS(BY$14:BY$1004,BW$14:BW$1004,CB115:CB116,BV$14:BV$1004,CA115:CA116,BX$14:BX$1004,0))</f>
        <v>7.4008190000000003</v>
      </c>
      <c r="CH115" s="89">
        <v>85</v>
      </c>
      <c r="CI115" s="2">
        <v>32</v>
      </c>
      <c r="CJ115" s="2">
        <v>0</v>
      </c>
      <c r="CK115" s="2">
        <v>1E-3</v>
      </c>
      <c r="CL115" s="43" t="s">
        <v>1350</v>
      </c>
      <c r="CM115" s="43">
        <v>121</v>
      </c>
      <c r="CN115" s="43">
        <v>51</v>
      </c>
      <c r="CO115" s="74" cm="1">
        <f t="array" ref="CO115">SUM(SUMIFS(CK$14:CK$1004,CI$14:CI$1004,CN115:CN116,CH$14:CH$1004,CM115:CM116,CJ$14:CJ$1004,0))</f>
        <v>8.0449959999999994</v>
      </c>
      <c r="CT115" s="89">
        <v>80</v>
      </c>
      <c r="CU115" s="2">
        <v>32</v>
      </c>
      <c r="CV115" s="2">
        <v>0</v>
      </c>
      <c r="CW115" s="2">
        <v>5.1118999999999998E-2</v>
      </c>
      <c r="CX115" s="43" t="s">
        <v>1350</v>
      </c>
      <c r="CY115" s="43">
        <v>121</v>
      </c>
      <c r="CZ115" s="43">
        <v>51</v>
      </c>
      <c r="DA115" s="74" cm="1">
        <f t="array" ref="DA115">SUM(SUMIFS(CW$14:CW$1004,CU$14:CU$1004,CZ115:CZ116,CT$14:CT$1004,CY115:CY116,CV$14:CV$1004,0))</f>
        <v>7.2819970000000005</v>
      </c>
      <c r="DF115" s="89">
        <v>84</v>
      </c>
      <c r="DG115" s="2">
        <v>33</v>
      </c>
      <c r="DH115" s="2">
        <v>0</v>
      </c>
      <c r="DI115" s="2">
        <v>0.1677681</v>
      </c>
      <c r="DJ115" s="43" t="s">
        <v>1350</v>
      </c>
      <c r="DK115" s="43">
        <v>121</v>
      </c>
      <c r="DL115" s="43">
        <v>51</v>
      </c>
      <c r="DM115" s="74" cm="1">
        <f t="array" ref="DM115">SUM(SUMIFS(DI$14:DI$1004,DG$14:DG$1004,DL115:DL116,DF$14:DF$1004,DK115:DK116,DH$14:DH$1004,0))</f>
        <v>5.2177980000000002</v>
      </c>
      <c r="DR115" s="89">
        <v>77</v>
      </c>
      <c r="DS115" s="2">
        <v>31</v>
      </c>
      <c r="DT115" s="2">
        <v>0</v>
      </c>
      <c r="DU115" s="2">
        <v>0.39</v>
      </c>
      <c r="DV115" s="43" t="s">
        <v>1350</v>
      </c>
      <c r="DW115" s="43">
        <v>121</v>
      </c>
      <c r="DX115" s="43">
        <v>51</v>
      </c>
      <c r="DY115" s="74" cm="1">
        <f t="array" ref="DY115">SUM(SUMIFS(DU$14:DU$1004,DS$14:DS$1004,DX115:DX116,DR$14:DR$1004,DW115:DW116,DT$14:DT$1004,0))</f>
        <v>2.734979</v>
      </c>
      <c r="ED115" s="89">
        <v>83</v>
      </c>
      <c r="EE115" s="2">
        <v>32</v>
      </c>
      <c r="EF115" s="2">
        <v>0</v>
      </c>
      <c r="EG115" s="2">
        <v>1.0630000000000001E-2</v>
      </c>
      <c r="EH115" s="43" t="s">
        <v>1350</v>
      </c>
      <c r="EI115" s="43">
        <v>121</v>
      </c>
      <c r="EJ115" s="43">
        <v>51</v>
      </c>
      <c r="EK115" s="74" cm="1">
        <f t="array" ref="EK115">SUM(SUMIFS(EG$14:EG$1004,EE$14:EE$1004,EJ115:EJ116,ED$14:ED$1004,EI115:EI116,EF$14:EF$1004,0))</f>
        <v>8.0419699999999992</v>
      </c>
      <c r="ES115">
        <v>83</v>
      </c>
      <c r="ET115">
        <v>32</v>
      </c>
      <c r="EU115">
        <v>0</v>
      </c>
      <c r="EV115">
        <v>1.0630000000000001E-2</v>
      </c>
    </row>
    <row r="116" spans="1:152" x14ac:dyDescent="0.4">
      <c r="A116" s="89"/>
      <c r="B116" s="2"/>
      <c r="C116" s="2"/>
      <c r="D116" s="2"/>
      <c r="E116" s="43" t="s">
        <v>1350</v>
      </c>
      <c r="F116" s="43">
        <v>123</v>
      </c>
      <c r="G116" s="43">
        <v>51</v>
      </c>
      <c r="H116" s="74"/>
      <c r="N116" s="89">
        <v>78</v>
      </c>
      <c r="O116" s="2">
        <v>31</v>
      </c>
      <c r="P116" s="2">
        <v>0</v>
      </c>
      <c r="Q116" s="2">
        <v>9.4026009999999993E-2</v>
      </c>
      <c r="R116" s="43" t="s">
        <v>1350</v>
      </c>
      <c r="S116" s="43">
        <v>123</v>
      </c>
      <c r="T116" s="43">
        <v>51</v>
      </c>
      <c r="U116" s="74"/>
      <c r="Z116" s="89">
        <v>71</v>
      </c>
      <c r="AA116" s="2">
        <v>32</v>
      </c>
      <c r="AB116" s="2">
        <v>1</v>
      </c>
      <c r="AC116" s="2">
        <v>5.0000000000000001E-3</v>
      </c>
      <c r="AD116" s="43" t="s">
        <v>1350</v>
      </c>
      <c r="AE116" s="43">
        <v>123</v>
      </c>
      <c r="AF116" s="43">
        <v>51</v>
      </c>
      <c r="AG116" s="74"/>
      <c r="AL116" s="89">
        <v>73</v>
      </c>
      <c r="AM116" s="2">
        <v>32</v>
      </c>
      <c r="AN116" s="2">
        <v>1</v>
      </c>
      <c r="AO116" s="2">
        <v>0.39038460000000003</v>
      </c>
      <c r="AP116" s="43" t="s">
        <v>1350</v>
      </c>
      <c r="AQ116" s="43">
        <v>123</v>
      </c>
      <c r="AR116" s="43">
        <v>51</v>
      </c>
      <c r="AS116" s="74"/>
      <c r="AX116" s="89">
        <v>77</v>
      </c>
      <c r="AY116" s="2">
        <v>33</v>
      </c>
      <c r="AZ116" s="2">
        <v>0</v>
      </c>
      <c r="BA116" s="2">
        <v>0.188</v>
      </c>
      <c r="BB116" s="43" t="s">
        <v>1350</v>
      </c>
      <c r="BC116" s="43">
        <v>123</v>
      </c>
      <c r="BD116" s="43">
        <v>51</v>
      </c>
      <c r="BE116" s="74"/>
      <c r="BJ116" s="89">
        <v>75</v>
      </c>
      <c r="BK116" s="2">
        <v>33</v>
      </c>
      <c r="BL116" s="2">
        <v>0</v>
      </c>
      <c r="BM116" s="2">
        <v>7.1999999999999995E-2</v>
      </c>
      <c r="BN116" s="43" t="s">
        <v>1350</v>
      </c>
      <c r="BO116" s="43">
        <v>123</v>
      </c>
      <c r="BP116" s="43">
        <v>51</v>
      </c>
      <c r="BQ116" s="74"/>
      <c r="BV116" s="89">
        <v>79</v>
      </c>
      <c r="BW116" s="2">
        <v>33</v>
      </c>
      <c r="BX116" s="2">
        <v>0</v>
      </c>
      <c r="BY116" s="2">
        <v>0.165913</v>
      </c>
      <c r="BZ116" s="43" t="s">
        <v>1350</v>
      </c>
      <c r="CA116" s="43">
        <v>123</v>
      </c>
      <c r="CB116" s="43">
        <v>51</v>
      </c>
      <c r="CC116" s="74"/>
      <c r="CH116" s="89">
        <v>75</v>
      </c>
      <c r="CI116" s="2">
        <v>33</v>
      </c>
      <c r="CJ116" s="2">
        <v>0</v>
      </c>
      <c r="CK116" s="2">
        <v>7.7999990000000005E-2</v>
      </c>
      <c r="CL116" s="43" t="s">
        <v>1350</v>
      </c>
      <c r="CM116" s="43">
        <v>123</v>
      </c>
      <c r="CN116" s="43">
        <v>51</v>
      </c>
      <c r="CO116" s="74"/>
      <c r="CT116" s="89">
        <v>81</v>
      </c>
      <c r="CU116" s="2">
        <v>32</v>
      </c>
      <c r="CV116" s="2">
        <v>0</v>
      </c>
      <c r="CW116" s="2">
        <v>2.9571799999999999E-2</v>
      </c>
      <c r="CX116" s="43" t="s">
        <v>1350</v>
      </c>
      <c r="CY116" s="43">
        <v>123</v>
      </c>
      <c r="CZ116" s="43">
        <v>51</v>
      </c>
      <c r="DA116" s="74"/>
      <c r="DF116" s="89">
        <v>84</v>
      </c>
      <c r="DG116" s="2">
        <v>33</v>
      </c>
      <c r="DH116" s="2">
        <v>1</v>
      </c>
      <c r="DI116" s="2">
        <v>5.2559929999999998E-2</v>
      </c>
      <c r="DJ116" s="43" t="s">
        <v>1350</v>
      </c>
      <c r="DK116" s="43">
        <v>123</v>
      </c>
      <c r="DL116" s="43">
        <v>51</v>
      </c>
      <c r="DM116" s="74"/>
      <c r="DR116" s="89">
        <v>78</v>
      </c>
      <c r="DS116" s="2">
        <v>31</v>
      </c>
      <c r="DT116" s="2">
        <v>0</v>
      </c>
      <c r="DU116" s="2">
        <v>0.23710400000000001</v>
      </c>
      <c r="DV116" s="43" t="s">
        <v>1350</v>
      </c>
      <c r="DW116" s="43">
        <v>123</v>
      </c>
      <c r="DX116" s="43">
        <v>51</v>
      </c>
      <c r="DY116" s="74"/>
      <c r="ED116" s="89">
        <v>84</v>
      </c>
      <c r="EE116" s="2">
        <v>32</v>
      </c>
      <c r="EF116" s="2">
        <v>0</v>
      </c>
      <c r="EG116" s="2">
        <v>4.0000000000000001E-3</v>
      </c>
      <c r="EH116" s="43" t="s">
        <v>1350</v>
      </c>
      <c r="EI116" s="43">
        <v>123</v>
      </c>
      <c r="EJ116" s="43">
        <v>51</v>
      </c>
      <c r="EK116" s="74"/>
      <c r="ES116">
        <v>84</v>
      </c>
      <c r="ET116">
        <v>32</v>
      </c>
      <c r="EU116">
        <v>0</v>
      </c>
      <c r="EV116">
        <v>4.0000000000000001E-3</v>
      </c>
    </row>
    <row r="117" spans="1:152" x14ac:dyDescent="0.4">
      <c r="A117" s="89"/>
      <c r="B117" s="2"/>
      <c r="C117" s="2"/>
      <c r="D117" s="2"/>
      <c r="E117" s="42" t="s">
        <v>1349</v>
      </c>
      <c r="F117" s="42">
        <v>120</v>
      </c>
      <c r="G117" s="42">
        <v>52</v>
      </c>
      <c r="H117" s="74" cm="1">
        <f t="array" ref="H117">SUM(SUMIFS(D$14:D$1004,B$14:B$1004,G117:G124,A$14:A$1004,F117:F124,C$14:C$1004,0))</f>
        <v>0</v>
      </c>
      <c r="N117" s="89">
        <v>79</v>
      </c>
      <c r="O117" s="2">
        <v>31</v>
      </c>
      <c r="P117" s="2">
        <v>0</v>
      </c>
      <c r="Q117" s="2">
        <v>4.4974E-2</v>
      </c>
      <c r="R117" s="42" t="s">
        <v>1349</v>
      </c>
      <c r="S117" s="42">
        <v>120</v>
      </c>
      <c r="T117" s="42">
        <v>52</v>
      </c>
      <c r="U117" s="74" cm="1">
        <f t="array" ref="U117">SUM(SUMIFS(Q$14:Q$1004,O$14:O$1004,T117:T124,N$14:N$1004,S117:S124,P$14:P$1004,0))</f>
        <v>2.0709153000000002</v>
      </c>
      <c r="Z117" s="89">
        <v>72</v>
      </c>
      <c r="AA117" s="2">
        <v>32</v>
      </c>
      <c r="AB117" s="2">
        <v>0</v>
      </c>
      <c r="AC117" s="2">
        <v>0.437</v>
      </c>
      <c r="AD117" s="42" t="s">
        <v>1349</v>
      </c>
      <c r="AE117" s="42">
        <v>120</v>
      </c>
      <c r="AF117" s="42">
        <v>52</v>
      </c>
      <c r="AG117" s="74" cm="1">
        <f t="array" ref="AG117">SUM(SUMIFS(AC$14:AC$1004,AA$14:AA$1004,AF117:AF124,Z$14:Z$1004,AE117:AE124,AB$14:AB$1004,0))</f>
        <v>2.5879238</v>
      </c>
      <c r="AL117" s="89">
        <v>74</v>
      </c>
      <c r="AM117" s="2">
        <v>32</v>
      </c>
      <c r="AN117" s="2">
        <v>0</v>
      </c>
      <c r="AO117" s="2">
        <v>0.65119499999999997</v>
      </c>
      <c r="AP117" s="42" t="s">
        <v>1349</v>
      </c>
      <c r="AQ117" s="42">
        <v>120</v>
      </c>
      <c r="AR117" s="42">
        <v>52</v>
      </c>
      <c r="AS117" s="74" cm="1">
        <f t="array" ref="AS117">SUM(SUMIFS(AO$14:AO$1004,AM$14:AM$1004,AR117:AR124,AL$14:AL$1004,AQ117:AQ124,AN$14:AN$1004,0))</f>
        <v>3.3079718000000002</v>
      </c>
      <c r="AX117" s="89">
        <v>78</v>
      </c>
      <c r="AY117" s="2">
        <v>33</v>
      </c>
      <c r="AZ117" s="2">
        <v>0</v>
      </c>
      <c r="BA117" s="2">
        <v>0.29014600000000002</v>
      </c>
      <c r="BB117" s="42" t="s">
        <v>1349</v>
      </c>
      <c r="BC117" s="42">
        <v>120</v>
      </c>
      <c r="BD117" s="42">
        <v>52</v>
      </c>
      <c r="BE117" s="74" cm="1">
        <f t="array" ref="BE117">SUM(SUMIFS(BA$14:BA$1004,AY$14:AY$1004,BD117:BD124,AX$14:AX$1004,BC117:BC124,AZ$14:AZ$1004,0))</f>
        <v>9.8699334000000007</v>
      </c>
      <c r="BJ117" s="89">
        <v>75</v>
      </c>
      <c r="BK117" s="2">
        <v>33</v>
      </c>
      <c r="BL117" s="2">
        <v>1</v>
      </c>
      <c r="BM117" s="2">
        <v>2E-3</v>
      </c>
      <c r="BN117" s="42" t="s">
        <v>1349</v>
      </c>
      <c r="BO117" s="42">
        <v>120</v>
      </c>
      <c r="BP117" s="42">
        <v>52</v>
      </c>
      <c r="BQ117" s="74" cm="1">
        <f t="array" ref="BQ117">SUM(SUMIFS(BM$14:BM$1004,BK$14:BK$1004,BP117:BP124,BJ$14:BJ$1004,BO117:BO124,BL$14:BL$1004,0))</f>
        <v>13.0272857</v>
      </c>
      <c r="BV117" s="89">
        <v>80</v>
      </c>
      <c r="BW117" s="2">
        <v>33</v>
      </c>
      <c r="BX117" s="2">
        <v>0</v>
      </c>
      <c r="BY117" s="2">
        <v>0.20983299999999999</v>
      </c>
      <c r="BZ117" s="42" t="s">
        <v>1349</v>
      </c>
      <c r="CA117" s="42">
        <v>120</v>
      </c>
      <c r="CB117" s="42">
        <v>52</v>
      </c>
      <c r="CC117" s="74" cm="1">
        <f t="array" ref="CC117">SUM(SUMIFS(BY$14:BY$1004,BW$14:BW$1004,CB117:CB124,BV$14:BV$1004,CA117:CA124,BX$14:BX$1004,0))</f>
        <v>12.2874815</v>
      </c>
      <c r="CH117" s="89">
        <v>75</v>
      </c>
      <c r="CI117" s="2">
        <v>33</v>
      </c>
      <c r="CJ117" s="2">
        <v>1</v>
      </c>
      <c r="CK117" s="2">
        <v>2E-3</v>
      </c>
      <c r="CL117" s="42" t="s">
        <v>1349</v>
      </c>
      <c r="CM117" s="42">
        <v>120</v>
      </c>
      <c r="CN117" s="42">
        <v>52</v>
      </c>
      <c r="CO117" s="74" cm="1">
        <f t="array" ref="CO117">SUM(SUMIFS(CK$14:CK$1004,CI$14:CI$1004,CN117:CN124,CH$14:CH$1004,CM117:CM124,CJ$14:CJ$1004,0))</f>
        <v>14.167287</v>
      </c>
      <c r="CT117" s="89">
        <v>81</v>
      </c>
      <c r="CU117" s="2">
        <v>32</v>
      </c>
      <c r="CV117" s="2">
        <v>1</v>
      </c>
      <c r="CW117" s="2">
        <v>1.5222E-3</v>
      </c>
      <c r="CX117" s="42" t="s">
        <v>1349</v>
      </c>
      <c r="CY117" s="42">
        <v>120</v>
      </c>
      <c r="CZ117" s="42">
        <v>52</v>
      </c>
      <c r="DA117" s="74" cm="1">
        <f t="array" ref="DA117">SUM(SUMIFS(CW$14:CW$1004,CU$14:CU$1004,CZ117:CZ124,CT$14:CT$1004,CY117:CY124,CV$14:CV$1004,0))</f>
        <v>13.999619899999999</v>
      </c>
      <c r="DF117" s="89">
        <v>85</v>
      </c>
      <c r="DG117" s="2">
        <v>33</v>
      </c>
      <c r="DH117" s="2">
        <v>0</v>
      </c>
      <c r="DI117" s="2">
        <v>0.11115999999999999</v>
      </c>
      <c r="DJ117" s="42" t="s">
        <v>1349</v>
      </c>
      <c r="DK117" s="42">
        <v>120</v>
      </c>
      <c r="DL117" s="42">
        <v>52</v>
      </c>
      <c r="DM117" s="74" cm="1">
        <f t="array" ref="DM117">SUM(SUMIFS(DI$14:DI$1004,DG$14:DG$1004,DL117:DL124,DF$14:DF$1004,DK117:DK124,DH$14:DH$1004,0))</f>
        <v>10.3009503</v>
      </c>
      <c r="DR117" s="89">
        <v>79</v>
      </c>
      <c r="DS117" s="2">
        <v>31</v>
      </c>
      <c r="DT117" s="2">
        <v>0</v>
      </c>
      <c r="DU117" s="2">
        <v>0.151896</v>
      </c>
      <c r="DV117" s="42" t="s">
        <v>1349</v>
      </c>
      <c r="DW117" s="42">
        <v>120</v>
      </c>
      <c r="DX117" s="42">
        <v>52</v>
      </c>
      <c r="DY117" s="74" cm="1">
        <f t="array" ref="DY117">SUM(SUMIFS(DU$14:DU$1004,DS$14:DS$1004,DX117:DX124,DR$14:DR$1004,DW117:DW124,DT$14:DT$1004,0))</f>
        <v>2.9644502000000004</v>
      </c>
      <c r="ED117" s="89">
        <v>85</v>
      </c>
      <c r="EE117" s="2">
        <v>32</v>
      </c>
      <c r="EF117" s="2">
        <v>0</v>
      </c>
      <c r="EG117" s="2">
        <v>1E-3</v>
      </c>
      <c r="EH117" s="42" t="s">
        <v>1349</v>
      </c>
      <c r="EI117" s="42">
        <v>120</v>
      </c>
      <c r="EJ117" s="42">
        <v>52</v>
      </c>
      <c r="EK117" s="74" cm="1">
        <f t="array" ref="EK117">SUM(SUMIFS(EG$14:EG$1004,EE$14:EE$1004,EJ117:EJ124,ED$14:ED$1004,EI117:EI124,EF$14:EF$1004,0))</f>
        <v>13.431116299999999</v>
      </c>
      <c r="ES117">
        <v>85</v>
      </c>
      <c r="ET117">
        <v>32</v>
      </c>
      <c r="EU117">
        <v>0</v>
      </c>
      <c r="EV117">
        <v>1E-3</v>
      </c>
    </row>
    <row r="118" spans="1:152" x14ac:dyDescent="0.4">
      <c r="A118" s="89"/>
      <c r="B118" s="2"/>
      <c r="C118" s="2"/>
      <c r="D118" s="2"/>
      <c r="E118" s="42" t="s">
        <v>1349</v>
      </c>
      <c r="F118" s="42">
        <v>122</v>
      </c>
      <c r="G118" s="42">
        <v>52</v>
      </c>
      <c r="H118" s="74"/>
      <c r="N118" s="89">
        <v>80</v>
      </c>
      <c r="O118" s="2">
        <v>31</v>
      </c>
      <c r="P118" s="2">
        <v>0</v>
      </c>
      <c r="Q118" s="2">
        <v>1.4999999999999999E-2</v>
      </c>
      <c r="R118" s="42" t="s">
        <v>1349</v>
      </c>
      <c r="S118" s="42">
        <v>122</v>
      </c>
      <c r="T118" s="42">
        <v>52</v>
      </c>
      <c r="U118" s="74"/>
      <c r="Z118" s="89">
        <v>73</v>
      </c>
      <c r="AA118" s="2">
        <v>32</v>
      </c>
      <c r="AB118" s="2">
        <v>0</v>
      </c>
      <c r="AC118" s="2">
        <v>0.49</v>
      </c>
      <c r="AD118" s="42" t="s">
        <v>1349</v>
      </c>
      <c r="AE118" s="42">
        <v>122</v>
      </c>
      <c r="AF118" s="42">
        <v>52</v>
      </c>
      <c r="AG118" s="74"/>
      <c r="AL118" s="89">
        <v>75</v>
      </c>
      <c r="AM118" s="2">
        <v>32</v>
      </c>
      <c r="AN118" s="2">
        <v>0</v>
      </c>
      <c r="AO118" s="2">
        <v>0.58987769999999995</v>
      </c>
      <c r="AP118" s="42" t="s">
        <v>1349</v>
      </c>
      <c r="AQ118" s="42">
        <v>122</v>
      </c>
      <c r="AR118" s="42">
        <v>52</v>
      </c>
      <c r="AS118" s="74"/>
      <c r="AX118" s="89">
        <v>79</v>
      </c>
      <c r="AY118" s="2">
        <v>33</v>
      </c>
      <c r="AZ118" s="2">
        <v>0</v>
      </c>
      <c r="BA118" s="2">
        <v>0.39885409999999999</v>
      </c>
      <c r="BB118" s="42" t="s">
        <v>1349</v>
      </c>
      <c r="BC118" s="42">
        <v>122</v>
      </c>
      <c r="BD118" s="42">
        <v>52</v>
      </c>
      <c r="BE118" s="74"/>
      <c r="BJ118" s="89">
        <v>76</v>
      </c>
      <c r="BK118" s="2">
        <v>33</v>
      </c>
      <c r="BL118" s="2">
        <v>0</v>
      </c>
      <c r="BM118" s="2">
        <v>1E-3</v>
      </c>
      <c r="BN118" s="42" t="s">
        <v>1349</v>
      </c>
      <c r="BO118" s="42">
        <v>122</v>
      </c>
      <c r="BP118" s="42">
        <v>52</v>
      </c>
      <c r="BQ118" s="74"/>
      <c r="BV118" s="89">
        <v>81</v>
      </c>
      <c r="BW118" s="2">
        <v>33</v>
      </c>
      <c r="BX118" s="2">
        <v>0</v>
      </c>
      <c r="BY118" s="2">
        <v>0.24138000000000001</v>
      </c>
      <c r="BZ118" s="42" t="s">
        <v>1349</v>
      </c>
      <c r="CA118" s="42">
        <v>122</v>
      </c>
      <c r="CB118" s="42">
        <v>52</v>
      </c>
      <c r="CC118" s="74"/>
      <c r="CH118" s="89">
        <v>76</v>
      </c>
      <c r="CI118" s="2">
        <v>33</v>
      </c>
      <c r="CJ118" s="2">
        <v>0</v>
      </c>
      <c r="CK118" s="2">
        <v>0.01</v>
      </c>
      <c r="CL118" s="42" t="s">
        <v>1349</v>
      </c>
      <c r="CM118" s="42">
        <v>122</v>
      </c>
      <c r="CN118" s="42">
        <v>52</v>
      </c>
      <c r="CO118" s="74"/>
      <c r="CT118" s="89">
        <v>82</v>
      </c>
      <c r="CU118" s="2">
        <v>32</v>
      </c>
      <c r="CV118" s="2">
        <v>0</v>
      </c>
      <c r="CW118" s="2">
        <v>1.0787E-2</v>
      </c>
      <c r="CX118" s="42" t="s">
        <v>1349</v>
      </c>
      <c r="CY118" s="42">
        <v>122</v>
      </c>
      <c r="CZ118" s="42">
        <v>52</v>
      </c>
      <c r="DA118" s="74"/>
      <c r="DF118" s="89">
        <v>86</v>
      </c>
      <c r="DG118" s="2">
        <v>33</v>
      </c>
      <c r="DH118" s="2">
        <v>0</v>
      </c>
      <c r="DI118" s="2">
        <v>0.06</v>
      </c>
      <c r="DJ118" s="42" t="s">
        <v>1349</v>
      </c>
      <c r="DK118" s="42">
        <v>122</v>
      </c>
      <c r="DL118" s="42">
        <v>52</v>
      </c>
      <c r="DM118" s="74"/>
      <c r="DR118" s="89">
        <v>80</v>
      </c>
      <c r="DS118" s="2">
        <v>31</v>
      </c>
      <c r="DT118" s="2">
        <v>0</v>
      </c>
      <c r="DU118" s="2">
        <v>6.0075000000000003E-2</v>
      </c>
      <c r="DV118" s="42" t="s">
        <v>1349</v>
      </c>
      <c r="DW118" s="42">
        <v>122</v>
      </c>
      <c r="DX118" s="42">
        <v>52</v>
      </c>
      <c r="DY118" s="74"/>
      <c r="ED118" s="89">
        <v>75</v>
      </c>
      <c r="EE118" s="2">
        <v>33</v>
      </c>
      <c r="EF118" s="2">
        <v>0</v>
      </c>
      <c r="EG118" s="2">
        <v>5.7924999999999997E-2</v>
      </c>
      <c r="EH118" s="42" t="s">
        <v>1349</v>
      </c>
      <c r="EI118" s="42">
        <v>122</v>
      </c>
      <c r="EJ118" s="42">
        <v>52</v>
      </c>
      <c r="EK118" s="74"/>
      <c r="ES118">
        <v>75</v>
      </c>
      <c r="ET118">
        <v>33</v>
      </c>
      <c r="EU118">
        <v>0</v>
      </c>
      <c r="EV118">
        <v>5.7924999999999997E-2</v>
      </c>
    </row>
    <row r="119" spans="1:152" x14ac:dyDescent="0.4">
      <c r="A119" s="89"/>
      <c r="B119" s="2"/>
      <c r="C119" s="2"/>
      <c r="D119" s="2"/>
      <c r="E119" s="42" t="s">
        <v>1349</v>
      </c>
      <c r="F119" s="42">
        <v>123</v>
      </c>
      <c r="G119" s="42">
        <v>52</v>
      </c>
      <c r="H119" s="74"/>
      <c r="N119" s="89">
        <v>81</v>
      </c>
      <c r="O119" s="2">
        <v>31</v>
      </c>
      <c r="P119" s="2">
        <v>0</v>
      </c>
      <c r="Q119" s="2">
        <v>5.0000000000000001E-3</v>
      </c>
      <c r="R119" s="42" t="s">
        <v>1349</v>
      </c>
      <c r="S119" s="42">
        <v>123</v>
      </c>
      <c r="T119" s="42">
        <v>52</v>
      </c>
      <c r="U119" s="74"/>
      <c r="Z119" s="89">
        <v>73</v>
      </c>
      <c r="AA119" s="2">
        <v>32</v>
      </c>
      <c r="AB119" s="2">
        <v>1</v>
      </c>
      <c r="AC119" s="2">
        <v>0.44739970000000001</v>
      </c>
      <c r="AD119" s="42" t="s">
        <v>1349</v>
      </c>
      <c r="AE119" s="42">
        <v>123</v>
      </c>
      <c r="AF119" s="42">
        <v>52</v>
      </c>
      <c r="AG119" s="74"/>
      <c r="AL119" s="89">
        <v>75</v>
      </c>
      <c r="AM119" s="2">
        <v>32</v>
      </c>
      <c r="AN119" s="2">
        <v>1</v>
      </c>
      <c r="AO119" s="2">
        <v>0.2908386</v>
      </c>
      <c r="AP119" s="42" t="s">
        <v>1349</v>
      </c>
      <c r="AQ119" s="42">
        <v>123</v>
      </c>
      <c r="AR119" s="42">
        <v>52</v>
      </c>
      <c r="AS119" s="74"/>
      <c r="AX119" s="89">
        <v>80</v>
      </c>
      <c r="AY119" s="2">
        <v>33</v>
      </c>
      <c r="AZ119" s="2">
        <v>0</v>
      </c>
      <c r="BA119" s="2">
        <v>0.57390399999999997</v>
      </c>
      <c r="BB119" s="42" t="s">
        <v>1349</v>
      </c>
      <c r="BC119" s="42">
        <v>123</v>
      </c>
      <c r="BD119" s="42">
        <v>52</v>
      </c>
      <c r="BE119" s="74"/>
      <c r="BJ119" s="89">
        <v>77</v>
      </c>
      <c r="BK119" s="2">
        <v>33</v>
      </c>
      <c r="BL119" s="2">
        <v>0</v>
      </c>
      <c r="BM119" s="2">
        <v>0.125</v>
      </c>
      <c r="BN119" s="42" t="s">
        <v>1349</v>
      </c>
      <c r="BO119" s="42">
        <v>123</v>
      </c>
      <c r="BP119" s="42">
        <v>52</v>
      </c>
      <c r="BQ119" s="74"/>
      <c r="BV119" s="89">
        <v>82</v>
      </c>
      <c r="BW119" s="2">
        <v>33</v>
      </c>
      <c r="BX119" s="2">
        <v>0</v>
      </c>
      <c r="BY119" s="2">
        <v>0.155587</v>
      </c>
      <c r="BZ119" s="42" t="s">
        <v>1349</v>
      </c>
      <c r="CA119" s="42">
        <v>123</v>
      </c>
      <c r="CB119" s="42">
        <v>52</v>
      </c>
      <c r="CC119" s="74"/>
      <c r="CH119" s="89">
        <v>77</v>
      </c>
      <c r="CI119" s="2">
        <v>33</v>
      </c>
      <c r="CJ119" s="2">
        <v>0</v>
      </c>
      <c r="CK119" s="2">
        <v>0.129</v>
      </c>
      <c r="CL119" s="42" t="s">
        <v>1349</v>
      </c>
      <c r="CM119" s="42">
        <v>123</v>
      </c>
      <c r="CN119" s="42">
        <v>52</v>
      </c>
      <c r="CO119" s="74"/>
      <c r="CT119" s="89">
        <v>83</v>
      </c>
      <c r="CU119" s="2">
        <v>32</v>
      </c>
      <c r="CV119" s="2">
        <v>0</v>
      </c>
      <c r="CW119" s="2">
        <v>2E-3</v>
      </c>
      <c r="CX119" s="42" t="s">
        <v>1349</v>
      </c>
      <c r="CY119" s="42">
        <v>123</v>
      </c>
      <c r="CZ119" s="42">
        <v>52</v>
      </c>
      <c r="DA119" s="74"/>
      <c r="DF119" s="89">
        <v>87</v>
      </c>
      <c r="DG119" s="2">
        <v>33</v>
      </c>
      <c r="DH119" s="2">
        <v>0</v>
      </c>
      <c r="DI119" s="2">
        <v>1.2E-2</v>
      </c>
      <c r="DJ119" s="42" t="s">
        <v>1349</v>
      </c>
      <c r="DK119" s="42">
        <v>123</v>
      </c>
      <c r="DL119" s="42">
        <v>52</v>
      </c>
      <c r="DM119" s="74"/>
      <c r="DR119" s="89">
        <v>81</v>
      </c>
      <c r="DS119" s="2">
        <v>31</v>
      </c>
      <c r="DT119" s="2">
        <v>0</v>
      </c>
      <c r="DU119" s="2">
        <v>3.1925000000000002E-2</v>
      </c>
      <c r="DV119" s="42" t="s">
        <v>1349</v>
      </c>
      <c r="DW119" s="42">
        <v>123</v>
      </c>
      <c r="DX119" s="42">
        <v>52</v>
      </c>
      <c r="DY119" s="74"/>
      <c r="ED119" s="89">
        <v>76</v>
      </c>
      <c r="EE119" s="2">
        <v>33</v>
      </c>
      <c r="EF119" s="2">
        <v>0</v>
      </c>
      <c r="EG119" s="2">
        <v>3.0000000000000001E-3</v>
      </c>
      <c r="EH119" s="42" t="s">
        <v>1349</v>
      </c>
      <c r="EI119" s="42">
        <v>123</v>
      </c>
      <c r="EJ119" s="42">
        <v>52</v>
      </c>
      <c r="EK119" s="74"/>
      <c r="ES119">
        <v>76</v>
      </c>
      <c r="ET119">
        <v>33</v>
      </c>
      <c r="EU119">
        <v>0</v>
      </c>
      <c r="EV119">
        <v>3.0000000000000001E-3</v>
      </c>
    </row>
    <row r="120" spans="1:152" x14ac:dyDescent="0.4">
      <c r="A120" s="89"/>
      <c r="B120" s="2"/>
      <c r="C120" s="2"/>
      <c r="D120" s="2"/>
      <c r="E120" s="42" t="s">
        <v>1349</v>
      </c>
      <c r="F120" s="42">
        <v>124</v>
      </c>
      <c r="G120" s="42">
        <v>52</v>
      </c>
      <c r="H120" s="74"/>
      <c r="N120" s="89">
        <v>70</v>
      </c>
      <c r="O120" s="2">
        <v>32</v>
      </c>
      <c r="P120" s="2">
        <v>0</v>
      </c>
      <c r="Q120" s="2">
        <v>3.2872899999999997E-2</v>
      </c>
      <c r="R120" s="42" t="s">
        <v>1349</v>
      </c>
      <c r="S120" s="42">
        <v>124</v>
      </c>
      <c r="T120" s="42">
        <v>52</v>
      </c>
      <c r="U120" s="74"/>
      <c r="Z120" s="89">
        <v>74</v>
      </c>
      <c r="AA120" s="2">
        <v>32</v>
      </c>
      <c r="AB120" s="2">
        <v>0</v>
      </c>
      <c r="AC120" s="2">
        <v>0.570075</v>
      </c>
      <c r="AD120" s="42" t="s">
        <v>1349</v>
      </c>
      <c r="AE120" s="42">
        <v>124</v>
      </c>
      <c r="AF120" s="42">
        <v>52</v>
      </c>
      <c r="AG120" s="74"/>
      <c r="AL120" s="89">
        <v>76</v>
      </c>
      <c r="AM120" s="2">
        <v>32</v>
      </c>
      <c r="AN120" s="2">
        <v>0</v>
      </c>
      <c r="AO120" s="2">
        <v>0.62100010000000005</v>
      </c>
      <c r="AP120" s="42" t="s">
        <v>1349</v>
      </c>
      <c r="AQ120" s="42">
        <v>124</v>
      </c>
      <c r="AR120" s="42">
        <v>52</v>
      </c>
      <c r="AS120" s="74"/>
      <c r="AX120" s="89">
        <v>81</v>
      </c>
      <c r="AY120" s="2">
        <v>33</v>
      </c>
      <c r="AZ120" s="2">
        <v>0</v>
      </c>
      <c r="BA120" s="2">
        <v>0.56430910000000001</v>
      </c>
      <c r="BB120" s="42" t="s">
        <v>1349</v>
      </c>
      <c r="BC120" s="42">
        <v>124</v>
      </c>
      <c r="BD120" s="42">
        <v>52</v>
      </c>
      <c r="BE120" s="74"/>
      <c r="BJ120" s="89">
        <v>78</v>
      </c>
      <c r="BK120" s="2">
        <v>33</v>
      </c>
      <c r="BL120" s="2">
        <v>0</v>
      </c>
      <c r="BM120" s="2">
        <v>0.1300463</v>
      </c>
      <c r="BN120" s="42" t="s">
        <v>1349</v>
      </c>
      <c r="BO120" s="42">
        <v>124</v>
      </c>
      <c r="BP120" s="42">
        <v>52</v>
      </c>
      <c r="BQ120" s="74"/>
      <c r="BV120" s="89">
        <v>82</v>
      </c>
      <c r="BW120" s="2">
        <v>33</v>
      </c>
      <c r="BX120" s="2">
        <v>1</v>
      </c>
      <c r="BY120" s="2">
        <v>6.1199999999999997E-2</v>
      </c>
      <c r="BZ120" s="42" t="s">
        <v>1349</v>
      </c>
      <c r="CA120" s="42">
        <v>124</v>
      </c>
      <c r="CB120" s="42">
        <v>52</v>
      </c>
      <c r="CC120" s="74"/>
      <c r="CH120" s="89">
        <v>78</v>
      </c>
      <c r="CI120" s="2">
        <v>33</v>
      </c>
      <c r="CJ120" s="2">
        <v>0</v>
      </c>
      <c r="CK120" s="2">
        <v>0.15802289999999999</v>
      </c>
      <c r="CL120" s="42" t="s">
        <v>1349</v>
      </c>
      <c r="CM120" s="42">
        <v>124</v>
      </c>
      <c r="CN120" s="42">
        <v>52</v>
      </c>
      <c r="CO120" s="74"/>
      <c r="CT120" s="89">
        <v>84</v>
      </c>
      <c r="CU120" s="2">
        <v>32</v>
      </c>
      <c r="CV120" s="2">
        <v>0</v>
      </c>
      <c r="CW120" s="2">
        <v>2E-3</v>
      </c>
      <c r="CX120" s="42" t="s">
        <v>1349</v>
      </c>
      <c r="CY120" s="42">
        <v>124</v>
      </c>
      <c r="CZ120" s="42">
        <v>52</v>
      </c>
      <c r="DA120" s="74"/>
      <c r="DF120" s="89">
        <v>88</v>
      </c>
      <c r="DG120" s="2">
        <v>33</v>
      </c>
      <c r="DH120" s="2">
        <v>0</v>
      </c>
      <c r="DI120" s="2">
        <v>7.0000000000000001E-3</v>
      </c>
      <c r="DJ120" s="42" t="s">
        <v>1349</v>
      </c>
      <c r="DK120" s="42">
        <v>124</v>
      </c>
      <c r="DL120" s="42">
        <v>52</v>
      </c>
      <c r="DM120" s="74"/>
      <c r="DR120" s="89">
        <v>82</v>
      </c>
      <c r="DS120" s="2">
        <v>31</v>
      </c>
      <c r="DT120" s="2">
        <v>0</v>
      </c>
      <c r="DU120" s="2">
        <v>9.0000010000000005E-3</v>
      </c>
      <c r="DV120" s="42" t="s">
        <v>1349</v>
      </c>
      <c r="DW120" s="42">
        <v>124</v>
      </c>
      <c r="DX120" s="42">
        <v>52</v>
      </c>
      <c r="DY120" s="74"/>
      <c r="ED120" s="89">
        <v>77</v>
      </c>
      <c r="EE120" s="2">
        <v>33</v>
      </c>
      <c r="EF120" s="2">
        <v>0</v>
      </c>
      <c r="EG120" s="2">
        <v>0.115</v>
      </c>
      <c r="EH120" s="42" t="s">
        <v>1349</v>
      </c>
      <c r="EI120" s="42">
        <v>124</v>
      </c>
      <c r="EJ120" s="42">
        <v>52</v>
      </c>
      <c r="EK120" s="74"/>
      <c r="ES120">
        <v>77</v>
      </c>
      <c r="ET120">
        <v>33</v>
      </c>
      <c r="EU120">
        <v>0</v>
      </c>
      <c r="EV120">
        <v>0.115</v>
      </c>
    </row>
    <row r="121" spans="1:152" x14ac:dyDescent="0.4">
      <c r="A121" s="89"/>
      <c r="B121" s="2"/>
      <c r="C121" s="2"/>
      <c r="D121" s="2"/>
      <c r="E121" s="42" t="s">
        <v>1349</v>
      </c>
      <c r="F121" s="42">
        <v>125</v>
      </c>
      <c r="G121" s="42">
        <v>52</v>
      </c>
      <c r="H121" s="74"/>
      <c r="N121" s="89">
        <v>71</v>
      </c>
      <c r="O121" s="2">
        <v>32</v>
      </c>
      <c r="P121" s="2">
        <v>0</v>
      </c>
      <c r="Q121" s="2">
        <v>1.2E-2</v>
      </c>
      <c r="R121" s="42" t="s">
        <v>1349</v>
      </c>
      <c r="S121" s="42">
        <v>125</v>
      </c>
      <c r="T121" s="42">
        <v>52</v>
      </c>
      <c r="U121" s="74"/>
      <c r="Z121" s="89">
        <v>75</v>
      </c>
      <c r="AA121" s="2">
        <v>32</v>
      </c>
      <c r="AB121" s="2">
        <v>0</v>
      </c>
      <c r="AC121" s="2">
        <v>0.61870409999999998</v>
      </c>
      <c r="AD121" s="42" t="s">
        <v>1349</v>
      </c>
      <c r="AE121" s="42">
        <v>125</v>
      </c>
      <c r="AF121" s="42">
        <v>52</v>
      </c>
      <c r="AG121" s="74"/>
      <c r="AL121" s="89">
        <v>77</v>
      </c>
      <c r="AM121" s="2">
        <v>32</v>
      </c>
      <c r="AN121" s="2">
        <v>0</v>
      </c>
      <c r="AO121" s="2">
        <v>0.38758019999999999</v>
      </c>
      <c r="AP121" s="42" t="s">
        <v>1349</v>
      </c>
      <c r="AQ121" s="42">
        <v>125</v>
      </c>
      <c r="AR121" s="42">
        <v>52</v>
      </c>
      <c r="AS121" s="74"/>
      <c r="AX121" s="89">
        <v>82</v>
      </c>
      <c r="AY121" s="2">
        <v>33</v>
      </c>
      <c r="AZ121" s="2">
        <v>0</v>
      </c>
      <c r="BA121" s="2">
        <v>0.40392990000000001</v>
      </c>
      <c r="BB121" s="42" t="s">
        <v>1349</v>
      </c>
      <c r="BC121" s="42">
        <v>125</v>
      </c>
      <c r="BD121" s="42">
        <v>52</v>
      </c>
      <c r="BE121" s="74"/>
      <c r="BJ121" s="89">
        <v>79</v>
      </c>
      <c r="BK121" s="2">
        <v>33</v>
      </c>
      <c r="BL121" s="2">
        <v>0</v>
      </c>
      <c r="BM121" s="2">
        <v>0.20195370000000001</v>
      </c>
      <c r="BN121" s="42" t="s">
        <v>1349</v>
      </c>
      <c r="BO121" s="42">
        <v>125</v>
      </c>
      <c r="BP121" s="42">
        <v>52</v>
      </c>
      <c r="BQ121" s="74"/>
      <c r="BV121" s="89">
        <v>83</v>
      </c>
      <c r="BW121" s="2">
        <v>33</v>
      </c>
      <c r="BX121" s="2">
        <v>0</v>
      </c>
      <c r="BY121" s="2">
        <v>0.17329600000000001</v>
      </c>
      <c r="BZ121" s="42" t="s">
        <v>1349</v>
      </c>
      <c r="CA121" s="42">
        <v>125</v>
      </c>
      <c r="CB121" s="42">
        <v>52</v>
      </c>
      <c r="CC121" s="74"/>
      <c r="CH121" s="89">
        <v>79</v>
      </c>
      <c r="CI121" s="2">
        <v>33</v>
      </c>
      <c r="CJ121" s="2">
        <v>0</v>
      </c>
      <c r="CK121" s="2">
        <v>0.16997709999999999</v>
      </c>
      <c r="CL121" s="42" t="s">
        <v>1349</v>
      </c>
      <c r="CM121" s="42">
        <v>125</v>
      </c>
      <c r="CN121" s="42">
        <v>52</v>
      </c>
      <c r="CO121" s="74"/>
      <c r="CT121" s="89">
        <v>85</v>
      </c>
      <c r="CU121" s="2">
        <v>32</v>
      </c>
      <c r="CV121" s="2">
        <v>0</v>
      </c>
      <c r="CW121" s="2">
        <v>1E-3</v>
      </c>
      <c r="CX121" s="42" t="s">
        <v>1349</v>
      </c>
      <c r="CY121" s="42">
        <v>125</v>
      </c>
      <c r="CZ121" s="42">
        <v>52</v>
      </c>
      <c r="DA121" s="74"/>
      <c r="DF121" s="89">
        <v>89</v>
      </c>
      <c r="DG121" s="2">
        <v>33</v>
      </c>
      <c r="DH121" s="2">
        <v>0</v>
      </c>
      <c r="DI121" s="2">
        <v>2E-3</v>
      </c>
      <c r="DJ121" s="42" t="s">
        <v>1349</v>
      </c>
      <c r="DK121" s="42">
        <v>125</v>
      </c>
      <c r="DL121" s="42">
        <v>52</v>
      </c>
      <c r="DM121" s="74"/>
      <c r="DR121" s="89">
        <v>83</v>
      </c>
      <c r="DS121" s="2">
        <v>31</v>
      </c>
      <c r="DT121" s="2">
        <v>0</v>
      </c>
      <c r="DU121" s="2">
        <v>4.0000000000000001E-3</v>
      </c>
      <c r="DV121" s="42" t="s">
        <v>1349</v>
      </c>
      <c r="DW121" s="42">
        <v>125</v>
      </c>
      <c r="DX121" s="42">
        <v>52</v>
      </c>
      <c r="DY121" s="74"/>
      <c r="ED121" s="89">
        <v>78</v>
      </c>
      <c r="EE121" s="2">
        <v>33</v>
      </c>
      <c r="EF121" s="2">
        <v>0</v>
      </c>
      <c r="EG121" s="2">
        <v>0.1260252</v>
      </c>
      <c r="EH121" s="42" t="s">
        <v>1349</v>
      </c>
      <c r="EI121" s="42">
        <v>125</v>
      </c>
      <c r="EJ121" s="42">
        <v>52</v>
      </c>
      <c r="EK121" s="74"/>
      <c r="ES121">
        <v>78</v>
      </c>
      <c r="ET121">
        <v>33</v>
      </c>
      <c r="EU121">
        <v>0</v>
      </c>
      <c r="EV121">
        <v>0.1260252</v>
      </c>
    </row>
    <row r="122" spans="1:152" x14ac:dyDescent="0.4">
      <c r="A122" s="89"/>
      <c r="B122" s="2"/>
      <c r="C122" s="2"/>
      <c r="D122" s="2"/>
      <c r="E122" s="42" t="s">
        <v>1349</v>
      </c>
      <c r="F122" s="42">
        <v>126</v>
      </c>
      <c r="G122" s="42">
        <v>52</v>
      </c>
      <c r="H122" s="74"/>
      <c r="N122" s="89">
        <v>71</v>
      </c>
      <c r="O122" s="2">
        <v>32</v>
      </c>
      <c r="P122" s="2">
        <v>1</v>
      </c>
      <c r="Q122" s="2">
        <v>1.0999999999999999E-2</v>
      </c>
      <c r="R122" s="42" t="s">
        <v>1349</v>
      </c>
      <c r="S122" s="42">
        <v>126</v>
      </c>
      <c r="T122" s="42">
        <v>52</v>
      </c>
      <c r="U122" s="74"/>
      <c r="Z122" s="89">
        <v>75</v>
      </c>
      <c r="AA122" s="2">
        <v>32</v>
      </c>
      <c r="AB122" s="2">
        <v>1</v>
      </c>
      <c r="AC122" s="2">
        <v>0.2195908</v>
      </c>
      <c r="AD122" s="42" t="s">
        <v>1349</v>
      </c>
      <c r="AE122" s="42">
        <v>126</v>
      </c>
      <c r="AF122" s="42">
        <v>52</v>
      </c>
      <c r="AG122" s="74"/>
      <c r="AL122" s="89">
        <v>77</v>
      </c>
      <c r="AM122" s="2">
        <v>32</v>
      </c>
      <c r="AN122" s="2">
        <v>1</v>
      </c>
      <c r="AO122" s="2">
        <v>0.13014790000000001</v>
      </c>
      <c r="AP122" s="42" t="s">
        <v>1349</v>
      </c>
      <c r="AQ122" s="42">
        <v>126</v>
      </c>
      <c r="AR122" s="42">
        <v>52</v>
      </c>
      <c r="AS122" s="74"/>
      <c r="AX122" s="89">
        <v>82</v>
      </c>
      <c r="AY122" s="2">
        <v>33</v>
      </c>
      <c r="AZ122" s="2">
        <v>1</v>
      </c>
      <c r="BA122" s="2">
        <v>0.1128572</v>
      </c>
      <c r="BB122" s="42" t="s">
        <v>1349</v>
      </c>
      <c r="BC122" s="42">
        <v>126</v>
      </c>
      <c r="BD122" s="42">
        <v>52</v>
      </c>
      <c r="BE122" s="74"/>
      <c r="BJ122" s="89">
        <v>80</v>
      </c>
      <c r="BK122" s="2">
        <v>33</v>
      </c>
      <c r="BL122" s="2">
        <v>0</v>
      </c>
      <c r="BM122" s="2">
        <v>0.215476</v>
      </c>
      <c r="BN122" s="42" t="s">
        <v>1349</v>
      </c>
      <c r="BO122" s="42">
        <v>126</v>
      </c>
      <c r="BP122" s="42">
        <v>52</v>
      </c>
      <c r="BQ122" s="74"/>
      <c r="BV122" s="89">
        <v>84</v>
      </c>
      <c r="BW122" s="2">
        <v>33</v>
      </c>
      <c r="BX122" s="2">
        <v>0</v>
      </c>
      <c r="BY122" s="2">
        <v>7.3128360000000003E-2</v>
      </c>
      <c r="BZ122" s="42" t="s">
        <v>1349</v>
      </c>
      <c r="CA122" s="42">
        <v>126</v>
      </c>
      <c r="CB122" s="42">
        <v>52</v>
      </c>
      <c r="CC122" s="74"/>
      <c r="CH122" s="89">
        <v>80</v>
      </c>
      <c r="CI122" s="2">
        <v>33</v>
      </c>
      <c r="CJ122" s="2">
        <v>0</v>
      </c>
      <c r="CK122" s="2">
        <v>0.173119</v>
      </c>
      <c r="CL122" s="42" t="s">
        <v>1349</v>
      </c>
      <c r="CM122" s="42">
        <v>126</v>
      </c>
      <c r="CN122" s="42">
        <v>52</v>
      </c>
      <c r="CO122" s="74"/>
      <c r="CT122" s="89">
        <v>75</v>
      </c>
      <c r="CU122" s="2">
        <v>33</v>
      </c>
      <c r="CV122" s="2">
        <v>0</v>
      </c>
      <c r="CW122" s="2">
        <v>6.4924999999999997E-2</v>
      </c>
      <c r="CX122" s="42" t="s">
        <v>1349</v>
      </c>
      <c r="CY122" s="42">
        <v>126</v>
      </c>
      <c r="CZ122" s="42">
        <v>52</v>
      </c>
      <c r="DA122" s="74"/>
      <c r="DF122" s="89">
        <v>90</v>
      </c>
      <c r="DG122" s="2">
        <v>33</v>
      </c>
      <c r="DH122" s="2">
        <v>0</v>
      </c>
      <c r="DI122" s="2">
        <v>1E-3</v>
      </c>
      <c r="DJ122" s="42" t="s">
        <v>1349</v>
      </c>
      <c r="DK122" s="42">
        <v>126</v>
      </c>
      <c r="DL122" s="42">
        <v>52</v>
      </c>
      <c r="DM122" s="74"/>
      <c r="DR122" s="89">
        <v>84</v>
      </c>
      <c r="DS122" s="2">
        <v>31</v>
      </c>
      <c r="DT122" s="2">
        <v>0</v>
      </c>
      <c r="DU122" s="2">
        <v>1E-3</v>
      </c>
      <c r="DV122" s="42" t="s">
        <v>1349</v>
      </c>
      <c r="DW122" s="42">
        <v>126</v>
      </c>
      <c r="DX122" s="42">
        <v>52</v>
      </c>
      <c r="DY122" s="74"/>
      <c r="ED122" s="89">
        <v>79</v>
      </c>
      <c r="EE122" s="2">
        <v>33</v>
      </c>
      <c r="EF122" s="2">
        <v>0</v>
      </c>
      <c r="EG122" s="2">
        <v>0.1549748</v>
      </c>
      <c r="EH122" s="42" t="s">
        <v>1349</v>
      </c>
      <c r="EI122" s="42">
        <v>126</v>
      </c>
      <c r="EJ122" s="42">
        <v>52</v>
      </c>
      <c r="EK122" s="74"/>
      <c r="ES122">
        <v>79</v>
      </c>
      <c r="ET122">
        <v>33</v>
      </c>
      <c r="EU122">
        <v>0</v>
      </c>
      <c r="EV122">
        <v>0.1549748</v>
      </c>
    </row>
    <row r="123" spans="1:152" x14ac:dyDescent="0.4">
      <c r="A123" s="89"/>
      <c r="B123" s="2"/>
      <c r="C123" s="2"/>
      <c r="D123" s="2"/>
      <c r="E123" s="42" t="s">
        <v>1349</v>
      </c>
      <c r="F123" s="42">
        <v>128</v>
      </c>
      <c r="G123" s="42">
        <v>52</v>
      </c>
      <c r="H123" s="74"/>
      <c r="N123" s="89">
        <v>72</v>
      </c>
      <c r="O123" s="2">
        <v>32</v>
      </c>
      <c r="P123" s="2">
        <v>0</v>
      </c>
      <c r="Q123" s="2">
        <v>0.75700000000000001</v>
      </c>
      <c r="R123" s="42" t="s">
        <v>1349</v>
      </c>
      <c r="S123" s="42">
        <v>128</v>
      </c>
      <c r="T123" s="42">
        <v>52</v>
      </c>
      <c r="U123" s="74"/>
      <c r="Z123" s="89">
        <v>76</v>
      </c>
      <c r="AA123" s="2">
        <v>32</v>
      </c>
      <c r="AB123" s="2">
        <v>0</v>
      </c>
      <c r="AC123" s="2">
        <v>0.70377500000000004</v>
      </c>
      <c r="AD123" s="42" t="s">
        <v>1349</v>
      </c>
      <c r="AE123" s="42">
        <v>128</v>
      </c>
      <c r="AF123" s="42">
        <v>52</v>
      </c>
      <c r="AG123" s="74"/>
      <c r="AL123" s="89">
        <v>78</v>
      </c>
      <c r="AM123" s="2">
        <v>32</v>
      </c>
      <c r="AN123" s="2">
        <v>0</v>
      </c>
      <c r="AO123" s="2">
        <v>0.38401259999999998</v>
      </c>
      <c r="AP123" s="42" t="s">
        <v>1349</v>
      </c>
      <c r="AQ123" s="42">
        <v>128</v>
      </c>
      <c r="AR123" s="42">
        <v>52</v>
      </c>
      <c r="AS123" s="74"/>
      <c r="AX123" s="89">
        <v>83</v>
      </c>
      <c r="AY123" s="2">
        <v>33</v>
      </c>
      <c r="AZ123" s="2">
        <v>0</v>
      </c>
      <c r="BA123" s="2">
        <v>0.34764800000000001</v>
      </c>
      <c r="BB123" s="42" t="s">
        <v>1349</v>
      </c>
      <c r="BC123" s="42">
        <v>128</v>
      </c>
      <c r="BD123" s="42">
        <v>52</v>
      </c>
      <c r="BE123" s="74"/>
      <c r="BJ123" s="89">
        <v>81</v>
      </c>
      <c r="BK123" s="2">
        <v>33</v>
      </c>
      <c r="BL123" s="2">
        <v>0</v>
      </c>
      <c r="BM123" s="2">
        <v>0.205737</v>
      </c>
      <c r="BN123" s="42" t="s">
        <v>1349</v>
      </c>
      <c r="BO123" s="42">
        <v>128</v>
      </c>
      <c r="BP123" s="42">
        <v>52</v>
      </c>
      <c r="BQ123" s="74"/>
      <c r="BV123" s="89">
        <v>84</v>
      </c>
      <c r="BW123" s="2">
        <v>33</v>
      </c>
      <c r="BX123" s="2">
        <v>1</v>
      </c>
      <c r="BY123" s="2">
        <v>2.1855639999999999E-2</v>
      </c>
      <c r="BZ123" s="42" t="s">
        <v>1349</v>
      </c>
      <c r="CA123" s="42">
        <v>128</v>
      </c>
      <c r="CB123" s="42">
        <v>52</v>
      </c>
      <c r="CC123" s="74"/>
      <c r="CH123" s="89">
        <v>81</v>
      </c>
      <c r="CI123" s="2">
        <v>33</v>
      </c>
      <c r="CJ123" s="2">
        <v>0</v>
      </c>
      <c r="CK123" s="2">
        <v>0.15688099999999999</v>
      </c>
      <c r="CL123" s="42" t="s">
        <v>1349</v>
      </c>
      <c r="CM123" s="42">
        <v>128</v>
      </c>
      <c r="CN123" s="42">
        <v>52</v>
      </c>
      <c r="CO123" s="74"/>
      <c r="CT123" s="89">
        <v>75</v>
      </c>
      <c r="CU123" s="2">
        <v>33</v>
      </c>
      <c r="CV123" s="2">
        <v>1</v>
      </c>
      <c r="CW123" s="2">
        <v>2E-3</v>
      </c>
      <c r="CX123" s="42" t="s">
        <v>1349</v>
      </c>
      <c r="CY123" s="42">
        <v>128</v>
      </c>
      <c r="CZ123" s="42">
        <v>52</v>
      </c>
      <c r="DA123" s="74"/>
      <c r="DF123" s="89">
        <v>77</v>
      </c>
      <c r="DG123" s="2">
        <v>34</v>
      </c>
      <c r="DH123" s="2">
        <v>0</v>
      </c>
      <c r="DI123" s="2">
        <v>0.1</v>
      </c>
      <c r="DJ123" s="42" t="s">
        <v>1349</v>
      </c>
      <c r="DK123" s="42">
        <v>128</v>
      </c>
      <c r="DL123" s="42">
        <v>52</v>
      </c>
      <c r="DM123" s="74"/>
      <c r="DR123" s="89">
        <v>70</v>
      </c>
      <c r="DS123" s="2">
        <v>32</v>
      </c>
      <c r="DT123" s="2">
        <v>0</v>
      </c>
      <c r="DU123" s="2">
        <v>3.9836000000000003E-3</v>
      </c>
      <c r="DV123" s="42" t="s">
        <v>1349</v>
      </c>
      <c r="DW123" s="42">
        <v>128</v>
      </c>
      <c r="DX123" s="42">
        <v>52</v>
      </c>
      <c r="DY123" s="74"/>
      <c r="ED123" s="89">
        <v>80</v>
      </c>
      <c r="EE123" s="2">
        <v>33</v>
      </c>
      <c r="EF123" s="2">
        <v>0</v>
      </c>
      <c r="EG123" s="2">
        <v>0.20247599999999999</v>
      </c>
      <c r="EH123" s="42" t="s">
        <v>1349</v>
      </c>
      <c r="EI123" s="42">
        <v>128</v>
      </c>
      <c r="EJ123" s="42">
        <v>52</v>
      </c>
      <c r="EK123" s="74"/>
      <c r="ES123">
        <v>80</v>
      </c>
      <c r="ET123">
        <v>33</v>
      </c>
      <c r="EU123">
        <v>0</v>
      </c>
      <c r="EV123">
        <v>0.20247599999999999</v>
      </c>
    </row>
    <row r="124" spans="1:152" x14ac:dyDescent="0.4">
      <c r="A124" s="89"/>
      <c r="B124" s="2"/>
      <c r="C124" s="2"/>
      <c r="D124" s="2"/>
      <c r="E124" s="42" t="s">
        <v>1349</v>
      </c>
      <c r="F124" s="42">
        <v>130</v>
      </c>
      <c r="G124" s="42">
        <v>52</v>
      </c>
      <c r="H124" s="74"/>
      <c r="N124" s="89">
        <v>73</v>
      </c>
      <c r="O124" s="2">
        <v>32</v>
      </c>
      <c r="P124" s="2">
        <v>0</v>
      </c>
      <c r="Q124" s="2">
        <v>0.81800010000000001</v>
      </c>
      <c r="R124" s="42" t="s">
        <v>1349</v>
      </c>
      <c r="S124" s="42">
        <v>130</v>
      </c>
      <c r="T124" s="42">
        <v>52</v>
      </c>
      <c r="U124" s="74"/>
      <c r="Z124" s="89">
        <v>77</v>
      </c>
      <c r="AA124" s="2">
        <v>32</v>
      </c>
      <c r="AB124" s="2">
        <v>0</v>
      </c>
      <c r="AC124" s="2">
        <v>0.4582986</v>
      </c>
      <c r="AD124" s="42" t="s">
        <v>1349</v>
      </c>
      <c r="AE124" s="42">
        <v>130</v>
      </c>
      <c r="AF124" s="42">
        <v>52</v>
      </c>
      <c r="AG124" s="74"/>
      <c r="AL124" s="89">
        <v>79</v>
      </c>
      <c r="AM124" s="2">
        <v>32</v>
      </c>
      <c r="AN124" s="2">
        <v>0</v>
      </c>
      <c r="AO124" s="2">
        <v>3.3167240000000001E-2</v>
      </c>
      <c r="AP124" s="42" t="s">
        <v>1349</v>
      </c>
      <c r="AQ124" s="42">
        <v>130</v>
      </c>
      <c r="AR124" s="42">
        <v>52</v>
      </c>
      <c r="AS124" s="74"/>
      <c r="AX124" s="89">
        <v>84</v>
      </c>
      <c r="AY124" s="2">
        <v>33</v>
      </c>
      <c r="AZ124" s="2">
        <v>0</v>
      </c>
      <c r="BA124" s="2">
        <v>0.118746</v>
      </c>
      <c r="BB124" s="42" t="s">
        <v>1349</v>
      </c>
      <c r="BC124" s="42">
        <v>130</v>
      </c>
      <c r="BD124" s="42">
        <v>52</v>
      </c>
      <c r="BE124" s="74"/>
      <c r="BJ124" s="89">
        <v>82</v>
      </c>
      <c r="BK124" s="2">
        <v>33</v>
      </c>
      <c r="BL124" s="2">
        <v>0</v>
      </c>
      <c r="BM124" s="2">
        <v>0.1276912</v>
      </c>
      <c r="BN124" s="42" t="s">
        <v>1349</v>
      </c>
      <c r="BO124" s="42">
        <v>130</v>
      </c>
      <c r="BP124" s="42">
        <v>52</v>
      </c>
      <c r="BQ124" s="74"/>
      <c r="BV124" s="89">
        <v>85</v>
      </c>
      <c r="BW124" s="2">
        <v>33</v>
      </c>
      <c r="BX124" s="2">
        <v>0</v>
      </c>
      <c r="BY124" s="2">
        <v>4.972E-2</v>
      </c>
      <c r="BZ124" s="42" t="s">
        <v>1349</v>
      </c>
      <c r="CA124" s="42">
        <v>130</v>
      </c>
      <c r="CB124" s="42">
        <v>52</v>
      </c>
      <c r="CC124" s="74"/>
      <c r="CH124" s="89">
        <v>82</v>
      </c>
      <c r="CI124" s="2">
        <v>33</v>
      </c>
      <c r="CJ124" s="2">
        <v>0</v>
      </c>
      <c r="CK124" s="2">
        <v>5.0021509999999998E-2</v>
      </c>
      <c r="CL124" s="42" t="s">
        <v>1349</v>
      </c>
      <c r="CM124" s="42">
        <v>130</v>
      </c>
      <c r="CN124" s="42">
        <v>52</v>
      </c>
      <c r="CO124" s="74"/>
      <c r="CT124" s="89">
        <v>76</v>
      </c>
      <c r="CU124" s="2">
        <v>33</v>
      </c>
      <c r="CV124" s="2">
        <v>0</v>
      </c>
      <c r="CW124" s="2">
        <v>5.0000000000000001E-3</v>
      </c>
      <c r="CX124" s="42" t="s">
        <v>1349</v>
      </c>
      <c r="CY124" s="42">
        <v>130</v>
      </c>
      <c r="CZ124" s="42">
        <v>52</v>
      </c>
      <c r="DA124" s="74"/>
      <c r="DF124" s="89">
        <v>78</v>
      </c>
      <c r="DG124" s="2">
        <v>34</v>
      </c>
      <c r="DH124" s="2">
        <v>0</v>
      </c>
      <c r="DI124" s="2">
        <v>0.16980390000000001</v>
      </c>
      <c r="DJ124" s="42" t="s">
        <v>1349</v>
      </c>
      <c r="DK124" s="42">
        <v>130</v>
      </c>
      <c r="DL124" s="42">
        <v>52</v>
      </c>
      <c r="DM124" s="74"/>
      <c r="DR124" s="89">
        <v>72</v>
      </c>
      <c r="DS124" s="2">
        <v>32</v>
      </c>
      <c r="DT124" s="2">
        <v>0</v>
      </c>
      <c r="DU124" s="2">
        <v>0.54600009999999999</v>
      </c>
      <c r="DV124" s="42" t="s">
        <v>1349</v>
      </c>
      <c r="DW124" s="42">
        <v>130</v>
      </c>
      <c r="DX124" s="42">
        <v>52</v>
      </c>
      <c r="DY124" s="74"/>
      <c r="ED124" s="89">
        <v>81</v>
      </c>
      <c r="EE124" s="2">
        <v>33</v>
      </c>
      <c r="EF124" s="2">
        <v>0</v>
      </c>
      <c r="EG124" s="2">
        <v>0.17152400000000001</v>
      </c>
      <c r="EH124" s="42" t="s">
        <v>1349</v>
      </c>
      <c r="EI124" s="42">
        <v>130</v>
      </c>
      <c r="EJ124" s="42">
        <v>52</v>
      </c>
      <c r="EK124" s="74"/>
      <c r="ES124">
        <v>81</v>
      </c>
      <c r="ET124">
        <v>33</v>
      </c>
      <c r="EU124">
        <v>0</v>
      </c>
      <c r="EV124">
        <v>0.17152400000000001</v>
      </c>
    </row>
    <row r="125" spans="1:152" x14ac:dyDescent="0.4">
      <c r="A125" s="89"/>
      <c r="B125" s="2"/>
      <c r="C125" s="2"/>
      <c r="D125" s="2"/>
      <c r="E125" s="43" t="s">
        <v>1348</v>
      </c>
      <c r="F125" s="43">
        <v>127</v>
      </c>
      <c r="G125" s="43">
        <v>53</v>
      </c>
      <c r="H125" s="74">
        <f>SUM(SUMIFS(D$14:D$1004,B$14:B$1004,G125,A$14:A$1004,F125,C$14:C$1004,0))</f>
        <v>0</v>
      </c>
      <c r="N125" s="89">
        <v>73</v>
      </c>
      <c r="O125" s="2">
        <v>32</v>
      </c>
      <c r="P125" s="2">
        <v>1</v>
      </c>
      <c r="Q125" s="2">
        <v>0.69962190000000002</v>
      </c>
      <c r="R125" s="43" t="s">
        <v>1348</v>
      </c>
      <c r="S125" s="43">
        <v>127</v>
      </c>
      <c r="T125" s="43">
        <v>53</v>
      </c>
      <c r="U125" s="74">
        <f>SUM(SUMIFS(Q$14:Q$1004,O$14:O$1004,T125,N$14:N$1004,S125,P$14:P$1004,0))</f>
        <v>0.40200000000000002</v>
      </c>
      <c r="Z125" s="89">
        <v>77</v>
      </c>
      <c r="AA125" s="2">
        <v>32</v>
      </c>
      <c r="AB125" s="2">
        <v>1</v>
      </c>
      <c r="AC125" s="2">
        <v>0.17740919999999999</v>
      </c>
      <c r="AD125" s="43" t="s">
        <v>1348</v>
      </c>
      <c r="AE125" s="43">
        <v>127</v>
      </c>
      <c r="AF125" s="43">
        <v>53</v>
      </c>
      <c r="AG125" s="74">
        <f>SUM(SUMIFS(AC$14:AC$1004,AA$14:AA$1004,AF125,Z$14:Z$1004,AE125,AB$14:AB$1004,0))</f>
        <v>0.504</v>
      </c>
      <c r="AL125" s="89">
        <v>79</v>
      </c>
      <c r="AM125" s="2">
        <v>32</v>
      </c>
      <c r="AN125" s="2">
        <v>1</v>
      </c>
      <c r="AO125" s="2">
        <v>0.15502099999999999</v>
      </c>
      <c r="AP125" s="43" t="s">
        <v>1348</v>
      </c>
      <c r="AQ125" s="43">
        <v>127</v>
      </c>
      <c r="AR125" s="43">
        <v>53</v>
      </c>
      <c r="AS125" s="74">
        <f>SUM(SUMIFS(AO$14:AO$1004,AM$14:AM$1004,AR125,AL$14:AL$1004,AQ125,AN$14:AN$1004,0))</f>
        <v>0.63700000000000001</v>
      </c>
      <c r="AX125" s="89">
        <v>84</v>
      </c>
      <c r="AY125" s="2">
        <v>33</v>
      </c>
      <c r="AZ125" s="2">
        <v>1</v>
      </c>
      <c r="BA125" s="2">
        <v>3.7746000000000002E-2</v>
      </c>
      <c r="BB125" s="43" t="s">
        <v>1348</v>
      </c>
      <c r="BC125" s="43">
        <v>127</v>
      </c>
      <c r="BD125" s="43">
        <v>53</v>
      </c>
      <c r="BE125" s="74">
        <f>SUM(SUMIFS(BA$14:BA$1004,AY$14:AY$1004,BD125,AX$14:AX$1004,BC125,AZ$14:AZ$1004,0))</f>
        <v>2.4009469999999999</v>
      </c>
      <c r="BJ125" s="89">
        <v>82</v>
      </c>
      <c r="BK125" s="2">
        <v>33</v>
      </c>
      <c r="BL125" s="2">
        <v>1</v>
      </c>
      <c r="BM125" s="2">
        <v>5.2095809999999999E-2</v>
      </c>
      <c r="BN125" s="43" t="s">
        <v>1348</v>
      </c>
      <c r="BO125" s="43">
        <v>127</v>
      </c>
      <c r="BP125" s="43">
        <v>53</v>
      </c>
      <c r="BQ125" s="74">
        <f>SUM(SUMIFS(BM$14:BM$1004,BK$14:BK$1004,BP125,BJ$14:BJ$1004,BO125,BL$14:BL$1004,0))</f>
        <v>3.174966</v>
      </c>
      <c r="BV125" s="89">
        <v>86</v>
      </c>
      <c r="BW125" s="2">
        <v>33</v>
      </c>
      <c r="BX125" s="2">
        <v>0</v>
      </c>
      <c r="BY125" s="2">
        <v>1.7999999999999999E-2</v>
      </c>
      <c r="BZ125" s="43" t="s">
        <v>1348</v>
      </c>
      <c r="CA125" s="43">
        <v>127</v>
      </c>
      <c r="CB125" s="43">
        <v>53</v>
      </c>
      <c r="CC125" s="74">
        <f>SUM(SUMIFS(BY$14:BY$1004,BW$14:BW$1004,CB125,BV$14:BV$1004,CA125,BX$14:BX$1004,0))</f>
        <v>3.0318830000000001</v>
      </c>
      <c r="CH125" s="89">
        <v>82</v>
      </c>
      <c r="CI125" s="2">
        <v>33</v>
      </c>
      <c r="CJ125" s="2">
        <v>1</v>
      </c>
      <c r="CK125" s="2">
        <v>4.9978500000000002E-2</v>
      </c>
      <c r="CL125" s="43" t="s">
        <v>1348</v>
      </c>
      <c r="CM125" s="43">
        <v>127</v>
      </c>
      <c r="CN125" s="43">
        <v>53</v>
      </c>
      <c r="CO125" s="74">
        <f>SUM(SUMIFS(CK$14:CK$1004,CI$14:CI$1004,CN125,CH$14:CH$1004,CM125,CJ$14:CJ$1004,0))</f>
        <v>3.4649800000000002</v>
      </c>
      <c r="CT125" s="89">
        <v>77</v>
      </c>
      <c r="CU125" s="2">
        <v>33</v>
      </c>
      <c r="CV125" s="2">
        <v>0</v>
      </c>
      <c r="CW125" s="2">
        <v>0.10100000000000001</v>
      </c>
      <c r="CX125" s="43" t="s">
        <v>1348</v>
      </c>
      <c r="CY125" s="43">
        <v>127</v>
      </c>
      <c r="CZ125" s="43">
        <v>53</v>
      </c>
      <c r="DA125" s="74">
        <f>SUM(SUMIFS(CW$14:CW$1004,CU$14:CU$1004,CZ125,CT$14:CT$1004,CY125,CV$14:CV$1004,0))</f>
        <v>3.6959379999999999</v>
      </c>
      <c r="DF125" s="89">
        <v>79</v>
      </c>
      <c r="DG125" s="2">
        <v>34</v>
      </c>
      <c r="DH125" s="2">
        <v>0</v>
      </c>
      <c r="DI125" s="2">
        <v>0.24219560000000001</v>
      </c>
      <c r="DJ125" s="43" t="s">
        <v>1348</v>
      </c>
      <c r="DK125" s="43">
        <v>127</v>
      </c>
      <c r="DL125" s="43">
        <v>53</v>
      </c>
      <c r="DM125" s="74">
        <f>SUM(SUMIFS(DI$14:DI$1004,DG$14:DG$1004,DL125,DF$14:DF$1004,DK125,DH$14:DH$1004,0))</f>
        <v>2.5597159999999999</v>
      </c>
      <c r="DR125" s="89">
        <v>73</v>
      </c>
      <c r="DS125" s="2">
        <v>32</v>
      </c>
      <c r="DT125" s="2">
        <v>0</v>
      </c>
      <c r="DU125" s="2">
        <v>0.65500000000000003</v>
      </c>
      <c r="DV125" s="43" t="s">
        <v>1348</v>
      </c>
      <c r="DW125" s="43">
        <v>127</v>
      </c>
      <c r="DX125" s="43">
        <v>53</v>
      </c>
      <c r="DY125" s="74">
        <f>SUM(SUMIFS(DU$14:DU$1004,DS$14:DS$1004,DX125,DR$14:DR$1004,DW125,DT$14:DT$1004,0))</f>
        <v>0.72599999999999998</v>
      </c>
      <c r="ED125" s="89">
        <v>82</v>
      </c>
      <c r="EE125" s="2">
        <v>33</v>
      </c>
      <c r="EF125" s="2">
        <v>0</v>
      </c>
      <c r="EG125" s="2">
        <v>7.5245000000000006E-2</v>
      </c>
      <c r="EH125" s="43" t="s">
        <v>1348</v>
      </c>
      <c r="EI125" s="43">
        <v>127</v>
      </c>
      <c r="EJ125" s="43">
        <v>53</v>
      </c>
      <c r="EK125" s="74">
        <f>SUM(SUMIFS(EG$14:EG$1004,EE$14:EE$1004,EJ125,ED$14:ED$1004,EI125,EF$14:EF$1004,0))</f>
        <v>3.4129209999999999</v>
      </c>
      <c r="ES125">
        <v>82</v>
      </c>
      <c r="ET125">
        <v>33</v>
      </c>
      <c r="EU125">
        <v>0</v>
      </c>
      <c r="EV125">
        <v>7.5245000000000006E-2</v>
      </c>
    </row>
    <row r="126" spans="1:152" x14ac:dyDescent="0.4">
      <c r="A126" s="89"/>
      <c r="B126" s="2"/>
      <c r="C126" s="2"/>
      <c r="D126" s="2"/>
      <c r="E126" s="42" t="s">
        <v>1347</v>
      </c>
      <c r="F126" s="42">
        <v>124</v>
      </c>
      <c r="G126" s="42">
        <v>54</v>
      </c>
      <c r="H126" s="74" cm="1">
        <f t="array" ref="H126">SUM(SUMIFS(D$14:D$1004,B$14:B$1004,G126:G134,A$14:A$1004,F126:F134,C$14:C$1004,0))</f>
        <v>0</v>
      </c>
      <c r="N126" s="89">
        <v>74</v>
      </c>
      <c r="O126" s="2">
        <v>32</v>
      </c>
      <c r="P126" s="2">
        <v>0</v>
      </c>
      <c r="Q126" s="2">
        <v>0.91028509999999996</v>
      </c>
      <c r="R126" s="42" t="s">
        <v>1347</v>
      </c>
      <c r="S126" s="42">
        <v>124</v>
      </c>
      <c r="T126" s="42">
        <v>54</v>
      </c>
      <c r="U126" s="74" cm="1">
        <f t="array" ref="U126">SUM(SUMIFS(Q$14:Q$1004,O$14:O$1004,T126:T134,N$14:N$1004,S126:S134,P$14:P$1004,0))</f>
        <v>0.89733080999999992</v>
      </c>
      <c r="Z126" s="89">
        <v>78</v>
      </c>
      <c r="AA126" s="2">
        <v>32</v>
      </c>
      <c r="AB126" s="2">
        <v>0</v>
      </c>
      <c r="AC126" s="2">
        <v>0.53762010000000005</v>
      </c>
      <c r="AD126" s="42" t="s">
        <v>1347</v>
      </c>
      <c r="AE126" s="42">
        <v>124</v>
      </c>
      <c r="AF126" s="42">
        <v>54</v>
      </c>
      <c r="AG126" s="74" cm="1">
        <f t="array" ref="AG126">SUM(SUMIFS(AC$14:AC$1004,AA$14:AA$1004,AF126:AF134,Z$14:Z$1004,AE126:AE134,AB$14:AB$1004,0))</f>
        <v>1.2046354100000001</v>
      </c>
      <c r="AL126" s="89">
        <v>80</v>
      </c>
      <c r="AM126" s="2">
        <v>32</v>
      </c>
      <c r="AN126" s="2">
        <v>0</v>
      </c>
      <c r="AO126" s="2">
        <v>8.1238009999999999E-2</v>
      </c>
      <c r="AP126" s="42" t="s">
        <v>1347</v>
      </c>
      <c r="AQ126" s="42">
        <v>124</v>
      </c>
      <c r="AR126" s="42">
        <v>54</v>
      </c>
      <c r="AS126" s="74" cm="1">
        <f t="array" ref="AS126">SUM(SUMIFS(AO$14:AO$1004,AM$14:AM$1004,AR126:AR134,AL$14:AL$1004,AQ126:AQ134,AN$14:AN$1004,0))</f>
        <v>1.5671400999999998</v>
      </c>
      <c r="AX126" s="89">
        <v>85</v>
      </c>
      <c r="AY126" s="2">
        <v>33</v>
      </c>
      <c r="AZ126" s="2">
        <v>0</v>
      </c>
      <c r="BA126" s="2">
        <v>4.8860000000000001E-2</v>
      </c>
      <c r="BB126" s="42" t="s">
        <v>1347</v>
      </c>
      <c r="BC126" s="42">
        <v>124</v>
      </c>
      <c r="BD126" s="42">
        <v>54</v>
      </c>
      <c r="BE126" s="74" cm="1">
        <f t="array" ref="BE126">SUM(SUMIFS(BA$14:BA$1004,AY$14:AY$1004,BD126:BD134,AX$14:AX$1004,BC126:BC134,AZ$14:AZ$1004,0))</f>
        <v>10.956935</v>
      </c>
      <c r="BJ126" s="89">
        <v>83</v>
      </c>
      <c r="BK126" s="2">
        <v>33</v>
      </c>
      <c r="BL126" s="2">
        <v>0</v>
      </c>
      <c r="BM126" s="2">
        <v>0.14232400000000001</v>
      </c>
      <c r="BN126" s="42" t="s">
        <v>1347</v>
      </c>
      <c r="BO126" s="42">
        <v>124</v>
      </c>
      <c r="BP126" s="42">
        <v>54</v>
      </c>
      <c r="BQ126" s="74" cm="1">
        <f t="array" ref="BQ126">SUM(SUMIFS(BM$14:BM$1004,BK$14:BK$1004,BP126:BP134,BJ$14:BJ$1004,BO126:BO134,BL$14:BL$1004,0))</f>
        <v>11.7461611</v>
      </c>
      <c r="BV126" s="89">
        <v>87</v>
      </c>
      <c r="BW126" s="2">
        <v>33</v>
      </c>
      <c r="BX126" s="2">
        <v>0</v>
      </c>
      <c r="BY126" s="2">
        <v>7.0000000000000001E-3</v>
      </c>
      <c r="BZ126" s="42" t="s">
        <v>1347</v>
      </c>
      <c r="CA126" s="42">
        <v>124</v>
      </c>
      <c r="CB126" s="42">
        <v>54</v>
      </c>
      <c r="CC126" s="74" cm="1">
        <f t="array" ref="CC126">SUM(SUMIFS(BY$14:BY$1004,BW$14:BW$1004,CB126:CB134,BV$14:BV$1004,CA126:CA134,BX$14:BX$1004,0))</f>
        <v>13.915451101</v>
      </c>
      <c r="CH126" s="89">
        <v>83</v>
      </c>
      <c r="CI126" s="2">
        <v>33</v>
      </c>
      <c r="CJ126" s="2">
        <v>0</v>
      </c>
      <c r="CK126" s="2">
        <v>6.8108000000000002E-2</v>
      </c>
      <c r="CL126" s="42" t="s">
        <v>1347</v>
      </c>
      <c r="CM126" s="42">
        <v>124</v>
      </c>
      <c r="CN126" s="42">
        <v>54</v>
      </c>
      <c r="CO126" s="74" cm="1">
        <f t="array" ref="CO126">SUM(SUMIFS(CK$14:CK$1004,CI$14:CI$1004,CN126:CN134,CH$14:CH$1004,CM126:CM134,CJ$14:CJ$1004,0))</f>
        <v>13.766421000000003</v>
      </c>
      <c r="CT126" s="89">
        <v>78</v>
      </c>
      <c r="CU126" s="2">
        <v>33</v>
      </c>
      <c r="CV126" s="2">
        <v>0</v>
      </c>
      <c r="CW126" s="2">
        <v>0.1200534</v>
      </c>
      <c r="CX126" s="42" t="s">
        <v>1347</v>
      </c>
      <c r="CY126" s="42">
        <v>124</v>
      </c>
      <c r="CZ126" s="42">
        <v>54</v>
      </c>
      <c r="DA126" s="74" cm="1">
        <f t="array" ref="DA126">SUM(SUMIFS(CW$14:CW$1004,CU$14:CU$1004,CZ126:CZ134,CT$14:CT$1004,CY126:CY134,CV$14:CV$1004,0))</f>
        <v>15.059134909999999</v>
      </c>
      <c r="DF126" s="89">
        <v>79</v>
      </c>
      <c r="DG126" s="2">
        <v>34</v>
      </c>
      <c r="DH126" s="2">
        <v>1</v>
      </c>
      <c r="DI126" s="2">
        <v>8.0000000000000004E-4</v>
      </c>
      <c r="DJ126" s="42" t="s">
        <v>1347</v>
      </c>
      <c r="DK126" s="42">
        <v>124</v>
      </c>
      <c r="DL126" s="42">
        <v>54</v>
      </c>
      <c r="DM126" s="74" cm="1">
        <f t="array" ref="DM126">SUM(SUMIFS(DI$14:DI$1004,DG$14:DG$1004,DL126:DL134,DF$14:DF$1004,DK126:DK134,DH$14:DH$1004,0))</f>
        <v>17.134037999999997</v>
      </c>
      <c r="DR126" s="89">
        <v>73</v>
      </c>
      <c r="DS126" s="2">
        <v>32</v>
      </c>
      <c r="DT126" s="2">
        <v>1</v>
      </c>
      <c r="DU126" s="2">
        <v>0.61879779999999995</v>
      </c>
      <c r="DV126" s="42" t="s">
        <v>1347</v>
      </c>
      <c r="DW126" s="42">
        <v>124</v>
      </c>
      <c r="DX126" s="42">
        <v>54</v>
      </c>
      <c r="DY126" s="74" cm="1">
        <f t="array" ref="DY126">SUM(SUMIFS(DU$14:DU$1004,DS$14:DS$1004,DX126:DX134,DR$14:DR$1004,DW126:DW134,DT$14:DT$1004,0))</f>
        <v>1.328488101</v>
      </c>
      <c r="ED126" s="89">
        <v>82</v>
      </c>
      <c r="EE126" s="2">
        <v>33</v>
      </c>
      <c r="EF126" s="2">
        <v>1</v>
      </c>
      <c r="EG126" s="2">
        <v>6.4125000000000001E-2</v>
      </c>
      <c r="EH126" s="42" t="s">
        <v>1347</v>
      </c>
      <c r="EI126" s="42">
        <v>124</v>
      </c>
      <c r="EJ126" s="42">
        <v>54</v>
      </c>
      <c r="EK126" s="74" cm="1">
        <f t="array" ref="EK126">SUM(SUMIFS(EG$14:EG$1004,EE$14:EE$1004,EJ126:EJ134,ED$14:ED$1004,EI126:EI134,EF$14:EF$1004,0))</f>
        <v>13.575723</v>
      </c>
      <c r="ES126">
        <v>82</v>
      </c>
      <c r="ET126">
        <v>33</v>
      </c>
      <c r="EU126">
        <v>1</v>
      </c>
      <c r="EV126">
        <v>6.4125000000000001E-2</v>
      </c>
    </row>
    <row r="127" spans="1:152" x14ac:dyDescent="0.4">
      <c r="A127" s="89"/>
      <c r="B127" s="2"/>
      <c r="C127" s="2"/>
      <c r="D127" s="2"/>
      <c r="E127" s="42" t="s">
        <v>1347</v>
      </c>
      <c r="F127" s="42">
        <v>126</v>
      </c>
      <c r="G127" s="42">
        <v>54</v>
      </c>
      <c r="H127" s="74"/>
      <c r="N127" s="89">
        <v>75</v>
      </c>
      <c r="O127" s="2">
        <v>32</v>
      </c>
      <c r="P127" s="2">
        <v>0</v>
      </c>
      <c r="Q127" s="2">
        <v>1.001576</v>
      </c>
      <c r="R127" s="42" t="s">
        <v>1347</v>
      </c>
      <c r="S127" s="42">
        <v>126</v>
      </c>
      <c r="T127" s="42">
        <v>54</v>
      </c>
      <c r="U127" s="74"/>
      <c r="Z127" s="89">
        <v>79</v>
      </c>
      <c r="AA127" s="2">
        <v>32</v>
      </c>
      <c r="AB127" s="2">
        <v>0</v>
      </c>
      <c r="AC127" s="2">
        <v>8.3238889999999996E-2</v>
      </c>
      <c r="AD127" s="42" t="s">
        <v>1347</v>
      </c>
      <c r="AE127" s="42">
        <v>126</v>
      </c>
      <c r="AF127" s="42">
        <v>54</v>
      </c>
      <c r="AG127" s="74"/>
      <c r="AL127" s="89">
        <v>81</v>
      </c>
      <c r="AM127" s="2">
        <v>32</v>
      </c>
      <c r="AN127" s="2">
        <v>0</v>
      </c>
      <c r="AO127" s="2">
        <v>4.0143600000000002E-2</v>
      </c>
      <c r="AP127" s="42" t="s">
        <v>1347</v>
      </c>
      <c r="AQ127" s="42">
        <v>126</v>
      </c>
      <c r="AR127" s="42">
        <v>54</v>
      </c>
      <c r="AS127" s="74"/>
      <c r="AX127" s="89">
        <v>86</v>
      </c>
      <c r="AY127" s="2">
        <v>33</v>
      </c>
      <c r="AZ127" s="2">
        <v>0</v>
      </c>
      <c r="BA127" s="2">
        <v>2.1000000000000001E-2</v>
      </c>
      <c r="BB127" s="42" t="s">
        <v>1347</v>
      </c>
      <c r="BC127" s="42">
        <v>126</v>
      </c>
      <c r="BD127" s="42">
        <v>54</v>
      </c>
      <c r="BE127" s="74"/>
      <c r="BJ127" s="89">
        <v>84</v>
      </c>
      <c r="BK127" s="2">
        <v>33</v>
      </c>
      <c r="BL127" s="2">
        <v>0</v>
      </c>
      <c r="BM127" s="2">
        <v>5.2879700000000002E-2</v>
      </c>
      <c r="BN127" s="42" t="s">
        <v>1347</v>
      </c>
      <c r="BO127" s="42">
        <v>126</v>
      </c>
      <c r="BP127" s="42">
        <v>54</v>
      </c>
      <c r="BQ127" s="74"/>
      <c r="BV127" s="89">
        <v>88</v>
      </c>
      <c r="BW127" s="2">
        <v>33</v>
      </c>
      <c r="BX127" s="2">
        <v>0</v>
      </c>
      <c r="BY127" s="2">
        <v>3.0000000000000001E-3</v>
      </c>
      <c r="BZ127" s="42" t="s">
        <v>1347</v>
      </c>
      <c r="CA127" s="42">
        <v>126</v>
      </c>
      <c r="CB127" s="42">
        <v>54</v>
      </c>
      <c r="CC127" s="74"/>
      <c r="CH127" s="89">
        <v>84</v>
      </c>
      <c r="CI127" s="2">
        <v>33</v>
      </c>
      <c r="CJ127" s="2">
        <v>0</v>
      </c>
      <c r="CK127" s="2">
        <v>2.365886E-2</v>
      </c>
      <c r="CL127" s="42" t="s">
        <v>1347</v>
      </c>
      <c r="CM127" s="42">
        <v>126</v>
      </c>
      <c r="CN127" s="42">
        <v>54</v>
      </c>
      <c r="CO127" s="74"/>
      <c r="CT127" s="89">
        <v>79</v>
      </c>
      <c r="CU127" s="2">
        <v>33</v>
      </c>
      <c r="CV127" s="2">
        <v>0</v>
      </c>
      <c r="CW127" s="2">
        <v>0.1389466</v>
      </c>
      <c r="CX127" s="42" t="s">
        <v>1347</v>
      </c>
      <c r="CY127" s="42">
        <v>126</v>
      </c>
      <c r="CZ127" s="42">
        <v>54</v>
      </c>
      <c r="DA127" s="74"/>
      <c r="DF127" s="89">
        <v>80</v>
      </c>
      <c r="DG127" s="2">
        <v>34</v>
      </c>
      <c r="DH127" s="2">
        <v>0</v>
      </c>
      <c r="DI127" s="2">
        <v>0.34551710000000002</v>
      </c>
      <c r="DJ127" s="42" t="s">
        <v>1347</v>
      </c>
      <c r="DK127" s="42">
        <v>126</v>
      </c>
      <c r="DL127" s="42">
        <v>54</v>
      </c>
      <c r="DM127" s="74"/>
      <c r="DR127" s="89">
        <v>74</v>
      </c>
      <c r="DS127" s="2">
        <v>32</v>
      </c>
      <c r="DT127" s="2">
        <v>0</v>
      </c>
      <c r="DU127" s="2">
        <v>0.76918549999999997</v>
      </c>
      <c r="DV127" s="42" t="s">
        <v>1347</v>
      </c>
      <c r="DW127" s="42">
        <v>126</v>
      </c>
      <c r="DX127" s="42">
        <v>54</v>
      </c>
      <c r="DY127" s="74"/>
      <c r="ED127" s="89">
        <v>83</v>
      </c>
      <c r="EE127" s="2">
        <v>33</v>
      </c>
      <c r="EF127" s="2">
        <v>0</v>
      </c>
      <c r="EG127" s="2">
        <v>0.11206199999999999</v>
      </c>
      <c r="EH127" s="42" t="s">
        <v>1347</v>
      </c>
      <c r="EI127" s="42">
        <v>126</v>
      </c>
      <c r="EJ127" s="42">
        <v>54</v>
      </c>
      <c r="EK127" s="74"/>
      <c r="ES127">
        <v>83</v>
      </c>
      <c r="ET127">
        <v>33</v>
      </c>
      <c r="EU127">
        <v>0</v>
      </c>
      <c r="EV127">
        <v>0.11206199999999999</v>
      </c>
    </row>
    <row r="128" spans="1:152" x14ac:dyDescent="0.4">
      <c r="A128" s="89"/>
      <c r="B128" s="2"/>
      <c r="C128" s="2"/>
      <c r="D128" s="2"/>
      <c r="E128" s="42" t="s">
        <v>1347</v>
      </c>
      <c r="F128" s="42">
        <v>128</v>
      </c>
      <c r="G128" s="42">
        <v>54</v>
      </c>
      <c r="H128" s="74"/>
      <c r="N128" s="89">
        <v>75</v>
      </c>
      <c r="O128" s="2">
        <v>32</v>
      </c>
      <c r="P128" s="2">
        <v>1</v>
      </c>
      <c r="Q128" s="2">
        <v>0.42874830000000003</v>
      </c>
      <c r="R128" s="42" t="s">
        <v>1347</v>
      </c>
      <c r="S128" s="42">
        <v>128</v>
      </c>
      <c r="T128" s="42">
        <v>54</v>
      </c>
      <c r="U128" s="74"/>
      <c r="Z128" s="89">
        <v>79</v>
      </c>
      <c r="AA128" s="2">
        <v>32</v>
      </c>
      <c r="AB128" s="2">
        <v>1</v>
      </c>
      <c r="AC128" s="2">
        <v>0.27306370000000002</v>
      </c>
      <c r="AD128" s="42" t="s">
        <v>1347</v>
      </c>
      <c r="AE128" s="42">
        <v>128</v>
      </c>
      <c r="AF128" s="42">
        <v>54</v>
      </c>
      <c r="AG128" s="74"/>
      <c r="AL128" s="89">
        <v>81</v>
      </c>
      <c r="AM128" s="2">
        <v>32</v>
      </c>
      <c r="AN128" s="2">
        <v>1</v>
      </c>
      <c r="AO128" s="2">
        <v>1.0444E-3</v>
      </c>
      <c r="AP128" s="42" t="s">
        <v>1347</v>
      </c>
      <c r="AQ128" s="42">
        <v>128</v>
      </c>
      <c r="AR128" s="42">
        <v>54</v>
      </c>
      <c r="AS128" s="74"/>
      <c r="AX128" s="89">
        <v>87</v>
      </c>
      <c r="AY128" s="2">
        <v>33</v>
      </c>
      <c r="AZ128" s="2">
        <v>0</v>
      </c>
      <c r="BA128" s="2">
        <v>6.0000009999999996E-3</v>
      </c>
      <c r="BB128" s="42" t="s">
        <v>1347</v>
      </c>
      <c r="BC128" s="42">
        <v>128</v>
      </c>
      <c r="BD128" s="42">
        <v>54</v>
      </c>
      <c r="BE128" s="74"/>
      <c r="BJ128" s="89">
        <v>84</v>
      </c>
      <c r="BK128" s="2">
        <v>33</v>
      </c>
      <c r="BL128" s="2">
        <v>1</v>
      </c>
      <c r="BM128" s="2">
        <v>1.19363E-2</v>
      </c>
      <c r="BN128" s="42" t="s">
        <v>1347</v>
      </c>
      <c r="BO128" s="42">
        <v>128</v>
      </c>
      <c r="BP128" s="42">
        <v>54</v>
      </c>
      <c r="BQ128" s="74"/>
      <c r="BV128" s="89">
        <v>89</v>
      </c>
      <c r="BW128" s="2">
        <v>33</v>
      </c>
      <c r="BX128" s="2">
        <v>0</v>
      </c>
      <c r="BY128" s="2">
        <v>1E-3</v>
      </c>
      <c r="BZ128" s="42" t="s">
        <v>1347</v>
      </c>
      <c r="CA128" s="42">
        <v>128</v>
      </c>
      <c r="CB128" s="42">
        <v>54</v>
      </c>
      <c r="CC128" s="74"/>
      <c r="CH128" s="89">
        <v>84</v>
      </c>
      <c r="CI128" s="2">
        <v>33</v>
      </c>
      <c r="CJ128" s="2">
        <v>1</v>
      </c>
      <c r="CK128" s="2">
        <v>4.3731430000000003E-3</v>
      </c>
      <c r="CL128" s="42" t="s">
        <v>1347</v>
      </c>
      <c r="CM128" s="42">
        <v>128</v>
      </c>
      <c r="CN128" s="42">
        <v>54</v>
      </c>
      <c r="CO128" s="74"/>
      <c r="CT128" s="89">
        <v>80</v>
      </c>
      <c r="CU128" s="2">
        <v>33</v>
      </c>
      <c r="CV128" s="2">
        <v>0</v>
      </c>
      <c r="CW128" s="2">
        <v>0.11011899999999999</v>
      </c>
      <c r="CX128" s="42" t="s">
        <v>1347</v>
      </c>
      <c r="CY128" s="42">
        <v>128</v>
      </c>
      <c r="CZ128" s="42">
        <v>54</v>
      </c>
      <c r="DA128" s="74"/>
      <c r="DF128" s="89">
        <v>81</v>
      </c>
      <c r="DG128" s="2">
        <v>34</v>
      </c>
      <c r="DH128" s="2">
        <v>0</v>
      </c>
      <c r="DI128" s="2">
        <v>0.43230299999999999</v>
      </c>
      <c r="DJ128" s="42" t="s">
        <v>1347</v>
      </c>
      <c r="DK128" s="42">
        <v>128</v>
      </c>
      <c r="DL128" s="42">
        <v>54</v>
      </c>
      <c r="DM128" s="74"/>
      <c r="DR128" s="89">
        <v>75</v>
      </c>
      <c r="DS128" s="2">
        <v>32</v>
      </c>
      <c r="DT128" s="2">
        <v>0</v>
      </c>
      <c r="DU128" s="2">
        <v>0.83631849999999996</v>
      </c>
      <c r="DV128" s="42" t="s">
        <v>1347</v>
      </c>
      <c r="DW128" s="42">
        <v>128</v>
      </c>
      <c r="DX128" s="42">
        <v>54</v>
      </c>
      <c r="DY128" s="74"/>
      <c r="ED128" s="89">
        <v>84</v>
      </c>
      <c r="EE128" s="2">
        <v>33</v>
      </c>
      <c r="EF128" s="2">
        <v>0</v>
      </c>
      <c r="EG128" s="2">
        <v>4.3231779999999997E-2</v>
      </c>
      <c r="EH128" s="42" t="s">
        <v>1347</v>
      </c>
      <c r="EI128" s="42">
        <v>128</v>
      </c>
      <c r="EJ128" s="42">
        <v>54</v>
      </c>
      <c r="EK128" s="74"/>
      <c r="ES128">
        <v>84</v>
      </c>
      <c r="ET128">
        <v>33</v>
      </c>
      <c r="EU128">
        <v>0</v>
      </c>
      <c r="EV128">
        <v>4.3231779999999997E-2</v>
      </c>
    </row>
    <row r="129" spans="1:152" x14ac:dyDescent="0.4">
      <c r="A129" s="89"/>
      <c r="B129" s="2"/>
      <c r="C129" s="2"/>
      <c r="D129" s="2"/>
      <c r="E129" s="42" t="s">
        <v>1347</v>
      </c>
      <c r="F129" s="42">
        <v>129</v>
      </c>
      <c r="G129" s="42">
        <v>54</v>
      </c>
      <c r="H129" s="74"/>
      <c r="N129" s="89">
        <v>76</v>
      </c>
      <c r="O129" s="2">
        <v>32</v>
      </c>
      <c r="P129" s="2">
        <v>0</v>
      </c>
      <c r="Q129" s="2">
        <v>1.0579099999999999</v>
      </c>
      <c r="R129" s="42" t="s">
        <v>1347</v>
      </c>
      <c r="S129" s="42">
        <v>129</v>
      </c>
      <c r="T129" s="42">
        <v>54</v>
      </c>
      <c r="U129" s="74"/>
      <c r="Z129" s="89">
        <v>80</v>
      </c>
      <c r="AA129" s="2">
        <v>32</v>
      </c>
      <c r="AB129" s="2">
        <v>0</v>
      </c>
      <c r="AC129" s="2">
        <v>0.211952</v>
      </c>
      <c r="AD129" s="42" t="s">
        <v>1347</v>
      </c>
      <c r="AE129" s="42">
        <v>129</v>
      </c>
      <c r="AF129" s="42">
        <v>54</v>
      </c>
      <c r="AG129" s="74"/>
      <c r="AL129" s="89">
        <v>82</v>
      </c>
      <c r="AM129" s="2">
        <v>32</v>
      </c>
      <c r="AN129" s="2">
        <v>0</v>
      </c>
      <c r="AO129" s="2">
        <v>1.7573999999999999E-2</v>
      </c>
      <c r="AP129" s="42" t="s">
        <v>1347</v>
      </c>
      <c r="AQ129" s="42">
        <v>129</v>
      </c>
      <c r="AR129" s="42">
        <v>54</v>
      </c>
      <c r="AS129" s="74"/>
      <c r="AX129" s="89">
        <v>88</v>
      </c>
      <c r="AY129" s="2">
        <v>33</v>
      </c>
      <c r="AZ129" s="2">
        <v>0</v>
      </c>
      <c r="BA129" s="2">
        <v>2E-3</v>
      </c>
      <c r="BB129" s="42" t="s">
        <v>1347</v>
      </c>
      <c r="BC129" s="42">
        <v>129</v>
      </c>
      <c r="BD129" s="42">
        <v>54</v>
      </c>
      <c r="BE129" s="74"/>
      <c r="BJ129" s="89">
        <v>85</v>
      </c>
      <c r="BK129" s="2">
        <v>33</v>
      </c>
      <c r="BL129" s="2">
        <v>0</v>
      </c>
      <c r="BM129" s="2">
        <v>2.6859999999999998E-2</v>
      </c>
      <c r="BN129" s="42" t="s">
        <v>1347</v>
      </c>
      <c r="BO129" s="42">
        <v>129</v>
      </c>
      <c r="BP129" s="42">
        <v>54</v>
      </c>
      <c r="BQ129" s="74"/>
      <c r="BV129" s="89">
        <v>76</v>
      </c>
      <c r="BW129" s="2">
        <v>34</v>
      </c>
      <c r="BX129" s="2">
        <v>0</v>
      </c>
      <c r="BY129" s="2">
        <v>2E-3</v>
      </c>
      <c r="BZ129" s="42" t="s">
        <v>1347</v>
      </c>
      <c r="CA129" s="42">
        <v>129</v>
      </c>
      <c r="CB129" s="42">
        <v>54</v>
      </c>
      <c r="CC129" s="74"/>
      <c r="CH129" s="89">
        <v>85</v>
      </c>
      <c r="CI129" s="2">
        <v>33</v>
      </c>
      <c r="CJ129" s="2">
        <v>0</v>
      </c>
      <c r="CK129" s="2">
        <v>8.8599999999999998E-3</v>
      </c>
      <c r="CL129" s="42" t="s">
        <v>1347</v>
      </c>
      <c r="CM129" s="42">
        <v>129</v>
      </c>
      <c r="CN129" s="42">
        <v>54</v>
      </c>
      <c r="CO129" s="74"/>
      <c r="CT129" s="89">
        <v>81</v>
      </c>
      <c r="CU129" s="2">
        <v>33</v>
      </c>
      <c r="CV129" s="2">
        <v>0</v>
      </c>
      <c r="CW129" s="2">
        <v>0.11909400000000001</v>
      </c>
      <c r="CX129" s="42" t="s">
        <v>1347</v>
      </c>
      <c r="CY129" s="42">
        <v>129</v>
      </c>
      <c r="CZ129" s="42">
        <v>54</v>
      </c>
      <c r="DA129" s="74"/>
      <c r="DF129" s="89">
        <v>81</v>
      </c>
      <c r="DG129" s="2">
        <v>34</v>
      </c>
      <c r="DH129" s="2">
        <v>1</v>
      </c>
      <c r="DI129" s="2">
        <v>4.5618119999999998E-2</v>
      </c>
      <c r="DJ129" s="42" t="s">
        <v>1347</v>
      </c>
      <c r="DK129" s="42">
        <v>129</v>
      </c>
      <c r="DL129" s="42">
        <v>54</v>
      </c>
      <c r="DM129" s="74"/>
      <c r="DR129" s="89">
        <v>75</v>
      </c>
      <c r="DS129" s="2">
        <v>32</v>
      </c>
      <c r="DT129" s="2">
        <v>1</v>
      </c>
      <c r="DU129" s="2">
        <v>0.20365520000000001</v>
      </c>
      <c r="DV129" s="42" t="s">
        <v>1347</v>
      </c>
      <c r="DW129" s="42">
        <v>129</v>
      </c>
      <c r="DX129" s="42">
        <v>54</v>
      </c>
      <c r="DY129" s="74"/>
      <c r="ED129" s="89">
        <v>84</v>
      </c>
      <c r="EE129" s="2">
        <v>33</v>
      </c>
      <c r="EF129" s="2">
        <v>1</v>
      </c>
      <c r="EG129" s="2">
        <v>9.4762230000000006E-3</v>
      </c>
      <c r="EH129" s="42" t="s">
        <v>1347</v>
      </c>
      <c r="EI129" s="42">
        <v>129</v>
      </c>
      <c r="EJ129" s="42">
        <v>54</v>
      </c>
      <c r="EK129" s="74"/>
      <c r="ES129">
        <v>84</v>
      </c>
      <c r="ET129">
        <v>33</v>
      </c>
      <c r="EU129">
        <v>1</v>
      </c>
      <c r="EV129">
        <v>9.4762230000000006E-3</v>
      </c>
    </row>
    <row r="130" spans="1:152" x14ac:dyDescent="0.4">
      <c r="A130" s="89"/>
      <c r="B130" s="2"/>
      <c r="C130" s="2"/>
      <c r="D130" s="2"/>
      <c r="E130" s="42" t="s">
        <v>1347</v>
      </c>
      <c r="F130" s="42">
        <v>130</v>
      </c>
      <c r="G130" s="42">
        <v>54</v>
      </c>
      <c r="H130" s="74"/>
      <c r="N130" s="89">
        <v>77</v>
      </c>
      <c r="O130" s="2">
        <v>32</v>
      </c>
      <c r="P130" s="2">
        <v>0</v>
      </c>
      <c r="Q130" s="2">
        <v>0.68043500000000001</v>
      </c>
      <c r="R130" s="42" t="s">
        <v>1347</v>
      </c>
      <c r="S130" s="42">
        <v>130</v>
      </c>
      <c r="T130" s="42">
        <v>54</v>
      </c>
      <c r="U130" s="74"/>
      <c r="Z130" s="89">
        <v>81</v>
      </c>
      <c r="AA130" s="2">
        <v>32</v>
      </c>
      <c r="AB130" s="2">
        <v>0</v>
      </c>
      <c r="AC130" s="2">
        <v>7.9935400000000004E-2</v>
      </c>
      <c r="AD130" s="42" t="s">
        <v>1347</v>
      </c>
      <c r="AE130" s="42">
        <v>130</v>
      </c>
      <c r="AF130" s="42">
        <v>54</v>
      </c>
      <c r="AG130" s="74"/>
      <c r="AL130" s="89">
        <v>83</v>
      </c>
      <c r="AM130" s="2">
        <v>32</v>
      </c>
      <c r="AN130" s="2">
        <v>0</v>
      </c>
      <c r="AO130" s="2">
        <v>5.0000000000000001E-3</v>
      </c>
      <c r="AP130" s="42" t="s">
        <v>1347</v>
      </c>
      <c r="AQ130" s="42">
        <v>130</v>
      </c>
      <c r="AR130" s="42">
        <v>54</v>
      </c>
      <c r="AS130" s="74"/>
      <c r="AX130" s="89">
        <v>76</v>
      </c>
      <c r="AY130" s="2">
        <v>34</v>
      </c>
      <c r="AZ130" s="2">
        <v>0</v>
      </c>
      <c r="BA130" s="2">
        <v>1E-3</v>
      </c>
      <c r="BB130" s="42" t="s">
        <v>1347</v>
      </c>
      <c r="BC130" s="42">
        <v>130</v>
      </c>
      <c r="BD130" s="42">
        <v>54</v>
      </c>
      <c r="BE130" s="74"/>
      <c r="BJ130" s="89">
        <v>86</v>
      </c>
      <c r="BK130" s="2">
        <v>33</v>
      </c>
      <c r="BL130" s="2">
        <v>0</v>
      </c>
      <c r="BM130" s="2">
        <v>5.0000000000000001E-3</v>
      </c>
      <c r="BN130" s="42" t="s">
        <v>1347</v>
      </c>
      <c r="BO130" s="42">
        <v>130</v>
      </c>
      <c r="BP130" s="42">
        <v>54</v>
      </c>
      <c r="BQ130" s="74"/>
      <c r="BV130" s="89">
        <v>77</v>
      </c>
      <c r="BW130" s="2">
        <v>34</v>
      </c>
      <c r="BX130" s="2">
        <v>0</v>
      </c>
      <c r="BY130" s="2">
        <v>0.11899999999999999</v>
      </c>
      <c r="BZ130" s="42" t="s">
        <v>1347</v>
      </c>
      <c r="CA130" s="42">
        <v>130</v>
      </c>
      <c r="CB130" s="42">
        <v>54</v>
      </c>
      <c r="CC130" s="74"/>
      <c r="CH130" s="89">
        <v>86</v>
      </c>
      <c r="CI130" s="2">
        <v>33</v>
      </c>
      <c r="CJ130" s="2">
        <v>0</v>
      </c>
      <c r="CK130" s="2">
        <v>5.0000000000000001E-3</v>
      </c>
      <c r="CL130" s="42" t="s">
        <v>1347</v>
      </c>
      <c r="CM130" s="42">
        <v>130</v>
      </c>
      <c r="CN130" s="42">
        <v>54</v>
      </c>
      <c r="CO130" s="74"/>
      <c r="CT130" s="89">
        <v>82</v>
      </c>
      <c r="CU130" s="2">
        <v>33</v>
      </c>
      <c r="CV130" s="2">
        <v>0</v>
      </c>
      <c r="CW130" s="2">
        <v>3.1215570000000002E-2</v>
      </c>
      <c r="CX130" s="42" t="s">
        <v>1347</v>
      </c>
      <c r="CY130" s="42">
        <v>130</v>
      </c>
      <c r="CZ130" s="42">
        <v>54</v>
      </c>
      <c r="DA130" s="74"/>
      <c r="DF130" s="89">
        <v>82</v>
      </c>
      <c r="DG130" s="2">
        <v>34</v>
      </c>
      <c r="DH130" s="2">
        <v>0</v>
      </c>
      <c r="DI130" s="2">
        <v>0.586148</v>
      </c>
      <c r="DJ130" s="42" t="s">
        <v>1347</v>
      </c>
      <c r="DK130" s="42">
        <v>130</v>
      </c>
      <c r="DL130" s="42">
        <v>54</v>
      </c>
      <c r="DM130" s="74"/>
      <c r="DR130" s="89">
        <v>76</v>
      </c>
      <c r="DS130" s="2">
        <v>32</v>
      </c>
      <c r="DT130" s="2">
        <v>0</v>
      </c>
      <c r="DU130" s="2">
        <v>1.053415</v>
      </c>
      <c r="DV130" s="42" t="s">
        <v>1347</v>
      </c>
      <c r="DW130" s="42">
        <v>130</v>
      </c>
      <c r="DX130" s="42">
        <v>54</v>
      </c>
      <c r="DY130" s="74"/>
      <c r="ED130" s="89">
        <v>85</v>
      </c>
      <c r="EE130" s="2">
        <v>33</v>
      </c>
      <c r="EF130" s="2">
        <v>0</v>
      </c>
      <c r="EG130" s="2">
        <v>3.0859999999999999E-2</v>
      </c>
      <c r="EH130" s="42" t="s">
        <v>1347</v>
      </c>
      <c r="EI130" s="42">
        <v>130</v>
      </c>
      <c r="EJ130" s="42">
        <v>54</v>
      </c>
      <c r="EK130" s="74"/>
      <c r="ES130">
        <v>85</v>
      </c>
      <c r="ET130">
        <v>33</v>
      </c>
      <c r="EU130">
        <v>0</v>
      </c>
      <c r="EV130">
        <v>3.0859999999999999E-2</v>
      </c>
    </row>
    <row r="131" spans="1:152" x14ac:dyDescent="0.4">
      <c r="A131" s="89"/>
      <c r="B131" s="2"/>
      <c r="C131" s="2"/>
      <c r="D131" s="2"/>
      <c r="E131" s="42" t="s">
        <v>1347</v>
      </c>
      <c r="F131" s="42">
        <v>131</v>
      </c>
      <c r="G131" s="42">
        <v>54</v>
      </c>
      <c r="H131" s="74"/>
      <c r="N131" s="89">
        <v>77</v>
      </c>
      <c r="O131" s="2">
        <v>32</v>
      </c>
      <c r="P131" s="2">
        <v>1</v>
      </c>
      <c r="Q131" s="2">
        <v>0.2414384</v>
      </c>
      <c r="R131" s="42" t="s">
        <v>1347</v>
      </c>
      <c r="S131" s="42">
        <v>131</v>
      </c>
      <c r="T131" s="42">
        <v>54</v>
      </c>
      <c r="U131" s="74"/>
      <c r="Z131" s="89">
        <v>81</v>
      </c>
      <c r="AA131" s="2">
        <v>32</v>
      </c>
      <c r="AB131" s="2">
        <v>1</v>
      </c>
      <c r="AC131" s="2">
        <v>6.5386000000000003E-3</v>
      </c>
      <c r="AD131" s="42" t="s">
        <v>1347</v>
      </c>
      <c r="AE131" s="42">
        <v>131</v>
      </c>
      <c r="AF131" s="42">
        <v>54</v>
      </c>
      <c r="AG131" s="74"/>
      <c r="AL131" s="89">
        <v>84</v>
      </c>
      <c r="AM131" s="2">
        <v>32</v>
      </c>
      <c r="AN131" s="2">
        <v>0</v>
      </c>
      <c r="AO131" s="2">
        <v>1E-3</v>
      </c>
      <c r="AP131" s="42" t="s">
        <v>1347</v>
      </c>
      <c r="AQ131" s="42">
        <v>131</v>
      </c>
      <c r="AR131" s="42">
        <v>54</v>
      </c>
      <c r="AS131" s="74"/>
      <c r="AX131" s="89">
        <v>77</v>
      </c>
      <c r="AY131" s="2">
        <v>34</v>
      </c>
      <c r="AZ131" s="2">
        <v>0</v>
      </c>
      <c r="BA131" s="2">
        <v>0.188</v>
      </c>
      <c r="BB131" s="42" t="s">
        <v>1347</v>
      </c>
      <c r="BC131" s="42">
        <v>131</v>
      </c>
      <c r="BD131" s="42">
        <v>54</v>
      </c>
      <c r="BE131" s="74"/>
      <c r="BJ131" s="89">
        <v>87</v>
      </c>
      <c r="BK131" s="2">
        <v>33</v>
      </c>
      <c r="BL131" s="2">
        <v>0</v>
      </c>
      <c r="BM131" s="2">
        <v>3.0000000000000001E-3</v>
      </c>
      <c r="BN131" s="42" t="s">
        <v>1347</v>
      </c>
      <c r="BO131" s="42">
        <v>131</v>
      </c>
      <c r="BP131" s="42">
        <v>54</v>
      </c>
      <c r="BQ131" s="74"/>
      <c r="BV131" s="89">
        <v>78</v>
      </c>
      <c r="BW131" s="2">
        <v>34</v>
      </c>
      <c r="BX131" s="2">
        <v>0</v>
      </c>
      <c r="BY131" s="2">
        <v>0.16008710000000001</v>
      </c>
      <c r="BZ131" s="42" t="s">
        <v>1347</v>
      </c>
      <c r="CA131" s="42">
        <v>131</v>
      </c>
      <c r="CB131" s="42">
        <v>54</v>
      </c>
      <c r="CC131" s="74"/>
      <c r="CH131" s="89">
        <v>76</v>
      </c>
      <c r="CI131" s="2">
        <v>34</v>
      </c>
      <c r="CJ131" s="2">
        <v>0</v>
      </c>
      <c r="CK131" s="2">
        <v>0.01</v>
      </c>
      <c r="CL131" s="42" t="s">
        <v>1347</v>
      </c>
      <c r="CM131" s="42">
        <v>131</v>
      </c>
      <c r="CN131" s="42">
        <v>54</v>
      </c>
      <c r="CO131" s="74"/>
      <c r="CT131" s="89">
        <v>82</v>
      </c>
      <c r="CU131" s="2">
        <v>33</v>
      </c>
      <c r="CV131" s="2">
        <v>1</v>
      </c>
      <c r="CW131" s="2">
        <v>4.4571430000000002E-2</v>
      </c>
      <c r="CX131" s="42" t="s">
        <v>1347</v>
      </c>
      <c r="CY131" s="42">
        <v>131</v>
      </c>
      <c r="CZ131" s="42">
        <v>54</v>
      </c>
      <c r="DA131" s="74"/>
      <c r="DF131" s="89">
        <v>83</v>
      </c>
      <c r="DG131" s="2">
        <v>34</v>
      </c>
      <c r="DH131" s="2">
        <v>0</v>
      </c>
      <c r="DI131" s="2">
        <v>0.46118569999999998</v>
      </c>
      <c r="DJ131" s="42" t="s">
        <v>1347</v>
      </c>
      <c r="DK131" s="42">
        <v>131</v>
      </c>
      <c r="DL131" s="42">
        <v>54</v>
      </c>
      <c r="DM131" s="74"/>
      <c r="DR131" s="89">
        <v>77</v>
      </c>
      <c r="DS131" s="2">
        <v>32</v>
      </c>
      <c r="DT131" s="2">
        <v>0</v>
      </c>
      <c r="DU131" s="2">
        <v>0.60884269999999996</v>
      </c>
      <c r="DV131" s="42" t="s">
        <v>1347</v>
      </c>
      <c r="DW131" s="42">
        <v>131</v>
      </c>
      <c r="DX131" s="42">
        <v>54</v>
      </c>
      <c r="DY131" s="74"/>
      <c r="ED131" s="89">
        <v>86</v>
      </c>
      <c r="EE131" s="2">
        <v>33</v>
      </c>
      <c r="EF131" s="2">
        <v>0</v>
      </c>
      <c r="EG131" s="2">
        <v>8.0000000000000002E-3</v>
      </c>
      <c r="EH131" s="42" t="s">
        <v>1347</v>
      </c>
      <c r="EI131" s="42">
        <v>131</v>
      </c>
      <c r="EJ131" s="42">
        <v>54</v>
      </c>
      <c r="EK131" s="74"/>
      <c r="ES131">
        <v>86</v>
      </c>
      <c r="ET131">
        <v>33</v>
      </c>
      <c r="EU131">
        <v>0</v>
      </c>
      <c r="EV131">
        <v>8.0000000000000002E-3</v>
      </c>
    </row>
    <row r="132" spans="1:152" x14ac:dyDescent="0.4">
      <c r="A132" s="89"/>
      <c r="B132" s="2"/>
      <c r="C132" s="2"/>
      <c r="D132" s="2"/>
      <c r="E132" s="42" t="s">
        <v>1347</v>
      </c>
      <c r="F132" s="42">
        <v>132</v>
      </c>
      <c r="G132" s="42">
        <v>54</v>
      </c>
      <c r="H132" s="74"/>
      <c r="N132" s="89">
        <v>78</v>
      </c>
      <c r="O132" s="2">
        <v>32</v>
      </c>
      <c r="P132" s="2">
        <v>0</v>
      </c>
      <c r="Q132" s="2">
        <v>0.64306649999999999</v>
      </c>
      <c r="R132" s="42" t="s">
        <v>1347</v>
      </c>
      <c r="S132" s="42">
        <v>132</v>
      </c>
      <c r="T132" s="42">
        <v>54</v>
      </c>
      <c r="U132" s="74"/>
      <c r="Z132" s="89">
        <v>82</v>
      </c>
      <c r="AA132" s="2">
        <v>32</v>
      </c>
      <c r="AB132" s="2">
        <v>0</v>
      </c>
      <c r="AC132" s="2">
        <v>3.3574E-2</v>
      </c>
      <c r="AD132" s="42" t="s">
        <v>1347</v>
      </c>
      <c r="AE132" s="42">
        <v>132</v>
      </c>
      <c r="AF132" s="42">
        <v>54</v>
      </c>
      <c r="AG132" s="74"/>
      <c r="AL132" s="89">
        <v>85</v>
      </c>
      <c r="AM132" s="2">
        <v>32</v>
      </c>
      <c r="AN132" s="2">
        <v>0</v>
      </c>
      <c r="AO132" s="2">
        <v>2E-3</v>
      </c>
      <c r="AP132" s="42" t="s">
        <v>1347</v>
      </c>
      <c r="AQ132" s="42">
        <v>132</v>
      </c>
      <c r="AR132" s="42">
        <v>54</v>
      </c>
      <c r="AS132" s="74"/>
      <c r="AX132" s="89">
        <v>78</v>
      </c>
      <c r="AY132" s="2">
        <v>34</v>
      </c>
      <c r="AZ132" s="2">
        <v>0</v>
      </c>
      <c r="BA132" s="2">
        <v>0.29114600000000002</v>
      </c>
      <c r="BB132" s="42" t="s">
        <v>1347</v>
      </c>
      <c r="BC132" s="42">
        <v>132</v>
      </c>
      <c r="BD132" s="42">
        <v>54</v>
      </c>
      <c r="BE132" s="74"/>
      <c r="BJ132" s="89">
        <v>88</v>
      </c>
      <c r="BK132" s="2">
        <v>33</v>
      </c>
      <c r="BL132" s="2">
        <v>0</v>
      </c>
      <c r="BM132" s="2">
        <v>1E-3</v>
      </c>
      <c r="BN132" s="42" t="s">
        <v>1347</v>
      </c>
      <c r="BO132" s="42">
        <v>132</v>
      </c>
      <c r="BP132" s="42">
        <v>54</v>
      </c>
      <c r="BQ132" s="74"/>
      <c r="BV132" s="89">
        <v>79</v>
      </c>
      <c r="BW132" s="2">
        <v>34</v>
      </c>
      <c r="BX132" s="2">
        <v>0</v>
      </c>
      <c r="BY132" s="2">
        <v>0.16991249999999999</v>
      </c>
      <c r="BZ132" s="42" t="s">
        <v>1347</v>
      </c>
      <c r="CA132" s="42">
        <v>132</v>
      </c>
      <c r="CB132" s="42">
        <v>54</v>
      </c>
      <c r="CC132" s="74"/>
      <c r="CH132" s="89">
        <v>77</v>
      </c>
      <c r="CI132" s="2">
        <v>34</v>
      </c>
      <c r="CJ132" s="2">
        <v>0</v>
      </c>
      <c r="CK132" s="2">
        <v>0.13200000000000001</v>
      </c>
      <c r="CL132" s="42" t="s">
        <v>1347</v>
      </c>
      <c r="CM132" s="42">
        <v>132</v>
      </c>
      <c r="CN132" s="42">
        <v>54</v>
      </c>
      <c r="CO132" s="74"/>
      <c r="CT132" s="89">
        <v>83</v>
      </c>
      <c r="CU132" s="2">
        <v>33</v>
      </c>
      <c r="CV132" s="2">
        <v>0</v>
      </c>
      <c r="CW132" s="2">
        <v>5.3215999999999999E-2</v>
      </c>
      <c r="CX132" s="42" t="s">
        <v>1347</v>
      </c>
      <c r="CY132" s="42">
        <v>132</v>
      </c>
      <c r="CZ132" s="42">
        <v>54</v>
      </c>
      <c r="DA132" s="74"/>
      <c r="DF132" s="89">
        <v>83</v>
      </c>
      <c r="DG132" s="2">
        <v>34</v>
      </c>
      <c r="DH132" s="2">
        <v>1</v>
      </c>
      <c r="DI132" s="2">
        <v>0.32179609999999997</v>
      </c>
      <c r="DJ132" s="42" t="s">
        <v>1347</v>
      </c>
      <c r="DK132" s="42">
        <v>132</v>
      </c>
      <c r="DL132" s="42">
        <v>54</v>
      </c>
      <c r="DM132" s="74"/>
      <c r="DR132" s="89">
        <v>77</v>
      </c>
      <c r="DS132" s="2">
        <v>32</v>
      </c>
      <c r="DT132" s="2">
        <v>1</v>
      </c>
      <c r="DU132" s="2">
        <v>0.41130529999999998</v>
      </c>
      <c r="DV132" s="42" t="s">
        <v>1347</v>
      </c>
      <c r="DW132" s="42">
        <v>132</v>
      </c>
      <c r="DX132" s="42">
        <v>54</v>
      </c>
      <c r="DY132" s="74"/>
      <c r="ED132" s="89">
        <v>87</v>
      </c>
      <c r="EE132" s="2">
        <v>33</v>
      </c>
      <c r="EF132" s="2">
        <v>0</v>
      </c>
      <c r="EG132" s="2">
        <v>4.0000000000000001E-3</v>
      </c>
      <c r="EH132" s="42" t="s">
        <v>1347</v>
      </c>
      <c r="EI132" s="42">
        <v>132</v>
      </c>
      <c r="EJ132" s="42">
        <v>54</v>
      </c>
      <c r="EK132" s="74"/>
      <c r="ES132">
        <v>87</v>
      </c>
      <c r="ET132">
        <v>33</v>
      </c>
      <c r="EU132">
        <v>0</v>
      </c>
      <c r="EV132">
        <v>4.0000000000000001E-3</v>
      </c>
    </row>
    <row r="133" spans="1:152" x14ac:dyDescent="0.4">
      <c r="A133" s="89"/>
      <c r="B133" s="2"/>
      <c r="C133" s="2"/>
      <c r="D133" s="2"/>
      <c r="E133" s="42" t="s">
        <v>1347</v>
      </c>
      <c r="F133" s="42">
        <v>134</v>
      </c>
      <c r="G133" s="42">
        <v>54</v>
      </c>
      <c r="H133" s="74"/>
      <c r="N133" s="89">
        <v>79</v>
      </c>
      <c r="O133" s="2">
        <v>32</v>
      </c>
      <c r="P133" s="2">
        <v>0</v>
      </c>
      <c r="Q133" s="2">
        <v>8.6588769999999995E-2</v>
      </c>
      <c r="R133" s="42" t="s">
        <v>1347</v>
      </c>
      <c r="S133" s="42">
        <v>134</v>
      </c>
      <c r="T133" s="42">
        <v>54</v>
      </c>
      <c r="U133" s="74"/>
      <c r="Z133" s="89">
        <v>83</v>
      </c>
      <c r="AA133" s="2">
        <v>32</v>
      </c>
      <c r="AB133" s="2">
        <v>0</v>
      </c>
      <c r="AC133" s="2">
        <v>6.0000000000000001E-3</v>
      </c>
      <c r="AD133" s="42" t="s">
        <v>1347</v>
      </c>
      <c r="AE133" s="42">
        <v>134</v>
      </c>
      <c r="AF133" s="42">
        <v>54</v>
      </c>
      <c r="AG133" s="74"/>
      <c r="AL133" s="89">
        <v>72</v>
      </c>
      <c r="AM133" s="2">
        <v>33</v>
      </c>
      <c r="AN133" s="2">
        <v>0</v>
      </c>
      <c r="AO133" s="2">
        <v>1E-3</v>
      </c>
      <c r="AP133" s="42" t="s">
        <v>1347</v>
      </c>
      <c r="AQ133" s="42">
        <v>134</v>
      </c>
      <c r="AR133" s="42">
        <v>54</v>
      </c>
      <c r="AS133" s="74"/>
      <c r="AX133" s="89">
        <v>79</v>
      </c>
      <c r="AY133" s="2">
        <v>34</v>
      </c>
      <c r="AZ133" s="2">
        <v>0</v>
      </c>
      <c r="BA133" s="2">
        <v>0.40685349999999998</v>
      </c>
      <c r="BB133" s="42" t="s">
        <v>1347</v>
      </c>
      <c r="BC133" s="42">
        <v>134</v>
      </c>
      <c r="BD133" s="42">
        <v>54</v>
      </c>
      <c r="BE133" s="74"/>
      <c r="BJ133" s="89">
        <v>76</v>
      </c>
      <c r="BK133" s="2">
        <v>34</v>
      </c>
      <c r="BL133" s="2">
        <v>0</v>
      </c>
      <c r="BM133" s="2">
        <v>1E-3</v>
      </c>
      <c r="BN133" s="42" t="s">
        <v>1347</v>
      </c>
      <c r="BO133" s="42">
        <v>134</v>
      </c>
      <c r="BP133" s="42">
        <v>54</v>
      </c>
      <c r="BQ133" s="74"/>
      <c r="BV133" s="89">
        <v>79</v>
      </c>
      <c r="BW133" s="2">
        <v>34</v>
      </c>
      <c r="BX133" s="2">
        <v>1</v>
      </c>
      <c r="BY133" s="2">
        <v>8.0000000000000004E-4</v>
      </c>
      <c r="BZ133" s="42" t="s">
        <v>1347</v>
      </c>
      <c r="CA133" s="42">
        <v>134</v>
      </c>
      <c r="CB133" s="42">
        <v>54</v>
      </c>
      <c r="CC133" s="74"/>
      <c r="CH133" s="89">
        <v>77</v>
      </c>
      <c r="CI133" s="2">
        <v>34</v>
      </c>
      <c r="CJ133" s="2">
        <v>1</v>
      </c>
      <c r="CK133" s="2">
        <v>3.0000000000000001E-3</v>
      </c>
      <c r="CL133" s="42" t="s">
        <v>1347</v>
      </c>
      <c r="CM133" s="42">
        <v>134</v>
      </c>
      <c r="CN133" s="42">
        <v>54</v>
      </c>
      <c r="CO133" s="74"/>
      <c r="CT133" s="89">
        <v>84</v>
      </c>
      <c r="CU133" s="2">
        <v>33</v>
      </c>
      <c r="CV133" s="2">
        <v>0</v>
      </c>
      <c r="CW133" s="2">
        <v>2.0962000000000001E-2</v>
      </c>
      <c r="CX133" s="42" t="s">
        <v>1347</v>
      </c>
      <c r="CY133" s="42">
        <v>134</v>
      </c>
      <c r="CZ133" s="42">
        <v>54</v>
      </c>
      <c r="DA133" s="74"/>
      <c r="DF133" s="89">
        <v>84</v>
      </c>
      <c r="DG133" s="2">
        <v>34</v>
      </c>
      <c r="DH133" s="2">
        <v>0</v>
      </c>
      <c r="DI133" s="2">
        <v>1.004313</v>
      </c>
      <c r="DJ133" s="42" t="s">
        <v>1347</v>
      </c>
      <c r="DK133" s="42">
        <v>134</v>
      </c>
      <c r="DL133" s="42">
        <v>54</v>
      </c>
      <c r="DM133" s="74"/>
      <c r="DR133" s="89">
        <v>78</v>
      </c>
      <c r="DS133" s="2">
        <v>32</v>
      </c>
      <c r="DT133" s="2">
        <v>0</v>
      </c>
      <c r="DU133" s="2">
        <v>0.94524070000000004</v>
      </c>
      <c r="DV133" s="42" t="s">
        <v>1347</v>
      </c>
      <c r="DW133" s="42">
        <v>134</v>
      </c>
      <c r="DX133" s="42">
        <v>54</v>
      </c>
      <c r="DY133" s="74"/>
      <c r="ED133" s="89">
        <v>76</v>
      </c>
      <c r="EE133" s="2">
        <v>34</v>
      </c>
      <c r="EF133" s="2">
        <v>0</v>
      </c>
      <c r="EG133" s="2">
        <v>3.0000000000000001E-3</v>
      </c>
      <c r="EH133" s="42" t="s">
        <v>1347</v>
      </c>
      <c r="EI133" s="42">
        <v>134</v>
      </c>
      <c r="EJ133" s="42">
        <v>54</v>
      </c>
      <c r="EK133" s="74"/>
      <c r="ES133">
        <v>76</v>
      </c>
      <c r="ET133">
        <v>34</v>
      </c>
      <c r="EU133">
        <v>0</v>
      </c>
      <c r="EV133">
        <v>3.0000000000000001E-3</v>
      </c>
    </row>
    <row r="134" spans="1:152" x14ac:dyDescent="0.4">
      <c r="A134" s="89"/>
      <c r="B134" s="2"/>
      <c r="C134" s="2"/>
      <c r="D134" s="2"/>
      <c r="E134" s="42" t="s">
        <v>1347</v>
      </c>
      <c r="F134" s="42">
        <v>136</v>
      </c>
      <c r="G134" s="42">
        <v>54</v>
      </c>
      <c r="H134" s="74"/>
      <c r="N134" s="89">
        <v>79</v>
      </c>
      <c r="O134" s="2">
        <v>32</v>
      </c>
      <c r="P134" s="2">
        <v>1</v>
      </c>
      <c r="Q134" s="2">
        <v>0.29306749999999998</v>
      </c>
      <c r="R134" s="42" t="s">
        <v>1347</v>
      </c>
      <c r="S134" s="42">
        <v>136</v>
      </c>
      <c r="T134" s="42">
        <v>54</v>
      </c>
      <c r="U134" s="74"/>
      <c r="Z134" s="89">
        <v>84</v>
      </c>
      <c r="AA134" s="2">
        <v>32</v>
      </c>
      <c r="AB134" s="2">
        <v>0</v>
      </c>
      <c r="AC134" s="2">
        <v>5.0000000000000001E-3</v>
      </c>
      <c r="AD134" s="42" t="s">
        <v>1347</v>
      </c>
      <c r="AE134" s="42">
        <v>136</v>
      </c>
      <c r="AF134" s="42">
        <v>54</v>
      </c>
      <c r="AG134" s="74"/>
      <c r="AL134" s="89">
        <v>73</v>
      </c>
      <c r="AM134" s="2">
        <v>33</v>
      </c>
      <c r="AN134" s="2">
        <v>0</v>
      </c>
      <c r="AO134" s="2">
        <v>7.0000000000000001E-3</v>
      </c>
      <c r="AP134" s="42" t="s">
        <v>1347</v>
      </c>
      <c r="AQ134" s="42">
        <v>136</v>
      </c>
      <c r="AR134" s="42">
        <v>54</v>
      </c>
      <c r="AS134" s="74"/>
      <c r="AX134" s="89">
        <v>79</v>
      </c>
      <c r="AY134" s="2">
        <v>34</v>
      </c>
      <c r="AZ134" s="2">
        <v>1</v>
      </c>
      <c r="BA134" s="2">
        <v>1E-3</v>
      </c>
      <c r="BB134" s="42" t="s">
        <v>1347</v>
      </c>
      <c r="BC134" s="42">
        <v>136</v>
      </c>
      <c r="BD134" s="42">
        <v>54</v>
      </c>
      <c r="BE134" s="74"/>
      <c r="BJ134" s="89">
        <v>77</v>
      </c>
      <c r="BK134" s="2">
        <v>34</v>
      </c>
      <c r="BL134" s="2">
        <v>0</v>
      </c>
      <c r="BM134" s="2">
        <v>0.126</v>
      </c>
      <c r="BN134" s="42" t="s">
        <v>1347</v>
      </c>
      <c r="BO134" s="42">
        <v>136</v>
      </c>
      <c r="BP134" s="42">
        <v>54</v>
      </c>
      <c r="BQ134" s="74"/>
      <c r="BV134" s="89">
        <v>80</v>
      </c>
      <c r="BW134" s="2">
        <v>34</v>
      </c>
      <c r="BX134" s="2">
        <v>0</v>
      </c>
      <c r="BY134" s="2">
        <v>0.23191600000000001</v>
      </c>
      <c r="BZ134" s="42" t="s">
        <v>1347</v>
      </c>
      <c r="CA134" s="42">
        <v>136</v>
      </c>
      <c r="CB134" s="42">
        <v>54</v>
      </c>
      <c r="CC134" s="74"/>
      <c r="CH134" s="89">
        <v>78</v>
      </c>
      <c r="CI134" s="2">
        <v>34</v>
      </c>
      <c r="CJ134" s="2">
        <v>0</v>
      </c>
      <c r="CK134" s="2">
        <v>0.1660229</v>
      </c>
      <c r="CL134" s="42" t="s">
        <v>1347</v>
      </c>
      <c r="CM134" s="42">
        <v>136</v>
      </c>
      <c r="CN134" s="42">
        <v>54</v>
      </c>
      <c r="CO134" s="74"/>
      <c r="CT134" s="89">
        <v>84</v>
      </c>
      <c r="CU134" s="2">
        <v>33</v>
      </c>
      <c r="CV134" s="2">
        <v>1</v>
      </c>
      <c r="CW134" s="2">
        <v>4.9620000000000003E-3</v>
      </c>
      <c r="CX134" s="42" t="s">
        <v>1347</v>
      </c>
      <c r="CY134" s="42">
        <v>136</v>
      </c>
      <c r="CZ134" s="42">
        <v>54</v>
      </c>
      <c r="DA134" s="74"/>
      <c r="DF134" s="89">
        <v>85</v>
      </c>
      <c r="DG134" s="2">
        <v>34</v>
      </c>
      <c r="DH134" s="2">
        <v>0</v>
      </c>
      <c r="DI134" s="2">
        <v>0.73650490000000002</v>
      </c>
      <c r="DJ134" s="42" t="s">
        <v>1347</v>
      </c>
      <c r="DK134" s="42">
        <v>136</v>
      </c>
      <c r="DL134" s="42">
        <v>54</v>
      </c>
      <c r="DM134" s="74"/>
      <c r="DR134" s="89">
        <v>79</v>
      </c>
      <c r="DS134" s="2">
        <v>32</v>
      </c>
      <c r="DT134" s="2">
        <v>0</v>
      </c>
      <c r="DU134" s="2">
        <v>0.2308606</v>
      </c>
      <c r="DV134" s="42" t="s">
        <v>1347</v>
      </c>
      <c r="DW134" s="42">
        <v>136</v>
      </c>
      <c r="DX134" s="42">
        <v>54</v>
      </c>
      <c r="DY134" s="74"/>
      <c r="ED134" s="89">
        <v>77</v>
      </c>
      <c r="EE134" s="2">
        <v>34</v>
      </c>
      <c r="EF134" s="2">
        <v>0</v>
      </c>
      <c r="EG134" s="2">
        <v>0.115</v>
      </c>
      <c r="EH134" s="42" t="s">
        <v>1347</v>
      </c>
      <c r="EI134" s="42">
        <v>136</v>
      </c>
      <c r="EJ134" s="42">
        <v>54</v>
      </c>
      <c r="EK134" s="74"/>
      <c r="ES134">
        <v>77</v>
      </c>
      <c r="ET134">
        <v>34</v>
      </c>
      <c r="EU134">
        <v>0</v>
      </c>
      <c r="EV134">
        <v>0.115</v>
      </c>
    </row>
    <row r="135" spans="1:152" x14ac:dyDescent="0.4">
      <c r="A135" s="89"/>
      <c r="B135" s="2"/>
      <c r="C135" s="2"/>
      <c r="D135" s="2"/>
      <c r="E135" s="43" t="s">
        <v>1346</v>
      </c>
      <c r="F135" s="43">
        <v>133</v>
      </c>
      <c r="G135" s="43">
        <v>55</v>
      </c>
      <c r="H135" s="74">
        <f>SUM(SUMIFS(D$14:D$1004,B$14:B$1004,G135,A$14:A$1004,F135,C$14:C$1004,0))</f>
        <v>0</v>
      </c>
      <c r="N135" s="89">
        <v>80</v>
      </c>
      <c r="O135" s="2">
        <v>32</v>
      </c>
      <c r="P135" s="2">
        <v>0</v>
      </c>
      <c r="Q135" s="2">
        <v>0.21659500000000001</v>
      </c>
      <c r="R135" s="43" t="s">
        <v>1346</v>
      </c>
      <c r="S135" s="43">
        <v>133</v>
      </c>
      <c r="T135" s="43">
        <v>55</v>
      </c>
      <c r="U135" s="74">
        <f>SUM(SUMIFS(Q$14:Q$1004,O$14:O$1004,T135,N$14:N$1004,S135,P$14:P$1004,0))</f>
        <v>0.127</v>
      </c>
      <c r="Z135" s="89">
        <v>85</v>
      </c>
      <c r="AA135" s="2">
        <v>32</v>
      </c>
      <c r="AB135" s="2">
        <v>0</v>
      </c>
      <c r="AC135" s="2">
        <v>1E-3</v>
      </c>
      <c r="AD135" s="43" t="s">
        <v>1346</v>
      </c>
      <c r="AE135" s="43">
        <v>133</v>
      </c>
      <c r="AF135" s="43">
        <v>55</v>
      </c>
      <c r="AG135" s="74">
        <f>SUM(SUMIFS(AC$14:AC$1004,AA$14:AA$1004,AF135,Z$14:Z$1004,AE135,AB$14:AB$1004,0))</f>
        <v>0.192</v>
      </c>
      <c r="AL135" s="89">
        <v>74</v>
      </c>
      <c r="AM135" s="2">
        <v>33</v>
      </c>
      <c r="AN135" s="2">
        <v>0</v>
      </c>
      <c r="AO135" s="2">
        <v>2.5999999999999999E-2</v>
      </c>
      <c r="AP135" s="43" t="s">
        <v>1346</v>
      </c>
      <c r="AQ135" s="43">
        <v>133</v>
      </c>
      <c r="AR135" s="43">
        <v>55</v>
      </c>
      <c r="AS135" s="74">
        <f>SUM(SUMIFS(AO$14:AO$1004,AM$14:AM$1004,AR135,AL$14:AL$1004,AQ135,AN$14:AN$1004,0))</f>
        <v>0.21099999999999999</v>
      </c>
      <c r="AX135" s="89">
        <v>80</v>
      </c>
      <c r="AY135" s="2">
        <v>34</v>
      </c>
      <c r="AZ135" s="2">
        <v>0</v>
      </c>
      <c r="BA135" s="2">
        <v>0.607904</v>
      </c>
      <c r="BB135" s="43" t="s">
        <v>1346</v>
      </c>
      <c r="BC135" s="43">
        <v>133</v>
      </c>
      <c r="BD135" s="43">
        <v>55</v>
      </c>
      <c r="BE135" s="74">
        <f>SUM(SUMIFS(BA$14:BA$1004,AY$14:AY$1004,BD135,AX$14:AX$1004,BC135,AZ$14:AZ$1004,0))</f>
        <v>2.8052030000000001</v>
      </c>
      <c r="BJ135" s="89">
        <v>77</v>
      </c>
      <c r="BK135" s="2">
        <v>34</v>
      </c>
      <c r="BL135" s="2">
        <v>1</v>
      </c>
      <c r="BM135" s="2">
        <v>1E-3</v>
      </c>
      <c r="BN135" s="43" t="s">
        <v>1346</v>
      </c>
      <c r="BO135" s="43">
        <v>133</v>
      </c>
      <c r="BP135" s="43">
        <v>55</v>
      </c>
      <c r="BQ135" s="74">
        <f>SUM(SUMIFS(BM$14:BM$1004,BK$14:BK$1004,BP135,BJ$14:BJ$1004,BO135,BL$14:BL$1004,0))</f>
        <v>2.9080210000000002</v>
      </c>
      <c r="BV135" s="89">
        <v>81</v>
      </c>
      <c r="BW135" s="2">
        <v>34</v>
      </c>
      <c r="BX135" s="2">
        <v>0</v>
      </c>
      <c r="BY135" s="2">
        <v>0.31234030000000002</v>
      </c>
      <c r="BZ135" s="43" t="s">
        <v>1346</v>
      </c>
      <c r="CA135" s="43">
        <v>133</v>
      </c>
      <c r="CB135" s="43">
        <v>55</v>
      </c>
      <c r="CC135" s="74">
        <f>SUM(SUMIFS(BY$14:BY$1004,BW$14:BW$1004,CB135,BV$14:BV$1004,CA135,BX$14:BX$1004,0))</f>
        <v>3.6921140000000001</v>
      </c>
      <c r="CH135" s="89">
        <v>79</v>
      </c>
      <c r="CI135" s="2">
        <v>34</v>
      </c>
      <c r="CJ135" s="2">
        <v>0</v>
      </c>
      <c r="CK135" s="2">
        <v>0.19397600000000001</v>
      </c>
      <c r="CL135" s="43" t="s">
        <v>1346</v>
      </c>
      <c r="CM135" s="43">
        <v>133</v>
      </c>
      <c r="CN135" s="43">
        <v>55</v>
      </c>
      <c r="CO135" s="74">
        <f>SUM(SUMIFS(CK$14:CK$1004,CI$14:CI$1004,CN135,CH$14:CH$1004,CM135,CJ$14:CJ$1004,0))</f>
        <v>3.358006</v>
      </c>
      <c r="CT135" s="89">
        <v>85</v>
      </c>
      <c r="CU135" s="2">
        <v>33</v>
      </c>
      <c r="CV135" s="2">
        <v>0</v>
      </c>
      <c r="CW135" s="2">
        <v>1.1860000000000001E-2</v>
      </c>
      <c r="CX135" s="43" t="s">
        <v>1346</v>
      </c>
      <c r="CY135" s="43">
        <v>133</v>
      </c>
      <c r="CZ135" s="43">
        <v>55</v>
      </c>
      <c r="DA135" s="74">
        <f>SUM(SUMIFS(CW$14:CW$1004,CU$14:CU$1004,CZ135,CT$14:CT$1004,CY135,CV$14:CV$1004,0))</f>
        <v>3.6670150000000001</v>
      </c>
      <c r="DF135" s="89">
        <v>86</v>
      </c>
      <c r="DG135" s="2">
        <v>34</v>
      </c>
      <c r="DH135" s="2">
        <v>0</v>
      </c>
      <c r="DI135" s="2">
        <v>0.59004800000000002</v>
      </c>
      <c r="DJ135" s="43" t="s">
        <v>1346</v>
      </c>
      <c r="DK135" s="43">
        <v>133</v>
      </c>
      <c r="DL135" s="43">
        <v>55</v>
      </c>
      <c r="DM135" s="74">
        <f>SUM(SUMIFS(DI$14:DI$1004,DG$14:DG$1004,DL135,DF$14:DF$1004,DK135,DH$14:DH$1004,0))</f>
        <v>4.4521139999999999</v>
      </c>
      <c r="DR135" s="89">
        <v>79</v>
      </c>
      <c r="DS135" s="2">
        <v>32</v>
      </c>
      <c r="DT135" s="2">
        <v>1</v>
      </c>
      <c r="DU135" s="2">
        <v>0.48322779999999999</v>
      </c>
      <c r="DV135" s="43" t="s">
        <v>1346</v>
      </c>
      <c r="DW135" s="43">
        <v>133</v>
      </c>
      <c r="DX135" s="43">
        <v>55</v>
      </c>
      <c r="DY135" s="74">
        <f>SUM(SUMIFS(DU$14:DU$1004,DS$14:DS$1004,DX135,DR$14:DR$1004,DW135,DT$14:DT$1004,0))</f>
        <v>0.280001</v>
      </c>
      <c r="ED135" s="89">
        <v>78</v>
      </c>
      <c r="EE135" s="2">
        <v>34</v>
      </c>
      <c r="EF135" s="2">
        <v>0</v>
      </c>
      <c r="EG135" s="2">
        <v>0.12802520000000001</v>
      </c>
      <c r="EH135" s="43" t="s">
        <v>1346</v>
      </c>
      <c r="EI135" s="43">
        <v>133</v>
      </c>
      <c r="EJ135" s="43">
        <v>55</v>
      </c>
      <c r="EK135" s="74">
        <f>SUM(SUMIFS(EG$14:EG$1004,EE$14:EE$1004,EJ135,ED$14:ED$1004,EI135,EF$14:EF$1004,0))</f>
        <v>3.4035570000000002</v>
      </c>
      <c r="ES135">
        <v>78</v>
      </c>
      <c r="ET135">
        <v>34</v>
      </c>
      <c r="EU135">
        <v>0</v>
      </c>
      <c r="EV135">
        <v>0.12802520000000001</v>
      </c>
    </row>
    <row r="136" spans="1:152" x14ac:dyDescent="0.4">
      <c r="A136" s="89"/>
      <c r="B136" s="2"/>
      <c r="C136" s="2"/>
      <c r="D136" s="2"/>
      <c r="E136" s="42" t="s">
        <v>589</v>
      </c>
      <c r="F136" s="42">
        <v>137</v>
      </c>
      <c r="G136" s="42">
        <v>55</v>
      </c>
      <c r="H136" s="74">
        <f>SUM(SUMIFS(D$14:D$1004,B$14:B$1004,G136,A$14:A$1004,F136,C$14:C$1004,0))</f>
        <v>0</v>
      </c>
      <c r="N136" s="89">
        <v>81</v>
      </c>
      <c r="O136" s="2">
        <v>32</v>
      </c>
      <c r="P136" s="2">
        <v>0</v>
      </c>
      <c r="Q136" s="2">
        <v>7.1326500000000001E-2</v>
      </c>
      <c r="R136" s="42" t="s">
        <v>589</v>
      </c>
      <c r="S136" s="42">
        <v>137</v>
      </c>
      <c r="T136" s="42">
        <v>55</v>
      </c>
      <c r="U136" s="74">
        <f>SUM(SUMIFS(Q$14:Q$1004,O$14:O$1004,T136,N$14:N$1004,S136,P$14:P$1004,0))</f>
        <v>0.01</v>
      </c>
      <c r="Z136" s="89">
        <v>73</v>
      </c>
      <c r="AA136" s="2">
        <v>33</v>
      </c>
      <c r="AB136" s="2">
        <v>0</v>
      </c>
      <c r="AC136" s="2">
        <v>2E-3</v>
      </c>
      <c r="AD136" s="42" t="s">
        <v>589</v>
      </c>
      <c r="AE136" s="42">
        <v>137</v>
      </c>
      <c r="AF136" s="42">
        <v>55</v>
      </c>
      <c r="AG136" s="74">
        <f>SUM(SUMIFS(AC$14:AC$1004,AA$14:AA$1004,AF136,Z$14:Z$1004,AE136,AB$14:AB$1004,0))</f>
        <v>2.1935E-2</v>
      </c>
      <c r="AL136" s="89">
        <v>75</v>
      </c>
      <c r="AM136" s="2">
        <v>33</v>
      </c>
      <c r="AN136" s="2">
        <v>0</v>
      </c>
      <c r="AO136" s="2">
        <v>0.657663</v>
      </c>
      <c r="AP136" s="42" t="s">
        <v>589</v>
      </c>
      <c r="AQ136" s="42">
        <v>137</v>
      </c>
      <c r="AR136" s="42">
        <v>55</v>
      </c>
      <c r="AS136" s="74">
        <f>SUM(SUMIFS(AO$14:AO$1004,AM$14:AM$1004,AR136,AL$14:AL$1004,AQ136,AN$14:AN$1004,0))</f>
        <v>9.0000010000000005E-3</v>
      </c>
      <c r="AX136" s="89">
        <v>81</v>
      </c>
      <c r="AY136" s="2">
        <v>34</v>
      </c>
      <c r="AZ136" s="2">
        <v>0</v>
      </c>
      <c r="BA136" s="2">
        <v>0.71124100000000001</v>
      </c>
      <c r="BB136" s="42" t="s">
        <v>589</v>
      </c>
      <c r="BC136" s="42">
        <v>137</v>
      </c>
      <c r="BD136" s="42">
        <v>55</v>
      </c>
      <c r="BE136" s="74">
        <f>SUM(SUMIFS(BA$14:BA$1004,AY$14:AY$1004,BD136,AX$14:AX$1004,BC136,AZ$14:AZ$1004,0))</f>
        <v>2.0775920000000001</v>
      </c>
      <c r="BJ136" s="89">
        <v>78</v>
      </c>
      <c r="BK136" s="2">
        <v>34</v>
      </c>
      <c r="BL136" s="2">
        <v>0</v>
      </c>
      <c r="BM136" s="2">
        <v>0.13404630000000001</v>
      </c>
      <c r="BN136" s="42" t="s">
        <v>589</v>
      </c>
      <c r="BO136" s="42">
        <v>137</v>
      </c>
      <c r="BP136" s="42">
        <v>55</v>
      </c>
      <c r="BQ136" s="74">
        <f>SUM(SUMIFS(BM$14:BM$1004,BK$14:BK$1004,BP136,BJ$14:BJ$1004,BO136,BL$14:BL$1004,0))</f>
        <v>1.4757990000000001</v>
      </c>
      <c r="BV136" s="89">
        <v>81</v>
      </c>
      <c r="BW136" s="2">
        <v>34</v>
      </c>
      <c r="BX136" s="2">
        <v>1</v>
      </c>
      <c r="BY136" s="2">
        <v>5.666554E-2</v>
      </c>
      <c r="BZ136" s="42" t="s">
        <v>589</v>
      </c>
      <c r="CA136" s="42">
        <v>137</v>
      </c>
      <c r="CB136" s="42">
        <v>55</v>
      </c>
      <c r="CC136" s="74">
        <f>SUM(SUMIFS(BY$14:BY$1004,BW$14:BW$1004,CB136,BV$14:BV$1004,CA136,BX$14:BX$1004,0))</f>
        <v>2.5804279999999999</v>
      </c>
      <c r="CH136" s="89">
        <v>79</v>
      </c>
      <c r="CI136" s="2">
        <v>34</v>
      </c>
      <c r="CJ136" s="2">
        <v>1</v>
      </c>
      <c r="CK136" s="2">
        <v>1.92E-3</v>
      </c>
      <c r="CL136" s="42" t="s">
        <v>589</v>
      </c>
      <c r="CM136" s="42">
        <v>137</v>
      </c>
      <c r="CN136" s="42">
        <v>55</v>
      </c>
      <c r="CO136" s="74">
        <f>SUM(SUMIFS(CK$14:CK$1004,CI$14:CI$1004,CN136,CH$14:CH$1004,CM136,CJ$14:CJ$1004,0))</f>
        <v>1.7047939999999999</v>
      </c>
      <c r="CT136" s="89">
        <v>86</v>
      </c>
      <c r="CU136" s="2">
        <v>33</v>
      </c>
      <c r="CV136" s="2">
        <v>0</v>
      </c>
      <c r="CW136" s="2">
        <v>3.0000000000000001E-3</v>
      </c>
      <c r="CX136" s="42" t="s">
        <v>589</v>
      </c>
      <c r="CY136" s="42">
        <v>137</v>
      </c>
      <c r="CZ136" s="42">
        <v>55</v>
      </c>
      <c r="DA136" s="74">
        <f>SUM(SUMIFS(CW$14:CW$1004,CU$14:CU$1004,CZ136,CT$14:CT$1004,CY136,CV$14:CV$1004,0))</f>
        <v>2.2690809999999999</v>
      </c>
      <c r="DF136" s="89">
        <v>87</v>
      </c>
      <c r="DG136" s="2">
        <v>34</v>
      </c>
      <c r="DH136" s="2">
        <v>0</v>
      </c>
      <c r="DI136" s="2">
        <v>0.324152</v>
      </c>
      <c r="DJ136" s="42" t="s">
        <v>589</v>
      </c>
      <c r="DK136" s="42">
        <v>137</v>
      </c>
      <c r="DL136" s="42">
        <v>55</v>
      </c>
      <c r="DM136" s="74">
        <f>SUM(SUMIFS(DI$14:DI$1004,DG$14:DG$1004,DL136,DF$14:DF$1004,DK136,DH$14:DH$1004,0))</f>
        <v>3.7564540000000002</v>
      </c>
      <c r="DR136" s="89">
        <v>80</v>
      </c>
      <c r="DS136" s="2">
        <v>32</v>
      </c>
      <c r="DT136" s="2">
        <v>0</v>
      </c>
      <c r="DU136" s="2">
        <v>0.4518741</v>
      </c>
      <c r="DV136" s="42" t="s">
        <v>589</v>
      </c>
      <c r="DW136" s="42">
        <v>137</v>
      </c>
      <c r="DX136" s="42">
        <v>55</v>
      </c>
      <c r="DY136" s="74">
        <f>SUM(SUMIFS(DU$14:DU$1004,DS$14:DS$1004,DX136,DR$14:DR$1004,DW136,DT$14:DT$1004,0))</f>
        <v>8.2663E-2</v>
      </c>
      <c r="ED136" s="89">
        <v>79</v>
      </c>
      <c r="EE136" s="2">
        <v>34</v>
      </c>
      <c r="EF136" s="2">
        <v>0</v>
      </c>
      <c r="EG136" s="2">
        <v>0.1649748</v>
      </c>
      <c r="EH136" s="42" t="s">
        <v>589</v>
      </c>
      <c r="EI136" s="42">
        <v>137</v>
      </c>
      <c r="EJ136" s="42">
        <v>55</v>
      </c>
      <c r="EK136" s="74">
        <f>SUM(SUMIFS(EG$14:EG$1004,EE$14:EE$1004,EJ136,ED$14:ED$1004,EI136,EF$14:EF$1004,0))</f>
        <v>2.2659340000000001</v>
      </c>
      <c r="ES136">
        <v>79</v>
      </c>
      <c r="ET136">
        <v>34</v>
      </c>
      <c r="EU136">
        <v>0</v>
      </c>
      <c r="EV136">
        <v>0.1649748</v>
      </c>
    </row>
    <row r="137" spans="1:152" x14ac:dyDescent="0.4">
      <c r="A137" s="89"/>
      <c r="B137" s="2"/>
      <c r="C137" s="2"/>
      <c r="D137" s="2"/>
      <c r="E137" s="43" t="s">
        <v>1336</v>
      </c>
      <c r="F137" s="43">
        <v>130</v>
      </c>
      <c r="G137" s="43">
        <v>56</v>
      </c>
      <c r="H137" s="74" cm="1">
        <f t="array" ref="H137">SUM(SUMIFS(D$14:D$1004,B$14:B$1004,G137:G143,A$14:A$1004,F137:F143,C$14:C$1004,0))-H136</f>
        <v>0</v>
      </c>
      <c r="N137" s="89">
        <v>81</v>
      </c>
      <c r="O137" s="2">
        <v>32</v>
      </c>
      <c r="P137" s="2">
        <v>1</v>
      </c>
      <c r="Q137" s="2">
        <v>4.0784999999999997E-3</v>
      </c>
      <c r="R137" s="43" t="s">
        <v>1336</v>
      </c>
      <c r="S137" s="43">
        <v>130</v>
      </c>
      <c r="T137" s="43">
        <v>56</v>
      </c>
      <c r="U137" s="74" cm="1">
        <f t="array" ref="U137">SUM(SUMIFS(Q$14:Q$1004,O$14:O$1004,T137:T143,N$14:N$1004,S137:S143,P$14:P$1004,0))-U136</f>
        <v>0.26350000001000001</v>
      </c>
      <c r="Z137" s="89">
        <v>74</v>
      </c>
      <c r="AA137" s="2">
        <v>33</v>
      </c>
      <c r="AB137" s="2">
        <v>0</v>
      </c>
      <c r="AC137" s="2">
        <v>7.0000000000000001E-3</v>
      </c>
      <c r="AD137" s="43" t="s">
        <v>1336</v>
      </c>
      <c r="AE137" s="43">
        <v>130</v>
      </c>
      <c r="AF137" s="43">
        <v>56</v>
      </c>
      <c r="AG137" s="74" cm="1">
        <f t="array" ref="AG137">SUM(SUMIFS(AC$14:AC$1004,AA$14:AA$1004,AF137:AF143,Z$14:Z$1004,AE137:AE143,AB$14:AB$1004,0))-AG136</f>
        <v>0.3569</v>
      </c>
      <c r="AL137" s="89">
        <v>75</v>
      </c>
      <c r="AM137" s="2">
        <v>33</v>
      </c>
      <c r="AN137" s="2">
        <v>1</v>
      </c>
      <c r="AO137" s="2">
        <v>5.0892920000000001E-2</v>
      </c>
      <c r="AP137" s="43" t="s">
        <v>1336</v>
      </c>
      <c r="AQ137" s="43">
        <v>130</v>
      </c>
      <c r="AR137" s="43">
        <v>56</v>
      </c>
      <c r="AS137" s="74" cm="1">
        <f t="array" ref="AS137">SUM(SUMIFS(AO$14:AO$1004,AM$14:AM$1004,AR137:AR143,AL$14:AL$1004,AQ137:AQ143,AN$14:AN$1004,0))-AS136</f>
        <v>0.51659600900000002</v>
      </c>
      <c r="AX137" s="89">
        <v>81</v>
      </c>
      <c r="AY137" s="2">
        <v>34</v>
      </c>
      <c r="AZ137" s="2">
        <v>1</v>
      </c>
      <c r="BA137" s="2">
        <v>9.7258700000000003E-2</v>
      </c>
      <c r="BB137" s="43" t="s">
        <v>1336</v>
      </c>
      <c r="BC137" s="43">
        <v>130</v>
      </c>
      <c r="BD137" s="43">
        <v>56</v>
      </c>
      <c r="BE137" s="74" cm="1">
        <f t="array" ref="BE137">SUM(SUMIFS(BA$14:BA$1004,AY$14:AY$1004,BD137:BD143,AX$14:AX$1004,BC137:BC143,AZ$14:AZ$1004,0))-BE136</f>
        <v>3.3198660000000002</v>
      </c>
      <c r="BJ137" s="89">
        <v>79</v>
      </c>
      <c r="BK137" s="2">
        <v>34</v>
      </c>
      <c r="BL137" s="2">
        <v>0</v>
      </c>
      <c r="BM137" s="2">
        <v>0.2149537</v>
      </c>
      <c r="BN137" s="43" t="s">
        <v>1336</v>
      </c>
      <c r="BO137" s="43">
        <v>130</v>
      </c>
      <c r="BP137" s="43">
        <v>56</v>
      </c>
      <c r="BQ137" s="74" cm="1">
        <f t="array" ref="BQ137">SUM(SUMIFS(BM$14:BM$1004,BK$14:BK$1004,BP137:BP143,BJ$14:BJ$1004,BO137:BO143,BL$14:BL$1004,0))-BQ136</f>
        <v>4.4353379999999998</v>
      </c>
      <c r="BV137" s="89">
        <v>82</v>
      </c>
      <c r="BW137" s="2">
        <v>34</v>
      </c>
      <c r="BX137" s="2">
        <v>0</v>
      </c>
      <c r="BY137" s="2">
        <v>0.37178699999999998</v>
      </c>
      <c r="BZ137" s="43" t="s">
        <v>1336</v>
      </c>
      <c r="CA137" s="43">
        <v>130</v>
      </c>
      <c r="CB137" s="43">
        <v>56</v>
      </c>
      <c r="CC137" s="74" cm="1">
        <f t="array" ref="CC137">SUM(SUMIFS(BY$14:BY$1004,BW$14:BW$1004,CB137:CB143,BV$14:BV$1004,CA137:CA143,BX$14:BX$1004,0))-CC136</f>
        <v>4.2267299999999999</v>
      </c>
      <c r="CH137" s="89">
        <v>80</v>
      </c>
      <c r="CI137" s="2">
        <v>34</v>
      </c>
      <c r="CJ137" s="2">
        <v>0</v>
      </c>
      <c r="CK137" s="2">
        <v>0.2707</v>
      </c>
      <c r="CL137" s="43" t="s">
        <v>1336</v>
      </c>
      <c r="CM137" s="43">
        <v>130</v>
      </c>
      <c r="CN137" s="43">
        <v>56</v>
      </c>
      <c r="CO137" s="74" cm="1">
        <f t="array" ref="CO137">SUM(SUMIFS(CK$14:CK$1004,CI$14:CI$1004,CN137:CN143,CH$14:CH$1004,CM137:CM143,CJ$14:CJ$1004,0))-CO136</f>
        <v>6.6264830000000003</v>
      </c>
      <c r="CT137" s="89">
        <v>87</v>
      </c>
      <c r="CU137" s="2">
        <v>33</v>
      </c>
      <c r="CV137" s="2">
        <v>0</v>
      </c>
      <c r="CW137" s="2">
        <v>2E-3</v>
      </c>
      <c r="CX137" s="43" t="s">
        <v>1336</v>
      </c>
      <c r="CY137" s="43">
        <v>130</v>
      </c>
      <c r="CZ137" s="43">
        <v>56</v>
      </c>
      <c r="DA137" s="74" cm="1">
        <f t="array" ref="DA137">SUM(SUMIFS(CW$14:CW$1004,CU$14:CU$1004,CZ137:CZ143,CT$14:CT$1004,CY137:CY143,CV$14:CV$1004,0))-DA136</f>
        <v>7.5315399999999997</v>
      </c>
      <c r="DF137" s="89">
        <v>88</v>
      </c>
      <c r="DG137" s="2">
        <v>34</v>
      </c>
      <c r="DH137" s="2">
        <v>0</v>
      </c>
      <c r="DI137" s="2">
        <v>0.17899999999999999</v>
      </c>
      <c r="DJ137" s="43" t="s">
        <v>1336</v>
      </c>
      <c r="DK137" s="43">
        <v>130</v>
      </c>
      <c r="DL137" s="43">
        <v>56</v>
      </c>
      <c r="DM137" s="74" cm="1">
        <f t="array" ref="DM137">SUM(SUMIFS(DI$14:DI$1004,DG$14:DG$1004,DL137:DL143,DF$14:DF$1004,DK137:DK143,DH$14:DH$1004,0))-DM136</f>
        <v>4.0958670099999992</v>
      </c>
      <c r="DR137" s="89">
        <v>81</v>
      </c>
      <c r="DS137" s="2">
        <v>32</v>
      </c>
      <c r="DT137" s="2">
        <v>0</v>
      </c>
      <c r="DU137" s="2">
        <v>0.2328132</v>
      </c>
      <c r="DV137" s="43" t="s">
        <v>1336</v>
      </c>
      <c r="DW137" s="43">
        <v>130</v>
      </c>
      <c r="DX137" s="43">
        <v>56</v>
      </c>
      <c r="DY137" s="74" cm="1">
        <f t="array" ref="DY137">SUM(SUMIFS(DU$14:DU$1004,DS$14:DS$1004,DX137:DX143,DR$14:DR$1004,DW137:DW143,DT$14:DT$1004,0))-DY136</f>
        <v>0.37934300000000004</v>
      </c>
      <c r="ED137" s="89">
        <v>80</v>
      </c>
      <c r="EE137" s="2">
        <v>34</v>
      </c>
      <c r="EF137" s="2">
        <v>0</v>
      </c>
      <c r="EG137" s="2">
        <v>0.246642</v>
      </c>
      <c r="EH137" s="43" t="s">
        <v>1336</v>
      </c>
      <c r="EI137" s="43">
        <v>130</v>
      </c>
      <c r="EJ137" s="43">
        <v>56</v>
      </c>
      <c r="EK137" s="74" cm="1">
        <f t="array" ref="EK137">SUM(SUMIFS(EG$14:EG$1004,EE$14:EE$1004,EJ137:EJ143,ED$14:ED$1004,EI137:EI143,EF$14:EF$1004,0))-EK136</f>
        <v>4.9317500999999986</v>
      </c>
      <c r="ES137">
        <v>80</v>
      </c>
      <c r="ET137">
        <v>34</v>
      </c>
      <c r="EU137">
        <v>0</v>
      </c>
      <c r="EV137">
        <v>0.246642</v>
      </c>
    </row>
    <row r="138" spans="1:152" x14ac:dyDescent="0.4">
      <c r="A138" s="89"/>
      <c r="B138" s="2"/>
      <c r="C138" s="2"/>
      <c r="D138" s="2"/>
      <c r="E138" s="43" t="s">
        <v>1336</v>
      </c>
      <c r="F138" s="43">
        <v>132</v>
      </c>
      <c r="G138" s="43">
        <v>56</v>
      </c>
      <c r="H138" s="74"/>
      <c r="N138" s="89">
        <v>82</v>
      </c>
      <c r="O138" s="2">
        <v>32</v>
      </c>
      <c r="P138" s="2">
        <v>0</v>
      </c>
      <c r="Q138" s="2">
        <v>2.7E-2</v>
      </c>
      <c r="R138" s="43" t="s">
        <v>1336</v>
      </c>
      <c r="S138" s="43">
        <v>132</v>
      </c>
      <c r="T138" s="43">
        <v>56</v>
      </c>
      <c r="U138" s="74"/>
      <c r="Z138" s="89">
        <v>75</v>
      </c>
      <c r="AA138" s="2">
        <v>33</v>
      </c>
      <c r="AB138" s="2">
        <v>0</v>
      </c>
      <c r="AC138" s="2">
        <v>0.63858879999999996</v>
      </c>
      <c r="AD138" s="43" t="s">
        <v>1336</v>
      </c>
      <c r="AE138" s="43">
        <v>132</v>
      </c>
      <c r="AF138" s="43">
        <v>56</v>
      </c>
      <c r="AG138" s="74"/>
      <c r="AL138" s="89">
        <v>76</v>
      </c>
      <c r="AM138" s="2">
        <v>33</v>
      </c>
      <c r="AN138" s="2">
        <v>0</v>
      </c>
      <c r="AO138" s="2">
        <v>0.17599999999999999</v>
      </c>
      <c r="AP138" s="43" t="s">
        <v>1336</v>
      </c>
      <c r="AQ138" s="43">
        <v>132</v>
      </c>
      <c r="AR138" s="43">
        <v>56</v>
      </c>
      <c r="AS138" s="74"/>
      <c r="AX138" s="89">
        <v>82</v>
      </c>
      <c r="AY138" s="2">
        <v>34</v>
      </c>
      <c r="AZ138" s="2">
        <v>0</v>
      </c>
      <c r="BA138" s="2">
        <v>0.99278710000000003</v>
      </c>
      <c r="BB138" s="43" t="s">
        <v>1336</v>
      </c>
      <c r="BC138" s="43">
        <v>132</v>
      </c>
      <c r="BD138" s="43">
        <v>56</v>
      </c>
      <c r="BE138" s="74"/>
      <c r="BJ138" s="89">
        <v>80</v>
      </c>
      <c r="BK138" s="2">
        <v>34</v>
      </c>
      <c r="BL138" s="2">
        <v>0</v>
      </c>
      <c r="BM138" s="2">
        <v>0.27072499999999999</v>
      </c>
      <c r="BN138" s="43" t="s">
        <v>1336</v>
      </c>
      <c r="BO138" s="43">
        <v>132</v>
      </c>
      <c r="BP138" s="43">
        <v>56</v>
      </c>
      <c r="BQ138" s="74"/>
      <c r="BV138" s="89">
        <v>83</v>
      </c>
      <c r="BW138" s="2">
        <v>34</v>
      </c>
      <c r="BX138" s="2">
        <v>0</v>
      </c>
      <c r="BY138" s="2">
        <v>0.28402359999999999</v>
      </c>
      <c r="BZ138" s="43" t="s">
        <v>1336</v>
      </c>
      <c r="CA138" s="43">
        <v>132</v>
      </c>
      <c r="CB138" s="43">
        <v>56</v>
      </c>
      <c r="CC138" s="74"/>
      <c r="CH138" s="89">
        <v>81</v>
      </c>
      <c r="CI138" s="2">
        <v>34</v>
      </c>
      <c r="CJ138" s="2">
        <v>0</v>
      </c>
      <c r="CK138" s="2">
        <v>0.28979939999999998</v>
      </c>
      <c r="CL138" s="43" t="s">
        <v>1336</v>
      </c>
      <c r="CM138" s="43">
        <v>132</v>
      </c>
      <c r="CN138" s="43">
        <v>56</v>
      </c>
      <c r="CO138" s="74"/>
      <c r="CT138" s="89">
        <v>88</v>
      </c>
      <c r="CU138" s="2">
        <v>33</v>
      </c>
      <c r="CV138" s="2">
        <v>0</v>
      </c>
      <c r="CW138" s="2">
        <v>1E-3</v>
      </c>
      <c r="CX138" s="43" t="s">
        <v>1336</v>
      </c>
      <c r="CY138" s="43">
        <v>132</v>
      </c>
      <c r="CZ138" s="43">
        <v>56</v>
      </c>
      <c r="DA138" s="74"/>
      <c r="DF138" s="89">
        <v>89</v>
      </c>
      <c r="DG138" s="2">
        <v>34</v>
      </c>
      <c r="DH138" s="2">
        <v>0</v>
      </c>
      <c r="DI138" s="2">
        <v>4.5999999999999999E-2</v>
      </c>
      <c r="DJ138" s="43" t="s">
        <v>1336</v>
      </c>
      <c r="DK138" s="43">
        <v>132</v>
      </c>
      <c r="DL138" s="43">
        <v>56</v>
      </c>
      <c r="DM138" s="74"/>
      <c r="DR138" s="89">
        <v>81</v>
      </c>
      <c r="DS138" s="2">
        <v>32</v>
      </c>
      <c r="DT138" s="2">
        <v>1</v>
      </c>
      <c r="DU138" s="2">
        <v>1.622972E-2</v>
      </c>
      <c r="DV138" s="43" t="s">
        <v>1336</v>
      </c>
      <c r="DW138" s="43">
        <v>132</v>
      </c>
      <c r="DX138" s="43">
        <v>56</v>
      </c>
      <c r="DY138" s="74"/>
      <c r="ED138" s="89">
        <v>81</v>
      </c>
      <c r="EE138" s="2">
        <v>34</v>
      </c>
      <c r="EF138" s="2">
        <v>0</v>
      </c>
      <c r="EG138" s="2">
        <v>0.28245389999999998</v>
      </c>
      <c r="EH138" s="43" t="s">
        <v>1336</v>
      </c>
      <c r="EI138" s="43">
        <v>132</v>
      </c>
      <c r="EJ138" s="43">
        <v>56</v>
      </c>
      <c r="EK138" s="74"/>
      <c r="ES138">
        <v>81</v>
      </c>
      <c r="ET138">
        <v>34</v>
      </c>
      <c r="EU138">
        <v>0</v>
      </c>
      <c r="EV138">
        <v>0.28245389999999998</v>
      </c>
    </row>
    <row r="139" spans="1:152" x14ac:dyDescent="0.4">
      <c r="A139" s="89"/>
      <c r="B139" s="2"/>
      <c r="C139" s="2"/>
      <c r="D139" s="2"/>
      <c r="E139" s="43" t="s">
        <v>1336</v>
      </c>
      <c r="F139" s="43">
        <v>134</v>
      </c>
      <c r="G139" s="43">
        <v>56</v>
      </c>
      <c r="H139" s="74"/>
      <c r="N139" s="89">
        <v>83</v>
      </c>
      <c r="O139" s="2">
        <v>32</v>
      </c>
      <c r="P139" s="2">
        <v>0</v>
      </c>
      <c r="Q139" s="2">
        <v>9.0000010000000005E-3</v>
      </c>
      <c r="R139" s="43" t="s">
        <v>1336</v>
      </c>
      <c r="S139" s="43">
        <v>134</v>
      </c>
      <c r="T139" s="43">
        <v>56</v>
      </c>
      <c r="U139" s="74"/>
      <c r="Z139" s="89">
        <v>75</v>
      </c>
      <c r="AA139" s="2">
        <v>33</v>
      </c>
      <c r="AB139" s="2">
        <v>1</v>
      </c>
      <c r="AC139" s="2">
        <v>1.61812E-2</v>
      </c>
      <c r="AD139" s="43" t="s">
        <v>1336</v>
      </c>
      <c r="AE139" s="43">
        <v>134</v>
      </c>
      <c r="AF139" s="43">
        <v>56</v>
      </c>
      <c r="AG139" s="74"/>
      <c r="AL139" s="89">
        <v>77</v>
      </c>
      <c r="AM139" s="2">
        <v>33</v>
      </c>
      <c r="AN139" s="2">
        <v>0</v>
      </c>
      <c r="AO139" s="2">
        <v>0.873</v>
      </c>
      <c r="AP139" s="43" t="s">
        <v>1336</v>
      </c>
      <c r="AQ139" s="43">
        <v>134</v>
      </c>
      <c r="AR139" s="43">
        <v>56</v>
      </c>
      <c r="AS139" s="74"/>
      <c r="AX139" s="89">
        <v>83</v>
      </c>
      <c r="AY139" s="2">
        <v>34</v>
      </c>
      <c r="AZ139" s="2">
        <v>0</v>
      </c>
      <c r="BA139" s="2">
        <v>0.70354879999999997</v>
      </c>
      <c r="BB139" s="43" t="s">
        <v>1336</v>
      </c>
      <c r="BC139" s="43">
        <v>134</v>
      </c>
      <c r="BD139" s="43">
        <v>56</v>
      </c>
      <c r="BE139" s="74"/>
      <c r="BJ139" s="89">
        <v>81</v>
      </c>
      <c r="BK139" s="2">
        <v>34</v>
      </c>
      <c r="BL139" s="2">
        <v>0</v>
      </c>
      <c r="BM139" s="2">
        <v>0.32566879999999998</v>
      </c>
      <c r="BN139" s="43" t="s">
        <v>1336</v>
      </c>
      <c r="BO139" s="43">
        <v>134</v>
      </c>
      <c r="BP139" s="43">
        <v>56</v>
      </c>
      <c r="BQ139" s="74"/>
      <c r="BV139" s="89">
        <v>83</v>
      </c>
      <c r="BW139" s="2">
        <v>34</v>
      </c>
      <c r="BX139" s="2">
        <v>1</v>
      </c>
      <c r="BY139" s="2">
        <v>0.16147719999999999</v>
      </c>
      <c r="BZ139" s="43" t="s">
        <v>1336</v>
      </c>
      <c r="CA139" s="43">
        <v>134</v>
      </c>
      <c r="CB139" s="43">
        <v>56</v>
      </c>
      <c r="CC139" s="74"/>
      <c r="CH139" s="89">
        <v>81</v>
      </c>
      <c r="CI139" s="2">
        <v>34</v>
      </c>
      <c r="CJ139" s="2">
        <v>1</v>
      </c>
      <c r="CK139" s="2">
        <v>0.116632</v>
      </c>
      <c r="CL139" s="43" t="s">
        <v>1336</v>
      </c>
      <c r="CM139" s="43">
        <v>134</v>
      </c>
      <c r="CN139" s="43">
        <v>56</v>
      </c>
      <c r="CO139" s="74"/>
      <c r="CT139" s="89">
        <v>76</v>
      </c>
      <c r="CU139" s="2">
        <v>34</v>
      </c>
      <c r="CV139" s="2">
        <v>0</v>
      </c>
      <c r="CW139" s="2">
        <v>5.0000000000000001E-3</v>
      </c>
      <c r="CX139" s="43" t="s">
        <v>1336</v>
      </c>
      <c r="CY139" s="43">
        <v>134</v>
      </c>
      <c r="CZ139" s="43">
        <v>56</v>
      </c>
      <c r="DA139" s="74"/>
      <c r="DF139" s="89">
        <v>90</v>
      </c>
      <c r="DG139" s="2">
        <v>34</v>
      </c>
      <c r="DH139" s="2">
        <v>0</v>
      </c>
      <c r="DI139" s="2">
        <v>1.7000000000000001E-2</v>
      </c>
      <c r="DJ139" s="43" t="s">
        <v>1336</v>
      </c>
      <c r="DK139" s="43">
        <v>134</v>
      </c>
      <c r="DL139" s="43">
        <v>56</v>
      </c>
      <c r="DM139" s="74"/>
      <c r="DR139" s="89">
        <v>82</v>
      </c>
      <c r="DS139" s="2">
        <v>32</v>
      </c>
      <c r="DT139" s="2">
        <v>0</v>
      </c>
      <c r="DU139" s="2">
        <v>0.13456299999999999</v>
      </c>
      <c r="DV139" s="43" t="s">
        <v>1336</v>
      </c>
      <c r="DW139" s="43">
        <v>134</v>
      </c>
      <c r="DX139" s="43">
        <v>56</v>
      </c>
      <c r="DY139" s="74"/>
      <c r="ED139" s="89">
        <v>81</v>
      </c>
      <c r="EE139" s="2">
        <v>34</v>
      </c>
      <c r="EF139" s="2">
        <v>1</v>
      </c>
      <c r="EG139" s="2">
        <v>0.1001577</v>
      </c>
      <c r="EH139" s="43" t="s">
        <v>1336</v>
      </c>
      <c r="EI139" s="43">
        <v>134</v>
      </c>
      <c r="EJ139" s="43">
        <v>56</v>
      </c>
      <c r="EK139" s="74"/>
      <c r="ES139">
        <v>81</v>
      </c>
      <c r="ET139">
        <v>34</v>
      </c>
      <c r="EU139">
        <v>1</v>
      </c>
      <c r="EV139">
        <v>0.1001577</v>
      </c>
    </row>
    <row r="140" spans="1:152" x14ac:dyDescent="0.4">
      <c r="A140" s="89"/>
      <c r="B140" s="2"/>
      <c r="C140" s="2"/>
      <c r="D140" s="2"/>
      <c r="E140" s="43" t="s">
        <v>1336</v>
      </c>
      <c r="F140" s="43">
        <v>135</v>
      </c>
      <c r="G140" s="43">
        <v>56</v>
      </c>
      <c r="H140" s="74"/>
      <c r="N140" s="89">
        <v>84</v>
      </c>
      <c r="O140" s="2">
        <v>32</v>
      </c>
      <c r="P140" s="2">
        <v>0</v>
      </c>
      <c r="Q140" s="2">
        <v>6.0000000000000001E-3</v>
      </c>
      <c r="R140" s="43" t="s">
        <v>1336</v>
      </c>
      <c r="S140" s="43">
        <v>135</v>
      </c>
      <c r="T140" s="43">
        <v>56</v>
      </c>
      <c r="U140" s="74"/>
      <c r="Z140" s="89">
        <v>76</v>
      </c>
      <c r="AA140" s="2">
        <v>33</v>
      </c>
      <c r="AB140" s="2">
        <v>0</v>
      </c>
      <c r="AC140" s="2">
        <v>8.3000000000000004E-2</v>
      </c>
      <c r="AD140" s="43" t="s">
        <v>1336</v>
      </c>
      <c r="AE140" s="43">
        <v>135</v>
      </c>
      <c r="AF140" s="43">
        <v>56</v>
      </c>
      <c r="AG140" s="74"/>
      <c r="AL140" s="89">
        <v>78</v>
      </c>
      <c r="AM140" s="2">
        <v>33</v>
      </c>
      <c r="AN140" s="2">
        <v>0</v>
      </c>
      <c r="AO140" s="2">
        <v>0.8410126</v>
      </c>
      <c r="AP140" s="43" t="s">
        <v>1336</v>
      </c>
      <c r="AQ140" s="43">
        <v>135</v>
      </c>
      <c r="AR140" s="43">
        <v>56</v>
      </c>
      <c r="AS140" s="74"/>
      <c r="AX140" s="89">
        <v>83</v>
      </c>
      <c r="AY140" s="2">
        <v>34</v>
      </c>
      <c r="AZ140" s="2">
        <v>1</v>
      </c>
      <c r="BA140" s="2">
        <v>0.3924318</v>
      </c>
      <c r="BB140" s="43" t="s">
        <v>1336</v>
      </c>
      <c r="BC140" s="43">
        <v>135</v>
      </c>
      <c r="BD140" s="43">
        <v>56</v>
      </c>
      <c r="BE140" s="74"/>
      <c r="BJ140" s="89">
        <v>81</v>
      </c>
      <c r="BK140" s="2">
        <v>34</v>
      </c>
      <c r="BL140" s="2">
        <v>1</v>
      </c>
      <c r="BM140" s="2">
        <v>9.7385959999999994E-2</v>
      </c>
      <c r="BN140" s="43" t="s">
        <v>1336</v>
      </c>
      <c r="BO140" s="43">
        <v>135</v>
      </c>
      <c r="BP140" s="43">
        <v>56</v>
      </c>
      <c r="BQ140" s="74"/>
      <c r="BV140" s="89">
        <v>84</v>
      </c>
      <c r="BW140" s="2">
        <v>34</v>
      </c>
      <c r="BX140" s="2">
        <v>0</v>
      </c>
      <c r="BY140" s="2">
        <v>0.54971769999999998</v>
      </c>
      <c r="BZ140" s="43" t="s">
        <v>1336</v>
      </c>
      <c r="CA140" s="43">
        <v>135</v>
      </c>
      <c r="CB140" s="43">
        <v>56</v>
      </c>
      <c r="CC140" s="74"/>
      <c r="CH140" s="89">
        <v>82</v>
      </c>
      <c r="CI140" s="2">
        <v>34</v>
      </c>
      <c r="CJ140" s="2">
        <v>0</v>
      </c>
      <c r="CK140" s="2">
        <v>0.30499999999999999</v>
      </c>
      <c r="CL140" s="43" t="s">
        <v>1336</v>
      </c>
      <c r="CM140" s="43">
        <v>135</v>
      </c>
      <c r="CN140" s="43">
        <v>56</v>
      </c>
      <c r="CO140" s="74"/>
      <c r="CT140" s="89">
        <v>77</v>
      </c>
      <c r="CU140" s="2">
        <v>34</v>
      </c>
      <c r="CV140" s="2">
        <v>0</v>
      </c>
      <c r="CW140" s="2">
        <v>0.10299999999999999</v>
      </c>
      <c r="CX140" s="43" t="s">
        <v>1336</v>
      </c>
      <c r="CY140" s="43">
        <v>135</v>
      </c>
      <c r="CZ140" s="43">
        <v>56</v>
      </c>
      <c r="DA140" s="74"/>
      <c r="DF140" s="89">
        <v>91</v>
      </c>
      <c r="DG140" s="2">
        <v>34</v>
      </c>
      <c r="DH140" s="2">
        <v>0</v>
      </c>
      <c r="DI140" s="2">
        <v>5.0000000000000001E-3</v>
      </c>
      <c r="DJ140" s="43" t="s">
        <v>1336</v>
      </c>
      <c r="DK140" s="43">
        <v>135</v>
      </c>
      <c r="DL140" s="43">
        <v>56</v>
      </c>
      <c r="DM140" s="74"/>
      <c r="DR140" s="89">
        <v>83</v>
      </c>
      <c r="DS140" s="2">
        <v>32</v>
      </c>
      <c r="DT140" s="2">
        <v>0</v>
      </c>
      <c r="DU140" s="2">
        <v>3.9219999999999998E-2</v>
      </c>
      <c r="DV140" s="43" t="s">
        <v>1336</v>
      </c>
      <c r="DW140" s="43">
        <v>135</v>
      </c>
      <c r="DX140" s="43">
        <v>56</v>
      </c>
      <c r="DY140" s="74"/>
      <c r="ED140" s="89">
        <v>82</v>
      </c>
      <c r="EE140" s="2">
        <v>34</v>
      </c>
      <c r="EF140" s="2">
        <v>0</v>
      </c>
      <c r="EG140" s="2">
        <v>0.31436999999999998</v>
      </c>
      <c r="EH140" s="43" t="s">
        <v>1336</v>
      </c>
      <c r="EI140" s="43">
        <v>135</v>
      </c>
      <c r="EJ140" s="43">
        <v>56</v>
      </c>
      <c r="EK140" s="74"/>
      <c r="ES140">
        <v>82</v>
      </c>
      <c r="ET140">
        <v>34</v>
      </c>
      <c r="EU140">
        <v>0</v>
      </c>
      <c r="EV140">
        <v>0.31436999999999998</v>
      </c>
    </row>
    <row r="141" spans="1:152" x14ac:dyDescent="0.4">
      <c r="A141" s="89"/>
      <c r="B141" s="2"/>
      <c r="C141" s="2"/>
      <c r="D141" s="2"/>
      <c r="E141" s="43" t="s">
        <v>1336</v>
      </c>
      <c r="F141" s="43">
        <v>136</v>
      </c>
      <c r="G141" s="43">
        <v>56</v>
      </c>
      <c r="H141" s="74"/>
      <c r="N141" s="89">
        <v>85</v>
      </c>
      <c r="O141" s="2">
        <v>32</v>
      </c>
      <c r="P141" s="2">
        <v>0</v>
      </c>
      <c r="Q141" s="2">
        <v>1E-3</v>
      </c>
      <c r="R141" s="43" t="s">
        <v>1336</v>
      </c>
      <c r="S141" s="43">
        <v>136</v>
      </c>
      <c r="T141" s="43">
        <v>56</v>
      </c>
      <c r="U141" s="74"/>
      <c r="Z141" s="89">
        <v>77</v>
      </c>
      <c r="AA141" s="2">
        <v>33</v>
      </c>
      <c r="AB141" s="2">
        <v>0</v>
      </c>
      <c r="AC141" s="2">
        <v>0.85099999999999998</v>
      </c>
      <c r="AD141" s="43" t="s">
        <v>1336</v>
      </c>
      <c r="AE141" s="43">
        <v>136</v>
      </c>
      <c r="AF141" s="43">
        <v>56</v>
      </c>
      <c r="AG141" s="74"/>
      <c r="AL141" s="89">
        <v>79</v>
      </c>
      <c r="AM141" s="2">
        <v>33</v>
      </c>
      <c r="AN141" s="2">
        <v>0</v>
      </c>
      <c r="AO141" s="2">
        <v>0.70598749999999999</v>
      </c>
      <c r="AP141" s="43" t="s">
        <v>1336</v>
      </c>
      <c r="AQ141" s="43">
        <v>136</v>
      </c>
      <c r="AR141" s="43">
        <v>56</v>
      </c>
      <c r="AS141" s="74"/>
      <c r="AX141" s="89">
        <v>84</v>
      </c>
      <c r="AY141" s="2">
        <v>34</v>
      </c>
      <c r="AZ141" s="2">
        <v>0</v>
      </c>
      <c r="BA141" s="2">
        <v>1.1639090000000001</v>
      </c>
      <c r="BB141" s="43" t="s">
        <v>1336</v>
      </c>
      <c r="BC141" s="43">
        <v>136</v>
      </c>
      <c r="BD141" s="43">
        <v>56</v>
      </c>
      <c r="BE141" s="74"/>
      <c r="BJ141" s="89">
        <v>82</v>
      </c>
      <c r="BK141" s="2">
        <v>34</v>
      </c>
      <c r="BL141" s="2">
        <v>0</v>
      </c>
      <c r="BM141" s="2">
        <v>0.41478700000000002</v>
      </c>
      <c r="BN141" s="43" t="s">
        <v>1336</v>
      </c>
      <c r="BO141" s="43">
        <v>136</v>
      </c>
      <c r="BP141" s="43">
        <v>56</v>
      </c>
      <c r="BQ141" s="74"/>
      <c r="BV141" s="89">
        <v>85</v>
      </c>
      <c r="BW141" s="2">
        <v>34</v>
      </c>
      <c r="BX141" s="2">
        <v>0</v>
      </c>
      <c r="BY141" s="2">
        <v>0.3847216</v>
      </c>
      <c r="BZ141" s="43" t="s">
        <v>1336</v>
      </c>
      <c r="CA141" s="43">
        <v>136</v>
      </c>
      <c r="CB141" s="43">
        <v>56</v>
      </c>
      <c r="CC141" s="74"/>
      <c r="CH141" s="89">
        <v>83</v>
      </c>
      <c r="CI141" s="2">
        <v>34</v>
      </c>
      <c r="CJ141" s="2">
        <v>0</v>
      </c>
      <c r="CK141" s="2">
        <v>0.2143998</v>
      </c>
      <c r="CL141" s="43" t="s">
        <v>1336</v>
      </c>
      <c r="CM141" s="43">
        <v>136</v>
      </c>
      <c r="CN141" s="43">
        <v>56</v>
      </c>
      <c r="CO141" s="74"/>
      <c r="CT141" s="89">
        <v>77</v>
      </c>
      <c r="CU141" s="2">
        <v>34</v>
      </c>
      <c r="CV141" s="2">
        <v>1</v>
      </c>
      <c r="CW141" s="2">
        <v>1E-3</v>
      </c>
      <c r="CX141" s="43" t="s">
        <v>1336</v>
      </c>
      <c r="CY141" s="43">
        <v>136</v>
      </c>
      <c r="CZ141" s="43">
        <v>56</v>
      </c>
      <c r="DA141" s="74"/>
      <c r="DF141" s="89">
        <v>92</v>
      </c>
      <c r="DG141" s="2">
        <v>34</v>
      </c>
      <c r="DH141" s="2">
        <v>0</v>
      </c>
      <c r="DI141" s="2">
        <v>2E-3</v>
      </c>
      <c r="DJ141" s="43" t="s">
        <v>1336</v>
      </c>
      <c r="DK141" s="43">
        <v>136</v>
      </c>
      <c r="DL141" s="43">
        <v>56</v>
      </c>
      <c r="DM141" s="74"/>
      <c r="DR141" s="89">
        <v>84</v>
      </c>
      <c r="DS141" s="2">
        <v>32</v>
      </c>
      <c r="DT141" s="2">
        <v>0</v>
      </c>
      <c r="DU141" s="2">
        <v>2.1299999999999999E-2</v>
      </c>
      <c r="DV141" s="43" t="s">
        <v>1336</v>
      </c>
      <c r="DW141" s="43">
        <v>136</v>
      </c>
      <c r="DX141" s="43">
        <v>56</v>
      </c>
      <c r="DY141" s="74"/>
      <c r="ED141" s="89">
        <v>83</v>
      </c>
      <c r="EE141" s="2">
        <v>34</v>
      </c>
      <c r="EF141" s="2">
        <v>0</v>
      </c>
      <c r="EG141" s="2">
        <v>0.24987280000000001</v>
      </c>
      <c r="EH141" s="43" t="s">
        <v>1336</v>
      </c>
      <c r="EI141" s="43">
        <v>136</v>
      </c>
      <c r="EJ141" s="43">
        <v>56</v>
      </c>
      <c r="EK141" s="74"/>
      <c r="ES141">
        <v>83</v>
      </c>
      <c r="ET141">
        <v>34</v>
      </c>
      <c r="EU141">
        <v>0</v>
      </c>
      <c r="EV141">
        <v>0.24987280000000001</v>
      </c>
    </row>
    <row r="142" spans="1:152" x14ac:dyDescent="0.4">
      <c r="A142" s="89"/>
      <c r="B142" s="2"/>
      <c r="C142" s="2"/>
      <c r="D142" s="2"/>
      <c r="E142" s="43" t="s">
        <v>1336</v>
      </c>
      <c r="F142" s="43">
        <v>137</v>
      </c>
      <c r="G142" s="43">
        <v>56</v>
      </c>
      <c r="H142" s="74"/>
      <c r="N142" s="89">
        <v>86</v>
      </c>
      <c r="O142" s="2">
        <v>32</v>
      </c>
      <c r="P142" s="2">
        <v>0</v>
      </c>
      <c r="Q142" s="2">
        <v>2E-3</v>
      </c>
      <c r="R142" s="43" t="s">
        <v>1336</v>
      </c>
      <c r="S142" s="43">
        <v>137</v>
      </c>
      <c r="T142" s="43">
        <v>56</v>
      </c>
      <c r="U142" s="74"/>
      <c r="Z142" s="89">
        <v>78</v>
      </c>
      <c r="AA142" s="2">
        <v>33</v>
      </c>
      <c r="AB142" s="2">
        <v>0</v>
      </c>
      <c r="AC142" s="2">
        <v>0.92762009999999995</v>
      </c>
      <c r="AD142" s="43" t="s">
        <v>1336</v>
      </c>
      <c r="AE142" s="43">
        <v>137</v>
      </c>
      <c r="AF142" s="43">
        <v>56</v>
      </c>
      <c r="AG142" s="74"/>
      <c r="AL142" s="89">
        <v>80</v>
      </c>
      <c r="AM142" s="2">
        <v>33</v>
      </c>
      <c r="AN142" s="2">
        <v>0</v>
      </c>
      <c r="AO142" s="2">
        <v>0.49223800000000001</v>
      </c>
      <c r="AP142" s="43" t="s">
        <v>1336</v>
      </c>
      <c r="AQ142" s="43">
        <v>137</v>
      </c>
      <c r="AR142" s="43">
        <v>56</v>
      </c>
      <c r="AS142" s="74"/>
      <c r="AX142" s="89">
        <v>85</v>
      </c>
      <c r="AY142" s="2">
        <v>34</v>
      </c>
      <c r="AZ142" s="2">
        <v>0</v>
      </c>
      <c r="BA142" s="2">
        <v>0.66204079999999998</v>
      </c>
      <c r="BB142" s="43" t="s">
        <v>1336</v>
      </c>
      <c r="BC142" s="43">
        <v>137</v>
      </c>
      <c r="BD142" s="43">
        <v>56</v>
      </c>
      <c r="BE142" s="74"/>
      <c r="BJ142" s="89">
        <v>83</v>
      </c>
      <c r="BK142" s="2">
        <v>34</v>
      </c>
      <c r="BL142" s="2">
        <v>0</v>
      </c>
      <c r="BM142" s="2">
        <v>0.33742450000000002</v>
      </c>
      <c r="BN142" s="43" t="s">
        <v>1336</v>
      </c>
      <c r="BO142" s="43">
        <v>137</v>
      </c>
      <c r="BP142" s="43">
        <v>56</v>
      </c>
      <c r="BQ142" s="74"/>
      <c r="BV142" s="89">
        <v>86</v>
      </c>
      <c r="BW142" s="2">
        <v>34</v>
      </c>
      <c r="BX142" s="2">
        <v>0</v>
      </c>
      <c r="BY142" s="2">
        <v>0.28913800000000001</v>
      </c>
      <c r="BZ142" s="43" t="s">
        <v>1336</v>
      </c>
      <c r="CA142" s="43">
        <v>137</v>
      </c>
      <c r="CB142" s="43">
        <v>56</v>
      </c>
      <c r="CC142" s="74"/>
      <c r="CH142" s="89">
        <v>83</v>
      </c>
      <c r="CI142" s="2">
        <v>34</v>
      </c>
      <c r="CJ142" s="2">
        <v>1</v>
      </c>
      <c r="CK142" s="2">
        <v>6.6774410000000006E-2</v>
      </c>
      <c r="CL142" s="43" t="s">
        <v>1336</v>
      </c>
      <c r="CM142" s="43">
        <v>137</v>
      </c>
      <c r="CN142" s="43">
        <v>56</v>
      </c>
      <c r="CO142" s="74"/>
      <c r="CT142" s="89">
        <v>78</v>
      </c>
      <c r="CU142" s="2">
        <v>34</v>
      </c>
      <c r="CV142" s="2">
        <v>0</v>
      </c>
      <c r="CW142" s="2">
        <v>0.12705340000000001</v>
      </c>
      <c r="CX142" s="43" t="s">
        <v>1336</v>
      </c>
      <c r="CY142" s="43">
        <v>137</v>
      </c>
      <c r="CZ142" s="43">
        <v>56</v>
      </c>
      <c r="DA142" s="74"/>
      <c r="DF142" s="89">
        <v>93</v>
      </c>
      <c r="DG142" s="2">
        <v>34</v>
      </c>
      <c r="DH142" s="2">
        <v>0</v>
      </c>
      <c r="DI142" s="2">
        <v>2E-3</v>
      </c>
      <c r="DJ142" s="43" t="s">
        <v>1336</v>
      </c>
      <c r="DK142" s="43">
        <v>137</v>
      </c>
      <c r="DL142" s="43">
        <v>56</v>
      </c>
      <c r="DM142" s="74"/>
      <c r="DR142" s="89">
        <v>85</v>
      </c>
      <c r="DS142" s="2">
        <v>32</v>
      </c>
      <c r="DT142" s="2">
        <v>0</v>
      </c>
      <c r="DU142" s="2">
        <v>7.0000000000000001E-3</v>
      </c>
      <c r="DV142" s="43" t="s">
        <v>1336</v>
      </c>
      <c r="DW142" s="43">
        <v>137</v>
      </c>
      <c r="DX142" s="43">
        <v>56</v>
      </c>
      <c r="DY142" s="74"/>
      <c r="ED142" s="89">
        <v>83</v>
      </c>
      <c r="EE142" s="2">
        <v>34</v>
      </c>
      <c r="EF142" s="2">
        <v>1</v>
      </c>
      <c r="EG142" s="2">
        <v>0.1093102</v>
      </c>
      <c r="EH142" s="43" t="s">
        <v>1336</v>
      </c>
      <c r="EI142" s="43">
        <v>137</v>
      </c>
      <c r="EJ142" s="43">
        <v>56</v>
      </c>
      <c r="EK142" s="74"/>
      <c r="ES142">
        <v>83</v>
      </c>
      <c r="ET142">
        <v>34</v>
      </c>
      <c r="EU142">
        <v>1</v>
      </c>
      <c r="EV142">
        <v>0.1093102</v>
      </c>
    </row>
    <row r="143" spans="1:152" x14ac:dyDescent="0.4">
      <c r="A143" s="89"/>
      <c r="B143" s="2"/>
      <c r="C143" s="2"/>
      <c r="D143" s="2"/>
      <c r="E143" s="43" t="s">
        <v>1336</v>
      </c>
      <c r="F143" s="43">
        <v>138</v>
      </c>
      <c r="G143" s="43">
        <v>56</v>
      </c>
      <c r="H143" s="74"/>
      <c r="N143" s="89">
        <v>74</v>
      </c>
      <c r="O143" s="2">
        <v>33</v>
      </c>
      <c r="P143" s="2">
        <v>0</v>
      </c>
      <c r="Q143" s="2">
        <v>1.4999999999999999E-2</v>
      </c>
      <c r="R143" s="43" t="s">
        <v>1336</v>
      </c>
      <c r="S143" s="43">
        <v>138</v>
      </c>
      <c r="T143" s="43">
        <v>56</v>
      </c>
      <c r="U143" s="74"/>
      <c r="Z143" s="89">
        <v>79</v>
      </c>
      <c r="AA143" s="2">
        <v>33</v>
      </c>
      <c r="AB143" s="2">
        <v>0</v>
      </c>
      <c r="AC143" s="2">
        <v>0.85738000000000003</v>
      </c>
      <c r="AD143" s="43" t="s">
        <v>1336</v>
      </c>
      <c r="AE143" s="43">
        <v>138</v>
      </c>
      <c r="AF143" s="43">
        <v>56</v>
      </c>
      <c r="AG143" s="74"/>
      <c r="AL143" s="89">
        <v>81</v>
      </c>
      <c r="AM143" s="2">
        <v>33</v>
      </c>
      <c r="AN143" s="2">
        <v>0</v>
      </c>
      <c r="AO143" s="2">
        <v>0.352188</v>
      </c>
      <c r="AP143" s="43" t="s">
        <v>1336</v>
      </c>
      <c r="AQ143" s="43">
        <v>138</v>
      </c>
      <c r="AR143" s="43">
        <v>56</v>
      </c>
      <c r="AS143" s="74"/>
      <c r="AX143" s="89">
        <v>86</v>
      </c>
      <c r="AY143" s="2">
        <v>34</v>
      </c>
      <c r="AZ143" s="2">
        <v>0</v>
      </c>
      <c r="BA143" s="2">
        <v>0.384994</v>
      </c>
      <c r="BB143" s="43" t="s">
        <v>1336</v>
      </c>
      <c r="BC143" s="43">
        <v>138</v>
      </c>
      <c r="BD143" s="43">
        <v>56</v>
      </c>
      <c r="BE143" s="74"/>
      <c r="BJ143" s="89">
        <v>83</v>
      </c>
      <c r="BK143" s="2">
        <v>34</v>
      </c>
      <c r="BL143" s="2">
        <v>1</v>
      </c>
      <c r="BM143" s="2">
        <v>0.13704759999999999</v>
      </c>
      <c r="BN143" s="43" t="s">
        <v>1336</v>
      </c>
      <c r="BO143" s="43">
        <v>138</v>
      </c>
      <c r="BP143" s="43">
        <v>56</v>
      </c>
      <c r="BQ143" s="74"/>
      <c r="BV143" s="89">
        <v>87</v>
      </c>
      <c r="BW143" s="2">
        <v>34</v>
      </c>
      <c r="BX143" s="2">
        <v>0</v>
      </c>
      <c r="BY143" s="2">
        <v>0.14292199999999999</v>
      </c>
      <c r="BZ143" s="43" t="s">
        <v>1336</v>
      </c>
      <c r="CA143" s="43">
        <v>138</v>
      </c>
      <c r="CB143" s="43">
        <v>56</v>
      </c>
      <c r="CC143" s="74"/>
      <c r="CH143" s="89">
        <v>84</v>
      </c>
      <c r="CI143" s="2">
        <v>34</v>
      </c>
      <c r="CJ143" s="2">
        <v>0</v>
      </c>
      <c r="CK143" s="2">
        <v>0.26191500000000001</v>
      </c>
      <c r="CL143" s="43" t="s">
        <v>1336</v>
      </c>
      <c r="CM143" s="43">
        <v>138</v>
      </c>
      <c r="CN143" s="43">
        <v>56</v>
      </c>
      <c r="CO143" s="74"/>
      <c r="CT143" s="89">
        <v>79</v>
      </c>
      <c r="CU143" s="2">
        <v>34</v>
      </c>
      <c r="CV143" s="2">
        <v>0</v>
      </c>
      <c r="CW143" s="2">
        <v>0.16494539999999999</v>
      </c>
      <c r="CX143" s="43" t="s">
        <v>1336</v>
      </c>
      <c r="CY143" s="43">
        <v>138</v>
      </c>
      <c r="CZ143" s="43">
        <v>56</v>
      </c>
      <c r="DA143" s="74"/>
      <c r="DF143" s="89">
        <v>79</v>
      </c>
      <c r="DG143" s="2">
        <v>35</v>
      </c>
      <c r="DH143" s="2">
        <v>0</v>
      </c>
      <c r="DI143" s="2">
        <v>0.2421961</v>
      </c>
      <c r="DJ143" s="43" t="s">
        <v>1336</v>
      </c>
      <c r="DK143" s="43">
        <v>138</v>
      </c>
      <c r="DL143" s="43">
        <v>56</v>
      </c>
      <c r="DM143" s="74"/>
      <c r="DR143" s="89">
        <v>86</v>
      </c>
      <c r="DS143" s="2">
        <v>32</v>
      </c>
      <c r="DT143" s="2">
        <v>0</v>
      </c>
      <c r="DU143" s="2">
        <v>3.0000000000000001E-3</v>
      </c>
      <c r="DV143" s="43" t="s">
        <v>1336</v>
      </c>
      <c r="DW143" s="43">
        <v>138</v>
      </c>
      <c r="DX143" s="43">
        <v>56</v>
      </c>
      <c r="DY143" s="74"/>
      <c r="ED143" s="89">
        <v>84</v>
      </c>
      <c r="EE143" s="2">
        <v>34</v>
      </c>
      <c r="EF143" s="2">
        <v>0</v>
      </c>
      <c r="EG143" s="2">
        <v>0.35537619999999998</v>
      </c>
      <c r="EH143" s="43" t="s">
        <v>1336</v>
      </c>
      <c r="EI143" s="43">
        <v>138</v>
      </c>
      <c r="EJ143" s="43">
        <v>56</v>
      </c>
      <c r="EK143" s="74"/>
      <c r="ES143">
        <v>84</v>
      </c>
      <c r="ET143">
        <v>34</v>
      </c>
      <c r="EU143">
        <v>0</v>
      </c>
      <c r="EV143">
        <v>0.35537619999999998</v>
      </c>
    </row>
    <row r="144" spans="1:152" x14ac:dyDescent="0.4">
      <c r="A144" s="89"/>
      <c r="B144" s="2"/>
      <c r="C144" s="2"/>
      <c r="D144" s="2"/>
      <c r="E144" s="42" t="s">
        <v>1345</v>
      </c>
      <c r="F144" s="42">
        <v>138</v>
      </c>
      <c r="G144" s="42">
        <v>57</v>
      </c>
      <c r="H144" s="74" cm="1">
        <f t="array" ref="H144">SUM(SUMIFS(D$14:D$1004,B$14:B$1004,G144:G145,A$14:A$1004,F144:F145,C$14:C$1004,0))</f>
        <v>0</v>
      </c>
      <c r="N144" s="89">
        <v>75</v>
      </c>
      <c r="O144" s="2">
        <v>33</v>
      </c>
      <c r="P144" s="2">
        <v>0</v>
      </c>
      <c r="Q144" s="2">
        <v>1.085464</v>
      </c>
      <c r="R144" s="42" t="s">
        <v>1345</v>
      </c>
      <c r="S144" s="42">
        <v>138</v>
      </c>
      <c r="T144" s="42">
        <v>57</v>
      </c>
      <c r="U144" s="74" cm="1">
        <f t="array" ref="U144">SUM(SUMIFS(Q$14:Q$1004,O$14:O$1004,T144:T145,N$14:N$1004,S144:S145,P$14:P$1004,0))</f>
        <v>6.9000000000000006E-2</v>
      </c>
      <c r="Z144" s="89">
        <v>80</v>
      </c>
      <c r="AA144" s="2">
        <v>33</v>
      </c>
      <c r="AB144" s="2">
        <v>0</v>
      </c>
      <c r="AC144" s="2">
        <v>0.75095210000000001</v>
      </c>
      <c r="AD144" s="42" t="s">
        <v>1345</v>
      </c>
      <c r="AE144" s="42">
        <v>138</v>
      </c>
      <c r="AF144" s="42">
        <v>57</v>
      </c>
      <c r="AG144" s="74" cm="1">
        <f t="array" ref="AG144">SUM(SUMIFS(AC$14:AC$1004,AA$14:AA$1004,AF144:AF145,Z$14:Z$1004,AE144:AE145,AB$14:AB$1004,0))</f>
        <v>9.1999999999999998E-2</v>
      </c>
      <c r="AL144" s="89">
        <v>82</v>
      </c>
      <c r="AM144" s="2">
        <v>33</v>
      </c>
      <c r="AN144" s="2">
        <v>0</v>
      </c>
      <c r="AO144" s="2">
        <v>5.4668969999999997E-2</v>
      </c>
      <c r="AP144" s="42" t="s">
        <v>1345</v>
      </c>
      <c r="AQ144" s="42">
        <v>138</v>
      </c>
      <c r="AR144" s="42">
        <v>57</v>
      </c>
      <c r="AS144" s="74" cm="1">
        <f t="array" ref="AS144">SUM(SUMIFS(AO$14:AO$1004,AM$14:AM$1004,AR144:AR145,AL$14:AL$1004,AQ144:AQ145,AN$14:AN$1004,0))</f>
        <v>9.0000000000000011E-2</v>
      </c>
      <c r="AX144" s="89">
        <v>87</v>
      </c>
      <c r="AY144" s="2">
        <v>34</v>
      </c>
      <c r="AZ144" s="2">
        <v>0</v>
      </c>
      <c r="BA144" s="2">
        <v>0.15607599999999999</v>
      </c>
      <c r="BB144" s="42" t="s">
        <v>1345</v>
      </c>
      <c r="BC144" s="42">
        <v>138</v>
      </c>
      <c r="BD144" s="42">
        <v>57</v>
      </c>
      <c r="BE144" s="74" cm="1">
        <f t="array" ref="BE144">SUM(SUMIFS(BA$14:BA$1004,AY$14:AY$1004,BD144:BD145,AX$14:AX$1004,BC144:BC145,AZ$14:AZ$1004,0))</f>
        <v>2.075955</v>
      </c>
      <c r="BJ144" s="89">
        <v>84</v>
      </c>
      <c r="BK144" s="2">
        <v>34</v>
      </c>
      <c r="BL144" s="2">
        <v>0</v>
      </c>
      <c r="BM144" s="2">
        <v>0.4415772</v>
      </c>
      <c r="BN144" s="42" t="s">
        <v>1345</v>
      </c>
      <c r="BO144" s="42">
        <v>138</v>
      </c>
      <c r="BP144" s="42">
        <v>57</v>
      </c>
      <c r="BQ144" s="74" cm="1">
        <f t="array" ref="BQ144">SUM(SUMIFS(BM$14:BM$1004,BK$14:BK$1004,BP144:BP145,BJ$14:BJ$1004,BO144:BO145,BL$14:BL$1004,0))</f>
        <v>1.9295250000000002</v>
      </c>
      <c r="BV144" s="89">
        <v>88</v>
      </c>
      <c r="BW144" s="2">
        <v>34</v>
      </c>
      <c r="BX144" s="2">
        <v>0</v>
      </c>
      <c r="BY144" s="2">
        <v>4.8000000000000001E-2</v>
      </c>
      <c r="BZ144" s="42" t="s">
        <v>1345</v>
      </c>
      <c r="CA144" s="42">
        <v>138</v>
      </c>
      <c r="CB144" s="42">
        <v>57</v>
      </c>
      <c r="CC144" s="74" cm="1">
        <f t="array" ref="CC144">SUM(SUMIFS(BY$14:BY$1004,BW$14:BW$1004,CB144:CB145,BV$14:BV$1004,CA144:CA145,BX$14:BX$1004,0))</f>
        <v>2.5250660000000003</v>
      </c>
      <c r="CH144" s="89">
        <v>85</v>
      </c>
      <c r="CI144" s="2">
        <v>34</v>
      </c>
      <c r="CJ144" s="2">
        <v>0</v>
      </c>
      <c r="CK144" s="2">
        <v>0.1145608</v>
      </c>
      <c r="CL144" s="42" t="s">
        <v>1345</v>
      </c>
      <c r="CM144" s="42">
        <v>138</v>
      </c>
      <c r="CN144" s="42">
        <v>57</v>
      </c>
      <c r="CO144" s="74" cm="1">
        <f t="array" ref="CO144">SUM(SUMIFS(CK$14:CK$1004,CI$14:CI$1004,CN144:CN145,CH$14:CH$1004,CM144:CM145,CJ$14:CJ$1004,0))</f>
        <v>2.7738820000000004</v>
      </c>
      <c r="CT144" s="89">
        <v>79</v>
      </c>
      <c r="CU144" s="2">
        <v>34</v>
      </c>
      <c r="CV144" s="2">
        <v>1</v>
      </c>
      <c r="CW144" s="2">
        <v>2E-3</v>
      </c>
      <c r="CX144" s="42" t="s">
        <v>1345</v>
      </c>
      <c r="CY144" s="42">
        <v>138</v>
      </c>
      <c r="CZ144" s="42">
        <v>57</v>
      </c>
      <c r="DA144" s="74" cm="1">
        <f t="array" ref="DA144">SUM(SUMIFS(CW$14:CW$1004,CU$14:CU$1004,CZ144:CZ145,CT$14:CT$1004,CY144:CY145,CV$14:CV$1004,0))</f>
        <v>3.5468039999999998</v>
      </c>
      <c r="DF144" s="89">
        <v>81</v>
      </c>
      <c r="DG144" s="2">
        <v>35</v>
      </c>
      <c r="DH144" s="2">
        <v>0</v>
      </c>
      <c r="DI144" s="2">
        <v>0.43633490000000003</v>
      </c>
      <c r="DJ144" s="42" t="s">
        <v>1345</v>
      </c>
      <c r="DK144" s="42">
        <v>138</v>
      </c>
      <c r="DL144" s="42">
        <v>57</v>
      </c>
      <c r="DM144" s="74" cm="1">
        <f t="array" ref="DM144">SUM(SUMIFS(DI$14:DI$1004,DG$14:DG$1004,DL144:DL145,DF$14:DF$1004,DK144:DK145,DH$14:DH$1004,0))</f>
        <v>3.1891100000000003</v>
      </c>
      <c r="DR144" s="89">
        <v>87</v>
      </c>
      <c r="DS144" s="2">
        <v>32</v>
      </c>
      <c r="DT144" s="2">
        <v>0</v>
      </c>
      <c r="DU144" s="2">
        <v>2E-3</v>
      </c>
      <c r="DV144" s="42" t="s">
        <v>1345</v>
      </c>
      <c r="DW144" s="42">
        <v>138</v>
      </c>
      <c r="DX144" s="42">
        <v>57</v>
      </c>
      <c r="DY144" s="74" cm="1">
        <f t="array" ref="DY144">SUM(SUMIFS(DU$14:DU$1004,DS$14:DS$1004,DX144:DX145,DR$14:DR$1004,DW144:DW145,DT$14:DT$1004,0))</f>
        <v>0.128</v>
      </c>
      <c r="ED144" s="89">
        <v>85</v>
      </c>
      <c r="EE144" s="2">
        <v>34</v>
      </c>
      <c r="EF144" s="2">
        <v>0</v>
      </c>
      <c r="EG144" s="2">
        <v>0.24471080000000001</v>
      </c>
      <c r="EH144" s="42" t="s">
        <v>1345</v>
      </c>
      <c r="EI144" s="42">
        <v>138</v>
      </c>
      <c r="EJ144" s="42">
        <v>57</v>
      </c>
      <c r="EK144" s="74" cm="1">
        <f t="array" ref="EK144">SUM(SUMIFS(EG$14:EG$1004,EE$14:EE$1004,EJ144:EJ145,ED$14:ED$1004,EI144:EI145,EF$14:EF$1004,0))</f>
        <v>2.3629850000000001</v>
      </c>
      <c r="ES144">
        <v>85</v>
      </c>
      <c r="ET144">
        <v>34</v>
      </c>
      <c r="EU144">
        <v>0</v>
      </c>
      <c r="EV144">
        <v>0.24471080000000001</v>
      </c>
    </row>
    <row r="145" spans="1:152" x14ac:dyDescent="0.4">
      <c r="A145" s="89"/>
      <c r="B145" s="2"/>
      <c r="C145" s="2"/>
      <c r="D145" s="2"/>
      <c r="E145" s="42" t="s">
        <v>1345</v>
      </c>
      <c r="F145" s="42">
        <v>139</v>
      </c>
      <c r="G145" s="42">
        <v>57</v>
      </c>
      <c r="H145" s="74"/>
      <c r="N145" s="89">
        <v>75</v>
      </c>
      <c r="O145" s="2">
        <v>33</v>
      </c>
      <c r="P145" s="2">
        <v>1</v>
      </c>
      <c r="Q145" s="2">
        <v>6.6758449999999997E-2</v>
      </c>
      <c r="R145" s="42" t="s">
        <v>1345</v>
      </c>
      <c r="S145" s="42">
        <v>139</v>
      </c>
      <c r="T145" s="42">
        <v>57</v>
      </c>
      <c r="U145" s="74"/>
      <c r="Z145" s="89">
        <v>81</v>
      </c>
      <c r="AA145" s="2">
        <v>33</v>
      </c>
      <c r="AB145" s="2">
        <v>0</v>
      </c>
      <c r="AC145" s="2">
        <v>0.51647399999999999</v>
      </c>
      <c r="AD145" s="42" t="s">
        <v>1345</v>
      </c>
      <c r="AE145" s="42">
        <v>139</v>
      </c>
      <c r="AF145" s="42">
        <v>57</v>
      </c>
      <c r="AG145" s="74"/>
      <c r="AL145" s="89">
        <v>82</v>
      </c>
      <c r="AM145" s="2">
        <v>33</v>
      </c>
      <c r="AN145" s="2">
        <v>1</v>
      </c>
      <c r="AO145" s="2">
        <v>0.12890499999999999</v>
      </c>
      <c r="AP145" s="42" t="s">
        <v>1345</v>
      </c>
      <c r="AQ145" s="42">
        <v>139</v>
      </c>
      <c r="AR145" s="42">
        <v>57</v>
      </c>
      <c r="AS145" s="74"/>
      <c r="AX145" s="89">
        <v>88</v>
      </c>
      <c r="AY145" s="2">
        <v>34</v>
      </c>
      <c r="AZ145" s="2">
        <v>0</v>
      </c>
      <c r="BA145" s="2">
        <v>5.5E-2</v>
      </c>
      <c r="BB145" s="42" t="s">
        <v>1345</v>
      </c>
      <c r="BC145" s="42">
        <v>139</v>
      </c>
      <c r="BD145" s="42">
        <v>57</v>
      </c>
      <c r="BE145" s="74"/>
      <c r="BJ145" s="89">
        <v>85</v>
      </c>
      <c r="BK145" s="2">
        <v>34</v>
      </c>
      <c r="BL145" s="2">
        <v>0</v>
      </c>
      <c r="BM145" s="2">
        <v>0.28060079999999998</v>
      </c>
      <c r="BN145" s="42" t="s">
        <v>1345</v>
      </c>
      <c r="BO145" s="42">
        <v>139</v>
      </c>
      <c r="BP145" s="42">
        <v>57</v>
      </c>
      <c r="BQ145" s="74"/>
      <c r="BV145" s="89">
        <v>89</v>
      </c>
      <c r="BW145" s="2">
        <v>34</v>
      </c>
      <c r="BX145" s="2">
        <v>0</v>
      </c>
      <c r="BY145" s="2">
        <v>2.5999999999999999E-2</v>
      </c>
      <c r="BZ145" s="42" t="s">
        <v>1345</v>
      </c>
      <c r="CA145" s="42">
        <v>139</v>
      </c>
      <c r="CB145" s="42">
        <v>57</v>
      </c>
      <c r="CC145" s="74"/>
      <c r="CH145" s="89">
        <v>86</v>
      </c>
      <c r="CI145" s="2">
        <v>34</v>
      </c>
      <c r="CJ145" s="2">
        <v>0</v>
      </c>
      <c r="CK145" s="2">
        <v>7.7350000000000002E-2</v>
      </c>
      <c r="CL145" s="42" t="s">
        <v>1345</v>
      </c>
      <c r="CM145" s="42">
        <v>139</v>
      </c>
      <c r="CN145" s="42">
        <v>57</v>
      </c>
      <c r="CO145" s="74"/>
      <c r="CT145" s="89">
        <v>80</v>
      </c>
      <c r="CU145" s="2">
        <v>34</v>
      </c>
      <c r="CV145" s="2">
        <v>0</v>
      </c>
      <c r="CW145" s="2">
        <v>0.16453400000000001</v>
      </c>
      <c r="CX145" s="42" t="s">
        <v>1345</v>
      </c>
      <c r="CY145" s="42">
        <v>139</v>
      </c>
      <c r="CZ145" s="42">
        <v>57</v>
      </c>
      <c r="DA145" s="74"/>
      <c r="DF145" s="89">
        <v>82</v>
      </c>
      <c r="DG145" s="2">
        <v>35</v>
      </c>
      <c r="DH145" s="2">
        <v>0</v>
      </c>
      <c r="DI145" s="2">
        <v>1.1889230000000001E-2</v>
      </c>
      <c r="DJ145" s="42" t="s">
        <v>1345</v>
      </c>
      <c r="DK145" s="42">
        <v>139</v>
      </c>
      <c r="DL145" s="42">
        <v>57</v>
      </c>
      <c r="DM145" s="74"/>
      <c r="DR145" s="89">
        <v>73</v>
      </c>
      <c r="DS145" s="2">
        <v>33</v>
      </c>
      <c r="DT145" s="2">
        <v>0</v>
      </c>
      <c r="DU145" s="2">
        <v>1E-3</v>
      </c>
      <c r="DV145" s="42" t="s">
        <v>1345</v>
      </c>
      <c r="DW145" s="42">
        <v>139</v>
      </c>
      <c r="DX145" s="42">
        <v>57</v>
      </c>
      <c r="DY145" s="74"/>
      <c r="ED145" s="89">
        <v>86</v>
      </c>
      <c r="EE145" s="2">
        <v>34</v>
      </c>
      <c r="EF145" s="2">
        <v>0</v>
      </c>
      <c r="EG145" s="2">
        <v>0.153976</v>
      </c>
      <c r="EH145" s="42" t="s">
        <v>1345</v>
      </c>
      <c r="EI145" s="42">
        <v>139</v>
      </c>
      <c r="EJ145" s="42">
        <v>57</v>
      </c>
      <c r="EK145" s="74"/>
      <c r="ES145">
        <v>86</v>
      </c>
      <c r="ET145">
        <v>34</v>
      </c>
      <c r="EU145">
        <v>0</v>
      </c>
      <c r="EV145">
        <v>0.153976</v>
      </c>
    </row>
    <row r="146" spans="1:152" x14ac:dyDescent="0.4">
      <c r="A146" s="89"/>
      <c r="B146" s="2"/>
      <c r="C146" s="2"/>
      <c r="D146" s="2"/>
      <c r="E146" s="43" t="s">
        <v>1344</v>
      </c>
      <c r="F146" s="43">
        <v>136</v>
      </c>
      <c r="G146" s="43">
        <v>58</v>
      </c>
      <c r="H146" s="74" cm="1">
        <f t="array" ref="H146">SUM(SUMIFS(D$14:D$1004,B$14:B$1004,G146:G149,A$14:A$1004,F146:F149,C$14:C$1004,0))</f>
        <v>0</v>
      </c>
      <c r="N146" s="89">
        <v>76</v>
      </c>
      <c r="O146" s="2">
        <v>33</v>
      </c>
      <c r="P146" s="2">
        <v>0</v>
      </c>
      <c r="Q146" s="2">
        <v>0.23599999999999999</v>
      </c>
      <c r="R146" s="43" t="s">
        <v>1344</v>
      </c>
      <c r="S146" s="43">
        <v>136</v>
      </c>
      <c r="T146" s="43">
        <v>58</v>
      </c>
      <c r="U146" s="74" cm="1">
        <f t="array" ref="U146">SUM(SUMIFS(Q$14:Q$1004,O$14:O$1004,T146:T149,N$14:N$1004,S146:S149,P$14:P$1004,0))</f>
        <v>5.3002199999999999E-2</v>
      </c>
      <c r="Z146" s="89">
        <v>82</v>
      </c>
      <c r="AA146" s="2">
        <v>33</v>
      </c>
      <c r="AB146" s="2">
        <v>0</v>
      </c>
      <c r="AC146" s="2">
        <v>8.7329560000000001E-2</v>
      </c>
      <c r="AD146" s="43" t="s">
        <v>1344</v>
      </c>
      <c r="AE146" s="43">
        <v>136</v>
      </c>
      <c r="AF146" s="43">
        <v>58</v>
      </c>
      <c r="AG146" s="74" cm="1">
        <f t="array" ref="AG146">SUM(SUMIFS(AC$14:AC$1004,AA$14:AA$1004,AF146:AF149,Z$14:Z$1004,AE146:AE149,AB$14:AB$1004,0))</f>
        <v>8.3000999999999991E-2</v>
      </c>
      <c r="AL146" s="89">
        <v>83</v>
      </c>
      <c r="AM146" s="2">
        <v>33</v>
      </c>
      <c r="AN146" s="2">
        <v>0</v>
      </c>
      <c r="AO146" s="2">
        <v>8.3108009999999996E-2</v>
      </c>
      <c r="AP146" s="43" t="s">
        <v>1344</v>
      </c>
      <c r="AQ146" s="43">
        <v>136</v>
      </c>
      <c r="AR146" s="43">
        <v>58</v>
      </c>
      <c r="AS146" s="74" cm="1">
        <f t="array" ref="AS146">SUM(SUMIFS(AO$14:AO$1004,AM$14:AM$1004,AR146:AR149,AL$14:AL$1004,AQ146:AQ149,AN$14:AN$1004,0))</f>
        <v>8.4002000000000007E-2</v>
      </c>
      <c r="AX146" s="89">
        <v>89</v>
      </c>
      <c r="AY146" s="2">
        <v>34</v>
      </c>
      <c r="AZ146" s="2">
        <v>0</v>
      </c>
      <c r="BA146" s="2">
        <v>1.2999999999999999E-2</v>
      </c>
      <c r="BB146" s="43" t="s">
        <v>1344</v>
      </c>
      <c r="BC146" s="43">
        <v>136</v>
      </c>
      <c r="BD146" s="43">
        <v>58</v>
      </c>
      <c r="BE146" s="74" cm="1">
        <f t="array" ref="BE146">SUM(SUMIFS(BA$14:BA$1004,AY$14:AY$1004,BD146:BD149,AX$14:AX$1004,BC146:BC149,AZ$14:AZ$1004,0))</f>
        <v>3.3449179999999998</v>
      </c>
      <c r="BJ146" s="89">
        <v>86</v>
      </c>
      <c r="BK146" s="2">
        <v>34</v>
      </c>
      <c r="BL146" s="2">
        <v>0</v>
      </c>
      <c r="BM146" s="2">
        <v>0.15481200000000001</v>
      </c>
      <c r="BN146" s="43" t="s">
        <v>1344</v>
      </c>
      <c r="BO146" s="43">
        <v>136</v>
      </c>
      <c r="BP146" s="43">
        <v>58</v>
      </c>
      <c r="BQ146" s="74" cm="1">
        <f t="array" ref="BQ146">SUM(SUMIFS(BM$14:BM$1004,BK$14:BK$1004,BP146:BP149,BJ$14:BJ$1004,BO146:BO149,BL$14:BL$1004,0))</f>
        <v>2.7770570000000001</v>
      </c>
      <c r="BV146" s="89">
        <v>90</v>
      </c>
      <c r="BW146" s="2">
        <v>34</v>
      </c>
      <c r="BX146" s="2">
        <v>0</v>
      </c>
      <c r="BY146" s="2">
        <v>6.0000000000000001E-3</v>
      </c>
      <c r="BZ146" s="43" t="s">
        <v>1344</v>
      </c>
      <c r="CA146" s="43">
        <v>136</v>
      </c>
      <c r="CB146" s="43">
        <v>58</v>
      </c>
      <c r="CC146" s="74" cm="1">
        <f t="array" ref="CC146">SUM(SUMIFS(BY$14:BY$1004,BW$14:BW$1004,CB146:CB149,BV$14:BV$1004,CA146:CA149,BX$14:BX$1004,0))</f>
        <v>4.2398030000000002</v>
      </c>
      <c r="CH146" s="89">
        <v>87</v>
      </c>
      <c r="CI146" s="2">
        <v>34</v>
      </c>
      <c r="CJ146" s="2">
        <v>0</v>
      </c>
      <c r="CK146" s="2">
        <v>3.5999999999999997E-2</v>
      </c>
      <c r="CL146" s="43" t="s">
        <v>1344</v>
      </c>
      <c r="CM146" s="43">
        <v>136</v>
      </c>
      <c r="CN146" s="43">
        <v>58</v>
      </c>
      <c r="CO146" s="74" cm="1">
        <f t="array" ref="CO146">SUM(SUMIFS(CK$14:CK$1004,CI$14:CI$1004,CN146:CN149,CH$14:CH$1004,CM146:CM149,CJ$14:CJ$1004,0))</f>
        <v>3.5799399999999997</v>
      </c>
      <c r="CT146" s="89">
        <v>81</v>
      </c>
      <c r="CU146" s="2">
        <v>34</v>
      </c>
      <c r="CV146" s="2">
        <v>0</v>
      </c>
      <c r="CW146" s="2">
        <v>0.231021</v>
      </c>
      <c r="CX146" s="43" t="s">
        <v>1344</v>
      </c>
      <c r="CY146" s="43">
        <v>136</v>
      </c>
      <c r="CZ146" s="43">
        <v>58</v>
      </c>
      <c r="DA146" s="74" cm="1">
        <f t="array" ref="DA146">SUM(SUMIFS(CW$14:CW$1004,CU$14:CU$1004,CZ146:CZ149,CT$14:CT$1004,CY146:CY149,CV$14:CV$1004,0))</f>
        <v>5.5159700100000002</v>
      </c>
      <c r="DF146" s="89">
        <v>82</v>
      </c>
      <c r="DG146" s="2">
        <v>35</v>
      </c>
      <c r="DH146" s="2">
        <v>1</v>
      </c>
      <c r="DI146" s="2">
        <v>4.6153849999999996E-3</v>
      </c>
      <c r="DJ146" s="43" t="s">
        <v>1344</v>
      </c>
      <c r="DK146" s="43">
        <v>136</v>
      </c>
      <c r="DL146" s="43">
        <v>58</v>
      </c>
      <c r="DM146" s="74" cm="1">
        <f t="array" ref="DM146">SUM(SUMIFS(DI$14:DI$1004,DG$14:DG$1004,DL146:DL149,DF$14:DF$1004,DK146:DK149,DH$14:DH$1004,0))</f>
        <v>6.0310449999999998</v>
      </c>
      <c r="DR146" s="89">
        <v>74</v>
      </c>
      <c r="DS146" s="2">
        <v>33</v>
      </c>
      <c r="DT146" s="2">
        <v>0</v>
      </c>
      <c r="DU146" s="2">
        <v>3.0000000000000001E-3</v>
      </c>
      <c r="DV146" s="43" t="s">
        <v>1344</v>
      </c>
      <c r="DW146" s="43">
        <v>136</v>
      </c>
      <c r="DX146" s="43">
        <v>58</v>
      </c>
      <c r="DY146" s="74" cm="1">
        <f t="array" ref="DY146">SUM(SUMIFS(DU$14:DU$1004,DS$14:DS$1004,DX146:DX149,DR$14:DR$1004,DW146:DW149,DT$14:DT$1004,0))</f>
        <v>0.14201641000000001</v>
      </c>
      <c r="ED146" s="89">
        <v>87</v>
      </c>
      <c r="EE146" s="2">
        <v>34</v>
      </c>
      <c r="EF146" s="2">
        <v>0</v>
      </c>
      <c r="EG146" s="2">
        <v>7.3384000000000005E-2</v>
      </c>
      <c r="EH146" s="43" t="s">
        <v>1344</v>
      </c>
      <c r="EI146" s="43">
        <v>136</v>
      </c>
      <c r="EJ146" s="43">
        <v>58</v>
      </c>
      <c r="EK146" s="74" cm="1">
        <f t="array" ref="EK146">SUM(SUMIFS(EG$14:EG$1004,EE$14:EE$1004,EJ146:EJ149,ED$14:ED$1004,EI146:EI149,EF$14:EF$1004,0))</f>
        <v>3.8078659999999998</v>
      </c>
      <c r="ES146">
        <v>87</v>
      </c>
      <c r="ET146">
        <v>34</v>
      </c>
      <c r="EU146">
        <v>0</v>
      </c>
      <c r="EV146">
        <v>7.3384000000000005E-2</v>
      </c>
    </row>
    <row r="147" spans="1:152" x14ac:dyDescent="0.4">
      <c r="A147" s="89"/>
      <c r="B147" s="2"/>
      <c r="C147" s="2"/>
      <c r="D147" s="2"/>
      <c r="E147" s="43" t="s">
        <v>1344</v>
      </c>
      <c r="F147" s="43">
        <v>138</v>
      </c>
      <c r="G147" s="43">
        <v>58</v>
      </c>
      <c r="H147" s="74"/>
      <c r="N147" s="89">
        <v>77</v>
      </c>
      <c r="O147" s="2">
        <v>33</v>
      </c>
      <c r="P147" s="2">
        <v>0</v>
      </c>
      <c r="Q147" s="2">
        <v>1.345</v>
      </c>
      <c r="R147" s="43" t="s">
        <v>1344</v>
      </c>
      <c r="S147" s="43">
        <v>138</v>
      </c>
      <c r="T147" s="43">
        <v>58</v>
      </c>
      <c r="U147" s="74"/>
      <c r="Z147" s="89">
        <v>82</v>
      </c>
      <c r="AA147" s="2">
        <v>33</v>
      </c>
      <c r="AB147" s="2">
        <v>1</v>
      </c>
      <c r="AC147" s="2">
        <v>0.19224450000000001</v>
      </c>
      <c r="AD147" s="43" t="s">
        <v>1344</v>
      </c>
      <c r="AE147" s="43">
        <v>138</v>
      </c>
      <c r="AF147" s="43">
        <v>58</v>
      </c>
      <c r="AG147" s="74"/>
      <c r="AL147" s="89">
        <v>84</v>
      </c>
      <c r="AM147" s="2">
        <v>33</v>
      </c>
      <c r="AN147" s="2">
        <v>0</v>
      </c>
      <c r="AO147" s="2">
        <v>2.7858730000000002E-2</v>
      </c>
      <c r="AP147" s="43" t="s">
        <v>1344</v>
      </c>
      <c r="AQ147" s="43">
        <v>138</v>
      </c>
      <c r="AR147" s="43">
        <v>58</v>
      </c>
      <c r="AS147" s="74"/>
      <c r="AX147" s="89">
        <v>90</v>
      </c>
      <c r="AY147" s="2">
        <v>34</v>
      </c>
      <c r="AZ147" s="2">
        <v>0</v>
      </c>
      <c r="BA147" s="2">
        <v>2E-3</v>
      </c>
      <c r="BB147" s="43" t="s">
        <v>1344</v>
      </c>
      <c r="BC147" s="43">
        <v>138</v>
      </c>
      <c r="BD147" s="43">
        <v>58</v>
      </c>
      <c r="BE147" s="74"/>
      <c r="BJ147" s="89">
        <v>87</v>
      </c>
      <c r="BK147" s="2">
        <v>34</v>
      </c>
      <c r="BL147" s="2">
        <v>0</v>
      </c>
      <c r="BM147" s="2">
        <v>6.5537999999999999E-2</v>
      </c>
      <c r="BN147" s="43" t="s">
        <v>1344</v>
      </c>
      <c r="BO147" s="43">
        <v>138</v>
      </c>
      <c r="BP147" s="43">
        <v>58</v>
      </c>
      <c r="BQ147" s="74"/>
      <c r="BV147" s="89">
        <v>79</v>
      </c>
      <c r="BW147" s="2">
        <v>35</v>
      </c>
      <c r="BX147" s="2">
        <v>0</v>
      </c>
      <c r="BY147" s="2">
        <v>0.16991290000000001</v>
      </c>
      <c r="BZ147" s="43" t="s">
        <v>1344</v>
      </c>
      <c r="CA147" s="43">
        <v>138</v>
      </c>
      <c r="CB147" s="43">
        <v>58</v>
      </c>
      <c r="CC147" s="74"/>
      <c r="CH147" s="89">
        <v>88</v>
      </c>
      <c r="CI147" s="2">
        <v>34</v>
      </c>
      <c r="CJ147" s="2">
        <v>0</v>
      </c>
      <c r="CK147" s="2">
        <v>5.0000000000000001E-3</v>
      </c>
      <c r="CL147" s="43" t="s">
        <v>1344</v>
      </c>
      <c r="CM147" s="43">
        <v>138</v>
      </c>
      <c r="CN147" s="43">
        <v>58</v>
      </c>
      <c r="CO147" s="74"/>
      <c r="CT147" s="89">
        <v>81</v>
      </c>
      <c r="CU147" s="2">
        <v>34</v>
      </c>
      <c r="CV147" s="2">
        <v>1</v>
      </c>
      <c r="CW147" s="2">
        <v>0.10427549999999999</v>
      </c>
      <c r="CX147" s="43" t="s">
        <v>1344</v>
      </c>
      <c r="CY147" s="43">
        <v>138</v>
      </c>
      <c r="CZ147" s="43">
        <v>58</v>
      </c>
      <c r="DA147" s="74"/>
      <c r="DF147" s="89">
        <v>83</v>
      </c>
      <c r="DG147" s="2">
        <v>35</v>
      </c>
      <c r="DH147" s="2">
        <v>0</v>
      </c>
      <c r="DI147" s="2">
        <v>0.84398169999999995</v>
      </c>
      <c r="DJ147" s="43" t="s">
        <v>1344</v>
      </c>
      <c r="DK147" s="43">
        <v>138</v>
      </c>
      <c r="DL147" s="43">
        <v>58</v>
      </c>
      <c r="DM147" s="74"/>
      <c r="DR147" s="89">
        <v>75</v>
      </c>
      <c r="DS147" s="2">
        <v>33</v>
      </c>
      <c r="DT147" s="2">
        <v>0</v>
      </c>
      <c r="DU147" s="2">
        <v>0.85331920000000006</v>
      </c>
      <c r="DV147" s="43" t="s">
        <v>1344</v>
      </c>
      <c r="DW147" s="43">
        <v>138</v>
      </c>
      <c r="DX147" s="43">
        <v>58</v>
      </c>
      <c r="DY147" s="74"/>
      <c r="ED147" s="89">
        <v>88</v>
      </c>
      <c r="EE147" s="2">
        <v>34</v>
      </c>
      <c r="EF147" s="2">
        <v>0</v>
      </c>
      <c r="EG147" s="2">
        <v>0.03</v>
      </c>
      <c r="EH147" s="43" t="s">
        <v>1344</v>
      </c>
      <c r="EI147" s="43">
        <v>138</v>
      </c>
      <c r="EJ147" s="43">
        <v>58</v>
      </c>
      <c r="EK147" s="74"/>
      <c r="ES147">
        <v>88</v>
      </c>
      <c r="ET147">
        <v>34</v>
      </c>
      <c r="EU147">
        <v>0</v>
      </c>
      <c r="EV147">
        <v>0.03</v>
      </c>
    </row>
    <row r="148" spans="1:152" x14ac:dyDescent="0.4">
      <c r="A148" s="89"/>
      <c r="B148" s="2"/>
      <c r="C148" s="2"/>
      <c r="D148" s="2"/>
      <c r="E148" s="43" t="s">
        <v>1344</v>
      </c>
      <c r="F148" s="43">
        <v>140</v>
      </c>
      <c r="G148" s="43">
        <v>58</v>
      </c>
      <c r="H148" s="74"/>
      <c r="N148" s="89">
        <v>78</v>
      </c>
      <c r="O148" s="2">
        <v>33</v>
      </c>
      <c r="P148" s="2">
        <v>0</v>
      </c>
      <c r="Q148" s="2">
        <v>1.2820670000000001</v>
      </c>
      <c r="R148" s="43" t="s">
        <v>1344</v>
      </c>
      <c r="S148" s="43">
        <v>140</v>
      </c>
      <c r="T148" s="43">
        <v>58</v>
      </c>
      <c r="U148" s="74"/>
      <c r="Z148" s="89">
        <v>83</v>
      </c>
      <c r="AA148" s="2">
        <v>33</v>
      </c>
      <c r="AB148" s="2">
        <v>0</v>
      </c>
      <c r="AC148" s="2">
        <v>0.16553999999999999</v>
      </c>
      <c r="AD148" s="43" t="s">
        <v>1344</v>
      </c>
      <c r="AE148" s="43">
        <v>140</v>
      </c>
      <c r="AF148" s="43">
        <v>58</v>
      </c>
      <c r="AG148" s="74"/>
      <c r="AL148" s="89">
        <v>84</v>
      </c>
      <c r="AM148" s="2">
        <v>33</v>
      </c>
      <c r="AN148" s="2">
        <v>1</v>
      </c>
      <c r="AO148" s="2">
        <v>3.3132729999999998E-3</v>
      </c>
      <c r="AP148" s="43" t="s">
        <v>1344</v>
      </c>
      <c r="AQ148" s="43">
        <v>140</v>
      </c>
      <c r="AR148" s="43">
        <v>58</v>
      </c>
      <c r="AS148" s="74"/>
      <c r="AX148" s="89">
        <v>91</v>
      </c>
      <c r="AY148" s="2">
        <v>34</v>
      </c>
      <c r="AZ148" s="2">
        <v>0</v>
      </c>
      <c r="BA148" s="2">
        <v>2E-3</v>
      </c>
      <c r="BB148" s="43" t="s">
        <v>1344</v>
      </c>
      <c r="BC148" s="43">
        <v>140</v>
      </c>
      <c r="BD148" s="43">
        <v>58</v>
      </c>
      <c r="BE148" s="74"/>
      <c r="BJ148" s="89">
        <v>88</v>
      </c>
      <c r="BK148" s="2">
        <v>34</v>
      </c>
      <c r="BL148" s="2">
        <v>0</v>
      </c>
      <c r="BM148" s="2">
        <v>2.5999999999999999E-2</v>
      </c>
      <c r="BN148" s="43" t="s">
        <v>1344</v>
      </c>
      <c r="BO148" s="43">
        <v>140</v>
      </c>
      <c r="BP148" s="43">
        <v>58</v>
      </c>
      <c r="BQ148" s="74"/>
      <c r="BV148" s="89">
        <v>80</v>
      </c>
      <c r="BW148" s="2">
        <v>35</v>
      </c>
      <c r="BX148" s="2">
        <v>0</v>
      </c>
      <c r="BY148" s="2">
        <v>1E-3</v>
      </c>
      <c r="BZ148" s="43" t="s">
        <v>1344</v>
      </c>
      <c r="CA148" s="43">
        <v>140</v>
      </c>
      <c r="CB148" s="43">
        <v>58</v>
      </c>
      <c r="CC148" s="74"/>
      <c r="CH148" s="89">
        <v>89</v>
      </c>
      <c r="CI148" s="2">
        <v>34</v>
      </c>
      <c r="CJ148" s="2">
        <v>0</v>
      </c>
      <c r="CK148" s="2">
        <v>2E-3</v>
      </c>
      <c r="CL148" s="43" t="s">
        <v>1344</v>
      </c>
      <c r="CM148" s="43">
        <v>140</v>
      </c>
      <c r="CN148" s="43">
        <v>58</v>
      </c>
      <c r="CO148" s="74"/>
      <c r="CT148" s="89">
        <v>82</v>
      </c>
      <c r="CU148" s="2">
        <v>34</v>
      </c>
      <c r="CV148" s="2">
        <v>0</v>
      </c>
      <c r="CW148" s="2">
        <v>0.21778700000000001</v>
      </c>
      <c r="CX148" s="43" t="s">
        <v>1344</v>
      </c>
      <c r="CY148" s="43">
        <v>140</v>
      </c>
      <c r="CZ148" s="43">
        <v>58</v>
      </c>
      <c r="DA148" s="74"/>
      <c r="DF148" s="89">
        <v>84</v>
      </c>
      <c r="DG148" s="2">
        <v>35</v>
      </c>
      <c r="DH148" s="2">
        <v>0</v>
      </c>
      <c r="DI148" s="2">
        <v>1.1624019999999999</v>
      </c>
      <c r="DJ148" s="43" t="s">
        <v>1344</v>
      </c>
      <c r="DK148" s="43">
        <v>140</v>
      </c>
      <c r="DL148" s="43">
        <v>58</v>
      </c>
      <c r="DM148" s="74"/>
      <c r="DR148" s="89">
        <v>75</v>
      </c>
      <c r="DS148" s="2">
        <v>33</v>
      </c>
      <c r="DT148" s="2">
        <v>1</v>
      </c>
      <c r="DU148" s="2">
        <v>1.323687E-2</v>
      </c>
      <c r="DV148" s="43" t="s">
        <v>1344</v>
      </c>
      <c r="DW148" s="43">
        <v>140</v>
      </c>
      <c r="DX148" s="43">
        <v>58</v>
      </c>
      <c r="DY148" s="74"/>
      <c r="ED148" s="89">
        <v>89</v>
      </c>
      <c r="EE148" s="2">
        <v>34</v>
      </c>
      <c r="EF148" s="2">
        <v>0</v>
      </c>
      <c r="EG148" s="2">
        <v>1.0999999999999999E-2</v>
      </c>
      <c r="EH148" s="43" t="s">
        <v>1344</v>
      </c>
      <c r="EI148" s="43">
        <v>140</v>
      </c>
      <c r="EJ148" s="43">
        <v>58</v>
      </c>
      <c r="EK148" s="74"/>
      <c r="ES148">
        <v>89</v>
      </c>
      <c r="ET148">
        <v>34</v>
      </c>
      <c r="EU148">
        <v>0</v>
      </c>
      <c r="EV148">
        <v>1.0999999999999999E-2</v>
      </c>
    </row>
    <row r="149" spans="1:152" x14ac:dyDescent="0.4">
      <c r="A149" s="89"/>
      <c r="B149" s="2"/>
      <c r="C149" s="2"/>
      <c r="D149" s="2"/>
      <c r="E149" s="43" t="s">
        <v>1344</v>
      </c>
      <c r="F149" s="43">
        <v>142</v>
      </c>
      <c r="G149" s="43">
        <v>58</v>
      </c>
      <c r="H149" s="74"/>
      <c r="N149" s="89">
        <v>79</v>
      </c>
      <c r="O149" s="2">
        <v>33</v>
      </c>
      <c r="P149" s="2">
        <v>0</v>
      </c>
      <c r="Q149" s="2">
        <v>1.250934</v>
      </c>
      <c r="R149" s="43" t="s">
        <v>1344</v>
      </c>
      <c r="S149" s="43">
        <v>142</v>
      </c>
      <c r="T149" s="43">
        <v>58</v>
      </c>
      <c r="U149" s="74"/>
      <c r="Z149" s="89">
        <v>84</v>
      </c>
      <c r="AA149" s="2">
        <v>33</v>
      </c>
      <c r="AB149" s="2">
        <v>0</v>
      </c>
      <c r="AC149" s="2">
        <v>6.3426759999999999E-2</v>
      </c>
      <c r="AD149" s="43" t="s">
        <v>1344</v>
      </c>
      <c r="AE149" s="43">
        <v>142</v>
      </c>
      <c r="AF149" s="43">
        <v>58</v>
      </c>
      <c r="AG149" s="74"/>
      <c r="AL149" s="89">
        <v>85</v>
      </c>
      <c r="AM149" s="2">
        <v>33</v>
      </c>
      <c r="AN149" s="2">
        <v>0</v>
      </c>
      <c r="AO149" s="2">
        <v>7.7200000000000003E-3</v>
      </c>
      <c r="AP149" s="43" t="s">
        <v>1344</v>
      </c>
      <c r="AQ149" s="43">
        <v>142</v>
      </c>
      <c r="AR149" s="43">
        <v>58</v>
      </c>
      <c r="AS149" s="74"/>
      <c r="AX149" s="89">
        <v>79</v>
      </c>
      <c r="AY149" s="2">
        <v>35</v>
      </c>
      <c r="AZ149" s="2">
        <v>0</v>
      </c>
      <c r="BA149" s="2">
        <v>0.4068541</v>
      </c>
      <c r="BB149" s="43" t="s">
        <v>1344</v>
      </c>
      <c r="BC149" s="43">
        <v>142</v>
      </c>
      <c r="BD149" s="43">
        <v>58</v>
      </c>
      <c r="BE149" s="74"/>
      <c r="BJ149" s="89">
        <v>89</v>
      </c>
      <c r="BK149" s="2">
        <v>34</v>
      </c>
      <c r="BL149" s="2">
        <v>0</v>
      </c>
      <c r="BM149" s="2">
        <v>5.0000000000000001E-3</v>
      </c>
      <c r="BN149" s="43" t="s">
        <v>1344</v>
      </c>
      <c r="BO149" s="43">
        <v>142</v>
      </c>
      <c r="BP149" s="43">
        <v>58</v>
      </c>
      <c r="BQ149" s="74"/>
      <c r="BV149" s="89">
        <v>81</v>
      </c>
      <c r="BW149" s="2">
        <v>35</v>
      </c>
      <c r="BX149" s="2">
        <v>0</v>
      </c>
      <c r="BY149" s="2">
        <v>0.31838</v>
      </c>
      <c r="BZ149" s="43" t="s">
        <v>1344</v>
      </c>
      <c r="CA149" s="43">
        <v>142</v>
      </c>
      <c r="CB149" s="43">
        <v>58</v>
      </c>
      <c r="CC149" s="74"/>
      <c r="CH149" s="89">
        <v>79</v>
      </c>
      <c r="CI149" s="2">
        <v>35</v>
      </c>
      <c r="CJ149" s="2">
        <v>0</v>
      </c>
      <c r="CK149" s="2">
        <v>0.19597709999999999</v>
      </c>
      <c r="CL149" s="43" t="s">
        <v>1344</v>
      </c>
      <c r="CM149" s="43">
        <v>142</v>
      </c>
      <c r="CN149" s="43">
        <v>58</v>
      </c>
      <c r="CO149" s="74"/>
      <c r="CT149" s="89">
        <v>83</v>
      </c>
      <c r="CU149" s="2">
        <v>34</v>
      </c>
      <c r="CV149" s="2">
        <v>0</v>
      </c>
      <c r="CW149" s="2">
        <v>0.17047799999999999</v>
      </c>
      <c r="CX149" s="43" t="s">
        <v>1344</v>
      </c>
      <c r="CY149" s="43">
        <v>142</v>
      </c>
      <c r="CZ149" s="43">
        <v>58</v>
      </c>
      <c r="DA149" s="74"/>
      <c r="DF149" s="89">
        <v>84</v>
      </c>
      <c r="DG149" s="2">
        <v>35</v>
      </c>
      <c r="DH149" s="2">
        <v>1</v>
      </c>
      <c r="DI149" s="2">
        <v>5.691177E-2</v>
      </c>
      <c r="DJ149" s="43" t="s">
        <v>1344</v>
      </c>
      <c r="DK149" s="43">
        <v>142</v>
      </c>
      <c r="DL149" s="43">
        <v>58</v>
      </c>
      <c r="DM149" s="74"/>
      <c r="DR149" s="89">
        <v>76</v>
      </c>
      <c r="DS149" s="2">
        <v>33</v>
      </c>
      <c r="DT149" s="2">
        <v>0</v>
      </c>
      <c r="DU149" s="2">
        <v>4.8000000000000001E-2</v>
      </c>
      <c r="DV149" s="43" t="s">
        <v>1344</v>
      </c>
      <c r="DW149" s="43">
        <v>142</v>
      </c>
      <c r="DX149" s="43">
        <v>58</v>
      </c>
      <c r="DY149" s="74"/>
      <c r="ED149" s="89">
        <v>90</v>
      </c>
      <c r="EE149" s="2">
        <v>34</v>
      </c>
      <c r="EF149" s="2">
        <v>0</v>
      </c>
      <c r="EG149" s="2">
        <v>3.0000000000000001E-3</v>
      </c>
      <c r="EH149" s="43" t="s">
        <v>1344</v>
      </c>
      <c r="EI149" s="43">
        <v>142</v>
      </c>
      <c r="EJ149" s="43">
        <v>58</v>
      </c>
      <c r="EK149" s="74"/>
      <c r="ES149">
        <v>90</v>
      </c>
      <c r="ET149">
        <v>34</v>
      </c>
      <c r="EU149">
        <v>0</v>
      </c>
      <c r="EV149">
        <v>3.0000000000000001E-3</v>
      </c>
    </row>
    <row r="150" spans="1:152" x14ac:dyDescent="0.4">
      <c r="A150" s="89"/>
      <c r="B150" s="2"/>
      <c r="C150" s="2"/>
      <c r="D150" s="2"/>
      <c r="E150" s="42" t="s">
        <v>1343</v>
      </c>
      <c r="F150" s="42">
        <v>141</v>
      </c>
      <c r="G150" s="42">
        <v>59</v>
      </c>
      <c r="H150" s="74">
        <f>SUM(SUMIFS(D$14:D$1004,B$14:B$1004,G150,A$14:A$1004,F150,C$14:C$1004,0))</f>
        <v>0</v>
      </c>
      <c r="N150" s="89">
        <v>80</v>
      </c>
      <c r="O150" s="2">
        <v>33</v>
      </c>
      <c r="P150" s="2">
        <v>0</v>
      </c>
      <c r="Q150" s="2">
        <v>0.94459499999999996</v>
      </c>
      <c r="R150" s="42" t="s">
        <v>1343</v>
      </c>
      <c r="S150" s="42">
        <v>141</v>
      </c>
      <c r="T150" s="42">
        <v>59</v>
      </c>
      <c r="U150" s="74">
        <f>SUM(SUMIFS(Q$14:Q$1004,O$14:O$1004,T150,N$14:N$1004,S150,P$14:P$1004,0))</f>
        <v>2.8000000000000001E-2</v>
      </c>
      <c r="Z150" s="89">
        <v>84</v>
      </c>
      <c r="AA150" s="2">
        <v>33</v>
      </c>
      <c r="AB150" s="2">
        <v>1</v>
      </c>
      <c r="AC150" s="2">
        <v>3.1732399999999999E-3</v>
      </c>
      <c r="AD150" s="42" t="s">
        <v>1343</v>
      </c>
      <c r="AE150" s="42">
        <v>141</v>
      </c>
      <c r="AF150" s="42">
        <v>59</v>
      </c>
      <c r="AG150" s="74">
        <f>SUM(SUMIFS(AC$14:AC$1004,AA$14:AA$1004,AF150,Z$14:Z$1004,AE150,AB$14:AB$1004,0))</f>
        <v>0.03</v>
      </c>
      <c r="AL150" s="89">
        <v>86</v>
      </c>
      <c r="AM150" s="2">
        <v>33</v>
      </c>
      <c r="AN150" s="2">
        <v>0</v>
      </c>
      <c r="AO150" s="2">
        <v>5.0000000000000001E-3</v>
      </c>
      <c r="AP150" s="42" t="s">
        <v>1343</v>
      </c>
      <c r="AQ150" s="42">
        <v>141</v>
      </c>
      <c r="AR150" s="42">
        <v>59</v>
      </c>
      <c r="AS150" s="74">
        <f>SUM(SUMIFS(AO$14:AO$1004,AM$14:AM$1004,AR150,AL$14:AL$1004,AQ150,AN$14:AN$1004,0))</f>
        <v>3.5999999999999997E-2</v>
      </c>
      <c r="AX150" s="89">
        <v>81</v>
      </c>
      <c r="AY150" s="2">
        <v>35</v>
      </c>
      <c r="AZ150" s="2">
        <v>0</v>
      </c>
      <c r="BA150" s="2">
        <v>0.71530910000000003</v>
      </c>
      <c r="BB150" s="42" t="s">
        <v>1343</v>
      </c>
      <c r="BC150" s="42">
        <v>141</v>
      </c>
      <c r="BD150" s="42">
        <v>59</v>
      </c>
      <c r="BE150" s="74">
        <f>SUM(SUMIFS(BA$14:BA$1004,AY$14:AY$1004,BD150,AX$14:AX$1004,BC150,AZ$14:AZ$1004,0))</f>
        <v>1.592149</v>
      </c>
      <c r="BJ150" s="89">
        <v>79</v>
      </c>
      <c r="BK150" s="2">
        <v>35</v>
      </c>
      <c r="BL150" s="2">
        <v>0</v>
      </c>
      <c r="BM150" s="2">
        <v>0.2149537</v>
      </c>
      <c r="BN150" s="42" t="s">
        <v>1343</v>
      </c>
      <c r="BO150" s="42">
        <v>141</v>
      </c>
      <c r="BP150" s="42">
        <v>59</v>
      </c>
      <c r="BQ150" s="74">
        <f>SUM(SUMIFS(BM$14:BM$1004,BK$14:BK$1004,BP150,BJ$14:BJ$1004,BO150,BL$14:BL$1004,0))</f>
        <v>1.3828069999999999</v>
      </c>
      <c r="BV150" s="89">
        <v>82</v>
      </c>
      <c r="BW150" s="2">
        <v>35</v>
      </c>
      <c r="BX150" s="2">
        <v>0</v>
      </c>
      <c r="BY150" s="2">
        <v>1.7951999999999999E-2</v>
      </c>
      <c r="BZ150" s="42" t="s">
        <v>1343</v>
      </c>
      <c r="CA150" s="42">
        <v>141</v>
      </c>
      <c r="CB150" s="42">
        <v>59</v>
      </c>
      <c r="CC150" s="74">
        <f>SUM(SUMIFS(BY$14:BY$1004,BW$14:BW$1004,CB150,BV$14:BV$1004,CA150,BX$14:BX$1004,0))</f>
        <v>2.0931999999999999</v>
      </c>
      <c r="CH150" s="89">
        <v>79</v>
      </c>
      <c r="CI150" s="2">
        <v>35</v>
      </c>
      <c r="CJ150" s="2">
        <v>1</v>
      </c>
      <c r="CK150" s="2">
        <v>2E-3</v>
      </c>
      <c r="CL150" s="42" t="s">
        <v>1343</v>
      </c>
      <c r="CM150" s="42">
        <v>141</v>
      </c>
      <c r="CN150" s="42">
        <v>59</v>
      </c>
      <c r="CO150" s="74">
        <f>SUM(SUMIFS(CK$14:CK$1004,CI$14:CI$1004,CN150,CH$14:CH$1004,CM150,CJ$14:CJ$1004,0))</f>
        <v>1.881006</v>
      </c>
      <c r="CT150" s="89">
        <v>83</v>
      </c>
      <c r="CU150" s="2">
        <v>34</v>
      </c>
      <c r="CV150" s="2">
        <v>1</v>
      </c>
      <c r="CW150" s="2">
        <v>4.1796680000000003E-2</v>
      </c>
      <c r="CX150" s="42" t="s">
        <v>1343</v>
      </c>
      <c r="CY150" s="42">
        <v>141</v>
      </c>
      <c r="CZ150" s="42">
        <v>59</v>
      </c>
      <c r="DA150" s="74">
        <f>SUM(SUMIFS(CW$14:CW$1004,CU$14:CU$1004,CZ150,CT$14:CT$1004,CY150,CV$14:CV$1004,0))</f>
        <v>2.7482350000000002</v>
      </c>
      <c r="DF150" s="89">
        <v>85</v>
      </c>
      <c r="DG150" s="2">
        <v>35</v>
      </c>
      <c r="DH150" s="2">
        <v>0</v>
      </c>
      <c r="DI150" s="2">
        <v>1.304505</v>
      </c>
      <c r="DJ150" s="42" t="s">
        <v>1343</v>
      </c>
      <c r="DK150" s="42">
        <v>141</v>
      </c>
      <c r="DL150" s="42">
        <v>59</v>
      </c>
      <c r="DM150" s="74">
        <f>SUM(SUMIFS(DI$14:DI$1004,DG$14:DG$1004,DL150,DF$14:DF$1004,DK150,DH$14:DH$1004,0))</f>
        <v>3.0582180000000001</v>
      </c>
      <c r="DR150" s="89">
        <v>77</v>
      </c>
      <c r="DS150" s="2">
        <v>33</v>
      </c>
      <c r="DT150" s="2">
        <v>0</v>
      </c>
      <c r="DU150" s="2">
        <v>1.091</v>
      </c>
      <c r="DV150" s="42" t="s">
        <v>1343</v>
      </c>
      <c r="DW150" s="42">
        <v>141</v>
      </c>
      <c r="DX150" s="42">
        <v>59</v>
      </c>
      <c r="DY150" s="74">
        <f>SUM(SUMIFS(DU$14:DU$1004,DS$14:DS$1004,DX150,DR$14:DR$1004,DW150,DT$14:DT$1004,0))</f>
        <v>6.9000000000000006E-2</v>
      </c>
      <c r="ED150" s="89">
        <v>79</v>
      </c>
      <c r="EE150" s="2">
        <v>35</v>
      </c>
      <c r="EF150" s="2">
        <v>0</v>
      </c>
      <c r="EG150" s="2">
        <v>0.16597480000000001</v>
      </c>
      <c r="EH150" s="42" t="s">
        <v>1343</v>
      </c>
      <c r="EI150" s="42">
        <v>141</v>
      </c>
      <c r="EJ150" s="42">
        <v>59</v>
      </c>
      <c r="EK150" s="74">
        <f>SUM(SUMIFS(EG$14:EG$1004,EE$14:EE$1004,EJ150,ED$14:ED$1004,EI150,EF$14:EF$1004,0))</f>
        <v>1.894636</v>
      </c>
      <c r="ES150">
        <v>79</v>
      </c>
      <c r="ET150">
        <v>35</v>
      </c>
      <c r="EU150">
        <v>0</v>
      </c>
      <c r="EV150">
        <v>0.16597480000000001</v>
      </c>
    </row>
    <row r="151" spans="1:152" x14ac:dyDescent="0.4">
      <c r="A151" s="89"/>
      <c r="B151" s="2"/>
      <c r="C151" s="2"/>
      <c r="D151" s="2"/>
      <c r="E151" s="43" t="s">
        <v>1335</v>
      </c>
      <c r="F151" s="43">
        <v>142</v>
      </c>
      <c r="G151" s="43">
        <v>60</v>
      </c>
      <c r="H151" s="74" cm="1">
        <f t="array" ref="H151">SUM(SUMIFS(D$14:D$1004,B$14:B$1004,G151:G157,A$14:A$1004,F151:F157,C$14:C$1004,0))</f>
        <v>0</v>
      </c>
      <c r="N151" s="89">
        <v>81</v>
      </c>
      <c r="O151" s="2">
        <v>33</v>
      </c>
      <c r="P151" s="2">
        <v>0</v>
      </c>
      <c r="Q151" s="2">
        <v>0.60140499999999997</v>
      </c>
      <c r="R151" s="43" t="s">
        <v>1335</v>
      </c>
      <c r="S151" s="43">
        <v>142</v>
      </c>
      <c r="T151" s="43">
        <v>60</v>
      </c>
      <c r="U151" s="74" cm="1">
        <f t="array" ref="U151">SUM(SUMIFS(Q$14:Q$1004,O$14:O$1004,T151:T157,N$14:N$1004,S151:S157,P$14:P$1004,0))</f>
        <v>8.3997801000000011E-2</v>
      </c>
      <c r="Z151" s="89">
        <v>85</v>
      </c>
      <c r="AA151" s="2">
        <v>33</v>
      </c>
      <c r="AB151" s="2">
        <v>0</v>
      </c>
      <c r="AC151" s="2">
        <v>2.886E-2</v>
      </c>
      <c r="AD151" s="43" t="s">
        <v>1335</v>
      </c>
      <c r="AE151" s="43">
        <v>142</v>
      </c>
      <c r="AF151" s="43">
        <v>60</v>
      </c>
      <c r="AG151" s="74" cm="1">
        <f t="array" ref="AG151">SUM(SUMIFS(AC$14:AC$1004,AA$14:AA$1004,AF151:AF157,Z$14:Z$1004,AE151:AE157,AB$14:AB$1004,0))</f>
        <v>0.106319002</v>
      </c>
      <c r="AL151" s="89">
        <v>87</v>
      </c>
      <c r="AM151" s="2">
        <v>33</v>
      </c>
      <c r="AN151" s="2">
        <v>0</v>
      </c>
      <c r="AO151" s="2">
        <v>2E-3</v>
      </c>
      <c r="AP151" s="43" t="s">
        <v>1335</v>
      </c>
      <c r="AQ151" s="43">
        <v>142</v>
      </c>
      <c r="AR151" s="43">
        <v>60</v>
      </c>
      <c r="AS151" s="74" cm="1">
        <f t="array" ref="AS151">SUM(SUMIFS(AO$14:AO$1004,AM$14:AM$1004,AR151:AR157,AL$14:AL$1004,AQ151:AQ157,AN$14:AN$1004,0))</f>
        <v>9.5978001000000007E-2</v>
      </c>
      <c r="AX151" s="89">
        <v>82</v>
      </c>
      <c r="AY151" s="2">
        <v>35</v>
      </c>
      <c r="AZ151" s="2">
        <v>0</v>
      </c>
      <c r="BA151" s="2">
        <v>4.346204E-2</v>
      </c>
      <c r="BB151" s="43" t="s">
        <v>1335</v>
      </c>
      <c r="BC151" s="43">
        <v>142</v>
      </c>
      <c r="BD151" s="43">
        <v>60</v>
      </c>
      <c r="BE151" s="74" cm="1">
        <f t="array" ref="BE151">SUM(SUMIFS(BA$14:BA$1004,AY$14:AY$1004,BD151:BD157,AX$14:AX$1004,BC151:BC157,AZ$14:AZ$1004,0))</f>
        <v>4.2790923000000003</v>
      </c>
      <c r="BJ151" s="89">
        <v>80</v>
      </c>
      <c r="BK151" s="2">
        <v>35</v>
      </c>
      <c r="BL151" s="2">
        <v>0</v>
      </c>
      <c r="BM151" s="2">
        <v>3.0000000000000001E-3</v>
      </c>
      <c r="BN151" s="43" t="s">
        <v>1335</v>
      </c>
      <c r="BO151" s="43">
        <v>142</v>
      </c>
      <c r="BP151" s="43">
        <v>60</v>
      </c>
      <c r="BQ151" s="74" cm="1">
        <f t="array" ref="BQ151">SUM(SUMIFS(BM$14:BM$1004,BK$14:BK$1004,BP151:BP157,BJ$14:BJ$1004,BO151:BO157,BL$14:BL$1004,0))</f>
        <v>4.0230380000000006</v>
      </c>
      <c r="BV151" s="89">
        <v>82</v>
      </c>
      <c r="BW151" s="2">
        <v>35</v>
      </c>
      <c r="BX151" s="2">
        <v>1</v>
      </c>
      <c r="BY151" s="2">
        <v>2E-3</v>
      </c>
      <c r="BZ151" s="43" t="s">
        <v>1335</v>
      </c>
      <c r="CA151" s="43">
        <v>142</v>
      </c>
      <c r="CB151" s="43">
        <v>60</v>
      </c>
      <c r="CC151" s="74" cm="1">
        <f t="array" ref="CC151">SUM(SUMIFS(BY$14:BY$1004,BW$14:BW$1004,CB151:CB157,BV$14:BV$1004,CA151:CA157,BX$14:BX$1004,0))</f>
        <v>6.3985245000000006</v>
      </c>
      <c r="CH151" s="89">
        <v>80</v>
      </c>
      <c r="CI151" s="2">
        <v>35</v>
      </c>
      <c r="CJ151" s="2">
        <v>0</v>
      </c>
      <c r="CK151" s="2">
        <v>7.0000009999999996E-3</v>
      </c>
      <c r="CL151" s="43" t="s">
        <v>1335</v>
      </c>
      <c r="CM151" s="43">
        <v>142</v>
      </c>
      <c r="CN151" s="43">
        <v>60</v>
      </c>
      <c r="CO151" s="74" cm="1">
        <f t="array" ref="CO151">SUM(SUMIFS(CK$14:CK$1004,CI$14:CI$1004,CN151:CN157,CH$14:CH$1004,CM151:CM157,CJ$14:CJ$1004,0))</f>
        <v>5.8845388000000005</v>
      </c>
      <c r="CT151" s="89">
        <v>84</v>
      </c>
      <c r="CU151" s="2">
        <v>34</v>
      </c>
      <c r="CV151" s="2">
        <v>0</v>
      </c>
      <c r="CW151" s="2">
        <v>0.1984745</v>
      </c>
      <c r="CX151" s="43" t="s">
        <v>1335</v>
      </c>
      <c r="CY151" s="43">
        <v>142</v>
      </c>
      <c r="CZ151" s="43">
        <v>60</v>
      </c>
      <c r="DA151" s="74" cm="1">
        <f t="array" ref="DA151">SUM(SUMIFS(CW$14:CW$1004,CU$14:CU$1004,CZ151:CZ157,CT$14:CT$1004,CY151:CY157,CV$14:CV$1004,0))</f>
        <v>11.954128000000001</v>
      </c>
      <c r="DF151" s="89">
        <v>86</v>
      </c>
      <c r="DG151" s="2">
        <v>35</v>
      </c>
      <c r="DH151" s="2">
        <v>0</v>
      </c>
      <c r="DI151" s="2">
        <v>1.339048</v>
      </c>
      <c r="DJ151" s="43" t="s">
        <v>1335</v>
      </c>
      <c r="DK151" s="43">
        <v>142</v>
      </c>
      <c r="DL151" s="43">
        <v>60</v>
      </c>
      <c r="DM151" s="74" cm="1">
        <f t="array" ref="DM151">SUM(SUMIFS(DI$14:DI$1004,DG$14:DG$1004,DL151:DL157,DF$14:DF$1004,DK151:DK157,DH$14:DH$1004,0))</f>
        <v>9.0952040000000007</v>
      </c>
      <c r="DR151" s="89">
        <v>78</v>
      </c>
      <c r="DS151" s="2">
        <v>33</v>
      </c>
      <c r="DT151" s="2">
        <v>0</v>
      </c>
      <c r="DU151" s="2">
        <v>1.2752410000000001</v>
      </c>
      <c r="DV151" s="43" t="s">
        <v>1335</v>
      </c>
      <c r="DW151" s="43">
        <v>142</v>
      </c>
      <c r="DX151" s="43">
        <v>60</v>
      </c>
      <c r="DY151" s="74" cm="1">
        <f t="array" ref="DY151">SUM(SUMIFS(DU$14:DU$1004,DS$14:DS$1004,DX151:DX157,DR$14:DR$1004,DW151:DW157,DT$14:DT$1004,0))</f>
        <v>0.16695659999999998</v>
      </c>
      <c r="ED151" s="89">
        <v>79</v>
      </c>
      <c r="EE151" s="2">
        <v>35</v>
      </c>
      <c r="EF151" s="2">
        <v>1</v>
      </c>
      <c r="EG151" s="2">
        <v>1E-3</v>
      </c>
      <c r="EH151" s="43" t="s">
        <v>1335</v>
      </c>
      <c r="EI151" s="43">
        <v>142</v>
      </c>
      <c r="EJ151" s="43">
        <v>60</v>
      </c>
      <c r="EK151" s="74" cm="1">
        <f t="array" ref="EK151">SUM(SUMIFS(EG$14:EG$1004,EE$14:EE$1004,EJ151:EJ157,ED$14:ED$1004,EI151:EI157,EF$14:EF$1004,0))</f>
        <v>5.9877106000000007</v>
      </c>
      <c r="ES151">
        <v>79</v>
      </c>
      <c r="ET151">
        <v>35</v>
      </c>
      <c r="EU151">
        <v>1</v>
      </c>
      <c r="EV151">
        <v>1E-3</v>
      </c>
    </row>
    <row r="152" spans="1:152" x14ac:dyDescent="0.4">
      <c r="A152" s="89"/>
      <c r="B152" s="2"/>
      <c r="C152" s="2"/>
      <c r="D152" s="2"/>
      <c r="E152" s="43" t="s">
        <v>1335</v>
      </c>
      <c r="F152" s="43">
        <v>143</v>
      </c>
      <c r="G152" s="43">
        <v>60</v>
      </c>
      <c r="H152" s="74"/>
      <c r="N152" s="89">
        <v>82</v>
      </c>
      <c r="O152" s="2">
        <v>33</v>
      </c>
      <c r="P152" s="2">
        <v>0</v>
      </c>
      <c r="Q152" s="2">
        <v>9.2739139999999998E-2</v>
      </c>
      <c r="R152" s="43" t="s">
        <v>1335</v>
      </c>
      <c r="S152" s="43">
        <v>143</v>
      </c>
      <c r="T152" s="43">
        <v>60</v>
      </c>
      <c r="U152" s="74"/>
      <c r="Z152" s="89">
        <v>86</v>
      </c>
      <c r="AA152" s="2">
        <v>33</v>
      </c>
      <c r="AB152" s="2">
        <v>0</v>
      </c>
      <c r="AC152" s="2">
        <v>1.0999999999999999E-2</v>
      </c>
      <c r="AD152" s="43" t="s">
        <v>1335</v>
      </c>
      <c r="AE152" s="43">
        <v>143</v>
      </c>
      <c r="AF152" s="43">
        <v>60</v>
      </c>
      <c r="AG152" s="74"/>
      <c r="AL152" s="89">
        <v>73</v>
      </c>
      <c r="AM152" s="2">
        <v>34</v>
      </c>
      <c r="AN152" s="2">
        <v>0</v>
      </c>
      <c r="AO152" s="2">
        <v>1E-3</v>
      </c>
      <c r="AP152" s="43" t="s">
        <v>1335</v>
      </c>
      <c r="AQ152" s="43">
        <v>143</v>
      </c>
      <c r="AR152" s="43">
        <v>60</v>
      </c>
      <c r="AS152" s="74"/>
      <c r="AX152" s="89">
        <v>82</v>
      </c>
      <c r="AY152" s="2">
        <v>35</v>
      </c>
      <c r="AZ152" s="2">
        <v>1</v>
      </c>
      <c r="BA152" s="2">
        <v>2.24151E-2</v>
      </c>
      <c r="BB152" s="43" t="s">
        <v>1335</v>
      </c>
      <c r="BC152" s="43">
        <v>143</v>
      </c>
      <c r="BD152" s="43">
        <v>60</v>
      </c>
      <c r="BE152" s="74"/>
      <c r="BJ152" s="89">
        <v>80</v>
      </c>
      <c r="BK152" s="2">
        <v>35</v>
      </c>
      <c r="BL152" s="2">
        <v>1</v>
      </c>
      <c r="BM152" s="2">
        <v>2E-3</v>
      </c>
      <c r="BN152" s="43" t="s">
        <v>1335</v>
      </c>
      <c r="BO152" s="43">
        <v>143</v>
      </c>
      <c r="BP152" s="43">
        <v>60</v>
      </c>
      <c r="BQ152" s="74"/>
      <c r="BV152" s="89">
        <v>83</v>
      </c>
      <c r="BW152" s="2">
        <v>35</v>
      </c>
      <c r="BX152" s="2">
        <v>0</v>
      </c>
      <c r="BY152" s="2">
        <v>0.52750079999999999</v>
      </c>
      <c r="BZ152" s="43" t="s">
        <v>1335</v>
      </c>
      <c r="CA152" s="43">
        <v>143</v>
      </c>
      <c r="CB152" s="43">
        <v>60</v>
      </c>
      <c r="CC152" s="74"/>
      <c r="CH152" s="89">
        <v>80</v>
      </c>
      <c r="CI152" s="2">
        <v>35</v>
      </c>
      <c r="CJ152" s="2">
        <v>1</v>
      </c>
      <c r="CK152" s="2">
        <v>6.0000009999999996E-3</v>
      </c>
      <c r="CL152" s="43" t="s">
        <v>1335</v>
      </c>
      <c r="CM152" s="43">
        <v>143</v>
      </c>
      <c r="CN152" s="43">
        <v>60</v>
      </c>
      <c r="CO152" s="74"/>
      <c r="CT152" s="89">
        <v>85</v>
      </c>
      <c r="CU152" s="2">
        <v>34</v>
      </c>
      <c r="CV152" s="2">
        <v>0</v>
      </c>
      <c r="CW152" s="2">
        <v>0.1092408</v>
      </c>
      <c r="CX152" s="43" t="s">
        <v>1335</v>
      </c>
      <c r="CY152" s="43">
        <v>143</v>
      </c>
      <c r="CZ152" s="43">
        <v>60</v>
      </c>
      <c r="DA152" s="74"/>
      <c r="DF152" s="89">
        <v>87</v>
      </c>
      <c r="DG152" s="2">
        <v>35</v>
      </c>
      <c r="DH152" s="2">
        <v>0</v>
      </c>
      <c r="DI152" s="2">
        <v>1.259924</v>
      </c>
      <c r="DJ152" s="43" t="s">
        <v>1335</v>
      </c>
      <c r="DK152" s="43">
        <v>143</v>
      </c>
      <c r="DL152" s="43">
        <v>60</v>
      </c>
      <c r="DM152" s="74"/>
      <c r="DR152" s="89">
        <v>79</v>
      </c>
      <c r="DS152" s="2">
        <v>33</v>
      </c>
      <c r="DT152" s="2">
        <v>0</v>
      </c>
      <c r="DU152" s="2">
        <v>1.2337590000000001</v>
      </c>
      <c r="DV152" s="43" t="s">
        <v>1335</v>
      </c>
      <c r="DW152" s="43">
        <v>143</v>
      </c>
      <c r="DX152" s="43">
        <v>60</v>
      </c>
      <c r="DY152" s="74"/>
      <c r="ED152" s="89">
        <v>80</v>
      </c>
      <c r="EE152" s="2">
        <v>35</v>
      </c>
      <c r="EF152" s="2">
        <v>0</v>
      </c>
      <c r="EG152" s="2">
        <v>2E-3</v>
      </c>
      <c r="EH152" s="43" t="s">
        <v>1335</v>
      </c>
      <c r="EI152" s="43">
        <v>143</v>
      </c>
      <c r="EJ152" s="43">
        <v>60</v>
      </c>
      <c r="EK152" s="74"/>
      <c r="ES152">
        <v>80</v>
      </c>
      <c r="ET152">
        <v>35</v>
      </c>
      <c r="EU152">
        <v>0</v>
      </c>
      <c r="EV152">
        <v>2E-3</v>
      </c>
    </row>
    <row r="153" spans="1:152" x14ac:dyDescent="0.4">
      <c r="A153" s="89"/>
      <c r="B153" s="2"/>
      <c r="C153" s="2"/>
      <c r="D153" s="2"/>
      <c r="E153" s="43" t="s">
        <v>1335</v>
      </c>
      <c r="F153" s="43">
        <v>144</v>
      </c>
      <c r="G153" s="43">
        <v>60</v>
      </c>
      <c r="H153" s="74"/>
      <c r="N153" s="89">
        <v>82</v>
      </c>
      <c r="O153" s="2">
        <v>33</v>
      </c>
      <c r="P153" s="2">
        <v>1</v>
      </c>
      <c r="Q153" s="2">
        <v>0.22826089999999999</v>
      </c>
      <c r="R153" s="43" t="s">
        <v>1335</v>
      </c>
      <c r="S153" s="43">
        <v>144</v>
      </c>
      <c r="T153" s="43">
        <v>60</v>
      </c>
      <c r="U153" s="74"/>
      <c r="Z153" s="89">
        <v>88</v>
      </c>
      <c r="AA153" s="2">
        <v>33</v>
      </c>
      <c r="AB153" s="2">
        <v>0</v>
      </c>
      <c r="AC153" s="2">
        <v>3.0000000000000001E-3</v>
      </c>
      <c r="AD153" s="43" t="s">
        <v>1335</v>
      </c>
      <c r="AE153" s="43">
        <v>144</v>
      </c>
      <c r="AF153" s="43">
        <v>60</v>
      </c>
      <c r="AG153" s="74"/>
      <c r="AL153" s="89">
        <v>74</v>
      </c>
      <c r="AM153" s="2">
        <v>34</v>
      </c>
      <c r="AN153" s="2">
        <v>0</v>
      </c>
      <c r="AO153" s="2">
        <v>9.8399999999999998E-3</v>
      </c>
      <c r="AP153" s="43" t="s">
        <v>1335</v>
      </c>
      <c r="AQ153" s="43">
        <v>144</v>
      </c>
      <c r="AR153" s="43">
        <v>60</v>
      </c>
      <c r="AS153" s="74"/>
      <c r="AX153" s="89">
        <v>83</v>
      </c>
      <c r="AY153" s="2">
        <v>35</v>
      </c>
      <c r="AZ153" s="2">
        <v>0</v>
      </c>
      <c r="BA153" s="2">
        <v>1.2489809999999999</v>
      </c>
      <c r="BB153" s="43" t="s">
        <v>1335</v>
      </c>
      <c r="BC153" s="43">
        <v>144</v>
      </c>
      <c r="BD153" s="43">
        <v>60</v>
      </c>
      <c r="BE153" s="74"/>
      <c r="BJ153" s="89">
        <v>81</v>
      </c>
      <c r="BK153" s="2">
        <v>35</v>
      </c>
      <c r="BL153" s="2">
        <v>0</v>
      </c>
      <c r="BM153" s="2">
        <v>0.34373700000000001</v>
      </c>
      <c r="BN153" s="43" t="s">
        <v>1335</v>
      </c>
      <c r="BO153" s="43">
        <v>144</v>
      </c>
      <c r="BP153" s="43">
        <v>60</v>
      </c>
      <c r="BQ153" s="74"/>
      <c r="BV153" s="89">
        <v>84</v>
      </c>
      <c r="BW153" s="2">
        <v>35</v>
      </c>
      <c r="BX153" s="2">
        <v>0</v>
      </c>
      <c r="BY153" s="2">
        <v>0.6690933</v>
      </c>
      <c r="BZ153" s="43" t="s">
        <v>1335</v>
      </c>
      <c r="CA153" s="43">
        <v>144</v>
      </c>
      <c r="CB153" s="43">
        <v>60</v>
      </c>
      <c r="CC153" s="74"/>
      <c r="CH153" s="89">
        <v>81</v>
      </c>
      <c r="CI153" s="2">
        <v>35</v>
      </c>
      <c r="CJ153" s="2">
        <v>0</v>
      </c>
      <c r="CK153" s="2">
        <v>0.32188099999999997</v>
      </c>
      <c r="CL153" s="43" t="s">
        <v>1335</v>
      </c>
      <c r="CM153" s="43">
        <v>144</v>
      </c>
      <c r="CN153" s="43">
        <v>60</v>
      </c>
      <c r="CO153" s="74"/>
      <c r="CT153" s="89">
        <v>86</v>
      </c>
      <c r="CU153" s="2">
        <v>34</v>
      </c>
      <c r="CV153" s="2">
        <v>0</v>
      </c>
      <c r="CW153" s="2">
        <v>6.8318000000000004E-2</v>
      </c>
      <c r="CX153" s="43" t="s">
        <v>1335</v>
      </c>
      <c r="CY153" s="43">
        <v>144</v>
      </c>
      <c r="CZ153" s="43">
        <v>60</v>
      </c>
      <c r="DA153" s="74"/>
      <c r="DF153" s="89">
        <v>88</v>
      </c>
      <c r="DG153" s="2">
        <v>35</v>
      </c>
      <c r="DH153" s="2">
        <v>0</v>
      </c>
      <c r="DI153" s="2">
        <v>1.0698160000000001</v>
      </c>
      <c r="DJ153" s="43" t="s">
        <v>1335</v>
      </c>
      <c r="DK153" s="43">
        <v>144</v>
      </c>
      <c r="DL153" s="43">
        <v>60</v>
      </c>
      <c r="DM153" s="74"/>
      <c r="DR153" s="89">
        <v>80</v>
      </c>
      <c r="DS153" s="2">
        <v>33</v>
      </c>
      <c r="DT153" s="2">
        <v>0</v>
      </c>
      <c r="DU153" s="2">
        <v>1.172874</v>
      </c>
      <c r="DV153" s="43" t="s">
        <v>1335</v>
      </c>
      <c r="DW153" s="43">
        <v>144</v>
      </c>
      <c r="DX153" s="43">
        <v>60</v>
      </c>
      <c r="DY153" s="74"/>
      <c r="ED153" s="89">
        <v>80</v>
      </c>
      <c r="EE153" s="2">
        <v>35</v>
      </c>
      <c r="EF153" s="2">
        <v>1</v>
      </c>
      <c r="EG153" s="2">
        <v>2E-3</v>
      </c>
      <c r="EH153" s="43" t="s">
        <v>1335</v>
      </c>
      <c r="EI153" s="43">
        <v>144</v>
      </c>
      <c r="EJ153" s="43">
        <v>60</v>
      </c>
      <c r="EK153" s="74"/>
      <c r="ES153">
        <v>80</v>
      </c>
      <c r="ET153">
        <v>35</v>
      </c>
      <c r="EU153">
        <v>1</v>
      </c>
      <c r="EV153">
        <v>2E-3</v>
      </c>
    </row>
    <row r="154" spans="1:152" x14ac:dyDescent="0.4">
      <c r="A154" s="89"/>
      <c r="B154" s="2"/>
      <c r="C154" s="2"/>
      <c r="D154" s="2"/>
      <c r="E154" s="43" t="s">
        <v>1335</v>
      </c>
      <c r="F154" s="43">
        <v>145</v>
      </c>
      <c r="G154" s="43">
        <v>60</v>
      </c>
      <c r="H154" s="74"/>
      <c r="N154" s="89">
        <v>83</v>
      </c>
      <c r="O154" s="2">
        <v>33</v>
      </c>
      <c r="P154" s="2">
        <v>0</v>
      </c>
      <c r="Q154" s="2">
        <v>0.144648</v>
      </c>
      <c r="R154" s="43" t="s">
        <v>1335</v>
      </c>
      <c r="S154" s="43">
        <v>145</v>
      </c>
      <c r="T154" s="43">
        <v>60</v>
      </c>
      <c r="U154" s="74"/>
      <c r="Z154" s="89">
        <v>74</v>
      </c>
      <c r="AA154" s="2">
        <v>34</v>
      </c>
      <c r="AB154" s="2">
        <v>0</v>
      </c>
      <c r="AC154" s="2">
        <v>2.3800000000000002E-3</v>
      </c>
      <c r="AD154" s="43" t="s">
        <v>1335</v>
      </c>
      <c r="AE154" s="43">
        <v>145</v>
      </c>
      <c r="AF154" s="43">
        <v>60</v>
      </c>
      <c r="AG154" s="74"/>
      <c r="AL154" s="89">
        <v>75</v>
      </c>
      <c r="AM154" s="2">
        <v>34</v>
      </c>
      <c r="AN154" s="2">
        <v>0</v>
      </c>
      <c r="AO154" s="2">
        <v>5.0000000000000001E-3</v>
      </c>
      <c r="AP154" s="43" t="s">
        <v>1335</v>
      </c>
      <c r="AQ154" s="43">
        <v>145</v>
      </c>
      <c r="AR154" s="43">
        <v>60</v>
      </c>
      <c r="AS154" s="74"/>
      <c r="AX154" s="89">
        <v>84</v>
      </c>
      <c r="AY154" s="2">
        <v>35</v>
      </c>
      <c r="AZ154" s="2">
        <v>0</v>
      </c>
      <c r="BA154" s="2">
        <v>1.5098</v>
      </c>
      <c r="BB154" s="43" t="s">
        <v>1335</v>
      </c>
      <c r="BC154" s="43">
        <v>145</v>
      </c>
      <c r="BD154" s="43">
        <v>60</v>
      </c>
      <c r="BE154" s="74"/>
      <c r="BJ154" s="89">
        <v>82</v>
      </c>
      <c r="BK154" s="2">
        <v>35</v>
      </c>
      <c r="BL154" s="2">
        <v>0</v>
      </c>
      <c r="BM154" s="2">
        <v>4.0642190000000002E-2</v>
      </c>
      <c r="BN154" s="43" t="s">
        <v>1335</v>
      </c>
      <c r="BO154" s="43">
        <v>145</v>
      </c>
      <c r="BP154" s="43">
        <v>60</v>
      </c>
      <c r="BQ154" s="74"/>
      <c r="BV154" s="89">
        <v>84</v>
      </c>
      <c r="BW154" s="2">
        <v>35</v>
      </c>
      <c r="BX154" s="2">
        <v>1</v>
      </c>
      <c r="BY154" s="2">
        <v>6.4624390000000004E-2</v>
      </c>
      <c r="BZ154" s="43" t="s">
        <v>1335</v>
      </c>
      <c r="CA154" s="43">
        <v>145</v>
      </c>
      <c r="CB154" s="43">
        <v>60</v>
      </c>
      <c r="CC154" s="74"/>
      <c r="CH154" s="89">
        <v>82</v>
      </c>
      <c r="CI154" s="2">
        <v>35</v>
      </c>
      <c r="CJ154" s="2">
        <v>0</v>
      </c>
      <c r="CK154" s="2">
        <v>7.9563640000000005E-2</v>
      </c>
      <c r="CL154" s="43" t="s">
        <v>1335</v>
      </c>
      <c r="CM154" s="43">
        <v>145</v>
      </c>
      <c r="CN154" s="43">
        <v>60</v>
      </c>
      <c r="CO154" s="74"/>
      <c r="CT154" s="89">
        <v>87</v>
      </c>
      <c r="CU154" s="2">
        <v>34</v>
      </c>
      <c r="CV154" s="2">
        <v>0</v>
      </c>
      <c r="CW154" s="2">
        <v>3.7692000000000003E-2</v>
      </c>
      <c r="CX154" s="43" t="s">
        <v>1335</v>
      </c>
      <c r="CY154" s="43">
        <v>145</v>
      </c>
      <c r="CZ154" s="43">
        <v>60</v>
      </c>
      <c r="DA154" s="74"/>
      <c r="DF154" s="89">
        <v>89</v>
      </c>
      <c r="DG154" s="2">
        <v>35</v>
      </c>
      <c r="DH154" s="2">
        <v>0</v>
      </c>
      <c r="DI154" s="2">
        <v>0.60741199999999995</v>
      </c>
      <c r="DJ154" s="43" t="s">
        <v>1335</v>
      </c>
      <c r="DK154" s="43">
        <v>145</v>
      </c>
      <c r="DL154" s="43">
        <v>60</v>
      </c>
      <c r="DM154" s="74"/>
      <c r="DR154" s="89">
        <v>81</v>
      </c>
      <c r="DS154" s="2">
        <v>33</v>
      </c>
      <c r="DT154" s="2">
        <v>0</v>
      </c>
      <c r="DU154" s="2">
        <v>1.0270429999999999</v>
      </c>
      <c r="DV154" s="43" t="s">
        <v>1335</v>
      </c>
      <c r="DW154" s="43">
        <v>145</v>
      </c>
      <c r="DX154" s="43">
        <v>60</v>
      </c>
      <c r="DY154" s="74"/>
      <c r="ED154" s="89">
        <v>81</v>
      </c>
      <c r="EE154" s="2">
        <v>35</v>
      </c>
      <c r="EF154" s="2">
        <v>0</v>
      </c>
      <c r="EG154" s="2">
        <v>0.30052400000000001</v>
      </c>
      <c r="EH154" s="43" t="s">
        <v>1335</v>
      </c>
      <c r="EI154" s="43">
        <v>145</v>
      </c>
      <c r="EJ154" s="43">
        <v>60</v>
      </c>
      <c r="EK154" s="74"/>
      <c r="ES154">
        <v>81</v>
      </c>
      <c r="ET154">
        <v>35</v>
      </c>
      <c r="EU154">
        <v>0</v>
      </c>
      <c r="EV154">
        <v>0.30052400000000001</v>
      </c>
    </row>
    <row r="155" spans="1:152" x14ac:dyDescent="0.4">
      <c r="A155" s="89"/>
      <c r="B155" s="2"/>
      <c r="C155" s="2"/>
      <c r="D155" s="2"/>
      <c r="E155" s="43" t="s">
        <v>1335</v>
      </c>
      <c r="F155" s="43">
        <v>146</v>
      </c>
      <c r="G155" s="43">
        <v>60</v>
      </c>
      <c r="H155" s="74"/>
      <c r="N155" s="89">
        <v>84</v>
      </c>
      <c r="O155" s="2">
        <v>33</v>
      </c>
      <c r="P155" s="2">
        <v>0</v>
      </c>
      <c r="Q155" s="2">
        <v>5.4155830000000002E-2</v>
      </c>
      <c r="R155" s="43" t="s">
        <v>1335</v>
      </c>
      <c r="S155" s="43">
        <v>146</v>
      </c>
      <c r="T155" s="43">
        <v>60</v>
      </c>
      <c r="U155" s="74"/>
      <c r="Z155" s="89">
        <v>75</v>
      </c>
      <c r="AA155" s="2">
        <v>34</v>
      </c>
      <c r="AB155" s="2">
        <v>0</v>
      </c>
      <c r="AC155" s="2">
        <v>3.0000000000000001E-3</v>
      </c>
      <c r="AD155" s="43" t="s">
        <v>1335</v>
      </c>
      <c r="AE155" s="43">
        <v>146</v>
      </c>
      <c r="AF155" s="43">
        <v>60</v>
      </c>
      <c r="AG155" s="74"/>
      <c r="AL155" s="89">
        <v>76</v>
      </c>
      <c r="AM155" s="2">
        <v>34</v>
      </c>
      <c r="AN155" s="2">
        <v>0</v>
      </c>
      <c r="AO155" s="2">
        <v>0.21</v>
      </c>
      <c r="AP155" s="43" t="s">
        <v>1335</v>
      </c>
      <c r="AQ155" s="43">
        <v>146</v>
      </c>
      <c r="AR155" s="43">
        <v>60</v>
      </c>
      <c r="AS155" s="74"/>
      <c r="AX155" s="89">
        <v>84</v>
      </c>
      <c r="AY155" s="2">
        <v>35</v>
      </c>
      <c r="AZ155" s="2">
        <v>1</v>
      </c>
      <c r="BA155" s="2">
        <v>9.7108570000000005E-2</v>
      </c>
      <c r="BB155" s="43" t="s">
        <v>1335</v>
      </c>
      <c r="BC155" s="43">
        <v>146</v>
      </c>
      <c r="BD155" s="43">
        <v>60</v>
      </c>
      <c r="BE155" s="74"/>
      <c r="BJ155" s="89">
        <v>82</v>
      </c>
      <c r="BK155" s="2">
        <v>35</v>
      </c>
      <c r="BL155" s="2">
        <v>1</v>
      </c>
      <c r="BM155" s="2">
        <v>1.490909E-2</v>
      </c>
      <c r="BN155" s="43" t="s">
        <v>1335</v>
      </c>
      <c r="BO155" s="43">
        <v>146</v>
      </c>
      <c r="BP155" s="43">
        <v>60</v>
      </c>
      <c r="BQ155" s="74"/>
      <c r="BV155" s="89">
        <v>85</v>
      </c>
      <c r="BW155" s="2">
        <v>35</v>
      </c>
      <c r="BX155" s="2">
        <v>0</v>
      </c>
      <c r="BY155" s="2">
        <v>0.77972160000000001</v>
      </c>
      <c r="BZ155" s="43" t="s">
        <v>1335</v>
      </c>
      <c r="CA155" s="43">
        <v>146</v>
      </c>
      <c r="CB155" s="43">
        <v>60</v>
      </c>
      <c r="CC155" s="74"/>
      <c r="CH155" s="89">
        <v>82</v>
      </c>
      <c r="CI155" s="2">
        <v>35</v>
      </c>
      <c r="CJ155" s="2">
        <v>1</v>
      </c>
      <c r="CK155" s="2">
        <v>1.8181820000000001E-2</v>
      </c>
      <c r="CL155" s="43" t="s">
        <v>1335</v>
      </c>
      <c r="CM155" s="43">
        <v>146</v>
      </c>
      <c r="CN155" s="43">
        <v>60</v>
      </c>
      <c r="CO155" s="74"/>
      <c r="CT155" s="89">
        <v>88</v>
      </c>
      <c r="CU155" s="2">
        <v>34</v>
      </c>
      <c r="CV155" s="2">
        <v>0</v>
      </c>
      <c r="CW155" s="2">
        <v>0.01</v>
      </c>
      <c r="CX155" s="43" t="s">
        <v>1335</v>
      </c>
      <c r="CY155" s="43">
        <v>146</v>
      </c>
      <c r="CZ155" s="43">
        <v>60</v>
      </c>
      <c r="DA155" s="74"/>
      <c r="DF155" s="89">
        <v>90</v>
      </c>
      <c r="DG155" s="2">
        <v>35</v>
      </c>
      <c r="DH155" s="2">
        <v>0</v>
      </c>
      <c r="DI155" s="2">
        <v>0.32205</v>
      </c>
      <c r="DJ155" s="43" t="s">
        <v>1335</v>
      </c>
      <c r="DK155" s="43">
        <v>146</v>
      </c>
      <c r="DL155" s="43">
        <v>60</v>
      </c>
      <c r="DM155" s="74"/>
      <c r="DR155" s="89">
        <v>82</v>
      </c>
      <c r="DS155" s="2">
        <v>33</v>
      </c>
      <c r="DT155" s="2">
        <v>0</v>
      </c>
      <c r="DU155" s="2">
        <v>0.25298480000000001</v>
      </c>
      <c r="DV155" s="43" t="s">
        <v>1335</v>
      </c>
      <c r="DW155" s="43">
        <v>146</v>
      </c>
      <c r="DX155" s="43">
        <v>60</v>
      </c>
      <c r="DY155" s="74"/>
      <c r="ED155" s="89">
        <v>82</v>
      </c>
      <c r="EE155" s="2">
        <v>35</v>
      </c>
      <c r="EF155" s="2">
        <v>0</v>
      </c>
      <c r="EG155" s="2">
        <v>1.6892629999999999E-2</v>
      </c>
      <c r="EH155" s="43" t="s">
        <v>1335</v>
      </c>
      <c r="EI155" s="43">
        <v>146</v>
      </c>
      <c r="EJ155" s="43">
        <v>60</v>
      </c>
      <c r="EK155" s="74"/>
      <c r="ES155">
        <v>82</v>
      </c>
      <c r="ET155">
        <v>35</v>
      </c>
      <c r="EU155">
        <v>0</v>
      </c>
      <c r="EV155">
        <v>1.6892629999999999E-2</v>
      </c>
    </row>
    <row r="156" spans="1:152" x14ac:dyDescent="0.4">
      <c r="A156" s="89"/>
      <c r="B156" s="2"/>
      <c r="C156" s="2"/>
      <c r="D156" s="2"/>
      <c r="E156" s="43" t="s">
        <v>1335</v>
      </c>
      <c r="F156" s="43">
        <v>148</v>
      </c>
      <c r="G156" s="43">
        <v>60</v>
      </c>
      <c r="H156" s="74"/>
      <c r="N156" s="89">
        <v>84</v>
      </c>
      <c r="O156" s="2">
        <v>33</v>
      </c>
      <c r="P156" s="2">
        <v>1</v>
      </c>
      <c r="Q156" s="2">
        <v>7.3361640000000001E-3</v>
      </c>
      <c r="R156" s="43" t="s">
        <v>1335</v>
      </c>
      <c r="S156" s="43">
        <v>148</v>
      </c>
      <c r="T156" s="43">
        <v>60</v>
      </c>
      <c r="U156" s="74"/>
      <c r="Z156" s="89">
        <v>76</v>
      </c>
      <c r="AA156" s="2">
        <v>34</v>
      </c>
      <c r="AB156" s="2">
        <v>0</v>
      </c>
      <c r="AC156" s="2">
        <v>0.09</v>
      </c>
      <c r="AD156" s="43" t="s">
        <v>1335</v>
      </c>
      <c r="AE156" s="43">
        <v>148</v>
      </c>
      <c r="AF156" s="43">
        <v>60</v>
      </c>
      <c r="AG156" s="74"/>
      <c r="AL156" s="89">
        <v>77</v>
      </c>
      <c r="AM156" s="2">
        <v>34</v>
      </c>
      <c r="AN156" s="2">
        <v>0</v>
      </c>
      <c r="AO156" s="2">
        <v>0.99099999999999999</v>
      </c>
      <c r="AP156" s="43" t="s">
        <v>1335</v>
      </c>
      <c r="AQ156" s="43">
        <v>148</v>
      </c>
      <c r="AR156" s="43">
        <v>60</v>
      </c>
      <c r="AS156" s="74"/>
      <c r="AX156" s="89">
        <v>85</v>
      </c>
      <c r="AY156" s="2">
        <v>35</v>
      </c>
      <c r="AZ156" s="2">
        <v>0</v>
      </c>
      <c r="BA156" s="2">
        <v>1.4850410000000001</v>
      </c>
      <c r="BB156" s="43" t="s">
        <v>1335</v>
      </c>
      <c r="BC156" s="43">
        <v>148</v>
      </c>
      <c r="BD156" s="43">
        <v>60</v>
      </c>
      <c r="BE156" s="74"/>
      <c r="BJ156" s="89">
        <v>83</v>
      </c>
      <c r="BK156" s="2">
        <v>35</v>
      </c>
      <c r="BL156" s="2">
        <v>0</v>
      </c>
      <c r="BM156" s="2">
        <v>0.60947200000000001</v>
      </c>
      <c r="BN156" s="43" t="s">
        <v>1335</v>
      </c>
      <c r="BO156" s="43">
        <v>148</v>
      </c>
      <c r="BP156" s="43">
        <v>60</v>
      </c>
      <c r="BQ156" s="74"/>
      <c r="BV156" s="89">
        <v>86</v>
      </c>
      <c r="BW156" s="2">
        <v>35</v>
      </c>
      <c r="BX156" s="2">
        <v>0</v>
      </c>
      <c r="BY156" s="2">
        <v>0.74313810000000002</v>
      </c>
      <c r="BZ156" s="43" t="s">
        <v>1335</v>
      </c>
      <c r="CA156" s="43">
        <v>148</v>
      </c>
      <c r="CB156" s="43">
        <v>60</v>
      </c>
      <c r="CC156" s="74"/>
      <c r="CH156" s="89">
        <v>83</v>
      </c>
      <c r="CI156" s="2">
        <v>35</v>
      </c>
      <c r="CJ156" s="2">
        <v>0</v>
      </c>
      <c r="CK156" s="2">
        <v>0.44617430000000002</v>
      </c>
      <c r="CL156" s="43" t="s">
        <v>1335</v>
      </c>
      <c r="CM156" s="43">
        <v>148</v>
      </c>
      <c r="CN156" s="43">
        <v>60</v>
      </c>
      <c r="CO156" s="74"/>
      <c r="CT156" s="89">
        <v>89</v>
      </c>
      <c r="CU156" s="2">
        <v>34</v>
      </c>
      <c r="CV156" s="2">
        <v>0</v>
      </c>
      <c r="CW156" s="2">
        <v>5.0000000000000001E-3</v>
      </c>
      <c r="CX156" s="43" t="s">
        <v>1335</v>
      </c>
      <c r="CY156" s="43">
        <v>148</v>
      </c>
      <c r="CZ156" s="43">
        <v>60</v>
      </c>
      <c r="DA156" s="74"/>
      <c r="DF156" s="89">
        <v>91</v>
      </c>
      <c r="DG156" s="2">
        <v>35</v>
      </c>
      <c r="DH156" s="2">
        <v>0</v>
      </c>
      <c r="DI156" s="2">
        <v>0.13295000000000001</v>
      </c>
      <c r="DJ156" s="43" t="s">
        <v>1335</v>
      </c>
      <c r="DK156" s="43">
        <v>148</v>
      </c>
      <c r="DL156" s="43">
        <v>60</v>
      </c>
      <c r="DM156" s="74"/>
      <c r="DR156" s="89">
        <v>82</v>
      </c>
      <c r="DS156" s="2">
        <v>33</v>
      </c>
      <c r="DT156" s="2">
        <v>1</v>
      </c>
      <c r="DU156" s="2">
        <v>0.42557830000000002</v>
      </c>
      <c r="DV156" s="43" t="s">
        <v>1335</v>
      </c>
      <c r="DW156" s="43">
        <v>148</v>
      </c>
      <c r="DX156" s="43">
        <v>60</v>
      </c>
      <c r="DY156" s="74"/>
      <c r="ED156" s="89">
        <v>82</v>
      </c>
      <c r="EE156" s="2">
        <v>35</v>
      </c>
      <c r="EF156" s="2">
        <v>1</v>
      </c>
      <c r="EG156" s="2">
        <v>4.4736840000000003E-3</v>
      </c>
      <c r="EH156" s="43" t="s">
        <v>1335</v>
      </c>
      <c r="EI156" s="43">
        <v>148</v>
      </c>
      <c r="EJ156" s="43">
        <v>60</v>
      </c>
      <c r="EK156" s="74"/>
      <c r="ES156">
        <v>82</v>
      </c>
      <c r="ET156">
        <v>35</v>
      </c>
      <c r="EU156">
        <v>1</v>
      </c>
      <c r="EV156">
        <v>4.4736840000000003E-3</v>
      </c>
    </row>
    <row r="157" spans="1:152" x14ac:dyDescent="0.4">
      <c r="A157" s="89"/>
      <c r="B157" s="2"/>
      <c r="C157" s="2"/>
      <c r="D157" s="2"/>
      <c r="E157" s="43" t="s">
        <v>1335</v>
      </c>
      <c r="F157" s="43">
        <v>150</v>
      </c>
      <c r="G157" s="43">
        <v>60</v>
      </c>
      <c r="H157" s="74"/>
      <c r="N157" s="89">
        <v>85</v>
      </c>
      <c r="O157" s="2">
        <v>33</v>
      </c>
      <c r="P157" s="2">
        <v>0</v>
      </c>
      <c r="Q157" s="2">
        <v>2.7859999999999999E-2</v>
      </c>
      <c r="R157" s="43" t="s">
        <v>1335</v>
      </c>
      <c r="S157" s="43">
        <v>150</v>
      </c>
      <c r="T157" s="43">
        <v>60</v>
      </c>
      <c r="U157" s="74"/>
      <c r="Z157" s="89">
        <v>77</v>
      </c>
      <c r="AA157" s="2">
        <v>34</v>
      </c>
      <c r="AB157" s="2">
        <v>0</v>
      </c>
      <c r="AC157" s="2">
        <v>0.88500000000000001</v>
      </c>
      <c r="AD157" s="43" t="s">
        <v>1335</v>
      </c>
      <c r="AE157" s="43">
        <v>150</v>
      </c>
      <c r="AF157" s="43">
        <v>60</v>
      </c>
      <c r="AG157" s="74"/>
      <c r="AL157" s="89">
        <v>77</v>
      </c>
      <c r="AM157" s="2">
        <v>34</v>
      </c>
      <c r="AN157" s="2">
        <v>1</v>
      </c>
      <c r="AO157" s="2">
        <v>0.1011442</v>
      </c>
      <c r="AP157" s="43" t="s">
        <v>1335</v>
      </c>
      <c r="AQ157" s="43">
        <v>150</v>
      </c>
      <c r="AR157" s="43">
        <v>60</v>
      </c>
      <c r="AS157" s="74"/>
      <c r="AX157" s="89">
        <v>86</v>
      </c>
      <c r="AY157" s="2">
        <v>35</v>
      </c>
      <c r="AZ157" s="2">
        <v>0</v>
      </c>
      <c r="BA157" s="2">
        <v>1.2719940000000001</v>
      </c>
      <c r="BB157" s="43" t="s">
        <v>1335</v>
      </c>
      <c r="BC157" s="43">
        <v>150</v>
      </c>
      <c r="BD157" s="43">
        <v>60</v>
      </c>
      <c r="BE157" s="74"/>
      <c r="BJ157" s="89">
        <v>84</v>
      </c>
      <c r="BK157" s="2">
        <v>35</v>
      </c>
      <c r="BL157" s="2">
        <v>0</v>
      </c>
      <c r="BM157" s="2">
        <v>0.59302089999999996</v>
      </c>
      <c r="BN157" s="43" t="s">
        <v>1335</v>
      </c>
      <c r="BO157" s="43">
        <v>150</v>
      </c>
      <c r="BP157" s="43">
        <v>60</v>
      </c>
      <c r="BQ157" s="74"/>
      <c r="BV157" s="89">
        <v>87</v>
      </c>
      <c r="BW157" s="2">
        <v>35</v>
      </c>
      <c r="BX157" s="2">
        <v>0</v>
      </c>
      <c r="BY157" s="2">
        <v>0.69139729999999999</v>
      </c>
      <c r="BZ157" s="43" t="s">
        <v>1335</v>
      </c>
      <c r="CA157" s="43">
        <v>150</v>
      </c>
      <c r="CB157" s="43">
        <v>60</v>
      </c>
      <c r="CC157" s="74"/>
      <c r="CH157" s="89">
        <v>84</v>
      </c>
      <c r="CI157" s="2">
        <v>35</v>
      </c>
      <c r="CJ157" s="2">
        <v>0</v>
      </c>
      <c r="CK157" s="2">
        <v>0.37018869999999998</v>
      </c>
      <c r="CL157" s="43" t="s">
        <v>1335</v>
      </c>
      <c r="CM157" s="43">
        <v>150</v>
      </c>
      <c r="CN157" s="43">
        <v>60</v>
      </c>
      <c r="CO157" s="74"/>
      <c r="CT157" s="89">
        <v>90</v>
      </c>
      <c r="CU157" s="2">
        <v>34</v>
      </c>
      <c r="CV157" s="2">
        <v>0</v>
      </c>
      <c r="CW157" s="2">
        <v>1E-3</v>
      </c>
      <c r="CX157" s="43" t="s">
        <v>1335</v>
      </c>
      <c r="CY157" s="43">
        <v>150</v>
      </c>
      <c r="CZ157" s="43">
        <v>60</v>
      </c>
      <c r="DA157" s="74"/>
      <c r="DF157" s="89">
        <v>92</v>
      </c>
      <c r="DG157" s="2">
        <v>35</v>
      </c>
      <c r="DH157" s="2">
        <v>0</v>
      </c>
      <c r="DI157" s="2">
        <v>5.8000000000000003E-2</v>
      </c>
      <c r="DJ157" s="43" t="s">
        <v>1335</v>
      </c>
      <c r="DK157" s="43">
        <v>150</v>
      </c>
      <c r="DL157" s="43">
        <v>60</v>
      </c>
      <c r="DM157" s="74"/>
      <c r="DR157" s="89">
        <v>83</v>
      </c>
      <c r="DS157" s="2">
        <v>33</v>
      </c>
      <c r="DT157" s="2">
        <v>0</v>
      </c>
      <c r="DU157" s="2">
        <v>0.42452040000000002</v>
      </c>
      <c r="DV157" s="43" t="s">
        <v>1335</v>
      </c>
      <c r="DW157" s="43">
        <v>150</v>
      </c>
      <c r="DX157" s="43">
        <v>60</v>
      </c>
      <c r="DY157" s="74"/>
      <c r="ED157" s="89">
        <v>83</v>
      </c>
      <c r="EE157" s="2">
        <v>35</v>
      </c>
      <c r="EF157" s="2">
        <v>0</v>
      </c>
      <c r="EG157" s="2">
        <v>0.45318310000000001</v>
      </c>
      <c r="EH157" s="43" t="s">
        <v>1335</v>
      </c>
      <c r="EI157" s="43">
        <v>150</v>
      </c>
      <c r="EJ157" s="43">
        <v>60</v>
      </c>
      <c r="EK157" s="74"/>
      <c r="ES157">
        <v>83</v>
      </c>
      <c r="ET157">
        <v>35</v>
      </c>
      <c r="EU157">
        <v>0</v>
      </c>
      <c r="EV157">
        <v>0.45318310000000001</v>
      </c>
    </row>
    <row r="158" spans="1:152" x14ac:dyDescent="0.4">
      <c r="A158" s="89"/>
      <c r="B158" s="2"/>
      <c r="C158" s="2"/>
      <c r="D158" s="2"/>
      <c r="E158" s="42" t="s">
        <v>610</v>
      </c>
      <c r="F158" s="42">
        <v>147</v>
      </c>
      <c r="G158" s="42">
        <v>61</v>
      </c>
      <c r="H158" s="74">
        <f>SUM(SUMIFS(D$14:D$1004,B$14:B$1004,G158,A$14:A$1004,F158,C$14:C$1004,0))</f>
        <v>0</v>
      </c>
      <c r="N158" s="89">
        <v>86</v>
      </c>
      <c r="O158" s="2">
        <v>33</v>
      </c>
      <c r="P158" s="2">
        <v>0</v>
      </c>
      <c r="Q158" s="2">
        <v>6.0000000000000001E-3</v>
      </c>
      <c r="R158" s="42" t="s">
        <v>610</v>
      </c>
      <c r="S158" s="42">
        <v>147</v>
      </c>
      <c r="T158" s="42">
        <v>61</v>
      </c>
      <c r="U158" s="74">
        <f>SUM(SUMIFS(Q$14:Q$1004,O$14:O$1004,T158,N$14:N$1004,S158,P$14:P$1004,0))</f>
        <v>8.9999999999999993E-3</v>
      </c>
      <c r="Z158" s="89">
        <v>77</v>
      </c>
      <c r="AA158" s="2">
        <v>34</v>
      </c>
      <c r="AB158" s="2">
        <v>1</v>
      </c>
      <c r="AC158" s="2">
        <v>3.2041199999999999E-2</v>
      </c>
      <c r="AD158" s="42" t="s">
        <v>610</v>
      </c>
      <c r="AE158" s="42">
        <v>147</v>
      </c>
      <c r="AF158" s="42">
        <v>61</v>
      </c>
      <c r="AG158" s="74">
        <f>SUM(SUMIFS(AC$14:AC$1004,AA$14:AA$1004,AF158,Z$14:Z$1004,AE158,AB$14:AB$1004,0))</f>
        <v>1.2999999999999999E-2</v>
      </c>
      <c r="AL158" s="89">
        <v>78</v>
      </c>
      <c r="AM158" s="2">
        <v>34</v>
      </c>
      <c r="AN158" s="2">
        <v>0</v>
      </c>
      <c r="AO158" s="2">
        <v>1.109013</v>
      </c>
      <c r="AP158" s="42" t="s">
        <v>610</v>
      </c>
      <c r="AQ158" s="42">
        <v>147</v>
      </c>
      <c r="AR158" s="42">
        <v>61</v>
      </c>
      <c r="AS158" s="74">
        <f>SUM(SUMIFS(AO$14:AO$1004,AM$14:AM$1004,AR158,AL$14:AL$1004,AQ158,AN$14:AN$1004,0))</f>
        <v>6.0000000000000001E-3</v>
      </c>
      <c r="AX158" s="89">
        <v>87</v>
      </c>
      <c r="AY158" s="2">
        <v>35</v>
      </c>
      <c r="AZ158" s="2">
        <v>0</v>
      </c>
      <c r="BA158" s="2">
        <v>0.98462059999999996</v>
      </c>
      <c r="BB158" s="42" t="s">
        <v>610</v>
      </c>
      <c r="BC158" s="42">
        <v>147</v>
      </c>
      <c r="BD158" s="42">
        <v>61</v>
      </c>
      <c r="BE158" s="74">
        <f>SUM(SUMIFS(BA$14:BA$1004,AY$14:AY$1004,BD158,AX$14:AX$1004,BC158,AZ$14:AZ$1004,0))</f>
        <v>0.497004</v>
      </c>
      <c r="BJ158" s="89">
        <v>84</v>
      </c>
      <c r="BK158" s="2">
        <v>35</v>
      </c>
      <c r="BL158" s="2">
        <v>1</v>
      </c>
      <c r="BM158" s="2">
        <v>0.1015563</v>
      </c>
      <c r="BN158" s="42" t="s">
        <v>610</v>
      </c>
      <c r="BO158" s="42">
        <v>147</v>
      </c>
      <c r="BP158" s="42">
        <v>61</v>
      </c>
      <c r="BQ158" s="74">
        <f>SUM(SUMIFS(BM$14:BM$1004,BK$14:BK$1004,BP158,BJ$14:BJ$1004,BO158,BL$14:BL$1004,0))</f>
        <v>0.53600009999999998</v>
      </c>
      <c r="BV158" s="89">
        <v>88</v>
      </c>
      <c r="BW158" s="2">
        <v>35</v>
      </c>
      <c r="BX158" s="2">
        <v>0</v>
      </c>
      <c r="BY158" s="2">
        <v>0.48955280000000001</v>
      </c>
      <c r="BZ158" s="42" t="s">
        <v>610</v>
      </c>
      <c r="CA158" s="42">
        <v>147</v>
      </c>
      <c r="CB158" s="42">
        <v>61</v>
      </c>
      <c r="CC158" s="74">
        <f>SUM(SUMIFS(BY$14:BY$1004,BW$14:BW$1004,CB158,BV$14:BV$1004,CA158,BX$14:BX$1004,0))</f>
        <v>0.83074700000000001</v>
      </c>
      <c r="CH158" s="89">
        <v>84</v>
      </c>
      <c r="CI158" s="2">
        <v>35</v>
      </c>
      <c r="CJ158" s="2">
        <v>1</v>
      </c>
      <c r="CK158" s="2">
        <v>0.1177262</v>
      </c>
      <c r="CL158" s="42" t="s">
        <v>610</v>
      </c>
      <c r="CM158" s="42">
        <v>147</v>
      </c>
      <c r="CN158" s="42">
        <v>61</v>
      </c>
      <c r="CO158" s="74">
        <f>SUM(SUMIFS(CK$14:CK$1004,CI$14:CI$1004,CN158,CH$14:CH$1004,CM158,CJ$14:CJ$1004,0))</f>
        <v>0.84300399999999998</v>
      </c>
      <c r="CT158" s="89">
        <v>79</v>
      </c>
      <c r="CU158" s="2">
        <v>35</v>
      </c>
      <c r="CV158" s="2">
        <v>0</v>
      </c>
      <c r="CW158" s="2">
        <v>0.1649466</v>
      </c>
      <c r="CX158" s="42" t="s">
        <v>610</v>
      </c>
      <c r="CY158" s="42">
        <v>147</v>
      </c>
      <c r="CZ158" s="42">
        <v>61</v>
      </c>
      <c r="DA158" s="74">
        <f>SUM(SUMIFS(CW$14:CW$1004,CU$14:CU$1004,CZ158,CT$14:CT$1004,CY158,CV$14:CV$1004,0))</f>
        <v>1.9160239999999999</v>
      </c>
      <c r="DF158" s="89">
        <v>93</v>
      </c>
      <c r="DG158" s="2">
        <v>35</v>
      </c>
      <c r="DH158" s="2">
        <v>0</v>
      </c>
      <c r="DI158" s="2">
        <v>1.9E-2</v>
      </c>
      <c r="DJ158" s="42" t="s">
        <v>610</v>
      </c>
      <c r="DK158" s="42">
        <v>147</v>
      </c>
      <c r="DL158" s="42">
        <v>61</v>
      </c>
      <c r="DM158" s="74">
        <f>SUM(SUMIFS(DI$14:DI$1004,DG$14:DG$1004,DL158,DF$14:DF$1004,DK158,DH$14:DH$1004,0))</f>
        <v>1.14307</v>
      </c>
      <c r="DR158" s="89">
        <v>84</v>
      </c>
      <c r="DS158" s="2">
        <v>33</v>
      </c>
      <c r="DT158" s="2">
        <v>0</v>
      </c>
      <c r="DU158" s="2">
        <v>0.2161218</v>
      </c>
      <c r="DV158" s="42" t="s">
        <v>610</v>
      </c>
      <c r="DW158" s="42">
        <v>147</v>
      </c>
      <c r="DX158" s="42">
        <v>61</v>
      </c>
      <c r="DY158" s="74">
        <f>SUM(SUMIFS(DU$14:DU$1004,DS$14:DS$1004,DX158,DR$14:DR$1004,DW158,DT$14:DT$1004,0))</f>
        <v>2.3E-2</v>
      </c>
      <c r="ED158" s="89">
        <v>84</v>
      </c>
      <c r="EE158" s="2">
        <v>35</v>
      </c>
      <c r="EF158" s="2">
        <v>0</v>
      </c>
      <c r="EG158" s="2">
        <v>0.45341680000000001</v>
      </c>
      <c r="EH158" s="42" t="s">
        <v>610</v>
      </c>
      <c r="EI158" s="42">
        <v>147</v>
      </c>
      <c r="EJ158" s="42">
        <v>61</v>
      </c>
      <c r="EK158" s="74">
        <f>SUM(SUMIFS(EG$14:EG$1004,EE$14:EE$1004,EJ158,ED$14:ED$1004,EI158,EF$14:EF$1004,0))</f>
        <v>0.8010041</v>
      </c>
      <c r="ES158">
        <v>84</v>
      </c>
      <c r="ET158">
        <v>35</v>
      </c>
      <c r="EU158">
        <v>0</v>
      </c>
      <c r="EV158">
        <v>0.45341680000000001</v>
      </c>
    </row>
    <row r="159" spans="1:152" x14ac:dyDescent="0.4">
      <c r="A159" s="89"/>
      <c r="B159" s="2"/>
      <c r="C159" s="2"/>
      <c r="D159" s="2"/>
      <c r="E159" s="43" t="s">
        <v>1334</v>
      </c>
      <c r="F159" s="43">
        <v>144</v>
      </c>
      <c r="G159" s="43">
        <v>62</v>
      </c>
      <c r="H159" s="74" cm="1">
        <f t="array" ref="H159">SUM(SUMIFS(D$14:D$1004,B$14:B$1004,G159:G165,A$14:A$1004,F159:F165,C$14:C$1004,0))-H158</f>
        <v>0</v>
      </c>
      <c r="N159" s="89">
        <v>87</v>
      </c>
      <c r="O159" s="2">
        <v>33</v>
      </c>
      <c r="P159" s="2">
        <v>0</v>
      </c>
      <c r="Q159" s="2">
        <v>1E-3</v>
      </c>
      <c r="R159" s="43" t="s">
        <v>1334</v>
      </c>
      <c r="S159" s="43">
        <v>144</v>
      </c>
      <c r="T159" s="43">
        <v>62</v>
      </c>
      <c r="U159" s="74" cm="1">
        <f t="array" ref="U159">SUM(SUMIFS(Q$14:Q$1004,O$14:O$1004,T159:T165,N$14:N$1004,S159:S165,P$14:P$1004,0))-U158</f>
        <v>1.5162999999999998E-2</v>
      </c>
      <c r="Z159" s="89">
        <v>78</v>
      </c>
      <c r="AA159" s="2">
        <v>34</v>
      </c>
      <c r="AB159" s="2">
        <v>0</v>
      </c>
      <c r="AC159" s="2">
        <v>1.06762</v>
      </c>
      <c r="AD159" s="43" t="s">
        <v>1334</v>
      </c>
      <c r="AE159" s="43">
        <v>144</v>
      </c>
      <c r="AF159" s="43">
        <v>62</v>
      </c>
      <c r="AG159" s="74" cm="1">
        <f t="array" ref="AG159">SUM(SUMIFS(AC$14:AC$1004,AA$14:AA$1004,AF159:AF165,Z$14:Z$1004,AE159:AE165,AB$14:AB$1004,0))-AG158</f>
        <v>1.4000000000000004E-2</v>
      </c>
      <c r="AL159" s="89">
        <v>79</v>
      </c>
      <c r="AM159" s="2">
        <v>34</v>
      </c>
      <c r="AN159" s="2">
        <v>0</v>
      </c>
      <c r="AO159" s="2">
        <v>1.1529780000000001</v>
      </c>
      <c r="AP159" s="43" t="s">
        <v>1334</v>
      </c>
      <c r="AQ159" s="43">
        <v>144</v>
      </c>
      <c r="AR159" s="43">
        <v>62</v>
      </c>
      <c r="AS159" s="74" cm="1">
        <f t="array" ref="AS159">SUM(SUMIFS(AO$14:AO$1004,AM$14:AM$1004,AR159:AR165,AL$14:AL$1004,AQ159:AQ165,AN$14:AN$1004,0))-AS158</f>
        <v>1.9721001000000002E-2</v>
      </c>
      <c r="AX159" s="89">
        <v>88</v>
      </c>
      <c r="AY159" s="2">
        <v>35</v>
      </c>
      <c r="AZ159" s="2">
        <v>0</v>
      </c>
      <c r="BA159" s="2">
        <v>0.58446960000000003</v>
      </c>
      <c r="BB159" s="43" t="s">
        <v>1334</v>
      </c>
      <c r="BC159" s="43">
        <v>144</v>
      </c>
      <c r="BD159" s="43">
        <v>62</v>
      </c>
      <c r="BE159" s="74" cm="1">
        <f t="array" ref="BE159">SUM(SUMIFS(BA$14:BA$1004,AY$14:AY$1004,BD159:BD165,AX$14:AX$1004,BC159:BC165,AZ$14:AZ$1004,0))-BE158</f>
        <v>0.33891620099999997</v>
      </c>
      <c r="BJ159" s="89">
        <v>85</v>
      </c>
      <c r="BK159" s="2">
        <v>35</v>
      </c>
      <c r="BL159" s="2">
        <v>0</v>
      </c>
      <c r="BM159" s="2">
        <v>0.70060089999999997</v>
      </c>
      <c r="BN159" s="43" t="s">
        <v>1334</v>
      </c>
      <c r="BO159" s="43">
        <v>144</v>
      </c>
      <c r="BP159" s="43">
        <v>62</v>
      </c>
      <c r="BQ159" s="74" cm="1">
        <f t="array" ref="BQ159">SUM(SUMIFS(BM$14:BM$1004,BK$14:BK$1004,BP159:BP165,BJ$14:BJ$1004,BO159:BO165,BL$14:BL$1004,0))-BQ158</f>
        <v>0.58059211000000033</v>
      </c>
      <c r="BV159" s="89">
        <v>89</v>
      </c>
      <c r="BW159" s="2">
        <v>35</v>
      </c>
      <c r="BX159" s="2">
        <v>0</v>
      </c>
      <c r="BY159" s="2">
        <v>0.29697200000000001</v>
      </c>
      <c r="BZ159" s="43" t="s">
        <v>1334</v>
      </c>
      <c r="CA159" s="43">
        <v>144</v>
      </c>
      <c r="CB159" s="43">
        <v>62</v>
      </c>
      <c r="CC159" s="74" cm="1">
        <f t="array" ref="CC159">SUM(SUMIFS(BY$14:BY$1004,BW$14:BW$1004,CB159:CB165,BV$14:BV$1004,CA159:CA165,BX$14:BX$1004,0))-CC158</f>
        <v>0.88553579999999987</v>
      </c>
      <c r="CH159" s="89">
        <v>85</v>
      </c>
      <c r="CI159" s="2">
        <v>35</v>
      </c>
      <c r="CJ159" s="2">
        <v>0</v>
      </c>
      <c r="CK159" s="2">
        <v>0.4665608</v>
      </c>
      <c r="CL159" s="43" t="s">
        <v>1334</v>
      </c>
      <c r="CM159" s="43">
        <v>144</v>
      </c>
      <c r="CN159" s="43">
        <v>62</v>
      </c>
      <c r="CO159" s="74" cm="1">
        <f t="array" ref="CO159">SUM(SUMIFS(CK$14:CK$1004,CI$14:CI$1004,CN159:CN165,CH$14:CH$1004,CM159:CM165,CJ$14:CJ$1004,0))-CO158</f>
        <v>1.2615864000000001</v>
      </c>
      <c r="CT159" s="89">
        <v>80</v>
      </c>
      <c r="CU159" s="2">
        <v>35</v>
      </c>
      <c r="CV159" s="2">
        <v>0</v>
      </c>
      <c r="CW159" s="2">
        <v>5.0000000000000001E-3</v>
      </c>
      <c r="CX159" s="43" t="s">
        <v>1334</v>
      </c>
      <c r="CY159" s="43">
        <v>144</v>
      </c>
      <c r="CZ159" s="43">
        <v>62</v>
      </c>
      <c r="DA159" s="74" cm="1">
        <f t="array" ref="DA159">SUM(SUMIFS(CW$14:CW$1004,CU$14:CU$1004,CZ159:CZ165,CT$14:CT$1004,CY159:CY165,CV$14:CV$1004,0))-DA158</f>
        <v>4.2896197000000003</v>
      </c>
      <c r="DF159" s="89">
        <v>94</v>
      </c>
      <c r="DG159" s="2">
        <v>35</v>
      </c>
      <c r="DH159" s="2">
        <v>0</v>
      </c>
      <c r="DI159" s="2">
        <v>2E-3</v>
      </c>
      <c r="DJ159" s="43" t="s">
        <v>1334</v>
      </c>
      <c r="DK159" s="43">
        <v>144</v>
      </c>
      <c r="DL159" s="43">
        <v>62</v>
      </c>
      <c r="DM159" s="74" cm="1">
        <f t="array" ref="DM159">SUM(SUMIFS(DI$14:DI$1004,DG$14:DG$1004,DL159:DL165,DF$14:DF$1004,DK159:DK165,DH$14:DH$1004,0))-DM158</f>
        <v>1.0705432999999995</v>
      </c>
      <c r="DR159" s="89">
        <v>84</v>
      </c>
      <c r="DS159" s="2">
        <v>33</v>
      </c>
      <c r="DT159" s="2">
        <v>1</v>
      </c>
      <c r="DU159" s="2">
        <v>1.9857820000000002E-2</v>
      </c>
      <c r="DV159" s="43" t="s">
        <v>1334</v>
      </c>
      <c r="DW159" s="43">
        <v>144</v>
      </c>
      <c r="DX159" s="43">
        <v>62</v>
      </c>
      <c r="DY159" s="74" cm="1">
        <f t="array" ref="DY159">SUM(SUMIFS(DU$14:DU$1004,DS$14:DS$1004,DX159:DX165,DR$14:DR$1004,DW159:DW165,DT$14:DT$1004,0))-DY158</f>
        <v>3.1026999999999999E-2</v>
      </c>
      <c r="ED159" s="89">
        <v>84</v>
      </c>
      <c r="EE159" s="2">
        <v>35</v>
      </c>
      <c r="EF159" s="2">
        <v>1</v>
      </c>
      <c r="EG159" s="2">
        <v>7.5959399999999996E-2</v>
      </c>
      <c r="EH159" s="43" t="s">
        <v>1334</v>
      </c>
      <c r="EI159" s="43">
        <v>144</v>
      </c>
      <c r="EJ159" s="43">
        <v>62</v>
      </c>
      <c r="EK159" s="74" cm="1">
        <f t="array" ref="EK159">SUM(SUMIFS(EG$14:EG$1004,EE$14:EE$1004,EJ159:EJ165,ED$14:ED$1004,EI159:EI165,EF$14:EF$1004,0))-EK158</f>
        <v>1.0514943999999997</v>
      </c>
      <c r="ES159">
        <v>84</v>
      </c>
      <c r="ET159">
        <v>35</v>
      </c>
      <c r="EU159">
        <v>1</v>
      </c>
      <c r="EV159">
        <v>7.5959399999999996E-2</v>
      </c>
    </row>
    <row r="160" spans="1:152" x14ac:dyDescent="0.4">
      <c r="A160" s="89"/>
      <c r="B160" s="2"/>
      <c r="C160" s="2"/>
      <c r="D160" s="2"/>
      <c r="E160" s="43" t="s">
        <v>1334</v>
      </c>
      <c r="F160" s="43">
        <v>147</v>
      </c>
      <c r="G160" s="43">
        <v>62</v>
      </c>
      <c r="H160" s="74"/>
      <c r="N160" s="89">
        <v>74</v>
      </c>
      <c r="O160" s="2">
        <v>34</v>
      </c>
      <c r="P160" s="2">
        <v>0</v>
      </c>
      <c r="Q160" s="2">
        <v>5.1000000000000004E-3</v>
      </c>
      <c r="R160" s="43" t="s">
        <v>1334</v>
      </c>
      <c r="S160" s="43">
        <v>147</v>
      </c>
      <c r="T160" s="43">
        <v>62</v>
      </c>
      <c r="U160" s="74"/>
      <c r="Z160" s="89">
        <v>79</v>
      </c>
      <c r="AA160" s="2">
        <v>34</v>
      </c>
      <c r="AB160" s="2">
        <v>0</v>
      </c>
      <c r="AC160" s="2">
        <v>1.149373</v>
      </c>
      <c r="AD160" s="43" t="s">
        <v>1334</v>
      </c>
      <c r="AE160" s="43">
        <v>147</v>
      </c>
      <c r="AF160" s="43">
        <v>62</v>
      </c>
      <c r="AG160" s="74"/>
      <c r="AL160" s="89">
        <v>79</v>
      </c>
      <c r="AM160" s="2">
        <v>34</v>
      </c>
      <c r="AN160" s="2">
        <v>1</v>
      </c>
      <c r="AO160" s="2">
        <v>1.6591700000000001E-2</v>
      </c>
      <c r="AP160" s="43" t="s">
        <v>1334</v>
      </c>
      <c r="AQ160" s="43">
        <v>147</v>
      </c>
      <c r="AR160" s="43">
        <v>62</v>
      </c>
      <c r="AS160" s="74"/>
      <c r="AX160" s="89">
        <v>89</v>
      </c>
      <c r="AY160" s="2">
        <v>35</v>
      </c>
      <c r="AZ160" s="2">
        <v>0</v>
      </c>
      <c r="BA160" s="2">
        <v>0.29498600000000003</v>
      </c>
      <c r="BB160" s="43" t="s">
        <v>1334</v>
      </c>
      <c r="BC160" s="43">
        <v>147</v>
      </c>
      <c r="BD160" s="43">
        <v>62</v>
      </c>
      <c r="BE160" s="74"/>
      <c r="BJ160" s="89">
        <v>86</v>
      </c>
      <c r="BK160" s="2">
        <v>35</v>
      </c>
      <c r="BL160" s="2">
        <v>0</v>
      </c>
      <c r="BM160" s="2">
        <v>0.61981200000000003</v>
      </c>
      <c r="BN160" s="43" t="s">
        <v>1334</v>
      </c>
      <c r="BO160" s="43">
        <v>147</v>
      </c>
      <c r="BP160" s="43">
        <v>62</v>
      </c>
      <c r="BQ160" s="74"/>
      <c r="BV160" s="89">
        <v>90</v>
      </c>
      <c r="BW160" s="2">
        <v>35</v>
      </c>
      <c r="BX160" s="2">
        <v>0</v>
      </c>
      <c r="BY160" s="2">
        <v>0.11799999999999999</v>
      </c>
      <c r="BZ160" s="43" t="s">
        <v>1334</v>
      </c>
      <c r="CA160" s="43">
        <v>147</v>
      </c>
      <c r="CB160" s="43">
        <v>62</v>
      </c>
      <c r="CC160" s="74"/>
      <c r="CH160" s="89">
        <v>86</v>
      </c>
      <c r="CI160" s="2">
        <v>35</v>
      </c>
      <c r="CJ160" s="2">
        <v>0</v>
      </c>
      <c r="CK160" s="2">
        <v>0.34434999999999999</v>
      </c>
      <c r="CL160" s="43" t="s">
        <v>1334</v>
      </c>
      <c r="CM160" s="43">
        <v>147</v>
      </c>
      <c r="CN160" s="43">
        <v>62</v>
      </c>
      <c r="CO160" s="74"/>
      <c r="CT160" s="89">
        <v>80</v>
      </c>
      <c r="CU160" s="2">
        <v>35</v>
      </c>
      <c r="CV160" s="2">
        <v>1</v>
      </c>
      <c r="CW160" s="2">
        <v>4.0000000000000001E-3</v>
      </c>
      <c r="CX160" s="43" t="s">
        <v>1334</v>
      </c>
      <c r="CY160" s="43">
        <v>147</v>
      </c>
      <c r="CZ160" s="43">
        <v>62</v>
      </c>
      <c r="DA160" s="74"/>
      <c r="DF160" s="89">
        <v>82</v>
      </c>
      <c r="DG160" s="2">
        <v>36</v>
      </c>
      <c r="DH160" s="2">
        <v>0</v>
      </c>
      <c r="DI160" s="2">
        <v>1.2E-2</v>
      </c>
      <c r="DJ160" s="43" t="s">
        <v>1334</v>
      </c>
      <c r="DK160" s="43">
        <v>147</v>
      </c>
      <c r="DL160" s="43">
        <v>62</v>
      </c>
      <c r="DM160" s="74"/>
      <c r="DR160" s="89">
        <v>85</v>
      </c>
      <c r="DS160" s="2">
        <v>33</v>
      </c>
      <c r="DT160" s="2">
        <v>0</v>
      </c>
      <c r="DU160" s="2">
        <v>0.11902</v>
      </c>
      <c r="DV160" s="43" t="s">
        <v>1334</v>
      </c>
      <c r="DW160" s="43">
        <v>147</v>
      </c>
      <c r="DX160" s="43">
        <v>62</v>
      </c>
      <c r="DY160" s="74"/>
      <c r="ED160" s="89">
        <v>85</v>
      </c>
      <c r="EE160" s="2">
        <v>35</v>
      </c>
      <c r="EF160" s="2">
        <v>0</v>
      </c>
      <c r="EG160" s="2">
        <v>0.56471090000000002</v>
      </c>
      <c r="EH160" s="43" t="s">
        <v>1334</v>
      </c>
      <c r="EI160" s="43">
        <v>147</v>
      </c>
      <c r="EJ160" s="43">
        <v>62</v>
      </c>
      <c r="EK160" s="74"/>
      <c r="ES160">
        <v>85</v>
      </c>
      <c r="ET160">
        <v>35</v>
      </c>
      <c r="EU160">
        <v>0</v>
      </c>
      <c r="EV160">
        <v>0.56471090000000002</v>
      </c>
    </row>
    <row r="161" spans="1:152" x14ac:dyDescent="0.4">
      <c r="A161" s="89"/>
      <c r="B161" s="2"/>
      <c r="C161" s="2"/>
      <c r="D161" s="2"/>
      <c r="E161" s="43" t="s">
        <v>1334</v>
      </c>
      <c r="F161" s="43">
        <v>148</v>
      </c>
      <c r="G161" s="43">
        <v>62</v>
      </c>
      <c r="H161" s="74"/>
      <c r="N161" s="89">
        <v>75</v>
      </c>
      <c r="O161" s="2">
        <v>34</v>
      </c>
      <c r="P161" s="2">
        <v>0</v>
      </c>
      <c r="Q161" s="2">
        <v>4.0000000000000001E-3</v>
      </c>
      <c r="R161" s="43" t="s">
        <v>1334</v>
      </c>
      <c r="S161" s="43">
        <v>148</v>
      </c>
      <c r="T161" s="43">
        <v>62</v>
      </c>
      <c r="U161" s="74"/>
      <c r="Z161" s="89">
        <v>79</v>
      </c>
      <c r="AA161" s="2">
        <v>34</v>
      </c>
      <c r="AB161" s="2">
        <v>1</v>
      </c>
      <c r="AC161" s="2">
        <v>1.2569540000000001E-2</v>
      </c>
      <c r="AD161" s="43" t="s">
        <v>1334</v>
      </c>
      <c r="AE161" s="43">
        <v>148</v>
      </c>
      <c r="AF161" s="43">
        <v>62</v>
      </c>
      <c r="AG161" s="74"/>
      <c r="AL161" s="89">
        <v>80</v>
      </c>
      <c r="AM161" s="2">
        <v>34</v>
      </c>
      <c r="AN161" s="2">
        <v>0</v>
      </c>
      <c r="AO161" s="2">
        <v>1.2163360000000001</v>
      </c>
      <c r="AP161" s="43" t="s">
        <v>1334</v>
      </c>
      <c r="AQ161" s="43">
        <v>148</v>
      </c>
      <c r="AR161" s="43">
        <v>62</v>
      </c>
      <c r="AS161" s="74"/>
      <c r="AX161" s="89">
        <v>90</v>
      </c>
      <c r="AY161" s="2">
        <v>35</v>
      </c>
      <c r="AZ161" s="2">
        <v>0</v>
      </c>
      <c r="BA161" s="2">
        <v>0.10742</v>
      </c>
      <c r="BB161" s="43" t="s">
        <v>1334</v>
      </c>
      <c r="BC161" s="43">
        <v>148</v>
      </c>
      <c r="BD161" s="43">
        <v>62</v>
      </c>
      <c r="BE161" s="74"/>
      <c r="BJ161" s="89">
        <v>87</v>
      </c>
      <c r="BK161" s="2">
        <v>35</v>
      </c>
      <c r="BL161" s="2">
        <v>0</v>
      </c>
      <c r="BM161" s="2">
        <v>0.45579540000000002</v>
      </c>
      <c r="BN161" s="43" t="s">
        <v>1334</v>
      </c>
      <c r="BO161" s="43">
        <v>148</v>
      </c>
      <c r="BP161" s="43">
        <v>62</v>
      </c>
      <c r="BQ161" s="74"/>
      <c r="BV161" s="89">
        <v>91</v>
      </c>
      <c r="BW161" s="2">
        <v>35</v>
      </c>
      <c r="BX161" s="2">
        <v>0</v>
      </c>
      <c r="BY161" s="2">
        <v>4.8000000000000001E-2</v>
      </c>
      <c r="BZ161" s="43" t="s">
        <v>1334</v>
      </c>
      <c r="CA161" s="43">
        <v>148</v>
      </c>
      <c r="CB161" s="43">
        <v>62</v>
      </c>
      <c r="CC161" s="74"/>
      <c r="CH161" s="89">
        <v>87</v>
      </c>
      <c r="CI161" s="2">
        <v>35</v>
      </c>
      <c r="CJ161" s="2">
        <v>0</v>
      </c>
      <c r="CK161" s="2">
        <v>0.24904950000000001</v>
      </c>
      <c r="CL161" s="43" t="s">
        <v>1334</v>
      </c>
      <c r="CM161" s="43">
        <v>148</v>
      </c>
      <c r="CN161" s="43">
        <v>62</v>
      </c>
      <c r="CO161" s="74"/>
      <c r="CT161" s="89">
        <v>81</v>
      </c>
      <c r="CU161" s="2">
        <v>35</v>
      </c>
      <c r="CV161" s="2">
        <v>0</v>
      </c>
      <c r="CW161" s="2">
        <v>0.25709399999999999</v>
      </c>
      <c r="CX161" s="43" t="s">
        <v>1334</v>
      </c>
      <c r="CY161" s="43">
        <v>148</v>
      </c>
      <c r="CZ161" s="43">
        <v>62</v>
      </c>
      <c r="DA161" s="74"/>
      <c r="DF161" s="89">
        <v>83</v>
      </c>
      <c r="DG161" s="2">
        <v>36</v>
      </c>
      <c r="DH161" s="2">
        <v>0</v>
      </c>
      <c r="DI161" s="2">
        <v>0.84798180000000001</v>
      </c>
      <c r="DJ161" s="43" t="s">
        <v>1334</v>
      </c>
      <c r="DK161" s="43">
        <v>148</v>
      </c>
      <c r="DL161" s="43">
        <v>62</v>
      </c>
      <c r="DM161" s="74"/>
      <c r="DR161" s="89">
        <v>86</v>
      </c>
      <c r="DS161" s="2">
        <v>33</v>
      </c>
      <c r="DT161" s="2">
        <v>0</v>
      </c>
      <c r="DU161" s="2">
        <v>6.2E-2</v>
      </c>
      <c r="DV161" s="43" t="s">
        <v>1334</v>
      </c>
      <c r="DW161" s="43">
        <v>148</v>
      </c>
      <c r="DX161" s="43">
        <v>62</v>
      </c>
      <c r="DY161" s="74"/>
      <c r="ED161" s="89">
        <v>86</v>
      </c>
      <c r="EE161" s="2">
        <v>35</v>
      </c>
      <c r="EF161" s="2">
        <v>0</v>
      </c>
      <c r="EG161" s="2">
        <v>0.48397600000000002</v>
      </c>
      <c r="EH161" s="43" t="s">
        <v>1334</v>
      </c>
      <c r="EI161" s="43">
        <v>148</v>
      </c>
      <c r="EJ161" s="43">
        <v>62</v>
      </c>
      <c r="EK161" s="74"/>
      <c r="ES161">
        <v>86</v>
      </c>
      <c r="ET161">
        <v>35</v>
      </c>
      <c r="EU161">
        <v>0</v>
      </c>
      <c r="EV161">
        <v>0.48397600000000002</v>
      </c>
    </row>
    <row r="162" spans="1:152" x14ac:dyDescent="0.4">
      <c r="A162" s="89"/>
      <c r="B162" s="2"/>
      <c r="C162" s="2"/>
      <c r="D162" s="2"/>
      <c r="E162" s="43" t="s">
        <v>1334</v>
      </c>
      <c r="F162" s="43">
        <v>149</v>
      </c>
      <c r="G162" s="43">
        <v>62</v>
      </c>
      <c r="H162" s="74"/>
      <c r="N162" s="89">
        <v>76</v>
      </c>
      <c r="O162" s="2">
        <v>34</v>
      </c>
      <c r="P162" s="2">
        <v>0</v>
      </c>
      <c r="Q162" s="2">
        <v>0.253</v>
      </c>
      <c r="R162" s="43" t="s">
        <v>1334</v>
      </c>
      <c r="S162" s="43">
        <v>149</v>
      </c>
      <c r="T162" s="43">
        <v>62</v>
      </c>
      <c r="U162" s="74"/>
      <c r="Z162" s="89">
        <v>80</v>
      </c>
      <c r="AA162" s="2">
        <v>34</v>
      </c>
      <c r="AB162" s="2">
        <v>0</v>
      </c>
      <c r="AC162" s="2">
        <v>1.3844259999999999</v>
      </c>
      <c r="AD162" s="43" t="s">
        <v>1334</v>
      </c>
      <c r="AE162" s="43">
        <v>149</v>
      </c>
      <c r="AF162" s="43">
        <v>62</v>
      </c>
      <c r="AG162" s="74"/>
      <c r="AL162" s="89">
        <v>81</v>
      </c>
      <c r="AM162" s="2">
        <v>34</v>
      </c>
      <c r="AN162" s="2">
        <v>0</v>
      </c>
      <c r="AO162" s="2">
        <v>1.1386780000000001</v>
      </c>
      <c r="AP162" s="43" t="s">
        <v>1334</v>
      </c>
      <c r="AQ162" s="43">
        <v>149</v>
      </c>
      <c r="AR162" s="43">
        <v>62</v>
      </c>
      <c r="AS162" s="74"/>
      <c r="AX162" s="89">
        <v>91</v>
      </c>
      <c r="AY162" s="2">
        <v>35</v>
      </c>
      <c r="AZ162" s="2">
        <v>0</v>
      </c>
      <c r="BA162" s="2">
        <v>3.7580000000000002E-2</v>
      </c>
      <c r="BB162" s="43" t="s">
        <v>1334</v>
      </c>
      <c r="BC162" s="43">
        <v>149</v>
      </c>
      <c r="BD162" s="43">
        <v>62</v>
      </c>
      <c r="BE162" s="74"/>
      <c r="BJ162" s="89">
        <v>88</v>
      </c>
      <c r="BK162" s="2">
        <v>35</v>
      </c>
      <c r="BL162" s="2">
        <v>0</v>
      </c>
      <c r="BM162" s="2">
        <v>0.30913259999999998</v>
      </c>
      <c r="BN162" s="43" t="s">
        <v>1334</v>
      </c>
      <c r="BO162" s="43">
        <v>149</v>
      </c>
      <c r="BP162" s="43">
        <v>62</v>
      </c>
      <c r="BQ162" s="74"/>
      <c r="BV162" s="89">
        <v>92</v>
      </c>
      <c r="BW162" s="2">
        <v>35</v>
      </c>
      <c r="BX162" s="2">
        <v>0</v>
      </c>
      <c r="BY162" s="2">
        <v>9.0000010000000005E-3</v>
      </c>
      <c r="BZ162" s="43" t="s">
        <v>1334</v>
      </c>
      <c r="CA162" s="43">
        <v>149</v>
      </c>
      <c r="CB162" s="43">
        <v>62</v>
      </c>
      <c r="CC162" s="74"/>
      <c r="CH162" s="89">
        <v>88</v>
      </c>
      <c r="CI162" s="2">
        <v>35</v>
      </c>
      <c r="CJ162" s="2">
        <v>0</v>
      </c>
      <c r="CK162" s="2">
        <v>0.12710650000000001</v>
      </c>
      <c r="CL162" s="43" t="s">
        <v>1334</v>
      </c>
      <c r="CM162" s="43">
        <v>149</v>
      </c>
      <c r="CN162" s="43">
        <v>62</v>
      </c>
      <c r="CO162" s="74"/>
      <c r="CT162" s="89">
        <v>82</v>
      </c>
      <c r="CU162" s="2">
        <v>35</v>
      </c>
      <c r="CV162" s="2">
        <v>0</v>
      </c>
      <c r="CW162" s="2">
        <v>3.9885709999999998E-2</v>
      </c>
      <c r="CX162" s="43" t="s">
        <v>1334</v>
      </c>
      <c r="CY162" s="43">
        <v>149</v>
      </c>
      <c r="CZ162" s="43">
        <v>62</v>
      </c>
      <c r="DA162" s="74"/>
      <c r="DF162" s="89">
        <v>83</v>
      </c>
      <c r="DG162" s="2">
        <v>36</v>
      </c>
      <c r="DH162" s="2">
        <v>1</v>
      </c>
      <c r="DI162" s="2">
        <v>0.84402219999999994</v>
      </c>
      <c r="DJ162" s="43" t="s">
        <v>1334</v>
      </c>
      <c r="DK162" s="43">
        <v>149</v>
      </c>
      <c r="DL162" s="43">
        <v>62</v>
      </c>
      <c r="DM162" s="74"/>
      <c r="DR162" s="89">
        <v>87</v>
      </c>
      <c r="DS162" s="2">
        <v>33</v>
      </c>
      <c r="DT162" s="2">
        <v>0</v>
      </c>
      <c r="DU162" s="2">
        <v>2.7E-2</v>
      </c>
      <c r="DV162" s="43" t="s">
        <v>1334</v>
      </c>
      <c r="DW162" s="43">
        <v>149</v>
      </c>
      <c r="DX162" s="43">
        <v>62</v>
      </c>
      <c r="DY162" s="74"/>
      <c r="ED162" s="89">
        <v>87</v>
      </c>
      <c r="EE162" s="2">
        <v>35</v>
      </c>
      <c r="EF162" s="2">
        <v>0</v>
      </c>
      <c r="EG162" s="2">
        <v>0.41168110000000002</v>
      </c>
      <c r="EH162" s="43" t="s">
        <v>1334</v>
      </c>
      <c r="EI162" s="43">
        <v>149</v>
      </c>
      <c r="EJ162" s="43">
        <v>62</v>
      </c>
      <c r="EK162" s="74"/>
      <c r="ES162">
        <v>87</v>
      </c>
      <c r="ET162">
        <v>35</v>
      </c>
      <c r="EU162">
        <v>0</v>
      </c>
      <c r="EV162">
        <v>0.41168110000000002</v>
      </c>
    </row>
    <row r="163" spans="1:152" x14ac:dyDescent="0.4">
      <c r="A163" s="89"/>
      <c r="B163" s="2"/>
      <c r="C163" s="2"/>
      <c r="D163" s="2"/>
      <c r="E163" s="43" t="s">
        <v>1334</v>
      </c>
      <c r="F163" s="43">
        <v>150</v>
      </c>
      <c r="G163" s="43">
        <v>62</v>
      </c>
      <c r="H163" s="74"/>
      <c r="N163" s="89">
        <v>77</v>
      </c>
      <c r="O163" s="2">
        <v>34</v>
      </c>
      <c r="P163" s="2">
        <v>0</v>
      </c>
      <c r="Q163" s="2">
        <v>1.4179999999999999</v>
      </c>
      <c r="R163" s="43" t="s">
        <v>1334</v>
      </c>
      <c r="S163" s="43">
        <v>150</v>
      </c>
      <c r="T163" s="43">
        <v>62</v>
      </c>
      <c r="U163" s="74"/>
      <c r="Z163" s="89">
        <v>81</v>
      </c>
      <c r="AA163" s="2">
        <v>34</v>
      </c>
      <c r="AB163" s="2">
        <v>0</v>
      </c>
      <c r="AC163" s="2">
        <v>1.249992</v>
      </c>
      <c r="AD163" s="43" t="s">
        <v>1334</v>
      </c>
      <c r="AE163" s="43">
        <v>150</v>
      </c>
      <c r="AF163" s="43">
        <v>62</v>
      </c>
      <c r="AG163" s="74"/>
      <c r="AL163" s="89">
        <v>81</v>
      </c>
      <c r="AM163" s="2">
        <v>34</v>
      </c>
      <c r="AN163" s="2">
        <v>1</v>
      </c>
      <c r="AO163" s="2">
        <v>0.72864370000000001</v>
      </c>
      <c r="AP163" s="43" t="s">
        <v>1334</v>
      </c>
      <c r="AQ163" s="43">
        <v>150</v>
      </c>
      <c r="AR163" s="43">
        <v>62</v>
      </c>
      <c r="AS163" s="74"/>
      <c r="AX163" s="89">
        <v>92</v>
      </c>
      <c r="AY163" s="2">
        <v>35</v>
      </c>
      <c r="AZ163" s="2">
        <v>0</v>
      </c>
      <c r="BA163" s="2">
        <v>1.0999999999999999E-2</v>
      </c>
      <c r="BB163" s="43" t="s">
        <v>1334</v>
      </c>
      <c r="BC163" s="43">
        <v>150</v>
      </c>
      <c r="BD163" s="43">
        <v>62</v>
      </c>
      <c r="BE163" s="74"/>
      <c r="BJ163" s="89">
        <v>89</v>
      </c>
      <c r="BK163" s="2">
        <v>35</v>
      </c>
      <c r="BL163" s="2">
        <v>0</v>
      </c>
      <c r="BM163" s="2">
        <v>0.14360999999999999</v>
      </c>
      <c r="BN163" s="43" t="s">
        <v>1334</v>
      </c>
      <c r="BO163" s="43">
        <v>150</v>
      </c>
      <c r="BP163" s="43">
        <v>62</v>
      </c>
      <c r="BQ163" s="74"/>
      <c r="BV163" s="89">
        <v>93</v>
      </c>
      <c r="BW163" s="2">
        <v>35</v>
      </c>
      <c r="BX163" s="2">
        <v>0</v>
      </c>
      <c r="BY163" s="2">
        <v>6.0000000000000001E-3</v>
      </c>
      <c r="BZ163" s="43" t="s">
        <v>1334</v>
      </c>
      <c r="CA163" s="43">
        <v>150</v>
      </c>
      <c r="CB163" s="43">
        <v>62</v>
      </c>
      <c r="CC163" s="74"/>
      <c r="CH163" s="89">
        <v>89</v>
      </c>
      <c r="CI163" s="2">
        <v>35</v>
      </c>
      <c r="CJ163" s="2">
        <v>0</v>
      </c>
      <c r="CK163" s="2">
        <v>5.4843999999999997E-2</v>
      </c>
      <c r="CL163" s="43" t="s">
        <v>1334</v>
      </c>
      <c r="CM163" s="43">
        <v>150</v>
      </c>
      <c r="CN163" s="43">
        <v>62</v>
      </c>
      <c r="CO163" s="74"/>
      <c r="CT163" s="89">
        <v>82</v>
      </c>
      <c r="CU163" s="2">
        <v>35</v>
      </c>
      <c r="CV163" s="2">
        <v>1</v>
      </c>
      <c r="CW163" s="2">
        <v>4.7619050000000003E-3</v>
      </c>
      <c r="CX163" s="43" t="s">
        <v>1334</v>
      </c>
      <c r="CY163" s="43">
        <v>150</v>
      </c>
      <c r="CZ163" s="43">
        <v>62</v>
      </c>
      <c r="DA163" s="74"/>
      <c r="DF163" s="89">
        <v>84</v>
      </c>
      <c r="DG163" s="2">
        <v>36</v>
      </c>
      <c r="DH163" s="2">
        <v>0</v>
      </c>
      <c r="DI163" s="2">
        <v>1.238313</v>
      </c>
      <c r="DJ163" s="43" t="s">
        <v>1334</v>
      </c>
      <c r="DK163" s="43">
        <v>150</v>
      </c>
      <c r="DL163" s="43">
        <v>62</v>
      </c>
      <c r="DM163" s="74"/>
      <c r="DR163" s="89">
        <v>88</v>
      </c>
      <c r="DS163" s="2">
        <v>33</v>
      </c>
      <c r="DT163" s="2">
        <v>0</v>
      </c>
      <c r="DU163" s="2">
        <v>6.0000000000000001E-3</v>
      </c>
      <c r="DV163" s="43" t="s">
        <v>1334</v>
      </c>
      <c r="DW163" s="43">
        <v>150</v>
      </c>
      <c r="DX163" s="43">
        <v>62</v>
      </c>
      <c r="DY163" s="74"/>
      <c r="ED163" s="89">
        <v>88</v>
      </c>
      <c r="EE163" s="2">
        <v>35</v>
      </c>
      <c r="EF163" s="2">
        <v>0</v>
      </c>
      <c r="EG163" s="2">
        <v>0.30756099999999997</v>
      </c>
      <c r="EH163" s="43" t="s">
        <v>1334</v>
      </c>
      <c r="EI163" s="43">
        <v>150</v>
      </c>
      <c r="EJ163" s="43">
        <v>62</v>
      </c>
      <c r="EK163" s="74"/>
      <c r="ES163">
        <v>88</v>
      </c>
      <c r="ET163">
        <v>35</v>
      </c>
      <c r="EU163">
        <v>0</v>
      </c>
      <c r="EV163">
        <v>0.30756099999999997</v>
      </c>
    </row>
    <row r="164" spans="1:152" x14ac:dyDescent="0.4">
      <c r="A164" s="89"/>
      <c r="B164" s="2"/>
      <c r="C164" s="2"/>
      <c r="D164" s="2"/>
      <c r="E164" s="43" t="s">
        <v>1334</v>
      </c>
      <c r="F164" s="43">
        <v>152</v>
      </c>
      <c r="G164" s="43">
        <v>62</v>
      </c>
      <c r="H164" s="74"/>
      <c r="N164" s="89">
        <v>77</v>
      </c>
      <c r="O164" s="2">
        <v>34</v>
      </c>
      <c r="P164" s="2">
        <v>1</v>
      </c>
      <c r="Q164" s="2">
        <v>6.3020599999999996E-2</v>
      </c>
      <c r="R164" s="43" t="s">
        <v>1334</v>
      </c>
      <c r="S164" s="43">
        <v>152</v>
      </c>
      <c r="T164" s="43">
        <v>62</v>
      </c>
      <c r="U164" s="74"/>
      <c r="Z164" s="89">
        <v>81</v>
      </c>
      <c r="AA164" s="2">
        <v>34</v>
      </c>
      <c r="AB164" s="2">
        <v>1</v>
      </c>
      <c r="AC164" s="2">
        <v>0.68854139999999997</v>
      </c>
      <c r="AD164" s="43" t="s">
        <v>1334</v>
      </c>
      <c r="AE164" s="43">
        <v>152</v>
      </c>
      <c r="AF164" s="43">
        <v>62</v>
      </c>
      <c r="AG164" s="74"/>
      <c r="AL164" s="89">
        <v>82</v>
      </c>
      <c r="AM164" s="2">
        <v>34</v>
      </c>
      <c r="AN164" s="2">
        <v>0</v>
      </c>
      <c r="AO164" s="2">
        <v>0.92557400000000001</v>
      </c>
      <c r="AP164" s="43" t="s">
        <v>1334</v>
      </c>
      <c r="AQ164" s="43">
        <v>152</v>
      </c>
      <c r="AR164" s="43">
        <v>62</v>
      </c>
      <c r="AS164" s="74"/>
      <c r="AX164" s="89">
        <v>93</v>
      </c>
      <c r="AY164" s="2">
        <v>35</v>
      </c>
      <c r="AZ164" s="2">
        <v>0</v>
      </c>
      <c r="BA164" s="2">
        <v>3.0000000000000001E-3</v>
      </c>
      <c r="BB164" s="43" t="s">
        <v>1334</v>
      </c>
      <c r="BC164" s="43">
        <v>152</v>
      </c>
      <c r="BD164" s="43">
        <v>62</v>
      </c>
      <c r="BE164" s="74"/>
      <c r="BJ164" s="89">
        <v>90</v>
      </c>
      <c r="BK164" s="2">
        <v>35</v>
      </c>
      <c r="BL164" s="2">
        <v>0</v>
      </c>
      <c r="BM164" s="2">
        <v>5.3999999999999999E-2</v>
      </c>
      <c r="BN164" s="43" t="s">
        <v>1334</v>
      </c>
      <c r="BO164" s="43">
        <v>152</v>
      </c>
      <c r="BP164" s="43">
        <v>62</v>
      </c>
      <c r="BQ164" s="74"/>
      <c r="BV164" s="89">
        <v>94</v>
      </c>
      <c r="BW164" s="2">
        <v>35</v>
      </c>
      <c r="BX164" s="2">
        <v>0</v>
      </c>
      <c r="BY164" s="2">
        <v>1E-3</v>
      </c>
      <c r="BZ164" s="43" t="s">
        <v>1334</v>
      </c>
      <c r="CA164" s="43">
        <v>152</v>
      </c>
      <c r="CB164" s="43">
        <v>62</v>
      </c>
      <c r="CC164" s="74"/>
      <c r="CH164" s="89">
        <v>90</v>
      </c>
      <c r="CI164" s="2">
        <v>35</v>
      </c>
      <c r="CJ164" s="2">
        <v>0</v>
      </c>
      <c r="CK164" s="2">
        <v>2.4E-2</v>
      </c>
      <c r="CL164" s="43" t="s">
        <v>1334</v>
      </c>
      <c r="CM164" s="43">
        <v>152</v>
      </c>
      <c r="CN164" s="43">
        <v>62</v>
      </c>
      <c r="CO164" s="74"/>
      <c r="CT164" s="89">
        <v>83</v>
      </c>
      <c r="CU164" s="2">
        <v>35</v>
      </c>
      <c r="CV164" s="2">
        <v>0</v>
      </c>
      <c r="CW164" s="2">
        <v>0.2972747</v>
      </c>
      <c r="CX164" s="43" t="s">
        <v>1334</v>
      </c>
      <c r="CY164" s="43">
        <v>152</v>
      </c>
      <c r="CZ164" s="43">
        <v>62</v>
      </c>
      <c r="DA164" s="74"/>
      <c r="DF164" s="89">
        <v>85</v>
      </c>
      <c r="DG164" s="2">
        <v>36</v>
      </c>
      <c r="DH164" s="2">
        <v>0</v>
      </c>
      <c r="DI164" s="2">
        <v>0.34270460000000003</v>
      </c>
      <c r="DJ164" s="43" t="s">
        <v>1334</v>
      </c>
      <c r="DK164" s="43">
        <v>152</v>
      </c>
      <c r="DL164" s="43">
        <v>62</v>
      </c>
      <c r="DM164" s="74"/>
      <c r="DR164" s="89">
        <v>89</v>
      </c>
      <c r="DS164" s="2">
        <v>33</v>
      </c>
      <c r="DT164" s="2">
        <v>0</v>
      </c>
      <c r="DU164" s="2">
        <v>3.0000000000000001E-3</v>
      </c>
      <c r="DV164" s="43" t="s">
        <v>1334</v>
      </c>
      <c r="DW164" s="43">
        <v>152</v>
      </c>
      <c r="DX164" s="43">
        <v>62</v>
      </c>
      <c r="DY164" s="74"/>
      <c r="ED164" s="89">
        <v>89</v>
      </c>
      <c r="EE164" s="2">
        <v>35</v>
      </c>
      <c r="EF164" s="2">
        <v>0</v>
      </c>
      <c r="EG164" s="2">
        <v>0.16414200000000001</v>
      </c>
      <c r="EH164" s="43" t="s">
        <v>1334</v>
      </c>
      <c r="EI164" s="43">
        <v>152</v>
      </c>
      <c r="EJ164" s="43">
        <v>62</v>
      </c>
      <c r="EK164" s="74"/>
      <c r="ES164">
        <v>89</v>
      </c>
      <c r="ET164">
        <v>35</v>
      </c>
      <c r="EU164">
        <v>0</v>
      </c>
      <c r="EV164">
        <v>0.16414200000000001</v>
      </c>
    </row>
    <row r="165" spans="1:152" x14ac:dyDescent="0.4">
      <c r="A165" s="89"/>
      <c r="B165" s="2"/>
      <c r="C165" s="2"/>
      <c r="D165" s="2"/>
      <c r="E165" s="43" t="s">
        <v>1334</v>
      </c>
      <c r="F165" s="43">
        <v>154</v>
      </c>
      <c r="G165" s="43">
        <v>62</v>
      </c>
      <c r="H165" s="74"/>
      <c r="N165" s="89">
        <v>78</v>
      </c>
      <c r="O165" s="2">
        <v>34</v>
      </c>
      <c r="P165" s="2">
        <v>0</v>
      </c>
      <c r="Q165" s="2">
        <v>1.5680670000000001</v>
      </c>
      <c r="R165" s="43" t="s">
        <v>1334</v>
      </c>
      <c r="S165" s="43">
        <v>154</v>
      </c>
      <c r="T165" s="43">
        <v>62</v>
      </c>
      <c r="U165" s="74"/>
      <c r="Z165" s="89">
        <v>82</v>
      </c>
      <c r="AA165" s="2">
        <v>34</v>
      </c>
      <c r="AB165" s="2">
        <v>0</v>
      </c>
      <c r="AC165" s="2">
        <v>1.1435740000000001</v>
      </c>
      <c r="AD165" s="43" t="s">
        <v>1334</v>
      </c>
      <c r="AE165" s="43">
        <v>154</v>
      </c>
      <c r="AF165" s="43">
        <v>62</v>
      </c>
      <c r="AG165" s="74"/>
      <c r="AL165" s="89">
        <v>83</v>
      </c>
      <c r="AM165" s="2">
        <v>34</v>
      </c>
      <c r="AN165" s="2">
        <v>0</v>
      </c>
      <c r="AO165" s="2">
        <v>0.48225829999999997</v>
      </c>
      <c r="AP165" s="43" t="s">
        <v>1334</v>
      </c>
      <c r="AQ165" s="43">
        <v>154</v>
      </c>
      <c r="AR165" s="43">
        <v>62</v>
      </c>
      <c r="AS165" s="74"/>
      <c r="AX165" s="89">
        <v>95</v>
      </c>
      <c r="AY165" s="2">
        <v>35</v>
      </c>
      <c r="AZ165" s="2">
        <v>0</v>
      </c>
      <c r="BA165" s="2">
        <v>1E-3</v>
      </c>
      <c r="BB165" s="43" t="s">
        <v>1334</v>
      </c>
      <c r="BC165" s="43">
        <v>154</v>
      </c>
      <c r="BD165" s="43">
        <v>62</v>
      </c>
      <c r="BE165" s="74"/>
      <c r="BJ165" s="89">
        <v>91</v>
      </c>
      <c r="BK165" s="2">
        <v>35</v>
      </c>
      <c r="BL165" s="2">
        <v>0</v>
      </c>
      <c r="BM165" s="2">
        <v>1.9E-2</v>
      </c>
      <c r="BN165" s="43" t="s">
        <v>1334</v>
      </c>
      <c r="BO165" s="43">
        <v>154</v>
      </c>
      <c r="BP165" s="43">
        <v>62</v>
      </c>
      <c r="BQ165" s="74"/>
      <c r="BV165" s="89">
        <v>80</v>
      </c>
      <c r="BW165" s="2">
        <v>36</v>
      </c>
      <c r="BX165" s="2">
        <v>0</v>
      </c>
      <c r="BY165" s="2">
        <v>9.1700009999999999E-4</v>
      </c>
      <c r="BZ165" s="43" t="s">
        <v>1334</v>
      </c>
      <c r="CA165" s="43">
        <v>154</v>
      </c>
      <c r="CB165" s="43">
        <v>62</v>
      </c>
      <c r="CC165" s="74"/>
      <c r="CH165" s="89">
        <v>91</v>
      </c>
      <c r="CI165" s="2">
        <v>35</v>
      </c>
      <c r="CJ165" s="2">
        <v>0</v>
      </c>
      <c r="CK165" s="2">
        <v>8.0000000000000002E-3</v>
      </c>
      <c r="CL165" s="43" t="s">
        <v>1334</v>
      </c>
      <c r="CM165" s="43">
        <v>154</v>
      </c>
      <c r="CN165" s="43">
        <v>62</v>
      </c>
      <c r="CO165" s="74"/>
      <c r="CT165" s="89">
        <v>84</v>
      </c>
      <c r="CU165" s="2">
        <v>35</v>
      </c>
      <c r="CV165" s="2">
        <v>0</v>
      </c>
      <c r="CW165" s="2">
        <v>0.25733869999999998</v>
      </c>
      <c r="CX165" s="43" t="s">
        <v>1334</v>
      </c>
      <c r="CY165" s="43">
        <v>154</v>
      </c>
      <c r="CZ165" s="43">
        <v>62</v>
      </c>
      <c r="DA165" s="74"/>
      <c r="DF165" s="89">
        <v>85</v>
      </c>
      <c r="DG165" s="2">
        <v>36</v>
      </c>
      <c r="DH165" s="2">
        <v>1</v>
      </c>
      <c r="DI165" s="2">
        <v>1.3190839999999999</v>
      </c>
      <c r="DJ165" s="43" t="s">
        <v>1334</v>
      </c>
      <c r="DK165" s="43">
        <v>154</v>
      </c>
      <c r="DL165" s="43">
        <v>62</v>
      </c>
      <c r="DM165" s="74"/>
      <c r="DR165" s="89">
        <v>74</v>
      </c>
      <c r="DS165" s="2">
        <v>34</v>
      </c>
      <c r="DT165" s="2">
        <v>0</v>
      </c>
      <c r="DU165" s="2">
        <v>1.0200000000000001E-3</v>
      </c>
      <c r="DV165" s="43" t="s">
        <v>1334</v>
      </c>
      <c r="DW165" s="43">
        <v>154</v>
      </c>
      <c r="DX165" s="43">
        <v>62</v>
      </c>
      <c r="DY165" s="74"/>
      <c r="ED165" s="89">
        <v>90</v>
      </c>
      <c r="EE165" s="2">
        <v>35</v>
      </c>
      <c r="EF165" s="2">
        <v>0</v>
      </c>
      <c r="EG165" s="2">
        <v>7.6999999999999999E-2</v>
      </c>
      <c r="EH165" s="43" t="s">
        <v>1334</v>
      </c>
      <c r="EI165" s="43">
        <v>154</v>
      </c>
      <c r="EJ165" s="43">
        <v>62</v>
      </c>
      <c r="EK165" s="74"/>
      <c r="ES165">
        <v>90</v>
      </c>
      <c r="ET165">
        <v>35</v>
      </c>
      <c r="EU165">
        <v>0</v>
      </c>
      <c r="EV165">
        <v>7.6999999999999999E-2</v>
      </c>
    </row>
    <row r="166" spans="1:152" x14ac:dyDescent="0.4">
      <c r="A166" s="89"/>
      <c r="B166" s="2"/>
      <c r="C166" s="2"/>
      <c r="D166" s="2"/>
      <c r="E166" s="42" t="s">
        <v>1342</v>
      </c>
      <c r="F166" s="42">
        <v>151</v>
      </c>
      <c r="G166" s="42">
        <v>63</v>
      </c>
      <c r="H166" s="74" cm="1">
        <f t="array" ref="H166">SUM(SUMIFS(D$14:D$1004,B$14:B$1004,G166:G167,A$14:A$1004,F166:F167,C$14:C$1004,0))</f>
        <v>0</v>
      </c>
      <c r="N166" s="89">
        <v>79</v>
      </c>
      <c r="O166" s="2">
        <v>34</v>
      </c>
      <c r="P166" s="2">
        <v>0</v>
      </c>
      <c r="Q166" s="2">
        <v>1.800921</v>
      </c>
      <c r="R166" s="42" t="s">
        <v>1342</v>
      </c>
      <c r="S166" s="42">
        <v>151</v>
      </c>
      <c r="T166" s="42">
        <v>63</v>
      </c>
      <c r="U166" s="74" cm="1">
        <f t="array" ref="U166">SUM(SUMIFS(Q$14:Q$1004,O$14:O$1004,T166:T167,N$14:N$1004,S166:S167,P$14:P$1004,0))</f>
        <v>5.0000000000000001E-3</v>
      </c>
      <c r="Z166" s="89">
        <v>83</v>
      </c>
      <c r="AA166" s="2">
        <v>34</v>
      </c>
      <c r="AB166" s="2">
        <v>0</v>
      </c>
      <c r="AC166" s="2">
        <v>0.7058567</v>
      </c>
      <c r="AD166" s="42" t="s">
        <v>1342</v>
      </c>
      <c r="AE166" s="42">
        <v>151</v>
      </c>
      <c r="AF166" s="42">
        <v>63</v>
      </c>
      <c r="AG166" s="74" cm="1">
        <f t="array" ref="AG166">SUM(SUMIFS(AC$14:AC$1004,AA$14:AA$1004,AF166:AF167,Z$14:Z$1004,AE166:AE167,AB$14:AB$1004,0))</f>
        <v>5.0000000000000001E-3</v>
      </c>
      <c r="AL166" s="89">
        <v>83</v>
      </c>
      <c r="AM166" s="2">
        <v>34</v>
      </c>
      <c r="AN166" s="2">
        <v>1</v>
      </c>
      <c r="AO166" s="2">
        <v>6.592771E-2</v>
      </c>
      <c r="AP166" s="42" t="s">
        <v>1342</v>
      </c>
      <c r="AQ166" s="42">
        <v>151</v>
      </c>
      <c r="AR166" s="42">
        <v>63</v>
      </c>
      <c r="AS166" s="74" cm="1">
        <f t="array" ref="AS166">SUM(SUMIFS(AO$14:AO$1004,AM$14:AM$1004,AR166:AR167,AL$14:AL$1004,AQ166:AQ167,AN$14:AN$1004,0))</f>
        <v>5.0000000000000001E-3</v>
      </c>
      <c r="AX166" s="89">
        <v>81</v>
      </c>
      <c r="AY166" s="2">
        <v>36</v>
      </c>
      <c r="AZ166" s="2">
        <v>0</v>
      </c>
      <c r="BA166" s="2">
        <v>1E-3</v>
      </c>
      <c r="BB166" s="42" t="s">
        <v>1342</v>
      </c>
      <c r="BC166" s="42">
        <v>151</v>
      </c>
      <c r="BD166" s="42">
        <v>63</v>
      </c>
      <c r="BE166" s="74" cm="1">
        <f t="array" ref="BE166">SUM(SUMIFS(BA$14:BA$1004,AY$14:AY$1004,BD166:BD167,AX$14:AX$1004,BC166:BC167,AZ$14:AZ$1004,0))</f>
        <v>0.13200000000000001</v>
      </c>
      <c r="BJ166" s="89">
        <v>92</v>
      </c>
      <c r="BK166" s="2">
        <v>35</v>
      </c>
      <c r="BL166" s="2">
        <v>0</v>
      </c>
      <c r="BM166" s="2">
        <v>5.0000000000000001E-3</v>
      </c>
      <c r="BN166" s="42" t="s">
        <v>1342</v>
      </c>
      <c r="BO166" s="42">
        <v>151</v>
      </c>
      <c r="BP166" s="42">
        <v>63</v>
      </c>
      <c r="BQ166" s="74" cm="1">
        <f t="array" ref="BQ166">SUM(SUMIFS(BM$14:BM$1004,BK$14:BK$1004,BP166:BP167,BJ$14:BJ$1004,BO166:BO167,BL$14:BL$1004,0))</f>
        <v>0.245</v>
      </c>
      <c r="BV166" s="89">
        <v>81</v>
      </c>
      <c r="BW166" s="2">
        <v>36</v>
      </c>
      <c r="BX166" s="2">
        <v>0</v>
      </c>
      <c r="BY166" s="2">
        <v>1E-3</v>
      </c>
      <c r="BZ166" s="42" t="s">
        <v>1342</v>
      </c>
      <c r="CA166" s="42">
        <v>151</v>
      </c>
      <c r="CB166" s="42">
        <v>63</v>
      </c>
      <c r="CC166" s="74" cm="1">
        <f t="array" ref="CC166">SUM(SUMIFS(BY$14:BY$1004,BW$14:BW$1004,CB166:CB167,BV$14:BV$1004,CA166:CA167,BX$14:BX$1004,0))</f>
        <v>0.45900639999999998</v>
      </c>
      <c r="CH166" s="89">
        <v>92</v>
      </c>
      <c r="CI166" s="2">
        <v>35</v>
      </c>
      <c r="CJ166" s="2">
        <v>0</v>
      </c>
      <c r="CK166" s="2">
        <v>4.0000000000000001E-3</v>
      </c>
      <c r="CL166" s="42" t="s">
        <v>1342</v>
      </c>
      <c r="CM166" s="42">
        <v>151</v>
      </c>
      <c r="CN166" s="42">
        <v>63</v>
      </c>
      <c r="CO166" s="74" cm="1">
        <f t="array" ref="CO166">SUM(SUMIFS(CK$14:CK$1004,CI$14:CI$1004,CN166:CN167,CH$14:CH$1004,CM166:CM167,CJ$14:CJ$1004,0))</f>
        <v>0.67900000000000005</v>
      </c>
      <c r="CT166" s="89">
        <v>84</v>
      </c>
      <c r="CU166" s="2">
        <v>35</v>
      </c>
      <c r="CV166" s="2">
        <v>1</v>
      </c>
      <c r="CW166" s="2">
        <v>9.0135809999999997E-2</v>
      </c>
      <c r="CX166" s="42" t="s">
        <v>1342</v>
      </c>
      <c r="CY166" s="42">
        <v>151</v>
      </c>
      <c r="CZ166" s="42">
        <v>63</v>
      </c>
      <c r="DA166" s="74" cm="1">
        <f t="array" ref="DA166">SUM(SUMIFS(CW$14:CW$1004,CU$14:CU$1004,CZ166:CZ167,CT$14:CT$1004,CY166:CY167,CV$14:CV$1004,0))</f>
        <v>2.3720840000000001</v>
      </c>
      <c r="DF166" s="89">
        <v>86</v>
      </c>
      <c r="DG166" s="2">
        <v>36</v>
      </c>
      <c r="DH166" s="2">
        <v>0</v>
      </c>
      <c r="DI166" s="2">
        <v>1.7286729999999999</v>
      </c>
      <c r="DJ166" s="42" t="s">
        <v>1342</v>
      </c>
      <c r="DK166" s="42">
        <v>151</v>
      </c>
      <c r="DL166" s="42">
        <v>63</v>
      </c>
      <c r="DM166" s="74" cm="1">
        <f t="array" ref="DM166">SUM(SUMIFS(DI$14:DI$1004,DG$14:DG$1004,DL166:DL167,DF$14:DF$1004,DK166:DK167,DH$14:DH$1004,0))</f>
        <v>0.55601719999999999</v>
      </c>
      <c r="DR166" s="89">
        <v>75</v>
      </c>
      <c r="DS166" s="2">
        <v>34</v>
      </c>
      <c r="DT166" s="2">
        <v>0</v>
      </c>
      <c r="DU166" s="2">
        <v>1E-3</v>
      </c>
      <c r="DV166" s="42" t="s">
        <v>1342</v>
      </c>
      <c r="DW166" s="42">
        <v>151</v>
      </c>
      <c r="DX166" s="42">
        <v>63</v>
      </c>
      <c r="DY166" s="74" cm="1">
        <f t="array" ref="DY166">SUM(SUMIFS(DU$14:DU$1004,DS$14:DS$1004,DX166:DX167,DR$14:DR$1004,DW166:DW167,DT$14:DT$1004,0))</f>
        <v>1.6E-2</v>
      </c>
      <c r="ED166" s="89">
        <v>91</v>
      </c>
      <c r="EE166" s="2">
        <v>35</v>
      </c>
      <c r="EF166" s="2">
        <v>0</v>
      </c>
      <c r="EG166" s="2">
        <v>2.5999999999999999E-2</v>
      </c>
      <c r="EH166" s="42" t="s">
        <v>1342</v>
      </c>
      <c r="EI166" s="42">
        <v>151</v>
      </c>
      <c r="EJ166" s="42">
        <v>63</v>
      </c>
      <c r="EK166" s="74" cm="1">
        <f t="array" ref="EK166">SUM(SUMIFS(EG$14:EG$1004,EE$14:EE$1004,EJ166:EJ167,ED$14:ED$1004,EI166:EI167,EF$14:EF$1004,0))</f>
        <v>0.54500000000000004</v>
      </c>
      <c r="ES166">
        <v>91</v>
      </c>
      <c r="ET166">
        <v>35</v>
      </c>
      <c r="EU166">
        <v>0</v>
      </c>
      <c r="EV166">
        <v>2.5999999999999999E-2</v>
      </c>
    </row>
    <row r="167" spans="1:152" x14ac:dyDescent="0.4">
      <c r="A167" s="89"/>
      <c r="B167" s="2"/>
      <c r="C167" s="2"/>
      <c r="D167" s="2"/>
      <c r="E167" s="42" t="s">
        <v>1342</v>
      </c>
      <c r="F167" s="42">
        <v>153</v>
      </c>
      <c r="G167" s="42">
        <v>63</v>
      </c>
      <c r="H167" s="74"/>
      <c r="N167" s="89">
        <v>79</v>
      </c>
      <c r="O167" s="2">
        <v>34</v>
      </c>
      <c r="P167" s="2">
        <v>1</v>
      </c>
      <c r="Q167" s="2">
        <v>2.0298770000000001E-2</v>
      </c>
      <c r="R167" s="42" t="s">
        <v>1342</v>
      </c>
      <c r="S167" s="42">
        <v>153</v>
      </c>
      <c r="T167" s="42">
        <v>63</v>
      </c>
      <c r="U167" s="74"/>
      <c r="Z167" s="89">
        <v>83</v>
      </c>
      <c r="AA167" s="2">
        <v>34</v>
      </c>
      <c r="AB167" s="2">
        <v>1</v>
      </c>
      <c r="AC167" s="2">
        <v>0.13786090000000001</v>
      </c>
      <c r="AD167" s="42" t="s">
        <v>1342</v>
      </c>
      <c r="AE167" s="42">
        <v>153</v>
      </c>
      <c r="AF167" s="42">
        <v>63</v>
      </c>
      <c r="AG167" s="74"/>
      <c r="AL167" s="89">
        <v>84</v>
      </c>
      <c r="AM167" s="2">
        <v>34</v>
      </c>
      <c r="AN167" s="2">
        <v>0</v>
      </c>
      <c r="AO167" s="2">
        <v>0.35579240000000001</v>
      </c>
      <c r="AP167" s="42" t="s">
        <v>1342</v>
      </c>
      <c r="AQ167" s="42">
        <v>153</v>
      </c>
      <c r="AR167" s="42">
        <v>63</v>
      </c>
      <c r="AS167" s="74"/>
      <c r="AX167" s="89">
        <v>82</v>
      </c>
      <c r="AY167" s="2">
        <v>36</v>
      </c>
      <c r="AZ167" s="2">
        <v>0</v>
      </c>
      <c r="BA167" s="2">
        <v>4.5999999999999999E-2</v>
      </c>
      <c r="BB167" s="42" t="s">
        <v>1342</v>
      </c>
      <c r="BC167" s="42">
        <v>153</v>
      </c>
      <c r="BD167" s="42">
        <v>63</v>
      </c>
      <c r="BE167" s="74"/>
      <c r="BJ167" s="89">
        <v>93</v>
      </c>
      <c r="BK167" s="2">
        <v>35</v>
      </c>
      <c r="BL167" s="2">
        <v>0</v>
      </c>
      <c r="BM167" s="2">
        <v>2E-3</v>
      </c>
      <c r="BN167" s="42" t="s">
        <v>1342</v>
      </c>
      <c r="BO167" s="42">
        <v>153</v>
      </c>
      <c r="BP167" s="42">
        <v>63</v>
      </c>
      <c r="BQ167" s="74"/>
      <c r="BV167" s="89">
        <v>82</v>
      </c>
      <c r="BW167" s="2">
        <v>36</v>
      </c>
      <c r="BX167" s="2">
        <v>0</v>
      </c>
      <c r="BY167" s="2">
        <v>0.02</v>
      </c>
      <c r="BZ167" s="42" t="s">
        <v>1342</v>
      </c>
      <c r="CA167" s="42">
        <v>153</v>
      </c>
      <c r="CB167" s="42">
        <v>63</v>
      </c>
      <c r="CC167" s="74"/>
      <c r="CH167" s="89">
        <v>93</v>
      </c>
      <c r="CI167" s="2">
        <v>35</v>
      </c>
      <c r="CJ167" s="2">
        <v>0</v>
      </c>
      <c r="CK167" s="2">
        <v>1E-3</v>
      </c>
      <c r="CL167" s="42" t="s">
        <v>1342</v>
      </c>
      <c r="CM167" s="42">
        <v>153</v>
      </c>
      <c r="CN167" s="42">
        <v>63</v>
      </c>
      <c r="CO167" s="74"/>
      <c r="CT167" s="89">
        <v>85</v>
      </c>
      <c r="CU167" s="2">
        <v>35</v>
      </c>
      <c r="CV167" s="2">
        <v>0</v>
      </c>
      <c r="CW167" s="2">
        <v>0.30424079999999998</v>
      </c>
      <c r="CX167" s="42" t="s">
        <v>1342</v>
      </c>
      <c r="CY167" s="42">
        <v>153</v>
      </c>
      <c r="CZ167" s="42">
        <v>63</v>
      </c>
      <c r="DA167" s="74"/>
      <c r="DF167" s="89">
        <v>87</v>
      </c>
      <c r="DG167" s="2">
        <v>36</v>
      </c>
      <c r="DH167" s="2">
        <v>0</v>
      </c>
      <c r="DI167" s="2">
        <v>1.9649779999999999</v>
      </c>
      <c r="DJ167" s="42" t="s">
        <v>1342</v>
      </c>
      <c r="DK167" s="42">
        <v>153</v>
      </c>
      <c r="DL167" s="42">
        <v>63</v>
      </c>
      <c r="DM167" s="74"/>
      <c r="DR167" s="89">
        <v>76</v>
      </c>
      <c r="DS167" s="2">
        <v>34</v>
      </c>
      <c r="DT167" s="2">
        <v>0</v>
      </c>
      <c r="DU167" s="2">
        <v>4.8000000000000001E-2</v>
      </c>
      <c r="DV167" s="42" t="s">
        <v>1342</v>
      </c>
      <c r="DW167" s="42">
        <v>153</v>
      </c>
      <c r="DX167" s="42">
        <v>63</v>
      </c>
      <c r="DY167" s="74"/>
      <c r="ED167" s="89">
        <v>92</v>
      </c>
      <c r="EE167" s="2">
        <v>35</v>
      </c>
      <c r="EF167" s="2">
        <v>0</v>
      </c>
      <c r="EG167" s="2">
        <v>0.01</v>
      </c>
      <c r="EH167" s="42" t="s">
        <v>1342</v>
      </c>
      <c r="EI167" s="42">
        <v>153</v>
      </c>
      <c r="EJ167" s="42">
        <v>63</v>
      </c>
      <c r="EK167" s="74"/>
      <c r="ES167">
        <v>92</v>
      </c>
      <c r="ET167">
        <v>35</v>
      </c>
      <c r="EU167">
        <v>0</v>
      </c>
      <c r="EV167">
        <v>0.01</v>
      </c>
    </row>
    <row r="168" spans="1:152" x14ac:dyDescent="0.4">
      <c r="A168" s="89"/>
      <c r="B168" s="2"/>
      <c r="C168" s="2"/>
      <c r="D168" s="2"/>
      <c r="E168" s="43" t="s">
        <v>620</v>
      </c>
      <c r="F168" s="43">
        <v>155</v>
      </c>
      <c r="G168" s="43">
        <v>63</v>
      </c>
      <c r="H168" s="74">
        <f>SUM(SUMIFS(D$14:D$1004,B$14:B$1004,G168,A$14:A$1004,F168,C$14:C$1004,0))</f>
        <v>0</v>
      </c>
      <c r="N168" s="89">
        <v>80</v>
      </c>
      <c r="O168" s="2">
        <v>34</v>
      </c>
      <c r="P168" s="2">
        <v>0</v>
      </c>
      <c r="Q168" s="2">
        <v>1.918452</v>
      </c>
      <c r="R168" s="43" t="s">
        <v>620</v>
      </c>
      <c r="S168" s="43">
        <v>155</v>
      </c>
      <c r="T168" s="43">
        <v>63</v>
      </c>
      <c r="U168" s="74">
        <f>SUM(SUMIFS(Q$14:Q$1004,O$14:O$1004,T168,N$14:N$1004,S168,P$14:P$1004,0))</f>
        <v>3.0000000000000001E-3</v>
      </c>
      <c r="Z168" s="89">
        <v>84</v>
      </c>
      <c r="AA168" s="2">
        <v>34</v>
      </c>
      <c r="AB168" s="2">
        <v>0</v>
      </c>
      <c r="AC168" s="2">
        <v>0.56677160000000004</v>
      </c>
      <c r="AD168" s="43" t="s">
        <v>620</v>
      </c>
      <c r="AE168" s="43">
        <v>155</v>
      </c>
      <c r="AF168" s="43">
        <v>63</v>
      </c>
      <c r="AG168" s="74">
        <f>SUM(SUMIFS(AC$14:AC$1004,AA$14:AA$1004,AF168,Z$14:Z$1004,AE168,AB$14:AB$1004,0))</f>
        <v>2E-3</v>
      </c>
      <c r="AL168" s="89">
        <v>85</v>
      </c>
      <c r="AM168" s="2">
        <v>34</v>
      </c>
      <c r="AN168" s="2">
        <v>0</v>
      </c>
      <c r="AO168" s="2">
        <v>0.13867160000000001</v>
      </c>
      <c r="AP168" s="43" t="s">
        <v>620</v>
      </c>
      <c r="AQ168" s="43">
        <v>155</v>
      </c>
      <c r="AR168" s="43">
        <v>63</v>
      </c>
      <c r="AS168" s="74">
        <f>SUM(SUMIFS(AO$14:AO$1004,AM$14:AM$1004,AR168,AL$14:AL$1004,AQ168,AN$14:AN$1004,0))</f>
        <v>0</v>
      </c>
      <c r="AX168" s="89">
        <v>83</v>
      </c>
      <c r="AY168" s="2">
        <v>36</v>
      </c>
      <c r="AZ168" s="2">
        <v>0</v>
      </c>
      <c r="BA168" s="2">
        <v>1.2589809999999999</v>
      </c>
      <c r="BB168" s="43" t="s">
        <v>620</v>
      </c>
      <c r="BC168" s="43">
        <v>155</v>
      </c>
      <c r="BD168" s="43">
        <v>63</v>
      </c>
      <c r="BE168" s="74">
        <f>SUM(SUMIFS(BA$14:BA$1004,AY$14:AY$1004,BD168,AX$14:AX$1004,BC168,AZ$14:AZ$1004,0))</f>
        <v>1.4E-2</v>
      </c>
      <c r="BJ168" s="89">
        <v>80</v>
      </c>
      <c r="BK168" s="2">
        <v>36</v>
      </c>
      <c r="BL168" s="2">
        <v>0</v>
      </c>
      <c r="BM168" s="2">
        <v>2.751E-3</v>
      </c>
      <c r="BN168" s="43" t="s">
        <v>620</v>
      </c>
      <c r="BO168" s="43">
        <v>155</v>
      </c>
      <c r="BP168" s="43">
        <v>63</v>
      </c>
      <c r="BQ168" s="74">
        <f>SUM(SUMIFS(BM$14:BM$1004,BK$14:BK$1004,BP168,BJ$14:BJ$1004,BO168,BL$14:BL$1004,0))</f>
        <v>5.1999999999999998E-2</v>
      </c>
      <c r="BV168" s="89">
        <v>83</v>
      </c>
      <c r="BW168" s="2">
        <v>36</v>
      </c>
      <c r="BX168" s="2">
        <v>0</v>
      </c>
      <c r="BY168" s="2">
        <v>0.5345008</v>
      </c>
      <c r="BZ168" s="43" t="s">
        <v>620</v>
      </c>
      <c r="CA168" s="43">
        <v>155</v>
      </c>
      <c r="CB168" s="43">
        <v>63</v>
      </c>
      <c r="CC168" s="74">
        <f>SUM(SUMIFS(BY$14:BY$1004,BW$14:BW$1004,CB168,BV$14:BV$1004,CA168,BX$14:BX$1004,0))</f>
        <v>9.1000010000000006E-2</v>
      </c>
      <c r="CH168" s="89">
        <v>80</v>
      </c>
      <c r="CI168" s="2">
        <v>36</v>
      </c>
      <c r="CJ168" s="2">
        <v>0</v>
      </c>
      <c r="CK168" s="2">
        <v>6.4190009999999997E-3</v>
      </c>
      <c r="CL168" s="43" t="s">
        <v>620</v>
      </c>
      <c r="CM168" s="43">
        <v>155</v>
      </c>
      <c r="CN168" s="43">
        <v>63</v>
      </c>
      <c r="CO168" s="74">
        <f>SUM(SUMIFS(CK$14:CK$1004,CI$14:CI$1004,CN168,CH$14:CH$1004,CM168,CJ$14:CJ$1004,0))</f>
        <v>0.13600000000000001</v>
      </c>
      <c r="CT168" s="89">
        <v>86</v>
      </c>
      <c r="CU168" s="2">
        <v>35</v>
      </c>
      <c r="CV168" s="2">
        <v>0</v>
      </c>
      <c r="CW168" s="2">
        <v>0.24631800000000001</v>
      </c>
      <c r="CX168" s="43" t="s">
        <v>620</v>
      </c>
      <c r="CY168" s="43">
        <v>155</v>
      </c>
      <c r="CZ168" s="43">
        <v>63</v>
      </c>
      <c r="DA168" s="74">
        <f>SUM(SUMIFS(CW$14:CW$1004,CU$14:CU$1004,CZ168,CT$14:CT$1004,CY168,CV$14:CV$1004,0))</f>
        <v>0.78402720000000004</v>
      </c>
      <c r="DF168" s="89">
        <v>88</v>
      </c>
      <c r="DG168" s="2">
        <v>36</v>
      </c>
      <c r="DH168" s="2">
        <v>0</v>
      </c>
      <c r="DI168" s="2">
        <v>2.4277829999999998</v>
      </c>
      <c r="DJ168" s="43" t="s">
        <v>620</v>
      </c>
      <c r="DK168" s="43">
        <v>155</v>
      </c>
      <c r="DL168" s="43">
        <v>63</v>
      </c>
      <c r="DM168" s="74">
        <f>SUM(SUMIFS(DI$14:DI$1004,DG$14:DG$1004,DL168,DF$14:DF$1004,DK168,DH$14:DH$1004,0))</f>
        <v>6.8027210000000005E-2</v>
      </c>
      <c r="DR168" s="89">
        <v>77</v>
      </c>
      <c r="DS168" s="2">
        <v>34</v>
      </c>
      <c r="DT168" s="2">
        <v>0</v>
      </c>
      <c r="DU168" s="2">
        <v>1.103</v>
      </c>
      <c r="DV168" s="43" t="s">
        <v>620</v>
      </c>
      <c r="DW168" s="43">
        <v>155</v>
      </c>
      <c r="DX168" s="43">
        <v>63</v>
      </c>
      <c r="DY168" s="74">
        <f>SUM(SUMIFS(DU$14:DU$1004,DS$14:DS$1004,DX168,DR$14:DR$1004,DW168,DT$14:DT$1004,0))</f>
        <v>2E-3</v>
      </c>
      <c r="ED168" s="89">
        <v>93</v>
      </c>
      <c r="EE168" s="2">
        <v>35</v>
      </c>
      <c r="EF168" s="2">
        <v>0</v>
      </c>
      <c r="EG168" s="2">
        <v>2E-3</v>
      </c>
      <c r="EH168" s="43" t="s">
        <v>620</v>
      </c>
      <c r="EI168" s="43">
        <v>155</v>
      </c>
      <c r="EJ168" s="43">
        <v>63</v>
      </c>
      <c r="EK168" s="74">
        <f>SUM(SUMIFS(EG$14:EG$1004,EE$14:EE$1004,EJ168,ED$14:ED$1004,EI168,EF$14:EF$1004,0))</f>
        <v>0.14302719999999999</v>
      </c>
      <c r="ES168">
        <v>93</v>
      </c>
      <c r="ET168">
        <v>35</v>
      </c>
      <c r="EU168">
        <v>0</v>
      </c>
      <c r="EV168">
        <v>2E-3</v>
      </c>
    </row>
    <row r="169" spans="1:152" x14ac:dyDescent="0.4">
      <c r="A169" s="89"/>
      <c r="B169" s="2"/>
      <c r="C169" s="2"/>
      <c r="D169" s="2"/>
      <c r="E169" s="42" t="s">
        <v>1333</v>
      </c>
      <c r="F169" s="42">
        <v>152</v>
      </c>
      <c r="G169" s="42">
        <v>64</v>
      </c>
      <c r="H169" s="74" cm="1">
        <f t="array" ref="H169">SUM(SUMIFS(D$14:D$1004,B$14:B$1004,G169:G175,A$14:A$1004,F169:F175,C$14:C$1004,0))-H168</f>
        <v>0</v>
      </c>
      <c r="N169" s="89">
        <v>81</v>
      </c>
      <c r="O169" s="2">
        <v>34</v>
      </c>
      <c r="P169" s="2">
        <v>0</v>
      </c>
      <c r="Q169" s="2">
        <v>1.65771</v>
      </c>
      <c r="R169" s="42" t="s">
        <v>1333</v>
      </c>
      <c r="S169" s="42">
        <v>152</v>
      </c>
      <c r="T169" s="42">
        <v>64</v>
      </c>
      <c r="U169" s="74" cm="1">
        <f t="array" ref="U169">SUM(SUMIFS(Q$14:Q$1004,O$14:O$1004,T169:T175,N$14:N$1004,S169:S175,P$14:P$1004,0))-U168</f>
        <v>3.8370000000000001E-3</v>
      </c>
      <c r="Z169" s="89">
        <v>85</v>
      </c>
      <c r="AA169" s="2">
        <v>34</v>
      </c>
      <c r="AB169" s="2">
        <v>0</v>
      </c>
      <c r="AC169" s="2">
        <v>0.29614079999999998</v>
      </c>
      <c r="AD169" s="42" t="s">
        <v>1333</v>
      </c>
      <c r="AE169" s="42">
        <v>152</v>
      </c>
      <c r="AF169" s="42">
        <v>64</v>
      </c>
      <c r="AG169" s="74" cm="1">
        <f t="array" ref="AG169">SUM(SUMIFS(AC$14:AC$1004,AA$14:AA$1004,AF169:AF175,Z$14:Z$1004,AE169:AE175,AB$14:AB$1004,0))-AG168</f>
        <v>3.0000000000000001E-3</v>
      </c>
      <c r="AL169" s="89">
        <v>86</v>
      </c>
      <c r="AM169" s="2">
        <v>34</v>
      </c>
      <c r="AN169" s="2">
        <v>0</v>
      </c>
      <c r="AO169" s="2">
        <v>4.9658000000000001E-2</v>
      </c>
      <c r="AP169" s="42" t="s">
        <v>1333</v>
      </c>
      <c r="AQ169" s="42">
        <v>152</v>
      </c>
      <c r="AR169" s="42">
        <v>64</v>
      </c>
      <c r="AS169" s="74" cm="1">
        <f t="array" ref="AS169">SUM(SUMIFS(AO$14:AO$1004,AM$14:AM$1004,AR169:AR175,AL$14:AL$1004,AQ169:AQ175,AN$14:AN$1004,0))-AS168</f>
        <v>5.2789999999999998E-3</v>
      </c>
      <c r="AX169" s="89">
        <v>83</v>
      </c>
      <c r="AY169" s="2">
        <v>36</v>
      </c>
      <c r="AZ169" s="2">
        <v>1</v>
      </c>
      <c r="BA169" s="2">
        <v>1.251493</v>
      </c>
      <c r="BB169" s="42" t="s">
        <v>1333</v>
      </c>
      <c r="BC169" s="42">
        <v>152</v>
      </c>
      <c r="BD169" s="42">
        <v>64</v>
      </c>
      <c r="BE169" s="74" cm="1">
        <f t="array" ref="BE169">SUM(SUMIFS(BA$14:BA$1004,AY$14:AY$1004,BD169:BD175,AX$14:AX$1004,BC169:BC175,AZ$14:AZ$1004,0))-BE168</f>
        <v>3.2831801000000008E-2</v>
      </c>
      <c r="BJ169" s="89">
        <v>82</v>
      </c>
      <c r="BK169" s="2">
        <v>36</v>
      </c>
      <c r="BL169" s="2">
        <v>0</v>
      </c>
      <c r="BM169" s="2">
        <v>4.500001E-2</v>
      </c>
      <c r="BN169" s="42" t="s">
        <v>1333</v>
      </c>
      <c r="BO169" s="42">
        <v>152</v>
      </c>
      <c r="BP169" s="42">
        <v>64</v>
      </c>
      <c r="BQ169" s="74" cm="1">
        <f t="array" ref="BQ169">SUM(SUMIFS(BM$14:BM$1004,BK$14:BK$1004,BP169:BP175,BJ$14:BJ$1004,BO169:BO175,BL$14:BL$1004,0))-BQ168</f>
        <v>0.15088880000000002</v>
      </c>
      <c r="BV169" s="89">
        <v>83</v>
      </c>
      <c r="BW169" s="2">
        <v>36</v>
      </c>
      <c r="BX169" s="2">
        <v>1</v>
      </c>
      <c r="BY169" s="2">
        <v>0.528026</v>
      </c>
      <c r="BZ169" s="42" t="s">
        <v>1333</v>
      </c>
      <c r="CA169" s="42">
        <v>152</v>
      </c>
      <c r="CB169" s="42">
        <v>64</v>
      </c>
      <c r="CC169" s="74" cm="1">
        <f t="array" ref="CC169">SUM(SUMIFS(BY$14:BY$1004,BW$14:BW$1004,CB169:CB175,BV$14:BV$1004,CA169:CA175,BX$14:BX$1004,0))-CC168</f>
        <v>0.19527241099999992</v>
      </c>
      <c r="CH169" s="89">
        <v>81</v>
      </c>
      <c r="CI169" s="2">
        <v>36</v>
      </c>
      <c r="CJ169" s="2">
        <v>0</v>
      </c>
      <c r="CK169" s="2">
        <v>3.0000000000000001E-3</v>
      </c>
      <c r="CL169" s="42" t="s">
        <v>1333</v>
      </c>
      <c r="CM169" s="42">
        <v>152</v>
      </c>
      <c r="CN169" s="42">
        <v>64</v>
      </c>
      <c r="CO169" s="74" cm="1">
        <f t="array" ref="CO169">SUM(SUMIFS(CK$14:CK$1004,CI$14:CI$1004,CN169:CN175,CH$14:CH$1004,CM169:CM175,CJ$14:CJ$1004,0))-CO168</f>
        <v>0.41143760000000007</v>
      </c>
      <c r="CT169" s="89">
        <v>87</v>
      </c>
      <c r="CU169" s="2">
        <v>35</v>
      </c>
      <c r="CV169" s="2">
        <v>0</v>
      </c>
      <c r="CW169" s="2">
        <v>0.19579099999999999</v>
      </c>
      <c r="CX169" s="42" t="s">
        <v>1333</v>
      </c>
      <c r="CY169" s="42">
        <v>152</v>
      </c>
      <c r="CZ169" s="42">
        <v>64</v>
      </c>
      <c r="DA169" s="74" cm="1">
        <f t="array" ref="DA169">SUM(SUMIFS(CW$14:CW$1004,CU$14:CU$1004,CZ169:CZ175,CT$14:CT$1004,CY169:CY175,CV$14:CV$1004,0))-DA168</f>
        <v>2.3838017599999994</v>
      </c>
      <c r="DF169" s="89">
        <v>89</v>
      </c>
      <c r="DG169" s="2">
        <v>36</v>
      </c>
      <c r="DH169" s="2">
        <v>0</v>
      </c>
      <c r="DI169" s="2">
        <v>2.1129910000000001</v>
      </c>
      <c r="DJ169" s="42" t="s">
        <v>1333</v>
      </c>
      <c r="DK169" s="42">
        <v>152</v>
      </c>
      <c r="DL169" s="42">
        <v>64</v>
      </c>
      <c r="DM169" s="74" cm="1">
        <f t="array" ref="DM169">SUM(SUMIFS(DI$14:DI$1004,DG$14:DG$1004,DL169:DL175,DF$14:DF$1004,DK169:DK175,DH$14:DH$1004,0))-DM168</f>
        <v>0.13997029999999999</v>
      </c>
      <c r="DR169" s="89">
        <v>77</v>
      </c>
      <c r="DS169" s="2">
        <v>34</v>
      </c>
      <c r="DT169" s="2">
        <v>1</v>
      </c>
      <c r="DU169" s="2">
        <v>1.0999999999999999E-2</v>
      </c>
      <c r="DV169" s="42" t="s">
        <v>1333</v>
      </c>
      <c r="DW169" s="42">
        <v>152</v>
      </c>
      <c r="DX169" s="42">
        <v>64</v>
      </c>
      <c r="DY169" s="74" cm="1">
        <f t="array" ref="DY169">SUM(SUMIFS(DU$14:DU$1004,DS$14:DS$1004,DX169:DX175,DR$14:DR$1004,DW169:DW175,DT$14:DT$1004,0))-DY168</f>
        <v>8.9999999999999993E-3</v>
      </c>
      <c r="ED169" s="89">
        <v>80</v>
      </c>
      <c r="EE169" s="2">
        <v>36</v>
      </c>
      <c r="EF169" s="2">
        <v>0</v>
      </c>
      <c r="EG169" s="2">
        <v>1.8339999999999999E-3</v>
      </c>
      <c r="EH169" s="42" t="s">
        <v>1333</v>
      </c>
      <c r="EI169" s="42">
        <v>152</v>
      </c>
      <c r="EJ169" s="42">
        <v>64</v>
      </c>
      <c r="EK169" s="74" cm="1">
        <f t="array" ref="EK169">SUM(SUMIFS(EG$14:EG$1004,EE$14:EE$1004,EJ169:EJ175,ED$14:ED$1004,EI169:EI175,EF$14:EF$1004,0))-EK168</f>
        <v>0.27035982000000003</v>
      </c>
      <c r="ES169">
        <v>80</v>
      </c>
      <c r="ET169">
        <v>36</v>
      </c>
      <c r="EU169">
        <v>0</v>
      </c>
      <c r="EV169">
        <v>1.8339999999999999E-3</v>
      </c>
    </row>
    <row r="170" spans="1:152" x14ac:dyDescent="0.4">
      <c r="A170" s="89"/>
      <c r="B170" s="2"/>
      <c r="C170" s="2"/>
      <c r="D170" s="2"/>
      <c r="E170" s="42" t="s">
        <v>1333</v>
      </c>
      <c r="F170" s="42">
        <v>154</v>
      </c>
      <c r="G170" s="42">
        <v>64</v>
      </c>
      <c r="H170" s="74"/>
      <c r="N170" s="89">
        <v>81</v>
      </c>
      <c r="O170" s="2">
        <v>34</v>
      </c>
      <c r="P170" s="2">
        <v>1</v>
      </c>
      <c r="Q170" s="2">
        <v>0.99359050000000004</v>
      </c>
      <c r="R170" s="42" t="s">
        <v>1333</v>
      </c>
      <c r="S170" s="42">
        <v>154</v>
      </c>
      <c r="T170" s="42">
        <v>64</v>
      </c>
      <c r="U170" s="74"/>
      <c r="Z170" s="89">
        <v>86</v>
      </c>
      <c r="AA170" s="2">
        <v>34</v>
      </c>
      <c r="AB170" s="2">
        <v>0</v>
      </c>
      <c r="AC170" s="2">
        <v>0.12737000000000001</v>
      </c>
      <c r="AD170" s="42" t="s">
        <v>1333</v>
      </c>
      <c r="AE170" s="42">
        <v>154</v>
      </c>
      <c r="AF170" s="42">
        <v>64</v>
      </c>
      <c r="AG170" s="74"/>
      <c r="AL170" s="89">
        <v>87</v>
      </c>
      <c r="AM170" s="2">
        <v>34</v>
      </c>
      <c r="AN170" s="2">
        <v>0</v>
      </c>
      <c r="AO170" s="2">
        <v>1.8692E-2</v>
      </c>
      <c r="AP170" s="42" t="s">
        <v>1333</v>
      </c>
      <c r="AQ170" s="42">
        <v>154</v>
      </c>
      <c r="AR170" s="42">
        <v>64</v>
      </c>
      <c r="AS170" s="74"/>
      <c r="AX170" s="89">
        <v>84</v>
      </c>
      <c r="AY170" s="2">
        <v>36</v>
      </c>
      <c r="AZ170" s="2">
        <v>0</v>
      </c>
      <c r="BA170" s="2">
        <v>1.6798770000000001</v>
      </c>
      <c r="BB170" s="42" t="s">
        <v>1333</v>
      </c>
      <c r="BC170" s="42">
        <v>154</v>
      </c>
      <c r="BD170" s="42">
        <v>64</v>
      </c>
      <c r="BE170" s="74"/>
      <c r="BJ170" s="89">
        <v>83</v>
      </c>
      <c r="BK170" s="2">
        <v>36</v>
      </c>
      <c r="BL170" s="2">
        <v>0</v>
      </c>
      <c r="BM170" s="2">
        <v>0.62747200000000003</v>
      </c>
      <c r="BN170" s="42" t="s">
        <v>1333</v>
      </c>
      <c r="BO170" s="42">
        <v>154</v>
      </c>
      <c r="BP170" s="42">
        <v>64</v>
      </c>
      <c r="BQ170" s="74"/>
      <c r="BV170" s="89">
        <v>84</v>
      </c>
      <c r="BW170" s="2">
        <v>36</v>
      </c>
      <c r="BX170" s="2">
        <v>0</v>
      </c>
      <c r="BY170" s="2">
        <v>0.76168559999999996</v>
      </c>
      <c r="BZ170" s="42" t="s">
        <v>1333</v>
      </c>
      <c r="CA170" s="42">
        <v>154</v>
      </c>
      <c r="CB170" s="42">
        <v>64</v>
      </c>
      <c r="CC170" s="74"/>
      <c r="CH170" s="89">
        <v>82</v>
      </c>
      <c r="CI170" s="2">
        <v>36</v>
      </c>
      <c r="CJ170" s="2">
        <v>0</v>
      </c>
      <c r="CK170" s="2">
        <v>9.1000010000000006E-2</v>
      </c>
      <c r="CL170" s="42" t="s">
        <v>1333</v>
      </c>
      <c r="CM170" s="42">
        <v>154</v>
      </c>
      <c r="CN170" s="42">
        <v>64</v>
      </c>
      <c r="CO170" s="74"/>
      <c r="CT170" s="89">
        <v>88</v>
      </c>
      <c r="CU170" s="2">
        <v>35</v>
      </c>
      <c r="CV170" s="2">
        <v>0</v>
      </c>
      <c r="CW170" s="2">
        <v>0.108291</v>
      </c>
      <c r="CX170" s="42" t="s">
        <v>1333</v>
      </c>
      <c r="CY170" s="42">
        <v>154</v>
      </c>
      <c r="CZ170" s="42">
        <v>64</v>
      </c>
      <c r="DA170" s="74"/>
      <c r="DF170" s="89">
        <v>90</v>
      </c>
      <c r="DG170" s="2">
        <v>36</v>
      </c>
      <c r="DH170" s="2">
        <v>0</v>
      </c>
      <c r="DI170" s="2">
        <v>1.8174159999999999</v>
      </c>
      <c r="DJ170" s="42" t="s">
        <v>1333</v>
      </c>
      <c r="DK170" s="42">
        <v>154</v>
      </c>
      <c r="DL170" s="42">
        <v>64</v>
      </c>
      <c r="DM170" s="74"/>
      <c r="DR170" s="89">
        <v>78</v>
      </c>
      <c r="DS170" s="2">
        <v>34</v>
      </c>
      <c r="DT170" s="2">
        <v>0</v>
      </c>
      <c r="DU170" s="2">
        <v>1.3332409999999999</v>
      </c>
      <c r="DV170" s="42" t="s">
        <v>1333</v>
      </c>
      <c r="DW170" s="42">
        <v>154</v>
      </c>
      <c r="DX170" s="42">
        <v>64</v>
      </c>
      <c r="DY170" s="74"/>
      <c r="ED170" s="89">
        <v>81</v>
      </c>
      <c r="EE170" s="2">
        <v>36</v>
      </c>
      <c r="EF170" s="2">
        <v>0</v>
      </c>
      <c r="EG170" s="2">
        <v>1E-3</v>
      </c>
      <c r="EH170" s="42" t="s">
        <v>1333</v>
      </c>
      <c r="EI170" s="42">
        <v>154</v>
      </c>
      <c r="EJ170" s="42">
        <v>64</v>
      </c>
      <c r="EK170" s="74"/>
      <c r="ES170">
        <v>81</v>
      </c>
      <c r="ET170">
        <v>36</v>
      </c>
      <c r="EU170">
        <v>0</v>
      </c>
      <c r="EV170">
        <v>1E-3</v>
      </c>
    </row>
    <row r="171" spans="1:152" x14ac:dyDescent="0.4">
      <c r="A171" s="89"/>
      <c r="B171" s="2"/>
      <c r="C171" s="2"/>
      <c r="D171" s="2"/>
      <c r="E171" s="42" t="s">
        <v>1333</v>
      </c>
      <c r="F171" s="42">
        <v>155</v>
      </c>
      <c r="G171" s="42">
        <v>64</v>
      </c>
      <c r="H171" s="74"/>
      <c r="N171" s="89">
        <v>82</v>
      </c>
      <c r="O171" s="2">
        <v>34</v>
      </c>
      <c r="P171" s="2">
        <v>0</v>
      </c>
      <c r="Q171" s="2">
        <v>1.3680000000000001</v>
      </c>
      <c r="R171" s="42" t="s">
        <v>1333</v>
      </c>
      <c r="S171" s="42">
        <v>155</v>
      </c>
      <c r="T171" s="42">
        <v>64</v>
      </c>
      <c r="U171" s="74"/>
      <c r="Z171" s="89">
        <v>87</v>
      </c>
      <c r="AA171" s="2">
        <v>34</v>
      </c>
      <c r="AB171" s="2">
        <v>0</v>
      </c>
      <c r="AC171" s="2">
        <v>0.04</v>
      </c>
      <c r="AD171" s="42" t="s">
        <v>1333</v>
      </c>
      <c r="AE171" s="42">
        <v>155</v>
      </c>
      <c r="AF171" s="42">
        <v>64</v>
      </c>
      <c r="AG171" s="74"/>
      <c r="AL171" s="89">
        <v>88</v>
      </c>
      <c r="AM171" s="2">
        <v>34</v>
      </c>
      <c r="AN171" s="2">
        <v>0</v>
      </c>
      <c r="AO171" s="2">
        <v>1.2999999999999999E-2</v>
      </c>
      <c r="AP171" s="42" t="s">
        <v>1333</v>
      </c>
      <c r="AQ171" s="42">
        <v>155</v>
      </c>
      <c r="AR171" s="42">
        <v>64</v>
      </c>
      <c r="AS171" s="74"/>
      <c r="AX171" s="89">
        <v>85</v>
      </c>
      <c r="AY171" s="2">
        <v>36</v>
      </c>
      <c r="AZ171" s="2">
        <v>0</v>
      </c>
      <c r="BA171" s="2">
        <v>0.5016313</v>
      </c>
      <c r="BB171" s="42" t="s">
        <v>1333</v>
      </c>
      <c r="BC171" s="42">
        <v>155</v>
      </c>
      <c r="BD171" s="42">
        <v>64</v>
      </c>
      <c r="BE171" s="74"/>
      <c r="BJ171" s="89">
        <v>83</v>
      </c>
      <c r="BK171" s="2">
        <v>36</v>
      </c>
      <c r="BL171" s="2">
        <v>1</v>
      </c>
      <c r="BM171" s="2">
        <v>0.61320920000000001</v>
      </c>
      <c r="BN171" s="42" t="s">
        <v>1333</v>
      </c>
      <c r="BO171" s="42">
        <v>155</v>
      </c>
      <c r="BP171" s="42">
        <v>64</v>
      </c>
      <c r="BQ171" s="74"/>
      <c r="BV171" s="89">
        <v>85</v>
      </c>
      <c r="BW171" s="2">
        <v>36</v>
      </c>
      <c r="BX171" s="2">
        <v>0</v>
      </c>
      <c r="BY171" s="2">
        <v>0.25157000000000002</v>
      </c>
      <c r="BZ171" s="42" t="s">
        <v>1333</v>
      </c>
      <c r="CA171" s="42">
        <v>155</v>
      </c>
      <c r="CB171" s="42">
        <v>64</v>
      </c>
      <c r="CC171" s="74"/>
      <c r="CH171" s="89">
        <v>83</v>
      </c>
      <c r="CI171" s="2">
        <v>36</v>
      </c>
      <c r="CJ171" s="2">
        <v>0</v>
      </c>
      <c r="CK171" s="2">
        <v>0.4866742</v>
      </c>
      <c r="CL171" s="42" t="s">
        <v>1333</v>
      </c>
      <c r="CM171" s="42">
        <v>155</v>
      </c>
      <c r="CN171" s="42">
        <v>64</v>
      </c>
      <c r="CO171" s="74"/>
      <c r="CT171" s="89">
        <v>89</v>
      </c>
      <c r="CU171" s="2">
        <v>35</v>
      </c>
      <c r="CV171" s="2">
        <v>0</v>
      </c>
      <c r="CW171" s="2">
        <v>7.4609999999999996E-2</v>
      </c>
      <c r="CX171" s="42" t="s">
        <v>1333</v>
      </c>
      <c r="CY171" s="42">
        <v>155</v>
      </c>
      <c r="CZ171" s="42">
        <v>64</v>
      </c>
      <c r="DA171" s="74"/>
      <c r="DF171" s="89">
        <v>91</v>
      </c>
      <c r="DG171" s="2">
        <v>36</v>
      </c>
      <c r="DH171" s="2">
        <v>0</v>
      </c>
      <c r="DI171" s="2">
        <v>1.184558</v>
      </c>
      <c r="DJ171" s="42" t="s">
        <v>1333</v>
      </c>
      <c r="DK171" s="42">
        <v>155</v>
      </c>
      <c r="DL171" s="42">
        <v>64</v>
      </c>
      <c r="DM171" s="74"/>
      <c r="DR171" s="89">
        <v>79</v>
      </c>
      <c r="DS171" s="2">
        <v>34</v>
      </c>
      <c r="DT171" s="2">
        <v>0</v>
      </c>
      <c r="DU171" s="2">
        <v>1.4057580000000001</v>
      </c>
      <c r="DV171" s="42" t="s">
        <v>1333</v>
      </c>
      <c r="DW171" s="42">
        <v>155</v>
      </c>
      <c r="DX171" s="42">
        <v>64</v>
      </c>
      <c r="DY171" s="74"/>
      <c r="ED171" s="89">
        <v>82</v>
      </c>
      <c r="EE171" s="2">
        <v>36</v>
      </c>
      <c r="EF171" s="2">
        <v>0</v>
      </c>
      <c r="EG171" s="2">
        <v>1.9E-2</v>
      </c>
      <c r="EH171" s="42" t="s">
        <v>1333</v>
      </c>
      <c r="EI171" s="42">
        <v>155</v>
      </c>
      <c r="EJ171" s="42">
        <v>64</v>
      </c>
      <c r="EK171" s="74"/>
      <c r="ES171">
        <v>82</v>
      </c>
      <c r="ET171">
        <v>36</v>
      </c>
      <c r="EU171">
        <v>0</v>
      </c>
      <c r="EV171">
        <v>1.9E-2</v>
      </c>
    </row>
    <row r="172" spans="1:152" x14ac:dyDescent="0.4">
      <c r="A172" s="89"/>
      <c r="B172" s="2"/>
      <c r="C172" s="2"/>
      <c r="D172" s="2"/>
      <c r="E172" s="42" t="s">
        <v>1333</v>
      </c>
      <c r="F172" s="42">
        <v>156</v>
      </c>
      <c r="G172" s="42">
        <v>64</v>
      </c>
      <c r="H172" s="74"/>
      <c r="N172" s="89">
        <v>83</v>
      </c>
      <c r="O172" s="2">
        <v>34</v>
      </c>
      <c r="P172" s="2">
        <v>0</v>
      </c>
      <c r="Q172" s="2">
        <v>0.72788140000000001</v>
      </c>
      <c r="R172" s="42" t="s">
        <v>1333</v>
      </c>
      <c r="S172" s="42">
        <v>156</v>
      </c>
      <c r="T172" s="42">
        <v>64</v>
      </c>
      <c r="U172" s="74"/>
      <c r="Z172" s="89">
        <v>88</v>
      </c>
      <c r="AA172" s="2">
        <v>34</v>
      </c>
      <c r="AB172" s="2">
        <v>0</v>
      </c>
      <c r="AC172" s="2">
        <v>2.4E-2</v>
      </c>
      <c r="AD172" s="42" t="s">
        <v>1333</v>
      </c>
      <c r="AE172" s="42">
        <v>156</v>
      </c>
      <c r="AF172" s="42">
        <v>64</v>
      </c>
      <c r="AG172" s="74"/>
      <c r="AL172" s="89">
        <v>89</v>
      </c>
      <c r="AM172" s="2">
        <v>34</v>
      </c>
      <c r="AN172" s="2">
        <v>0</v>
      </c>
      <c r="AO172" s="2">
        <v>4.0000000000000001E-3</v>
      </c>
      <c r="AP172" s="42" t="s">
        <v>1333</v>
      </c>
      <c r="AQ172" s="42">
        <v>156</v>
      </c>
      <c r="AR172" s="42">
        <v>64</v>
      </c>
      <c r="AS172" s="74"/>
      <c r="AX172" s="89">
        <v>85</v>
      </c>
      <c r="AY172" s="2">
        <v>36</v>
      </c>
      <c r="AZ172" s="2">
        <v>1</v>
      </c>
      <c r="BA172" s="2">
        <v>1.5323279999999999</v>
      </c>
      <c r="BB172" s="42" t="s">
        <v>1333</v>
      </c>
      <c r="BC172" s="42">
        <v>156</v>
      </c>
      <c r="BD172" s="42">
        <v>64</v>
      </c>
      <c r="BE172" s="74"/>
      <c r="BJ172" s="89">
        <v>84</v>
      </c>
      <c r="BK172" s="2">
        <v>36</v>
      </c>
      <c r="BL172" s="2">
        <v>0</v>
      </c>
      <c r="BM172" s="2">
        <v>0.78057719999999997</v>
      </c>
      <c r="BN172" s="42" t="s">
        <v>1333</v>
      </c>
      <c r="BO172" s="42">
        <v>156</v>
      </c>
      <c r="BP172" s="42">
        <v>64</v>
      </c>
      <c r="BQ172" s="74"/>
      <c r="BV172" s="89">
        <v>85</v>
      </c>
      <c r="BW172" s="2">
        <v>36</v>
      </c>
      <c r="BX172" s="2">
        <v>1</v>
      </c>
      <c r="BY172" s="2">
        <v>0.79281369999999995</v>
      </c>
      <c r="BZ172" s="42" t="s">
        <v>1333</v>
      </c>
      <c r="CA172" s="42">
        <v>156</v>
      </c>
      <c r="CB172" s="42">
        <v>64</v>
      </c>
      <c r="CC172" s="74"/>
      <c r="CH172" s="89">
        <v>83</v>
      </c>
      <c r="CI172" s="2">
        <v>36</v>
      </c>
      <c r="CJ172" s="2">
        <v>1</v>
      </c>
      <c r="CK172" s="2">
        <v>0.4543838</v>
      </c>
      <c r="CL172" s="42" t="s">
        <v>1333</v>
      </c>
      <c r="CM172" s="42">
        <v>156</v>
      </c>
      <c r="CN172" s="42">
        <v>64</v>
      </c>
      <c r="CO172" s="74"/>
      <c r="CT172" s="89">
        <v>90</v>
      </c>
      <c r="CU172" s="2">
        <v>35</v>
      </c>
      <c r="CV172" s="2">
        <v>0</v>
      </c>
      <c r="CW172" s="2">
        <v>2.8000000000000001E-2</v>
      </c>
      <c r="CX172" s="42" t="s">
        <v>1333</v>
      </c>
      <c r="CY172" s="42">
        <v>156</v>
      </c>
      <c r="CZ172" s="42">
        <v>64</v>
      </c>
      <c r="DA172" s="74"/>
      <c r="DF172" s="89">
        <v>92</v>
      </c>
      <c r="DG172" s="2">
        <v>36</v>
      </c>
      <c r="DH172" s="2">
        <v>0</v>
      </c>
      <c r="DI172" s="2">
        <v>0.69372210000000001</v>
      </c>
      <c r="DJ172" s="42" t="s">
        <v>1333</v>
      </c>
      <c r="DK172" s="42">
        <v>156</v>
      </c>
      <c r="DL172" s="42">
        <v>64</v>
      </c>
      <c r="DM172" s="74"/>
      <c r="DR172" s="89">
        <v>79</v>
      </c>
      <c r="DS172" s="2">
        <v>34</v>
      </c>
      <c r="DT172" s="2">
        <v>1</v>
      </c>
      <c r="DU172" s="2">
        <v>3.0000000000000001E-3</v>
      </c>
      <c r="DV172" s="42" t="s">
        <v>1333</v>
      </c>
      <c r="DW172" s="42">
        <v>156</v>
      </c>
      <c r="DX172" s="42">
        <v>64</v>
      </c>
      <c r="DY172" s="74"/>
      <c r="ED172" s="89">
        <v>83</v>
      </c>
      <c r="EE172" s="2">
        <v>36</v>
      </c>
      <c r="EF172" s="2">
        <v>0</v>
      </c>
      <c r="EG172" s="2">
        <v>0.46718310000000002</v>
      </c>
      <c r="EH172" s="42" t="s">
        <v>1333</v>
      </c>
      <c r="EI172" s="42">
        <v>156</v>
      </c>
      <c r="EJ172" s="42">
        <v>64</v>
      </c>
      <c r="EK172" s="74"/>
      <c r="ES172">
        <v>83</v>
      </c>
      <c r="ET172">
        <v>36</v>
      </c>
      <c r="EU172">
        <v>0</v>
      </c>
      <c r="EV172">
        <v>0.46718310000000002</v>
      </c>
    </row>
    <row r="173" spans="1:152" x14ac:dyDescent="0.4">
      <c r="A173" s="89"/>
      <c r="B173" s="2"/>
      <c r="C173" s="2"/>
      <c r="D173" s="2"/>
      <c r="E173" s="42" t="s">
        <v>1333</v>
      </c>
      <c r="F173" s="42">
        <v>157</v>
      </c>
      <c r="G173" s="42">
        <v>64</v>
      </c>
      <c r="H173" s="74"/>
      <c r="N173" s="89">
        <v>83</v>
      </c>
      <c r="O173" s="2">
        <v>34</v>
      </c>
      <c r="P173" s="2">
        <v>1</v>
      </c>
      <c r="Q173" s="2">
        <v>0.1159182</v>
      </c>
      <c r="R173" s="42" t="s">
        <v>1333</v>
      </c>
      <c r="S173" s="42">
        <v>157</v>
      </c>
      <c r="T173" s="42">
        <v>64</v>
      </c>
      <c r="U173" s="74"/>
      <c r="Z173" s="89">
        <v>89</v>
      </c>
      <c r="AA173" s="2">
        <v>34</v>
      </c>
      <c r="AB173" s="2">
        <v>0</v>
      </c>
      <c r="AC173" s="2">
        <v>6.0000000000000001E-3</v>
      </c>
      <c r="AD173" s="42" t="s">
        <v>1333</v>
      </c>
      <c r="AE173" s="42">
        <v>157</v>
      </c>
      <c r="AF173" s="42">
        <v>64</v>
      </c>
      <c r="AG173" s="74"/>
      <c r="AL173" s="89">
        <v>90</v>
      </c>
      <c r="AM173" s="2">
        <v>34</v>
      </c>
      <c r="AN173" s="2">
        <v>0</v>
      </c>
      <c r="AO173" s="2">
        <v>2E-3</v>
      </c>
      <c r="AP173" s="42" t="s">
        <v>1333</v>
      </c>
      <c r="AQ173" s="42">
        <v>157</v>
      </c>
      <c r="AR173" s="42">
        <v>64</v>
      </c>
      <c r="AS173" s="74"/>
      <c r="AX173" s="89">
        <v>86</v>
      </c>
      <c r="AY173" s="2">
        <v>36</v>
      </c>
      <c r="AZ173" s="2">
        <v>0</v>
      </c>
      <c r="BA173" s="2">
        <v>1.9717100000000001</v>
      </c>
      <c r="BB173" s="42" t="s">
        <v>1333</v>
      </c>
      <c r="BC173" s="42">
        <v>157</v>
      </c>
      <c r="BD173" s="42">
        <v>64</v>
      </c>
      <c r="BE173" s="74"/>
      <c r="BJ173" s="89">
        <v>85</v>
      </c>
      <c r="BK173" s="2">
        <v>36</v>
      </c>
      <c r="BL173" s="2">
        <v>0</v>
      </c>
      <c r="BM173" s="2">
        <v>0.33093440000000002</v>
      </c>
      <c r="BN173" s="42" t="s">
        <v>1333</v>
      </c>
      <c r="BO173" s="42">
        <v>157</v>
      </c>
      <c r="BP173" s="42">
        <v>64</v>
      </c>
      <c r="BQ173" s="74"/>
      <c r="BV173" s="89">
        <v>86</v>
      </c>
      <c r="BW173" s="2">
        <v>36</v>
      </c>
      <c r="BX173" s="2">
        <v>0</v>
      </c>
      <c r="BY173" s="2">
        <v>1.1224940000000001</v>
      </c>
      <c r="BZ173" s="42" t="s">
        <v>1333</v>
      </c>
      <c r="CA173" s="42">
        <v>157</v>
      </c>
      <c r="CB173" s="42">
        <v>64</v>
      </c>
      <c r="CC173" s="74"/>
      <c r="CH173" s="89">
        <v>84</v>
      </c>
      <c r="CI173" s="2">
        <v>36</v>
      </c>
      <c r="CJ173" s="2">
        <v>0</v>
      </c>
      <c r="CK173" s="2">
        <v>0.62759489999999996</v>
      </c>
      <c r="CL173" s="42" t="s">
        <v>1333</v>
      </c>
      <c r="CM173" s="42">
        <v>157</v>
      </c>
      <c r="CN173" s="42">
        <v>64</v>
      </c>
      <c r="CO173" s="74"/>
      <c r="CT173" s="89">
        <v>91</v>
      </c>
      <c r="CU173" s="2">
        <v>35</v>
      </c>
      <c r="CV173" s="2">
        <v>0</v>
      </c>
      <c r="CW173" s="2">
        <v>1.2999999999999999E-2</v>
      </c>
      <c r="CX173" s="42" t="s">
        <v>1333</v>
      </c>
      <c r="CY173" s="42">
        <v>157</v>
      </c>
      <c r="CZ173" s="42">
        <v>64</v>
      </c>
      <c r="DA173" s="74"/>
      <c r="DF173" s="89">
        <v>93</v>
      </c>
      <c r="DG173" s="2">
        <v>36</v>
      </c>
      <c r="DH173" s="2">
        <v>0</v>
      </c>
      <c r="DI173" s="2">
        <v>0.28948000000000002</v>
      </c>
      <c r="DJ173" s="42" t="s">
        <v>1333</v>
      </c>
      <c r="DK173" s="42">
        <v>157</v>
      </c>
      <c r="DL173" s="42">
        <v>64</v>
      </c>
      <c r="DM173" s="74"/>
      <c r="DR173" s="89">
        <v>80</v>
      </c>
      <c r="DS173" s="2">
        <v>34</v>
      </c>
      <c r="DT173" s="2">
        <v>0</v>
      </c>
      <c r="DU173" s="2">
        <v>1.603364</v>
      </c>
      <c r="DV173" s="42" t="s">
        <v>1333</v>
      </c>
      <c r="DW173" s="42">
        <v>157</v>
      </c>
      <c r="DX173" s="42">
        <v>64</v>
      </c>
      <c r="DY173" s="74"/>
      <c r="ED173" s="89">
        <v>83</v>
      </c>
      <c r="EE173" s="2">
        <v>36</v>
      </c>
      <c r="EF173" s="2">
        <v>1</v>
      </c>
      <c r="EG173" s="2">
        <v>0.45277519999999999</v>
      </c>
      <c r="EH173" s="42" t="s">
        <v>1333</v>
      </c>
      <c r="EI173" s="42">
        <v>157</v>
      </c>
      <c r="EJ173" s="42">
        <v>64</v>
      </c>
      <c r="EK173" s="74"/>
      <c r="ES173">
        <v>83</v>
      </c>
      <c r="ET173">
        <v>36</v>
      </c>
      <c r="EU173">
        <v>1</v>
      </c>
      <c r="EV173">
        <v>0.45277519999999999</v>
      </c>
    </row>
    <row r="174" spans="1:152" x14ac:dyDescent="0.4">
      <c r="A174" s="89"/>
      <c r="B174" s="2"/>
      <c r="C174" s="2"/>
      <c r="D174" s="2"/>
      <c r="E174" s="42" t="s">
        <v>1333</v>
      </c>
      <c r="F174" s="42">
        <v>158</v>
      </c>
      <c r="G174" s="42">
        <v>64</v>
      </c>
      <c r="H174" s="74"/>
      <c r="N174" s="89">
        <v>84</v>
      </c>
      <c r="O174" s="2">
        <v>34</v>
      </c>
      <c r="P174" s="2">
        <v>0</v>
      </c>
      <c r="Q174" s="2">
        <v>0.57146949999999996</v>
      </c>
      <c r="R174" s="42" t="s">
        <v>1333</v>
      </c>
      <c r="S174" s="42">
        <v>158</v>
      </c>
      <c r="T174" s="42">
        <v>64</v>
      </c>
      <c r="U174" s="74"/>
      <c r="Z174" s="89">
        <v>91</v>
      </c>
      <c r="AA174" s="2">
        <v>34</v>
      </c>
      <c r="AB174" s="2">
        <v>0</v>
      </c>
      <c r="AC174" s="2">
        <v>1E-3</v>
      </c>
      <c r="AD174" s="42" t="s">
        <v>1333</v>
      </c>
      <c r="AE174" s="42">
        <v>158</v>
      </c>
      <c r="AF174" s="42">
        <v>64</v>
      </c>
      <c r="AG174" s="74"/>
      <c r="AL174" s="89">
        <v>91</v>
      </c>
      <c r="AM174" s="2">
        <v>34</v>
      </c>
      <c r="AN174" s="2">
        <v>0</v>
      </c>
      <c r="AO174" s="2">
        <v>1E-3</v>
      </c>
      <c r="AP174" s="42" t="s">
        <v>1333</v>
      </c>
      <c r="AQ174" s="42">
        <v>158</v>
      </c>
      <c r="AR174" s="42">
        <v>64</v>
      </c>
      <c r="AS174" s="74"/>
      <c r="AX174" s="89">
        <v>87</v>
      </c>
      <c r="AY174" s="2">
        <v>36</v>
      </c>
      <c r="AZ174" s="2">
        <v>0</v>
      </c>
      <c r="BA174" s="2">
        <v>1.9560660000000001</v>
      </c>
      <c r="BB174" s="42" t="s">
        <v>1333</v>
      </c>
      <c r="BC174" s="42">
        <v>158</v>
      </c>
      <c r="BD174" s="42">
        <v>64</v>
      </c>
      <c r="BE174" s="74"/>
      <c r="BJ174" s="89">
        <v>85</v>
      </c>
      <c r="BK174" s="2">
        <v>36</v>
      </c>
      <c r="BL174" s="2">
        <v>1</v>
      </c>
      <c r="BM174" s="2">
        <v>0.72731100000000004</v>
      </c>
      <c r="BN174" s="42" t="s">
        <v>1333</v>
      </c>
      <c r="BO174" s="42">
        <v>158</v>
      </c>
      <c r="BP174" s="42">
        <v>64</v>
      </c>
      <c r="BQ174" s="74"/>
      <c r="BV174" s="89">
        <v>87</v>
      </c>
      <c r="BW174" s="2">
        <v>36</v>
      </c>
      <c r="BX174" s="2">
        <v>0</v>
      </c>
      <c r="BY174" s="2">
        <v>1.235843</v>
      </c>
      <c r="BZ174" s="42" t="s">
        <v>1333</v>
      </c>
      <c r="CA174" s="42">
        <v>158</v>
      </c>
      <c r="CB174" s="42">
        <v>64</v>
      </c>
      <c r="CC174" s="74"/>
      <c r="CH174" s="89">
        <v>85</v>
      </c>
      <c r="CI174" s="2">
        <v>36</v>
      </c>
      <c r="CJ174" s="2">
        <v>0</v>
      </c>
      <c r="CK174" s="2">
        <v>0.3195675</v>
      </c>
      <c r="CL174" s="42" t="s">
        <v>1333</v>
      </c>
      <c r="CM174" s="42">
        <v>158</v>
      </c>
      <c r="CN174" s="42">
        <v>64</v>
      </c>
      <c r="CO174" s="74"/>
      <c r="CT174" s="89">
        <v>92</v>
      </c>
      <c r="CU174" s="2">
        <v>35</v>
      </c>
      <c r="CV174" s="2">
        <v>0</v>
      </c>
      <c r="CW174" s="2">
        <v>4.0000000000000001E-3</v>
      </c>
      <c r="CX174" s="42" t="s">
        <v>1333</v>
      </c>
      <c r="CY174" s="42">
        <v>158</v>
      </c>
      <c r="CZ174" s="42">
        <v>64</v>
      </c>
      <c r="DA174" s="74"/>
      <c r="DF174" s="89">
        <v>94</v>
      </c>
      <c r="DG174" s="2">
        <v>36</v>
      </c>
      <c r="DH174" s="2">
        <v>0</v>
      </c>
      <c r="DI174" s="2">
        <v>8.8600010000000007E-2</v>
      </c>
      <c r="DJ174" s="42" t="s">
        <v>1333</v>
      </c>
      <c r="DK174" s="42">
        <v>158</v>
      </c>
      <c r="DL174" s="42">
        <v>64</v>
      </c>
      <c r="DM174" s="74"/>
      <c r="DR174" s="89">
        <v>81</v>
      </c>
      <c r="DS174" s="2">
        <v>34</v>
      </c>
      <c r="DT174" s="2">
        <v>0</v>
      </c>
      <c r="DU174" s="2">
        <v>1.79752</v>
      </c>
      <c r="DV174" s="42" t="s">
        <v>1333</v>
      </c>
      <c r="DW174" s="42">
        <v>158</v>
      </c>
      <c r="DX174" s="42">
        <v>64</v>
      </c>
      <c r="DY174" s="74"/>
      <c r="ED174" s="89">
        <v>84</v>
      </c>
      <c r="EE174" s="2">
        <v>36</v>
      </c>
      <c r="EF174" s="2">
        <v>0</v>
      </c>
      <c r="EG174" s="2">
        <v>0.59637620000000002</v>
      </c>
      <c r="EH174" s="42" t="s">
        <v>1333</v>
      </c>
      <c r="EI174" s="42">
        <v>158</v>
      </c>
      <c r="EJ174" s="42">
        <v>64</v>
      </c>
      <c r="EK174" s="74"/>
      <c r="ES174">
        <v>84</v>
      </c>
      <c r="ET174">
        <v>36</v>
      </c>
      <c r="EU174">
        <v>0</v>
      </c>
      <c r="EV174">
        <v>0.59637620000000002</v>
      </c>
    </row>
    <row r="175" spans="1:152" x14ac:dyDescent="0.4">
      <c r="A175" s="89"/>
      <c r="B175" s="2"/>
      <c r="C175" s="2"/>
      <c r="D175" s="2"/>
      <c r="E175" s="42" t="s">
        <v>1333</v>
      </c>
      <c r="F175" s="42">
        <v>160</v>
      </c>
      <c r="G175" s="42">
        <v>64</v>
      </c>
      <c r="H175" s="74"/>
      <c r="N175" s="89">
        <v>85</v>
      </c>
      <c r="O175" s="2">
        <v>34</v>
      </c>
      <c r="P175" s="2">
        <v>0</v>
      </c>
      <c r="Q175" s="2">
        <v>0.24871080000000001</v>
      </c>
      <c r="R175" s="42" t="s">
        <v>1333</v>
      </c>
      <c r="S175" s="42">
        <v>160</v>
      </c>
      <c r="T175" s="42">
        <v>64</v>
      </c>
      <c r="U175" s="74"/>
      <c r="Z175" s="89">
        <v>77</v>
      </c>
      <c r="AA175" s="2">
        <v>35</v>
      </c>
      <c r="AB175" s="2">
        <v>0</v>
      </c>
      <c r="AC175" s="2">
        <v>2E-3</v>
      </c>
      <c r="AD175" s="42" t="s">
        <v>1333</v>
      </c>
      <c r="AE175" s="42">
        <v>160</v>
      </c>
      <c r="AF175" s="42">
        <v>64</v>
      </c>
      <c r="AG175" s="74"/>
      <c r="AL175" s="89">
        <v>77</v>
      </c>
      <c r="AM175" s="2">
        <v>35</v>
      </c>
      <c r="AN175" s="2">
        <v>0</v>
      </c>
      <c r="AO175" s="2">
        <v>7.0000009999999996E-3</v>
      </c>
      <c r="AP175" s="42" t="s">
        <v>1333</v>
      </c>
      <c r="AQ175" s="42">
        <v>160</v>
      </c>
      <c r="AR175" s="42">
        <v>64</v>
      </c>
      <c r="AS175" s="74"/>
      <c r="AX175" s="89">
        <v>88</v>
      </c>
      <c r="AY175" s="2">
        <v>36</v>
      </c>
      <c r="AZ175" s="2">
        <v>0</v>
      </c>
      <c r="BA175" s="2">
        <v>1.916903</v>
      </c>
      <c r="BB175" s="42" t="s">
        <v>1333</v>
      </c>
      <c r="BC175" s="42">
        <v>160</v>
      </c>
      <c r="BD175" s="42">
        <v>64</v>
      </c>
      <c r="BE175" s="74"/>
      <c r="BJ175" s="89">
        <v>86</v>
      </c>
      <c r="BK175" s="2">
        <v>36</v>
      </c>
      <c r="BL175" s="2">
        <v>0</v>
      </c>
      <c r="BM175" s="2">
        <v>1.1162570000000001</v>
      </c>
      <c r="BN175" s="42" t="s">
        <v>1333</v>
      </c>
      <c r="BO175" s="42">
        <v>160</v>
      </c>
      <c r="BP175" s="42">
        <v>64</v>
      </c>
      <c r="BQ175" s="74"/>
      <c r="BV175" s="89">
        <v>88</v>
      </c>
      <c r="BW175" s="2">
        <v>36</v>
      </c>
      <c r="BX175" s="2">
        <v>0</v>
      </c>
      <c r="BY175" s="2">
        <v>1.389626</v>
      </c>
      <c r="BZ175" s="42" t="s">
        <v>1333</v>
      </c>
      <c r="CA175" s="42">
        <v>160</v>
      </c>
      <c r="CB175" s="42">
        <v>64</v>
      </c>
      <c r="CC175" s="74"/>
      <c r="CH175" s="89">
        <v>85</v>
      </c>
      <c r="CI175" s="2">
        <v>36</v>
      </c>
      <c r="CJ175" s="2">
        <v>1</v>
      </c>
      <c r="CK175" s="2">
        <v>0.4872689</v>
      </c>
      <c r="CL175" s="42" t="s">
        <v>1333</v>
      </c>
      <c r="CM175" s="42">
        <v>160</v>
      </c>
      <c r="CN175" s="42">
        <v>64</v>
      </c>
      <c r="CO175" s="74"/>
      <c r="CT175" s="89">
        <v>93</v>
      </c>
      <c r="CU175" s="2">
        <v>35</v>
      </c>
      <c r="CV175" s="2">
        <v>0</v>
      </c>
      <c r="CW175" s="2">
        <v>2E-3</v>
      </c>
      <c r="CX175" s="42" t="s">
        <v>1333</v>
      </c>
      <c r="CY175" s="42">
        <v>160</v>
      </c>
      <c r="CZ175" s="42">
        <v>64</v>
      </c>
      <c r="DA175" s="74"/>
      <c r="DF175" s="89">
        <v>95</v>
      </c>
      <c r="DG175" s="2">
        <v>36</v>
      </c>
      <c r="DH175" s="2">
        <v>0</v>
      </c>
      <c r="DI175" s="2">
        <v>2.5999999999999999E-2</v>
      </c>
      <c r="DJ175" s="42" t="s">
        <v>1333</v>
      </c>
      <c r="DK175" s="42">
        <v>160</v>
      </c>
      <c r="DL175" s="42">
        <v>64</v>
      </c>
      <c r="DM175" s="74"/>
      <c r="DR175" s="89">
        <v>81</v>
      </c>
      <c r="DS175" s="2">
        <v>34</v>
      </c>
      <c r="DT175" s="2">
        <v>1</v>
      </c>
      <c r="DU175" s="2">
        <v>0.7468709</v>
      </c>
      <c r="DV175" s="42" t="s">
        <v>1333</v>
      </c>
      <c r="DW175" s="42">
        <v>160</v>
      </c>
      <c r="DX175" s="42">
        <v>64</v>
      </c>
      <c r="DY175" s="74"/>
      <c r="ED175" s="89">
        <v>85</v>
      </c>
      <c r="EE175" s="2">
        <v>36</v>
      </c>
      <c r="EF175" s="2">
        <v>0</v>
      </c>
      <c r="EG175" s="2">
        <v>0.24479049999999999</v>
      </c>
      <c r="EH175" s="42" t="s">
        <v>1333</v>
      </c>
      <c r="EI175" s="42">
        <v>160</v>
      </c>
      <c r="EJ175" s="42">
        <v>64</v>
      </c>
      <c r="EK175" s="74"/>
      <c r="ES175">
        <v>85</v>
      </c>
      <c r="ET175">
        <v>36</v>
      </c>
      <c r="EU175">
        <v>0</v>
      </c>
      <c r="EV175">
        <v>0.24479049999999999</v>
      </c>
    </row>
    <row r="176" spans="1:152" x14ac:dyDescent="0.4">
      <c r="A176" s="89"/>
      <c r="B176" s="2"/>
      <c r="C176" s="2"/>
      <c r="D176" s="2"/>
      <c r="E176" s="43" t="s">
        <v>1341</v>
      </c>
      <c r="F176" s="43">
        <v>159</v>
      </c>
      <c r="G176" s="43">
        <v>65</v>
      </c>
      <c r="H176" s="74">
        <f>SUM(SUMIFS(D$14:D$1004,B$14:B$1004,G176,A$14:A$1004,F176,C$14:C$1004,0))</f>
        <v>0</v>
      </c>
      <c r="N176" s="89">
        <v>86</v>
      </c>
      <c r="O176" s="2">
        <v>34</v>
      </c>
      <c r="P176" s="2">
        <v>0</v>
      </c>
      <c r="Q176" s="2">
        <v>0.106174</v>
      </c>
      <c r="R176" s="43" t="s">
        <v>1341</v>
      </c>
      <c r="S176" s="43">
        <v>159</v>
      </c>
      <c r="T176" s="43">
        <v>65</v>
      </c>
      <c r="U176" s="74">
        <f>SUM(SUMIFS(Q$14:Q$1004,O$14:O$1004,T176,N$14:N$1004,S176,P$14:P$1004,0))</f>
        <v>1E-3</v>
      </c>
      <c r="Z176" s="89">
        <v>77</v>
      </c>
      <c r="AA176" s="2">
        <v>35</v>
      </c>
      <c r="AB176" s="2">
        <v>1</v>
      </c>
      <c r="AC176" s="2">
        <v>2E-3</v>
      </c>
      <c r="AD176" s="43" t="s">
        <v>1341</v>
      </c>
      <c r="AE176" s="43">
        <v>159</v>
      </c>
      <c r="AF176" s="43">
        <v>65</v>
      </c>
      <c r="AG176" s="74">
        <f>SUM(SUMIFS(AC$14:AC$1004,AA$14:AA$1004,AF176,Z$14:Z$1004,AE176,AB$14:AB$1004,0))</f>
        <v>0</v>
      </c>
      <c r="AL176" s="89">
        <v>77</v>
      </c>
      <c r="AM176" s="2">
        <v>35</v>
      </c>
      <c r="AN176" s="2">
        <v>1</v>
      </c>
      <c r="AO176" s="2">
        <v>6.0000009999999996E-3</v>
      </c>
      <c r="AP176" s="43" t="s">
        <v>1341</v>
      </c>
      <c r="AQ176" s="43">
        <v>159</v>
      </c>
      <c r="AR176" s="43">
        <v>65</v>
      </c>
      <c r="AS176" s="74">
        <f>SUM(SUMIFS(AO$14:AO$1004,AM$14:AM$1004,AR176,AL$14:AL$1004,AQ176,AN$14:AN$1004,0))</f>
        <v>1E-3</v>
      </c>
      <c r="AX176" s="89">
        <v>89</v>
      </c>
      <c r="AY176" s="2">
        <v>36</v>
      </c>
      <c r="AZ176" s="2">
        <v>0</v>
      </c>
      <c r="BA176" s="2">
        <v>1.504818</v>
      </c>
      <c r="BB176" s="43" t="s">
        <v>1341</v>
      </c>
      <c r="BC176" s="43">
        <v>159</v>
      </c>
      <c r="BD176" s="43">
        <v>65</v>
      </c>
      <c r="BE176" s="74">
        <f>SUM(SUMIFS(BA$14:BA$1004,AY$14:AY$1004,BD176,AX$14:AX$1004,BC176,AZ$14:AZ$1004,0))</f>
        <v>7.0000000000000001E-3</v>
      </c>
      <c r="BJ176" s="89">
        <v>87</v>
      </c>
      <c r="BK176" s="2">
        <v>36</v>
      </c>
      <c r="BL176" s="2">
        <v>0</v>
      </c>
      <c r="BM176" s="2">
        <v>1.123067</v>
      </c>
      <c r="BN176" s="43" t="s">
        <v>1341</v>
      </c>
      <c r="BO176" s="43">
        <v>159</v>
      </c>
      <c r="BP176" s="43">
        <v>65</v>
      </c>
      <c r="BQ176" s="74">
        <f>SUM(SUMIFS(BM$14:BM$1004,BK$14:BK$1004,BP176,BJ$14:BJ$1004,BO176,BL$14:BL$1004,0))</f>
        <v>1.6E-2</v>
      </c>
      <c r="BV176" s="89">
        <v>89</v>
      </c>
      <c r="BW176" s="2">
        <v>36</v>
      </c>
      <c r="BX176" s="2">
        <v>0</v>
      </c>
      <c r="BY176" s="2">
        <v>1.1761269999999999</v>
      </c>
      <c r="BZ176" s="43" t="s">
        <v>1341</v>
      </c>
      <c r="CA176" s="43">
        <v>159</v>
      </c>
      <c r="CB176" s="43">
        <v>65</v>
      </c>
      <c r="CC176" s="74">
        <f>SUM(SUMIFS(BY$14:BY$1004,BW$14:BW$1004,CB176,BV$14:BV$1004,CA176,BX$14:BX$1004,0))</f>
        <v>3.2005199999999998E-2</v>
      </c>
      <c r="CH176" s="89">
        <v>86</v>
      </c>
      <c r="CI176" s="2">
        <v>36</v>
      </c>
      <c r="CJ176" s="2">
        <v>0</v>
      </c>
      <c r="CK176" s="2">
        <v>0.78561099999999995</v>
      </c>
      <c r="CL176" s="43" t="s">
        <v>1341</v>
      </c>
      <c r="CM176" s="43">
        <v>159</v>
      </c>
      <c r="CN176" s="43">
        <v>65</v>
      </c>
      <c r="CO176" s="74">
        <f>SUM(SUMIFS(CK$14:CK$1004,CI$14:CI$1004,CN176,CH$14:CH$1004,CM176,CJ$14:CJ$1004,0))</f>
        <v>6.5000009999999997E-2</v>
      </c>
      <c r="CT176" s="89">
        <v>94</v>
      </c>
      <c r="CU176" s="2">
        <v>35</v>
      </c>
      <c r="CV176" s="2">
        <v>0</v>
      </c>
      <c r="CW176" s="2">
        <v>2E-3</v>
      </c>
      <c r="CX176" s="43" t="s">
        <v>1341</v>
      </c>
      <c r="CY176" s="43">
        <v>159</v>
      </c>
      <c r="CZ176" s="43">
        <v>65</v>
      </c>
      <c r="DA176" s="74">
        <f>SUM(SUMIFS(CW$14:CW$1004,CU$14:CU$1004,CZ176,CT$14:CT$1004,CY176,CV$14:CV$1004,0))</f>
        <v>0.43900420000000001</v>
      </c>
      <c r="DF176" s="89">
        <v>96</v>
      </c>
      <c r="DG176" s="2">
        <v>36</v>
      </c>
      <c r="DH176" s="2">
        <v>0</v>
      </c>
      <c r="DI176" s="2">
        <v>1.0999999999999999E-2</v>
      </c>
      <c r="DJ176" s="43" t="s">
        <v>1341</v>
      </c>
      <c r="DK176" s="43">
        <v>159</v>
      </c>
      <c r="DL176" s="43">
        <v>65</v>
      </c>
      <c r="DM176" s="74">
        <f>SUM(SUMIFS(DI$14:DI$1004,DG$14:DG$1004,DL176,DF$14:DF$1004,DK176,DH$14:DH$1004,0))</f>
        <v>2.3002100000000001E-2</v>
      </c>
      <c r="DR176" s="89">
        <v>82</v>
      </c>
      <c r="DS176" s="2">
        <v>34</v>
      </c>
      <c r="DT176" s="2">
        <v>0</v>
      </c>
      <c r="DU176" s="2">
        <v>1.698563</v>
      </c>
      <c r="DV176" s="43" t="s">
        <v>1341</v>
      </c>
      <c r="DW176" s="43">
        <v>159</v>
      </c>
      <c r="DX176" s="43">
        <v>65</v>
      </c>
      <c r="DY176" s="74">
        <f>SUM(SUMIFS(DU$14:DU$1004,DS$14:DS$1004,DX176,DR$14:DR$1004,DW176,DT$14:DT$1004,0))</f>
        <v>4.0000000000000001E-3</v>
      </c>
      <c r="ED176" s="89">
        <v>85</v>
      </c>
      <c r="EE176" s="2">
        <v>36</v>
      </c>
      <c r="EF176" s="2">
        <v>1</v>
      </c>
      <c r="EG176" s="2">
        <v>0.57496230000000004</v>
      </c>
      <c r="EH176" s="43" t="s">
        <v>1341</v>
      </c>
      <c r="EI176" s="43">
        <v>159</v>
      </c>
      <c r="EJ176" s="43">
        <v>65</v>
      </c>
      <c r="EK176" s="74">
        <f>SUM(SUMIFS(EG$14:EG$1004,EE$14:EE$1004,EJ176,ED$14:ED$1004,EI176,EF$14:EF$1004,0))</f>
        <v>5.5999599999999997E-2</v>
      </c>
      <c r="ES176">
        <v>85</v>
      </c>
      <c r="ET176">
        <v>36</v>
      </c>
      <c r="EU176">
        <v>1</v>
      </c>
      <c r="EV176">
        <v>0.57496230000000004</v>
      </c>
    </row>
    <row r="177" spans="1:152" x14ac:dyDescent="0.4">
      <c r="A177" s="89"/>
      <c r="B177" s="2"/>
      <c r="C177" s="2"/>
      <c r="D177" s="2"/>
      <c r="E177" s="42" t="s">
        <v>1332</v>
      </c>
      <c r="F177" s="42">
        <v>156</v>
      </c>
      <c r="G177" s="42">
        <v>66</v>
      </c>
      <c r="H177" s="74" cm="1">
        <f t="array" ref="H177">SUM(SUMIFS(D$14:D$1004,B$14:B$1004,G177:G183,A$14:A$1004,F177:F183,C$14:C$1004,0))</f>
        <v>0</v>
      </c>
      <c r="N177" s="89">
        <v>87</v>
      </c>
      <c r="O177" s="2">
        <v>34</v>
      </c>
      <c r="P177" s="2">
        <v>0</v>
      </c>
      <c r="Q177" s="2">
        <v>4.9846000000000001E-2</v>
      </c>
      <c r="R177" s="42" t="s">
        <v>1332</v>
      </c>
      <c r="S177" s="42">
        <v>156</v>
      </c>
      <c r="T177" s="42">
        <v>66</v>
      </c>
      <c r="U177" s="74" cm="1">
        <f t="array" ref="U177">SUM(SUMIFS(Q$14:Q$1004,O$14:O$1004,T177:T183,N$14:N$1004,S177:S183,P$14:P$1004,0))</f>
        <v>0</v>
      </c>
      <c r="Z177" s="89">
        <v>78</v>
      </c>
      <c r="AA177" s="2">
        <v>35</v>
      </c>
      <c r="AB177" s="2">
        <v>0</v>
      </c>
      <c r="AC177" s="2">
        <v>1E-3</v>
      </c>
      <c r="AD177" s="42" t="s">
        <v>1332</v>
      </c>
      <c r="AE177" s="42">
        <v>156</v>
      </c>
      <c r="AF177" s="42">
        <v>66</v>
      </c>
      <c r="AG177" s="74" cm="1">
        <f t="array" ref="AG177">SUM(SUMIFS(AC$14:AC$1004,AA$14:AA$1004,AF177:AF183,Z$14:Z$1004,AE177:AE183,AB$14:AB$1004,0))</f>
        <v>2E-3</v>
      </c>
      <c r="AL177" s="89">
        <v>78</v>
      </c>
      <c r="AM177" s="2">
        <v>35</v>
      </c>
      <c r="AN177" s="2">
        <v>0</v>
      </c>
      <c r="AO177" s="2">
        <v>1.4999999999999999E-2</v>
      </c>
      <c r="AP177" s="42" t="s">
        <v>1332</v>
      </c>
      <c r="AQ177" s="42">
        <v>156</v>
      </c>
      <c r="AR177" s="42">
        <v>66</v>
      </c>
      <c r="AS177" s="74" cm="1">
        <f t="array" ref="AS177">SUM(SUMIFS(AO$14:AO$1004,AM$14:AM$1004,AR177:AR183,AL$14:AL$1004,AQ177:AQ183,AN$14:AN$1004,0))</f>
        <v>1E-3</v>
      </c>
      <c r="AX177" s="89">
        <v>90</v>
      </c>
      <c r="AY177" s="2">
        <v>36</v>
      </c>
      <c r="AZ177" s="2">
        <v>0</v>
      </c>
      <c r="BA177" s="2">
        <v>0.92751070000000002</v>
      </c>
      <c r="BB177" s="42" t="s">
        <v>1332</v>
      </c>
      <c r="BC177" s="42">
        <v>156</v>
      </c>
      <c r="BD177" s="42">
        <v>66</v>
      </c>
      <c r="BE177" s="74" cm="1">
        <f t="array" ref="BE177">SUM(SUMIFS(BA$14:BA$1004,AY$14:AY$1004,BD177:BD183,AX$14:AX$1004,BC177:BC183,AZ$14:AZ$1004,0))</f>
        <v>7.1679999999999999E-3</v>
      </c>
      <c r="BJ177" s="89">
        <v>88</v>
      </c>
      <c r="BK177" s="2">
        <v>36</v>
      </c>
      <c r="BL177" s="2">
        <v>0</v>
      </c>
      <c r="BM177" s="2">
        <v>1.1386700000000001</v>
      </c>
      <c r="BN177" s="42" t="s">
        <v>1332</v>
      </c>
      <c r="BO177" s="42">
        <v>156</v>
      </c>
      <c r="BP177" s="42">
        <v>66</v>
      </c>
      <c r="BQ177" s="74" cm="1">
        <f t="array" ref="BQ177">SUM(SUMIFS(BM$14:BM$1004,BK$14:BK$1004,BP177:BP183,BJ$14:BJ$1004,BO177:BO183,BL$14:BL$1004,0))</f>
        <v>4.4469999999999996E-2</v>
      </c>
      <c r="BV177" s="89">
        <v>90</v>
      </c>
      <c r="BW177" s="2">
        <v>36</v>
      </c>
      <c r="BX177" s="2">
        <v>0</v>
      </c>
      <c r="BY177" s="2">
        <v>0.94457199999999997</v>
      </c>
      <c r="BZ177" s="42" t="s">
        <v>1332</v>
      </c>
      <c r="CA177" s="42">
        <v>156</v>
      </c>
      <c r="CB177" s="42">
        <v>66</v>
      </c>
      <c r="CC177" s="74" cm="1">
        <f t="array" ref="CC177">SUM(SUMIFS(BY$14:BY$1004,BW$14:BW$1004,CB177:CB183,BV$14:BV$1004,CA177:CA183,BX$14:BX$1004,0))</f>
        <v>4.3999999999999997E-2</v>
      </c>
      <c r="CH177" s="89">
        <v>87</v>
      </c>
      <c r="CI177" s="2">
        <v>36</v>
      </c>
      <c r="CJ177" s="2">
        <v>0</v>
      </c>
      <c r="CK177" s="2">
        <v>0.73231449999999998</v>
      </c>
      <c r="CL177" s="42" t="s">
        <v>1332</v>
      </c>
      <c r="CM177" s="42">
        <v>156</v>
      </c>
      <c r="CN177" s="42">
        <v>66</v>
      </c>
      <c r="CO177" s="74" cm="1">
        <f t="array" ref="CO177">SUM(SUMIFS(CK$14:CK$1004,CI$14:CI$1004,CN177:CN183,CH$14:CH$1004,CM177:CM183,CJ$14:CJ$1004,0))</f>
        <v>0.16394800000000001</v>
      </c>
      <c r="CT177" s="89">
        <v>80</v>
      </c>
      <c r="CU177" s="2">
        <v>36</v>
      </c>
      <c r="CV177" s="2">
        <v>0</v>
      </c>
      <c r="CW177" s="2">
        <v>4.5849999999999997E-3</v>
      </c>
      <c r="CX177" s="42" t="s">
        <v>1332</v>
      </c>
      <c r="CY177" s="42">
        <v>156</v>
      </c>
      <c r="CZ177" s="42">
        <v>66</v>
      </c>
      <c r="DA177" s="74" cm="1">
        <f t="array" ref="DA177">SUM(SUMIFS(CW$14:CW$1004,CU$14:CU$1004,CZ177:CZ183,CT$14:CT$1004,CY177:CY183,CV$14:CV$1004,0))</f>
        <v>1.1272309999999999</v>
      </c>
      <c r="DF177" s="89">
        <v>97</v>
      </c>
      <c r="DG177" s="2">
        <v>36</v>
      </c>
      <c r="DH177" s="2">
        <v>0</v>
      </c>
      <c r="DI177" s="2">
        <v>1E-3</v>
      </c>
      <c r="DJ177" s="42" t="s">
        <v>1332</v>
      </c>
      <c r="DK177" s="42">
        <v>156</v>
      </c>
      <c r="DL177" s="42">
        <v>66</v>
      </c>
      <c r="DM177" s="74" cm="1">
        <f t="array" ref="DM177">SUM(SUMIFS(DI$14:DI$1004,DG$14:DG$1004,DL177:DL183,DF$14:DF$1004,DK177:DK183,DH$14:DH$1004,0))</f>
        <v>3.1E-2</v>
      </c>
      <c r="DR177" s="89">
        <v>83</v>
      </c>
      <c r="DS177" s="2">
        <v>34</v>
      </c>
      <c r="DT177" s="2">
        <v>0</v>
      </c>
      <c r="DU177" s="2">
        <v>1.1000829999999999</v>
      </c>
      <c r="DV177" s="42" t="s">
        <v>1332</v>
      </c>
      <c r="DW177" s="42">
        <v>156</v>
      </c>
      <c r="DX177" s="42">
        <v>66</v>
      </c>
      <c r="DY177" s="74" cm="1">
        <f t="array" ref="DY177">SUM(SUMIFS(DU$14:DU$1004,DS$14:DS$1004,DX177:DX183,DR$14:DR$1004,DW177:DW183,DT$14:DT$1004,0))</f>
        <v>3.0000000000000001E-3</v>
      </c>
      <c r="ED177" s="89">
        <v>86</v>
      </c>
      <c r="EE177" s="2">
        <v>36</v>
      </c>
      <c r="EF177" s="2">
        <v>0</v>
      </c>
      <c r="EG177" s="2">
        <v>0.81331160000000002</v>
      </c>
      <c r="EH177" s="42" t="s">
        <v>1332</v>
      </c>
      <c r="EI177" s="42">
        <v>156</v>
      </c>
      <c r="EJ177" s="42">
        <v>66</v>
      </c>
      <c r="EK177" s="74" cm="1">
        <f t="array" ref="EK177">SUM(SUMIFS(EG$14:EG$1004,EE$14:EE$1004,EJ177:EJ183,ED$14:ED$1004,EI177:EI183,EF$14:EF$1004,0))</f>
        <v>0.10413399999999999</v>
      </c>
      <c r="ES177">
        <v>86</v>
      </c>
      <c r="ET177">
        <v>36</v>
      </c>
      <c r="EU177">
        <v>0</v>
      </c>
      <c r="EV177">
        <v>0.81331160000000002</v>
      </c>
    </row>
    <row r="178" spans="1:152" x14ac:dyDescent="0.4">
      <c r="A178" s="89"/>
      <c r="B178" s="2"/>
      <c r="C178" s="2"/>
      <c r="D178" s="2"/>
      <c r="E178" s="42" t="s">
        <v>1332</v>
      </c>
      <c r="F178" s="42">
        <v>158</v>
      </c>
      <c r="G178" s="42">
        <v>66</v>
      </c>
      <c r="H178" s="74"/>
      <c r="N178" s="89">
        <v>88</v>
      </c>
      <c r="O178" s="2">
        <v>34</v>
      </c>
      <c r="P178" s="2">
        <v>0</v>
      </c>
      <c r="Q178" s="2">
        <v>2.1000000000000001E-2</v>
      </c>
      <c r="R178" s="42" t="s">
        <v>1332</v>
      </c>
      <c r="S178" s="42">
        <v>158</v>
      </c>
      <c r="T178" s="42">
        <v>66</v>
      </c>
      <c r="U178" s="74"/>
      <c r="Z178" s="89">
        <v>79</v>
      </c>
      <c r="AA178" s="2">
        <v>35</v>
      </c>
      <c r="AB178" s="2">
        <v>0</v>
      </c>
      <c r="AC178" s="2">
        <v>1.17238</v>
      </c>
      <c r="AD178" s="42" t="s">
        <v>1332</v>
      </c>
      <c r="AE178" s="42">
        <v>158</v>
      </c>
      <c r="AF178" s="42">
        <v>66</v>
      </c>
      <c r="AG178" s="74"/>
      <c r="AL178" s="89">
        <v>79</v>
      </c>
      <c r="AM178" s="2">
        <v>35</v>
      </c>
      <c r="AN178" s="2">
        <v>0</v>
      </c>
      <c r="AO178" s="2">
        <v>1.230988</v>
      </c>
      <c r="AP178" s="42" t="s">
        <v>1332</v>
      </c>
      <c r="AQ178" s="42">
        <v>158</v>
      </c>
      <c r="AR178" s="42">
        <v>66</v>
      </c>
      <c r="AS178" s="74"/>
      <c r="AX178" s="89">
        <v>91</v>
      </c>
      <c r="AY178" s="2">
        <v>36</v>
      </c>
      <c r="AZ178" s="2">
        <v>0</v>
      </c>
      <c r="BA178" s="2">
        <v>0.52870510000000004</v>
      </c>
      <c r="BB178" s="42" t="s">
        <v>1332</v>
      </c>
      <c r="BC178" s="42">
        <v>158</v>
      </c>
      <c r="BD178" s="42">
        <v>66</v>
      </c>
      <c r="BE178" s="74"/>
      <c r="BJ178" s="89">
        <v>89</v>
      </c>
      <c r="BK178" s="2">
        <v>36</v>
      </c>
      <c r="BL178" s="2">
        <v>0</v>
      </c>
      <c r="BM178" s="2">
        <v>0.82864510000000002</v>
      </c>
      <c r="BN178" s="42" t="s">
        <v>1332</v>
      </c>
      <c r="BO178" s="42">
        <v>158</v>
      </c>
      <c r="BP178" s="42">
        <v>66</v>
      </c>
      <c r="BQ178" s="74"/>
      <c r="BV178" s="89">
        <v>91</v>
      </c>
      <c r="BW178" s="2">
        <v>36</v>
      </c>
      <c r="BX178" s="2">
        <v>0</v>
      </c>
      <c r="BY178" s="2">
        <v>0.58737899999999998</v>
      </c>
      <c r="BZ178" s="42" t="s">
        <v>1332</v>
      </c>
      <c r="CA178" s="42">
        <v>158</v>
      </c>
      <c r="CB178" s="42">
        <v>66</v>
      </c>
      <c r="CC178" s="74"/>
      <c r="CH178" s="89">
        <v>88</v>
      </c>
      <c r="CI178" s="2">
        <v>36</v>
      </c>
      <c r="CJ178" s="2">
        <v>0</v>
      </c>
      <c r="CK178" s="2">
        <v>0.70532340000000004</v>
      </c>
      <c r="CL178" s="42" t="s">
        <v>1332</v>
      </c>
      <c r="CM178" s="42">
        <v>158</v>
      </c>
      <c r="CN178" s="42">
        <v>66</v>
      </c>
      <c r="CO178" s="74"/>
      <c r="CT178" s="89">
        <v>82</v>
      </c>
      <c r="CU178" s="2">
        <v>36</v>
      </c>
      <c r="CV178" s="2">
        <v>0</v>
      </c>
      <c r="CW178" s="2">
        <v>4.5999999999999999E-2</v>
      </c>
      <c r="CX178" s="42" t="s">
        <v>1332</v>
      </c>
      <c r="CY178" s="42">
        <v>158</v>
      </c>
      <c r="CZ178" s="42">
        <v>66</v>
      </c>
      <c r="DA178" s="74"/>
      <c r="DF178" s="89">
        <v>98</v>
      </c>
      <c r="DG178" s="2">
        <v>36</v>
      </c>
      <c r="DH178" s="2">
        <v>0</v>
      </c>
      <c r="DI178" s="2">
        <v>1E-3</v>
      </c>
      <c r="DJ178" s="42" t="s">
        <v>1332</v>
      </c>
      <c r="DK178" s="42">
        <v>158</v>
      </c>
      <c r="DL178" s="42">
        <v>66</v>
      </c>
      <c r="DM178" s="74"/>
      <c r="DR178" s="89">
        <v>83</v>
      </c>
      <c r="DS178" s="2">
        <v>34</v>
      </c>
      <c r="DT178" s="2">
        <v>1</v>
      </c>
      <c r="DU178" s="2">
        <v>0.30804219999999999</v>
      </c>
      <c r="DV178" s="42" t="s">
        <v>1332</v>
      </c>
      <c r="DW178" s="42">
        <v>158</v>
      </c>
      <c r="DX178" s="42">
        <v>66</v>
      </c>
      <c r="DY178" s="74"/>
      <c r="ED178" s="89">
        <v>87</v>
      </c>
      <c r="EE178" s="2">
        <v>36</v>
      </c>
      <c r="EF178" s="2">
        <v>0</v>
      </c>
      <c r="EG178" s="2">
        <v>0.92195450000000001</v>
      </c>
      <c r="EH178" s="42" t="s">
        <v>1332</v>
      </c>
      <c r="EI178" s="42">
        <v>158</v>
      </c>
      <c r="EJ178" s="42">
        <v>66</v>
      </c>
      <c r="EK178" s="74"/>
      <c r="ES178">
        <v>87</v>
      </c>
      <c r="ET178">
        <v>36</v>
      </c>
      <c r="EU178">
        <v>0</v>
      </c>
      <c r="EV178">
        <v>0.92195450000000001</v>
      </c>
    </row>
    <row r="179" spans="1:152" x14ac:dyDescent="0.4">
      <c r="A179" s="89"/>
      <c r="B179" s="2"/>
      <c r="C179" s="2"/>
      <c r="D179" s="2"/>
      <c r="E179" s="42" t="s">
        <v>1332</v>
      </c>
      <c r="F179" s="42">
        <v>160</v>
      </c>
      <c r="G179" s="42">
        <v>66</v>
      </c>
      <c r="H179" s="74"/>
      <c r="N179" s="89">
        <v>89</v>
      </c>
      <c r="O179" s="2">
        <v>34</v>
      </c>
      <c r="P179" s="2">
        <v>0</v>
      </c>
      <c r="Q179" s="2">
        <v>5.0000000000000001E-3</v>
      </c>
      <c r="R179" s="42" t="s">
        <v>1332</v>
      </c>
      <c r="S179" s="42">
        <v>160</v>
      </c>
      <c r="T179" s="42">
        <v>66</v>
      </c>
      <c r="U179" s="74"/>
      <c r="Z179" s="89">
        <v>79</v>
      </c>
      <c r="AA179" s="2">
        <v>35</v>
      </c>
      <c r="AB179" s="2">
        <v>1</v>
      </c>
      <c r="AC179" s="2">
        <v>1.9E-2</v>
      </c>
      <c r="AD179" s="42" t="s">
        <v>1332</v>
      </c>
      <c r="AE179" s="42">
        <v>160</v>
      </c>
      <c r="AF179" s="42">
        <v>66</v>
      </c>
      <c r="AG179" s="74"/>
      <c r="AL179" s="89">
        <v>79</v>
      </c>
      <c r="AM179" s="2">
        <v>35</v>
      </c>
      <c r="AN179" s="2">
        <v>1</v>
      </c>
      <c r="AO179" s="2">
        <v>6.3E-2</v>
      </c>
      <c r="AP179" s="42" t="s">
        <v>1332</v>
      </c>
      <c r="AQ179" s="42">
        <v>160</v>
      </c>
      <c r="AR179" s="42">
        <v>66</v>
      </c>
      <c r="AS179" s="74"/>
      <c r="AX179" s="89">
        <v>92</v>
      </c>
      <c r="AY179" s="2">
        <v>36</v>
      </c>
      <c r="AZ179" s="2">
        <v>0</v>
      </c>
      <c r="BA179" s="2">
        <v>0.243399</v>
      </c>
      <c r="BB179" s="42" t="s">
        <v>1332</v>
      </c>
      <c r="BC179" s="42">
        <v>160</v>
      </c>
      <c r="BD179" s="42">
        <v>66</v>
      </c>
      <c r="BE179" s="74"/>
      <c r="BJ179" s="89">
        <v>90</v>
      </c>
      <c r="BK179" s="2">
        <v>36</v>
      </c>
      <c r="BL179" s="2">
        <v>0</v>
      </c>
      <c r="BM179" s="2">
        <v>0.53151599999999999</v>
      </c>
      <c r="BN179" s="42" t="s">
        <v>1332</v>
      </c>
      <c r="BO179" s="42">
        <v>160</v>
      </c>
      <c r="BP179" s="42">
        <v>66</v>
      </c>
      <c r="BQ179" s="74"/>
      <c r="BV179" s="89">
        <v>92</v>
      </c>
      <c r="BW179" s="2">
        <v>36</v>
      </c>
      <c r="BX179" s="2">
        <v>0</v>
      </c>
      <c r="BY179" s="2">
        <v>0.33210099999999998</v>
      </c>
      <c r="BZ179" s="42" t="s">
        <v>1332</v>
      </c>
      <c r="CA179" s="42">
        <v>160</v>
      </c>
      <c r="CB179" s="42">
        <v>66</v>
      </c>
      <c r="CC179" s="74"/>
      <c r="CH179" s="89">
        <v>89</v>
      </c>
      <c r="CI179" s="2">
        <v>36</v>
      </c>
      <c r="CJ179" s="2">
        <v>0</v>
      </c>
      <c r="CK179" s="2">
        <v>0.46301500000000001</v>
      </c>
      <c r="CL179" s="42" t="s">
        <v>1332</v>
      </c>
      <c r="CM179" s="42">
        <v>160</v>
      </c>
      <c r="CN179" s="42">
        <v>66</v>
      </c>
      <c r="CO179" s="74"/>
      <c r="CT179" s="89">
        <v>83</v>
      </c>
      <c r="CU179" s="2">
        <v>36</v>
      </c>
      <c r="CV179" s="2">
        <v>0</v>
      </c>
      <c r="CW179" s="2">
        <v>0.31927470000000002</v>
      </c>
      <c r="CX179" s="42" t="s">
        <v>1332</v>
      </c>
      <c r="CY179" s="42">
        <v>160</v>
      </c>
      <c r="CZ179" s="42">
        <v>66</v>
      </c>
      <c r="DA179" s="74"/>
      <c r="DF179" s="89">
        <v>85</v>
      </c>
      <c r="DG179" s="2">
        <v>37</v>
      </c>
      <c r="DH179" s="2">
        <v>0</v>
      </c>
      <c r="DI179" s="2">
        <v>1.381505</v>
      </c>
      <c r="DJ179" s="42" t="s">
        <v>1332</v>
      </c>
      <c r="DK179" s="42">
        <v>160</v>
      </c>
      <c r="DL179" s="42">
        <v>66</v>
      </c>
      <c r="DM179" s="74"/>
      <c r="DR179" s="89">
        <v>84</v>
      </c>
      <c r="DS179" s="2">
        <v>34</v>
      </c>
      <c r="DT179" s="2">
        <v>0</v>
      </c>
      <c r="DU179" s="2">
        <v>1.2095590000000001</v>
      </c>
      <c r="DV179" s="42" t="s">
        <v>1332</v>
      </c>
      <c r="DW179" s="42">
        <v>160</v>
      </c>
      <c r="DX179" s="42">
        <v>66</v>
      </c>
      <c r="DY179" s="74"/>
      <c r="ED179" s="89">
        <v>88</v>
      </c>
      <c r="EE179" s="2">
        <v>36</v>
      </c>
      <c r="EF179" s="2">
        <v>0</v>
      </c>
      <c r="EG179" s="2">
        <v>0.95909849999999996</v>
      </c>
      <c r="EH179" s="42" t="s">
        <v>1332</v>
      </c>
      <c r="EI179" s="42">
        <v>160</v>
      </c>
      <c r="EJ179" s="42">
        <v>66</v>
      </c>
      <c r="EK179" s="74"/>
      <c r="ES179">
        <v>88</v>
      </c>
      <c r="ET179">
        <v>36</v>
      </c>
      <c r="EU179">
        <v>0</v>
      </c>
      <c r="EV179">
        <v>0.95909849999999996</v>
      </c>
    </row>
    <row r="180" spans="1:152" x14ac:dyDescent="0.4">
      <c r="A180" s="89"/>
      <c r="B180" s="2"/>
      <c r="C180" s="2"/>
      <c r="D180" s="2"/>
      <c r="E180" s="42" t="s">
        <v>1332</v>
      </c>
      <c r="F180" s="42">
        <v>161</v>
      </c>
      <c r="G180" s="42">
        <v>66</v>
      </c>
      <c r="H180" s="74"/>
      <c r="N180" s="89">
        <v>90</v>
      </c>
      <c r="O180" s="2">
        <v>34</v>
      </c>
      <c r="P180" s="2">
        <v>0</v>
      </c>
      <c r="Q180" s="2">
        <v>2E-3</v>
      </c>
      <c r="R180" s="42" t="s">
        <v>1332</v>
      </c>
      <c r="S180" s="42">
        <v>161</v>
      </c>
      <c r="T180" s="42">
        <v>66</v>
      </c>
      <c r="U180" s="74"/>
      <c r="Z180" s="89">
        <v>80</v>
      </c>
      <c r="AA180" s="2">
        <v>35</v>
      </c>
      <c r="AB180" s="2">
        <v>0</v>
      </c>
      <c r="AC180" s="2">
        <v>7.8000009999999995E-2</v>
      </c>
      <c r="AD180" s="42" t="s">
        <v>1332</v>
      </c>
      <c r="AE180" s="42">
        <v>161</v>
      </c>
      <c r="AF180" s="42">
        <v>66</v>
      </c>
      <c r="AG180" s="74"/>
      <c r="AL180" s="89">
        <v>80</v>
      </c>
      <c r="AM180" s="2">
        <v>35</v>
      </c>
      <c r="AN180" s="2">
        <v>0</v>
      </c>
      <c r="AO180" s="2">
        <v>0.20599999999999999</v>
      </c>
      <c r="AP180" s="42" t="s">
        <v>1332</v>
      </c>
      <c r="AQ180" s="42">
        <v>161</v>
      </c>
      <c r="AR180" s="42">
        <v>66</v>
      </c>
      <c r="AS180" s="74"/>
      <c r="AX180" s="89">
        <v>93</v>
      </c>
      <c r="AY180" s="2">
        <v>36</v>
      </c>
      <c r="AZ180" s="2">
        <v>0</v>
      </c>
      <c r="BA180" s="2">
        <v>8.5959999999999995E-2</v>
      </c>
      <c r="BB180" s="42" t="s">
        <v>1332</v>
      </c>
      <c r="BC180" s="42">
        <v>161</v>
      </c>
      <c r="BD180" s="42">
        <v>66</v>
      </c>
      <c r="BE180" s="74"/>
      <c r="BJ180" s="89">
        <v>91</v>
      </c>
      <c r="BK180" s="2">
        <v>36</v>
      </c>
      <c r="BL180" s="2">
        <v>0</v>
      </c>
      <c r="BM180" s="2">
        <v>0.31085499999999999</v>
      </c>
      <c r="BN180" s="42" t="s">
        <v>1332</v>
      </c>
      <c r="BO180" s="42">
        <v>161</v>
      </c>
      <c r="BP180" s="42">
        <v>66</v>
      </c>
      <c r="BQ180" s="74"/>
      <c r="BV180" s="89">
        <v>93</v>
      </c>
      <c r="BW180" s="2">
        <v>36</v>
      </c>
      <c r="BX180" s="2">
        <v>0</v>
      </c>
      <c r="BY180" s="2">
        <v>0.11562</v>
      </c>
      <c r="BZ180" s="42" t="s">
        <v>1332</v>
      </c>
      <c r="CA180" s="42">
        <v>161</v>
      </c>
      <c r="CB180" s="42">
        <v>66</v>
      </c>
      <c r="CC180" s="74"/>
      <c r="CH180" s="89">
        <v>90</v>
      </c>
      <c r="CI180" s="2">
        <v>36</v>
      </c>
      <c r="CJ180" s="2">
        <v>0</v>
      </c>
      <c r="CK180" s="2">
        <v>0.342696</v>
      </c>
      <c r="CL180" s="42" t="s">
        <v>1332</v>
      </c>
      <c r="CM180" s="42">
        <v>161</v>
      </c>
      <c r="CN180" s="42">
        <v>66</v>
      </c>
      <c r="CO180" s="74"/>
      <c r="CT180" s="89">
        <v>83</v>
      </c>
      <c r="CU180" s="2">
        <v>36</v>
      </c>
      <c r="CV180" s="2">
        <v>1</v>
      </c>
      <c r="CW180" s="2">
        <v>0.29892020000000002</v>
      </c>
      <c r="CX180" s="42" t="s">
        <v>1332</v>
      </c>
      <c r="CY180" s="42">
        <v>161</v>
      </c>
      <c r="CZ180" s="42">
        <v>66</v>
      </c>
      <c r="DA180" s="74"/>
      <c r="DF180" s="89">
        <v>86</v>
      </c>
      <c r="DG180" s="2">
        <v>37</v>
      </c>
      <c r="DH180" s="2">
        <v>0</v>
      </c>
      <c r="DI180" s="2">
        <v>4.0000000000000001E-3</v>
      </c>
      <c r="DJ180" s="42" t="s">
        <v>1332</v>
      </c>
      <c r="DK180" s="42">
        <v>161</v>
      </c>
      <c r="DL180" s="42">
        <v>66</v>
      </c>
      <c r="DM180" s="74"/>
      <c r="DR180" s="89">
        <v>85</v>
      </c>
      <c r="DS180" s="2">
        <v>34</v>
      </c>
      <c r="DT180" s="2">
        <v>0</v>
      </c>
      <c r="DU180" s="2">
        <v>0.68929560000000001</v>
      </c>
      <c r="DV180" s="42" t="s">
        <v>1332</v>
      </c>
      <c r="DW180" s="42">
        <v>161</v>
      </c>
      <c r="DX180" s="42">
        <v>66</v>
      </c>
      <c r="DY180" s="74"/>
      <c r="ED180" s="89">
        <v>89</v>
      </c>
      <c r="EE180" s="2">
        <v>36</v>
      </c>
      <c r="EF180" s="2">
        <v>0</v>
      </c>
      <c r="EG180" s="2">
        <v>0.79293999999999998</v>
      </c>
      <c r="EH180" s="42" t="s">
        <v>1332</v>
      </c>
      <c r="EI180" s="42">
        <v>161</v>
      </c>
      <c r="EJ180" s="42">
        <v>66</v>
      </c>
      <c r="EK180" s="74"/>
      <c r="ES180">
        <v>89</v>
      </c>
      <c r="ET180">
        <v>36</v>
      </c>
      <c r="EU180">
        <v>0</v>
      </c>
      <c r="EV180">
        <v>0.79293999999999998</v>
      </c>
    </row>
    <row r="181" spans="1:152" x14ac:dyDescent="0.4">
      <c r="A181" s="89"/>
      <c r="B181" s="2"/>
      <c r="C181" s="2"/>
      <c r="D181" s="2"/>
      <c r="E181" s="42" t="s">
        <v>1332</v>
      </c>
      <c r="F181" s="42">
        <v>162</v>
      </c>
      <c r="G181" s="42">
        <v>66</v>
      </c>
      <c r="H181" s="74"/>
      <c r="N181" s="89">
        <v>77</v>
      </c>
      <c r="O181" s="2">
        <v>35</v>
      </c>
      <c r="P181" s="2">
        <v>0</v>
      </c>
      <c r="Q181" s="2">
        <v>1E-3</v>
      </c>
      <c r="R181" s="42" t="s">
        <v>1332</v>
      </c>
      <c r="S181" s="42">
        <v>162</v>
      </c>
      <c r="T181" s="42">
        <v>66</v>
      </c>
      <c r="U181" s="74"/>
      <c r="Z181" s="89">
        <v>80</v>
      </c>
      <c r="AA181" s="2">
        <v>35</v>
      </c>
      <c r="AB181" s="2">
        <v>1</v>
      </c>
      <c r="AC181" s="2">
        <v>6.6000009999999998E-2</v>
      </c>
      <c r="AD181" s="42" t="s">
        <v>1332</v>
      </c>
      <c r="AE181" s="42">
        <v>162</v>
      </c>
      <c r="AF181" s="42">
        <v>66</v>
      </c>
      <c r="AG181" s="74"/>
      <c r="AL181" s="89">
        <v>80</v>
      </c>
      <c r="AM181" s="2">
        <v>35</v>
      </c>
      <c r="AN181" s="2">
        <v>1</v>
      </c>
      <c r="AO181" s="2">
        <v>0.185</v>
      </c>
      <c r="AP181" s="42" t="s">
        <v>1332</v>
      </c>
      <c r="AQ181" s="42">
        <v>162</v>
      </c>
      <c r="AR181" s="42">
        <v>66</v>
      </c>
      <c r="AS181" s="74"/>
      <c r="AX181" s="89">
        <v>94</v>
      </c>
      <c r="AY181" s="2">
        <v>36</v>
      </c>
      <c r="AZ181" s="2">
        <v>0</v>
      </c>
      <c r="BA181" s="2">
        <v>3.3000000000000002E-2</v>
      </c>
      <c r="BB181" s="42" t="s">
        <v>1332</v>
      </c>
      <c r="BC181" s="42">
        <v>162</v>
      </c>
      <c r="BD181" s="42">
        <v>66</v>
      </c>
      <c r="BE181" s="74"/>
      <c r="BJ181" s="89">
        <v>92</v>
      </c>
      <c r="BK181" s="2">
        <v>36</v>
      </c>
      <c r="BL181" s="2">
        <v>0</v>
      </c>
      <c r="BM181" s="2">
        <v>0.13170499999999999</v>
      </c>
      <c r="BN181" s="42" t="s">
        <v>1332</v>
      </c>
      <c r="BO181" s="42">
        <v>162</v>
      </c>
      <c r="BP181" s="42">
        <v>66</v>
      </c>
      <c r="BQ181" s="74"/>
      <c r="BV181" s="89">
        <v>94</v>
      </c>
      <c r="BW181" s="2">
        <v>36</v>
      </c>
      <c r="BX181" s="2">
        <v>0</v>
      </c>
      <c r="BY181" s="2">
        <v>5.1299999999999998E-2</v>
      </c>
      <c r="BZ181" s="42" t="s">
        <v>1332</v>
      </c>
      <c r="CA181" s="42">
        <v>162</v>
      </c>
      <c r="CB181" s="42">
        <v>66</v>
      </c>
      <c r="CC181" s="74"/>
      <c r="CH181" s="89">
        <v>91</v>
      </c>
      <c r="CI181" s="2">
        <v>36</v>
      </c>
      <c r="CJ181" s="2">
        <v>0</v>
      </c>
      <c r="CK181" s="2">
        <v>0.14172399999999999</v>
      </c>
      <c r="CL181" s="42" t="s">
        <v>1332</v>
      </c>
      <c r="CM181" s="42">
        <v>162</v>
      </c>
      <c r="CN181" s="42">
        <v>66</v>
      </c>
      <c r="CO181" s="74"/>
      <c r="CT181" s="89">
        <v>84</v>
      </c>
      <c r="CU181" s="2">
        <v>36</v>
      </c>
      <c r="CV181" s="2">
        <v>0</v>
      </c>
      <c r="CW181" s="2">
        <v>0.40837849999999998</v>
      </c>
      <c r="CX181" s="42" t="s">
        <v>1332</v>
      </c>
      <c r="CY181" s="42">
        <v>162</v>
      </c>
      <c r="CZ181" s="42">
        <v>66</v>
      </c>
      <c r="DA181" s="74"/>
      <c r="DF181" s="89">
        <v>86</v>
      </c>
      <c r="DG181" s="2">
        <v>37</v>
      </c>
      <c r="DH181" s="2">
        <v>1</v>
      </c>
      <c r="DI181" s="2">
        <v>8.0000000000000004E-4</v>
      </c>
      <c r="DJ181" s="42" t="s">
        <v>1332</v>
      </c>
      <c r="DK181" s="42">
        <v>162</v>
      </c>
      <c r="DL181" s="42">
        <v>66</v>
      </c>
      <c r="DM181" s="74"/>
      <c r="DR181" s="89">
        <v>86</v>
      </c>
      <c r="DS181" s="2">
        <v>34</v>
      </c>
      <c r="DT181" s="2">
        <v>0</v>
      </c>
      <c r="DU181" s="2">
        <v>0.43769799999999998</v>
      </c>
      <c r="DV181" s="42" t="s">
        <v>1332</v>
      </c>
      <c r="DW181" s="42">
        <v>162</v>
      </c>
      <c r="DX181" s="42">
        <v>66</v>
      </c>
      <c r="DY181" s="74"/>
      <c r="ED181" s="89">
        <v>90</v>
      </c>
      <c r="EE181" s="2">
        <v>36</v>
      </c>
      <c r="EF181" s="2">
        <v>0</v>
      </c>
      <c r="EG181" s="2">
        <v>0.61625810000000003</v>
      </c>
      <c r="EH181" s="42" t="s">
        <v>1332</v>
      </c>
      <c r="EI181" s="42">
        <v>162</v>
      </c>
      <c r="EJ181" s="42">
        <v>66</v>
      </c>
      <c r="EK181" s="74"/>
      <c r="ES181">
        <v>90</v>
      </c>
      <c r="ET181">
        <v>36</v>
      </c>
      <c r="EU181">
        <v>0</v>
      </c>
      <c r="EV181">
        <v>0.61625810000000003</v>
      </c>
    </row>
    <row r="182" spans="1:152" x14ac:dyDescent="0.4">
      <c r="A182" s="89"/>
      <c r="B182" s="2"/>
      <c r="C182" s="2"/>
      <c r="D182" s="2"/>
      <c r="E182" s="42" t="s">
        <v>1332</v>
      </c>
      <c r="F182" s="42">
        <v>163</v>
      </c>
      <c r="G182" s="42">
        <v>66</v>
      </c>
      <c r="H182" s="74"/>
      <c r="N182" s="89">
        <v>77</v>
      </c>
      <c r="O182" s="2">
        <v>35</v>
      </c>
      <c r="P182" s="2">
        <v>1</v>
      </c>
      <c r="Q182" s="2">
        <v>1E-3</v>
      </c>
      <c r="R182" s="42" t="s">
        <v>1332</v>
      </c>
      <c r="S182" s="42">
        <v>163</v>
      </c>
      <c r="T182" s="42">
        <v>66</v>
      </c>
      <c r="U182" s="74"/>
      <c r="Z182" s="89">
        <v>81</v>
      </c>
      <c r="AA182" s="2">
        <v>35</v>
      </c>
      <c r="AB182" s="2">
        <v>0</v>
      </c>
      <c r="AC182" s="2">
        <v>1.5224740000000001</v>
      </c>
      <c r="AD182" s="42" t="s">
        <v>1332</v>
      </c>
      <c r="AE182" s="42">
        <v>163</v>
      </c>
      <c r="AF182" s="42">
        <v>66</v>
      </c>
      <c r="AG182" s="74"/>
      <c r="AL182" s="89">
        <v>81</v>
      </c>
      <c r="AM182" s="2">
        <v>35</v>
      </c>
      <c r="AN182" s="2">
        <v>0</v>
      </c>
      <c r="AO182" s="2">
        <v>1.6371880000000001</v>
      </c>
      <c r="AP182" s="42" t="s">
        <v>1332</v>
      </c>
      <c r="AQ182" s="42">
        <v>163</v>
      </c>
      <c r="AR182" s="42">
        <v>66</v>
      </c>
      <c r="AS182" s="74"/>
      <c r="AX182" s="89">
        <v>95</v>
      </c>
      <c r="AY182" s="2">
        <v>36</v>
      </c>
      <c r="AZ182" s="2">
        <v>0</v>
      </c>
      <c r="BA182" s="2">
        <v>8.0000000000000002E-3</v>
      </c>
      <c r="BB182" s="42" t="s">
        <v>1332</v>
      </c>
      <c r="BC182" s="42">
        <v>163</v>
      </c>
      <c r="BD182" s="42">
        <v>66</v>
      </c>
      <c r="BE182" s="74"/>
      <c r="BJ182" s="89">
        <v>93</v>
      </c>
      <c r="BK182" s="2">
        <v>36</v>
      </c>
      <c r="BL182" s="2">
        <v>0</v>
      </c>
      <c r="BM182" s="2">
        <v>4.8640000000000003E-2</v>
      </c>
      <c r="BN182" s="42" t="s">
        <v>1332</v>
      </c>
      <c r="BO182" s="42">
        <v>163</v>
      </c>
      <c r="BP182" s="42">
        <v>66</v>
      </c>
      <c r="BQ182" s="74"/>
      <c r="BV182" s="89">
        <v>95</v>
      </c>
      <c r="BW182" s="2">
        <v>36</v>
      </c>
      <c r="BX182" s="2">
        <v>0</v>
      </c>
      <c r="BY182" s="2">
        <v>1.0999999999999999E-2</v>
      </c>
      <c r="BZ182" s="42" t="s">
        <v>1332</v>
      </c>
      <c r="CA182" s="42">
        <v>163</v>
      </c>
      <c r="CB182" s="42">
        <v>66</v>
      </c>
      <c r="CC182" s="74"/>
      <c r="CH182" s="89">
        <v>92</v>
      </c>
      <c r="CI182" s="2">
        <v>36</v>
      </c>
      <c r="CJ182" s="2">
        <v>0</v>
      </c>
      <c r="CK182" s="2">
        <v>8.2356009999999993E-2</v>
      </c>
      <c r="CL182" s="42" t="s">
        <v>1332</v>
      </c>
      <c r="CM182" s="42">
        <v>163</v>
      </c>
      <c r="CN182" s="42">
        <v>66</v>
      </c>
      <c r="CO182" s="74"/>
      <c r="CT182" s="89">
        <v>85</v>
      </c>
      <c r="CU182" s="2">
        <v>36</v>
      </c>
      <c r="CV182" s="2">
        <v>0</v>
      </c>
      <c r="CW182" s="2">
        <v>0.1926766</v>
      </c>
      <c r="CX182" s="42" t="s">
        <v>1332</v>
      </c>
      <c r="CY182" s="42">
        <v>163</v>
      </c>
      <c r="CZ182" s="42">
        <v>66</v>
      </c>
      <c r="DA182" s="74"/>
      <c r="DF182" s="89">
        <v>87</v>
      </c>
      <c r="DG182" s="2">
        <v>37</v>
      </c>
      <c r="DH182" s="2">
        <v>0</v>
      </c>
      <c r="DI182" s="2">
        <v>2.0359790000000002</v>
      </c>
      <c r="DJ182" s="42" t="s">
        <v>1332</v>
      </c>
      <c r="DK182" s="42">
        <v>163</v>
      </c>
      <c r="DL182" s="42">
        <v>66</v>
      </c>
      <c r="DM182" s="74"/>
      <c r="DR182" s="89">
        <v>87</v>
      </c>
      <c r="DS182" s="2">
        <v>34</v>
      </c>
      <c r="DT182" s="2">
        <v>0</v>
      </c>
      <c r="DU182" s="2">
        <v>0.21684200000000001</v>
      </c>
      <c r="DV182" s="42" t="s">
        <v>1332</v>
      </c>
      <c r="DW182" s="42">
        <v>163</v>
      </c>
      <c r="DX182" s="42">
        <v>66</v>
      </c>
      <c r="DY182" s="74"/>
      <c r="ED182" s="89">
        <v>91</v>
      </c>
      <c r="EE182" s="2">
        <v>36</v>
      </c>
      <c r="EF182" s="2">
        <v>0</v>
      </c>
      <c r="EG182" s="2">
        <v>0.34510999999999997</v>
      </c>
      <c r="EH182" s="42" t="s">
        <v>1332</v>
      </c>
      <c r="EI182" s="42">
        <v>163</v>
      </c>
      <c r="EJ182" s="42">
        <v>66</v>
      </c>
      <c r="EK182" s="74"/>
      <c r="ES182">
        <v>91</v>
      </c>
      <c r="ET182">
        <v>36</v>
      </c>
      <c r="EU182">
        <v>0</v>
      </c>
      <c r="EV182">
        <v>0.34510999999999997</v>
      </c>
    </row>
    <row r="183" spans="1:152" x14ac:dyDescent="0.4">
      <c r="A183" s="89"/>
      <c r="B183" s="2"/>
      <c r="C183" s="2"/>
      <c r="D183" s="2"/>
      <c r="E183" s="42" t="s">
        <v>1332</v>
      </c>
      <c r="F183" s="42">
        <v>164</v>
      </c>
      <c r="G183" s="42">
        <v>66</v>
      </c>
      <c r="H183" s="74"/>
      <c r="N183" s="89">
        <v>78</v>
      </c>
      <c r="O183" s="2">
        <v>35</v>
      </c>
      <c r="P183" s="2">
        <v>0</v>
      </c>
      <c r="Q183" s="2">
        <v>1.0999999999999999E-2</v>
      </c>
      <c r="R183" s="42" t="s">
        <v>1332</v>
      </c>
      <c r="S183" s="42">
        <v>164</v>
      </c>
      <c r="T183" s="42">
        <v>66</v>
      </c>
      <c r="U183" s="74"/>
      <c r="Z183" s="89">
        <v>82</v>
      </c>
      <c r="AA183" s="2">
        <v>35</v>
      </c>
      <c r="AB183" s="2">
        <v>0</v>
      </c>
      <c r="AC183" s="2">
        <v>0.49322250000000001</v>
      </c>
      <c r="AD183" s="42" t="s">
        <v>1332</v>
      </c>
      <c r="AE183" s="42">
        <v>164</v>
      </c>
      <c r="AF183" s="42">
        <v>66</v>
      </c>
      <c r="AG183" s="74"/>
      <c r="AL183" s="89">
        <v>82</v>
      </c>
      <c r="AM183" s="2">
        <v>35</v>
      </c>
      <c r="AN183" s="2">
        <v>0</v>
      </c>
      <c r="AO183" s="2">
        <v>0.71071850000000003</v>
      </c>
      <c r="AP183" s="42" t="s">
        <v>1332</v>
      </c>
      <c r="AQ183" s="42">
        <v>164</v>
      </c>
      <c r="AR183" s="42">
        <v>66</v>
      </c>
      <c r="AS183" s="74"/>
      <c r="AX183" s="89">
        <v>96</v>
      </c>
      <c r="AY183" s="2">
        <v>36</v>
      </c>
      <c r="AZ183" s="2">
        <v>0</v>
      </c>
      <c r="BA183" s="2">
        <v>1E-3</v>
      </c>
      <c r="BB183" s="42" t="s">
        <v>1332</v>
      </c>
      <c r="BC183" s="42">
        <v>164</v>
      </c>
      <c r="BD183" s="42">
        <v>66</v>
      </c>
      <c r="BE183" s="74"/>
      <c r="BJ183" s="89">
        <v>94</v>
      </c>
      <c r="BK183" s="2">
        <v>36</v>
      </c>
      <c r="BL183" s="2">
        <v>0</v>
      </c>
      <c r="BM183" s="2">
        <v>1.7999999999999999E-2</v>
      </c>
      <c r="BN183" s="42" t="s">
        <v>1332</v>
      </c>
      <c r="BO183" s="42">
        <v>164</v>
      </c>
      <c r="BP183" s="42">
        <v>66</v>
      </c>
      <c r="BQ183" s="74"/>
      <c r="BV183" s="89">
        <v>96</v>
      </c>
      <c r="BW183" s="2">
        <v>36</v>
      </c>
      <c r="BX183" s="2">
        <v>0</v>
      </c>
      <c r="BY183" s="2">
        <v>5.0000000000000001E-3</v>
      </c>
      <c r="BZ183" s="42" t="s">
        <v>1332</v>
      </c>
      <c r="CA183" s="42">
        <v>164</v>
      </c>
      <c r="CB183" s="42">
        <v>66</v>
      </c>
      <c r="CC183" s="74"/>
      <c r="CH183" s="89">
        <v>93</v>
      </c>
      <c r="CI183" s="2">
        <v>36</v>
      </c>
      <c r="CJ183" s="2">
        <v>0</v>
      </c>
      <c r="CK183" s="2">
        <v>2.9319999999999999E-2</v>
      </c>
      <c r="CL183" s="42" t="s">
        <v>1332</v>
      </c>
      <c r="CM183" s="42">
        <v>164</v>
      </c>
      <c r="CN183" s="42">
        <v>66</v>
      </c>
      <c r="CO183" s="74"/>
      <c r="CT183" s="89">
        <v>85</v>
      </c>
      <c r="CU183" s="2">
        <v>36</v>
      </c>
      <c r="CV183" s="2">
        <v>1</v>
      </c>
      <c r="CW183" s="2">
        <v>0.30860589999999999</v>
      </c>
      <c r="CX183" s="42" t="s">
        <v>1332</v>
      </c>
      <c r="CY183" s="42">
        <v>164</v>
      </c>
      <c r="CZ183" s="42">
        <v>66</v>
      </c>
      <c r="DA183" s="74"/>
      <c r="DF183" s="89">
        <v>88</v>
      </c>
      <c r="DG183" s="2">
        <v>37</v>
      </c>
      <c r="DH183" s="2">
        <v>0</v>
      </c>
      <c r="DI183" s="2">
        <v>2.6297830000000002</v>
      </c>
      <c r="DJ183" s="42" t="s">
        <v>1332</v>
      </c>
      <c r="DK183" s="42">
        <v>164</v>
      </c>
      <c r="DL183" s="42">
        <v>66</v>
      </c>
      <c r="DM183" s="74"/>
      <c r="DR183" s="89">
        <v>88</v>
      </c>
      <c r="DS183" s="2">
        <v>34</v>
      </c>
      <c r="DT183" s="2">
        <v>0</v>
      </c>
      <c r="DU183" s="2">
        <v>9.9000000000000005E-2</v>
      </c>
      <c r="DV183" s="42" t="s">
        <v>1332</v>
      </c>
      <c r="DW183" s="42">
        <v>164</v>
      </c>
      <c r="DX183" s="42">
        <v>66</v>
      </c>
      <c r="DY183" s="74"/>
      <c r="ED183" s="89">
        <v>92</v>
      </c>
      <c r="EE183" s="2">
        <v>36</v>
      </c>
      <c r="EF183" s="2">
        <v>0</v>
      </c>
      <c r="EG183" s="2">
        <v>0.19905</v>
      </c>
      <c r="EH183" s="42" t="s">
        <v>1332</v>
      </c>
      <c r="EI183" s="42">
        <v>164</v>
      </c>
      <c r="EJ183" s="42">
        <v>66</v>
      </c>
      <c r="EK183" s="74"/>
      <c r="ES183">
        <v>92</v>
      </c>
      <c r="ET183">
        <v>36</v>
      </c>
      <c r="EU183">
        <v>0</v>
      </c>
      <c r="EV183">
        <v>0.19905</v>
      </c>
    </row>
    <row r="184" spans="1:152" x14ac:dyDescent="0.4">
      <c r="A184" s="89"/>
      <c r="B184" s="2"/>
      <c r="C184" s="2"/>
      <c r="D184" s="2"/>
      <c r="E184" s="43" t="s">
        <v>1331</v>
      </c>
      <c r="F184" s="43">
        <v>165</v>
      </c>
      <c r="G184" s="43">
        <v>67</v>
      </c>
      <c r="H184" s="74">
        <f>SUM(SUMIFS(D$14:D$1004,B$14:B$1004,G184,A$14:A$1004,F184,C$14:C$1004,0))</f>
        <v>0</v>
      </c>
      <c r="N184" s="89">
        <v>79</v>
      </c>
      <c r="O184" s="2">
        <v>35</v>
      </c>
      <c r="P184" s="2">
        <v>0</v>
      </c>
      <c r="Q184" s="2">
        <v>1.861934</v>
      </c>
      <c r="R184" s="43" t="s">
        <v>1331</v>
      </c>
      <c r="S184" s="43">
        <v>165</v>
      </c>
      <c r="T184" s="43">
        <v>67</v>
      </c>
      <c r="U184" s="74">
        <f>SUM(SUMIFS(Q$14:Q$1004,O$14:O$1004,T184,N$14:N$1004,S184,P$14:P$1004,0))</f>
        <v>0</v>
      </c>
      <c r="Z184" s="89">
        <v>82</v>
      </c>
      <c r="AA184" s="2">
        <v>35</v>
      </c>
      <c r="AB184" s="2">
        <v>1</v>
      </c>
      <c r="AC184" s="2">
        <v>7.4062500000000003E-2</v>
      </c>
      <c r="AD184" s="43" t="s">
        <v>1331</v>
      </c>
      <c r="AE184" s="43">
        <v>165</v>
      </c>
      <c r="AF184" s="43">
        <v>67</v>
      </c>
      <c r="AG184" s="74">
        <f>SUM(SUMIFS(AC$14:AC$1004,AA$14:AA$1004,AF184,Z$14:Z$1004,AE184,AB$14:AB$1004,0))</f>
        <v>0</v>
      </c>
      <c r="AL184" s="89">
        <v>82</v>
      </c>
      <c r="AM184" s="2">
        <v>35</v>
      </c>
      <c r="AN184" s="2">
        <v>1</v>
      </c>
      <c r="AO184" s="2">
        <v>9.5066670000000006E-2</v>
      </c>
      <c r="AP184" s="43" t="s">
        <v>1331</v>
      </c>
      <c r="AQ184" s="43">
        <v>165</v>
      </c>
      <c r="AR184" s="43">
        <v>67</v>
      </c>
      <c r="AS184" s="74">
        <f>SUM(SUMIFS(AO$14:AO$1004,AM$14:AM$1004,AR184,AL$14:AL$1004,AQ184,AN$14:AN$1004,0))</f>
        <v>0</v>
      </c>
      <c r="AX184" s="89">
        <v>97</v>
      </c>
      <c r="AY184" s="2">
        <v>36</v>
      </c>
      <c r="AZ184" s="2">
        <v>0</v>
      </c>
      <c r="BA184" s="2">
        <v>1E-3</v>
      </c>
      <c r="BB184" s="43" t="s">
        <v>1331</v>
      </c>
      <c r="BC184" s="43">
        <v>165</v>
      </c>
      <c r="BD184" s="43">
        <v>67</v>
      </c>
      <c r="BE184" s="74">
        <f>SUM(SUMIFS(BA$14:BA$1004,AY$14:AY$1004,BD184,AX$14:AX$1004,BC184,AZ$14:AZ$1004,0))</f>
        <v>8.0000009999999996E-3</v>
      </c>
      <c r="BJ184" s="89">
        <v>95</v>
      </c>
      <c r="BK184" s="2">
        <v>36</v>
      </c>
      <c r="BL184" s="2">
        <v>0</v>
      </c>
      <c r="BM184" s="2">
        <v>5.0000000000000001E-3</v>
      </c>
      <c r="BN184" s="43" t="s">
        <v>1331</v>
      </c>
      <c r="BO184" s="43">
        <v>165</v>
      </c>
      <c r="BP184" s="43">
        <v>67</v>
      </c>
      <c r="BQ184" s="74">
        <f>SUM(SUMIFS(BM$14:BM$1004,BK$14:BK$1004,BP184,BJ$14:BJ$1004,BO184,BL$14:BL$1004,0))</f>
        <v>6.0000009999999996E-3</v>
      </c>
      <c r="BV184" s="89">
        <v>97</v>
      </c>
      <c r="BW184" s="2">
        <v>36</v>
      </c>
      <c r="BX184" s="2">
        <v>0</v>
      </c>
      <c r="BY184" s="2">
        <v>1E-3</v>
      </c>
      <c r="BZ184" s="43" t="s">
        <v>1331</v>
      </c>
      <c r="CA184" s="43">
        <v>165</v>
      </c>
      <c r="CB184" s="43">
        <v>67</v>
      </c>
      <c r="CC184" s="74">
        <f>SUM(SUMIFS(BY$14:BY$1004,BW$14:BW$1004,CB184,BV$14:BV$1004,CA184,BX$14:BX$1004,0))</f>
        <v>5.0000000000000001E-3</v>
      </c>
      <c r="CH184" s="89">
        <v>94</v>
      </c>
      <c r="CI184" s="2">
        <v>36</v>
      </c>
      <c r="CJ184" s="2">
        <v>0</v>
      </c>
      <c r="CK184" s="2">
        <v>8.0000000000000002E-3</v>
      </c>
      <c r="CL184" s="43" t="s">
        <v>1331</v>
      </c>
      <c r="CM184" s="43">
        <v>165</v>
      </c>
      <c r="CN184" s="43">
        <v>67</v>
      </c>
      <c r="CO184" s="74">
        <f>SUM(SUMIFS(CK$14:CK$1004,CI$14:CI$1004,CN184,CH$14:CH$1004,CM184,CJ$14:CJ$1004,0))</f>
        <v>1.2999999999999999E-2</v>
      </c>
      <c r="CT184" s="89">
        <v>86</v>
      </c>
      <c r="CU184" s="2">
        <v>36</v>
      </c>
      <c r="CV184" s="2">
        <v>0</v>
      </c>
      <c r="CW184" s="2">
        <v>0.52123699999999995</v>
      </c>
      <c r="CX184" s="43" t="s">
        <v>1331</v>
      </c>
      <c r="CY184" s="43">
        <v>165</v>
      </c>
      <c r="CZ184" s="43">
        <v>67</v>
      </c>
      <c r="DA184" s="74">
        <f>SUM(SUMIFS(CW$14:CW$1004,CU$14:CU$1004,CZ184,CT$14:CT$1004,CY184,CV$14:CV$1004,0))</f>
        <v>0.128</v>
      </c>
      <c r="DF184" s="89">
        <v>89</v>
      </c>
      <c r="DG184" s="2">
        <v>37</v>
      </c>
      <c r="DH184" s="2">
        <v>0</v>
      </c>
      <c r="DI184" s="2">
        <v>2.6469909999999999</v>
      </c>
      <c r="DJ184" s="43" t="s">
        <v>1331</v>
      </c>
      <c r="DK184" s="43">
        <v>165</v>
      </c>
      <c r="DL184" s="43">
        <v>67</v>
      </c>
      <c r="DM184" s="74">
        <f>SUM(SUMIFS(DI$14:DI$1004,DG$14:DG$1004,DL184,DF$14:DF$1004,DK184,DH$14:DH$1004,0))</f>
        <v>3.0000000000000001E-3</v>
      </c>
      <c r="DR184" s="89">
        <v>89</v>
      </c>
      <c r="DS184" s="2">
        <v>34</v>
      </c>
      <c r="DT184" s="2">
        <v>0</v>
      </c>
      <c r="DU184" s="2">
        <v>3.5000000000000003E-2</v>
      </c>
      <c r="DV184" s="43" t="s">
        <v>1331</v>
      </c>
      <c r="DW184" s="43">
        <v>165</v>
      </c>
      <c r="DX184" s="43">
        <v>67</v>
      </c>
      <c r="DY184" s="74">
        <f>SUM(SUMIFS(DU$14:DU$1004,DS$14:DS$1004,DX184,DR$14:DR$1004,DW184,DT$14:DT$1004,0))</f>
        <v>0</v>
      </c>
      <c r="ED184" s="89">
        <v>93</v>
      </c>
      <c r="EE184" s="2">
        <v>36</v>
      </c>
      <c r="EF184" s="2">
        <v>0</v>
      </c>
      <c r="EG184" s="2">
        <v>7.4639999999999998E-2</v>
      </c>
      <c r="EH184" s="43" t="s">
        <v>1331</v>
      </c>
      <c r="EI184" s="43">
        <v>165</v>
      </c>
      <c r="EJ184" s="43">
        <v>67</v>
      </c>
      <c r="EK184" s="74">
        <f>SUM(SUMIFS(EG$14:EG$1004,EE$14:EE$1004,EJ184,ED$14:ED$1004,EI184,EF$14:EF$1004,0))</f>
        <v>8.0000000000000002E-3</v>
      </c>
      <c r="ES184">
        <v>93</v>
      </c>
      <c r="ET184">
        <v>36</v>
      </c>
      <c r="EU184">
        <v>0</v>
      </c>
      <c r="EV184">
        <v>7.4639999999999998E-2</v>
      </c>
    </row>
    <row r="185" spans="1:152" x14ac:dyDescent="0.4">
      <c r="A185" s="89"/>
      <c r="B185" s="2"/>
      <c r="C185" s="2"/>
      <c r="D185" s="2"/>
      <c r="E185" s="42" t="s">
        <v>1330</v>
      </c>
      <c r="F185" s="42">
        <v>162</v>
      </c>
      <c r="G185" s="42">
        <v>68</v>
      </c>
      <c r="H185" s="74" cm="1">
        <f t="array" ref="H185">SUM(SUMIFS(D$14:D$1004,B$14:B$1004,G185:G190,A$14:A$1004,F185:F190,C$14:C$1004,0))</f>
        <v>0</v>
      </c>
      <c r="N185" s="89">
        <v>79</v>
      </c>
      <c r="O185" s="2">
        <v>35</v>
      </c>
      <c r="P185" s="2">
        <v>1</v>
      </c>
      <c r="Q185" s="2">
        <v>0.05</v>
      </c>
      <c r="R185" s="42" t="s">
        <v>1330</v>
      </c>
      <c r="S185" s="42">
        <v>162</v>
      </c>
      <c r="T185" s="42">
        <v>68</v>
      </c>
      <c r="U185" s="74" cm="1">
        <f t="array" ref="U185">SUM(SUMIFS(Q$14:Q$1004,O$14:O$1004,T185:T190,N$14:N$1004,S185:S190,P$14:P$1004,0))</f>
        <v>0</v>
      </c>
      <c r="Z185" s="89">
        <v>83</v>
      </c>
      <c r="AA185" s="2">
        <v>35</v>
      </c>
      <c r="AB185" s="2">
        <v>0</v>
      </c>
      <c r="AC185" s="2">
        <v>1.6727179999999999</v>
      </c>
      <c r="AD185" s="42" t="s">
        <v>1330</v>
      </c>
      <c r="AE185" s="42">
        <v>162</v>
      </c>
      <c r="AF185" s="42">
        <v>68</v>
      </c>
      <c r="AG185" s="74" cm="1">
        <f t="array" ref="AG185">SUM(SUMIFS(AC$14:AC$1004,AA$14:AA$1004,AF185:AF190,Z$14:Z$1004,AE185:AE190,AB$14:AB$1004,0))</f>
        <v>0</v>
      </c>
      <c r="AL185" s="89">
        <v>83</v>
      </c>
      <c r="AM185" s="2">
        <v>35</v>
      </c>
      <c r="AN185" s="2">
        <v>0</v>
      </c>
      <c r="AO185" s="2">
        <v>1.4751860000000001</v>
      </c>
      <c r="AP185" s="42" t="s">
        <v>1330</v>
      </c>
      <c r="AQ185" s="42">
        <v>162</v>
      </c>
      <c r="AR185" s="42">
        <v>68</v>
      </c>
      <c r="AS185" s="74" cm="1">
        <f t="array" ref="AS185">SUM(SUMIFS(AO$14:AO$1004,AM$14:AM$1004,AR185:AR190,AL$14:AL$1004,AQ185:AQ190,AN$14:AN$1004,0))</f>
        <v>0</v>
      </c>
      <c r="AX185" s="89">
        <v>84</v>
      </c>
      <c r="AY185" s="2">
        <v>37</v>
      </c>
      <c r="AZ185" s="2">
        <v>0</v>
      </c>
      <c r="BA185" s="2">
        <v>1E-3</v>
      </c>
      <c r="BB185" s="42" t="s">
        <v>1330</v>
      </c>
      <c r="BC185" s="42">
        <v>162</v>
      </c>
      <c r="BD185" s="42">
        <v>68</v>
      </c>
      <c r="BE185" s="74" cm="1">
        <f t="array" ref="BE185">SUM(SUMIFS(BA$14:BA$1004,AY$14:AY$1004,BD185:BD190,AX$14:AX$1004,BC185:BC190,AZ$14:AZ$1004,0))</f>
        <v>1.6034E-2</v>
      </c>
      <c r="BJ185" s="89">
        <v>96</v>
      </c>
      <c r="BK185" s="2">
        <v>36</v>
      </c>
      <c r="BL185" s="2">
        <v>0</v>
      </c>
      <c r="BM185" s="2">
        <v>4.0000000000000001E-3</v>
      </c>
      <c r="BN185" s="42" t="s">
        <v>1330</v>
      </c>
      <c r="BO185" s="42">
        <v>162</v>
      </c>
      <c r="BP185" s="42">
        <v>68</v>
      </c>
      <c r="BQ185" s="74" cm="1">
        <f t="array" ref="BQ185">SUM(SUMIFS(BM$14:BM$1004,BK$14:BK$1004,BP185:BP190,BJ$14:BJ$1004,BO185:BO190,BL$14:BL$1004,0))</f>
        <v>1.3034E-2</v>
      </c>
      <c r="BV185" s="89">
        <v>98</v>
      </c>
      <c r="BW185" s="2">
        <v>36</v>
      </c>
      <c r="BX185" s="2">
        <v>0</v>
      </c>
      <c r="BY185" s="2">
        <v>2E-3</v>
      </c>
      <c r="BZ185" s="42" t="s">
        <v>1330</v>
      </c>
      <c r="CA185" s="42">
        <v>162</v>
      </c>
      <c r="CB185" s="42">
        <v>68</v>
      </c>
      <c r="CC185" s="74" cm="1">
        <f t="array" ref="CC185">SUM(SUMIFS(BY$14:BY$1004,BW$14:BW$1004,CB185:CB190,BV$14:BV$1004,CA185:CA190,BX$14:BX$1004,0))</f>
        <v>1.3001299999999999E-2</v>
      </c>
      <c r="CH185" s="89">
        <v>95</v>
      </c>
      <c r="CI185" s="2">
        <v>36</v>
      </c>
      <c r="CJ185" s="2">
        <v>0</v>
      </c>
      <c r="CK185" s="2">
        <v>1E-3</v>
      </c>
      <c r="CL185" s="42" t="s">
        <v>1330</v>
      </c>
      <c r="CM185" s="42">
        <v>162</v>
      </c>
      <c r="CN185" s="42">
        <v>68</v>
      </c>
      <c r="CO185" s="74" cm="1">
        <f t="array" ref="CO185">SUM(SUMIFS(CK$14:CK$1004,CI$14:CI$1004,CN185:CN190,CH$14:CH$1004,CM185:CM190,CJ$14:CJ$1004,0))</f>
        <v>4.5074499999999997E-2</v>
      </c>
      <c r="CT185" s="89">
        <v>87</v>
      </c>
      <c r="CU185" s="2">
        <v>36</v>
      </c>
      <c r="CV185" s="2">
        <v>0</v>
      </c>
      <c r="CW185" s="2">
        <v>0.4721321</v>
      </c>
      <c r="CX185" s="42" t="s">
        <v>1330</v>
      </c>
      <c r="CY185" s="42">
        <v>162</v>
      </c>
      <c r="CZ185" s="42">
        <v>68</v>
      </c>
      <c r="DA185" s="74" cm="1">
        <f t="array" ref="DA185">SUM(SUMIFS(CW$14:CW$1004,CU$14:CU$1004,CZ185:CZ190,CT$14:CT$1004,CY185:CY190,CV$14:CV$1004,0))</f>
        <v>0.39802560000000003</v>
      </c>
      <c r="DF185" s="89">
        <v>90</v>
      </c>
      <c r="DG185" s="2">
        <v>37</v>
      </c>
      <c r="DH185" s="2">
        <v>0</v>
      </c>
      <c r="DI185" s="2">
        <v>1.9213530000000001</v>
      </c>
      <c r="DJ185" s="42" t="s">
        <v>1330</v>
      </c>
      <c r="DK185" s="42">
        <v>162</v>
      </c>
      <c r="DL185" s="42">
        <v>68</v>
      </c>
      <c r="DM185" s="74" cm="1">
        <f t="array" ref="DM185">SUM(SUMIFS(DI$14:DI$1004,DG$14:DG$1004,DL185:DL190,DF$14:DF$1004,DK185:DK190,DH$14:DH$1004,0))</f>
        <v>4.0000000000000001E-3</v>
      </c>
      <c r="DR185" s="89">
        <v>90</v>
      </c>
      <c r="DS185" s="2">
        <v>34</v>
      </c>
      <c r="DT185" s="2">
        <v>0</v>
      </c>
      <c r="DU185" s="2">
        <v>1.2E-2</v>
      </c>
      <c r="DV185" s="42" t="s">
        <v>1330</v>
      </c>
      <c r="DW185" s="42">
        <v>162</v>
      </c>
      <c r="DX185" s="42">
        <v>68</v>
      </c>
      <c r="DY185" s="74" cm="1">
        <f t="array" ref="DY185">SUM(SUMIFS(DU$14:DU$1004,DS$14:DS$1004,DX185:DX190,DR$14:DR$1004,DW185:DW190,DT$14:DT$1004,0))</f>
        <v>0</v>
      </c>
      <c r="ED185" s="89">
        <v>94</v>
      </c>
      <c r="EE185" s="2">
        <v>36</v>
      </c>
      <c r="EF185" s="2">
        <v>0</v>
      </c>
      <c r="EG185" s="2">
        <v>1.4E-2</v>
      </c>
      <c r="EH185" s="42" t="s">
        <v>1330</v>
      </c>
      <c r="EI185" s="42">
        <v>162</v>
      </c>
      <c r="EJ185" s="42">
        <v>68</v>
      </c>
      <c r="EK185" s="74" cm="1">
        <f t="array" ref="EK185">SUM(SUMIFS(EG$14:EG$1004,EE$14:EE$1004,EJ185:EJ190,ED$14:ED$1004,EI185:EI190,EF$14:EF$1004,0))</f>
        <v>2.5034001E-2</v>
      </c>
      <c r="ES185">
        <v>94</v>
      </c>
      <c r="ET185">
        <v>36</v>
      </c>
      <c r="EU185">
        <v>0</v>
      </c>
      <c r="EV185">
        <v>1.4E-2</v>
      </c>
    </row>
    <row r="186" spans="1:152" x14ac:dyDescent="0.4">
      <c r="A186" s="89"/>
      <c r="B186" s="2"/>
      <c r="C186" s="2"/>
      <c r="D186" s="2"/>
      <c r="E186" s="42" t="s">
        <v>1330</v>
      </c>
      <c r="F186" s="42">
        <v>164</v>
      </c>
      <c r="G186" s="42">
        <v>68</v>
      </c>
      <c r="H186" s="74"/>
      <c r="N186" s="89">
        <v>80</v>
      </c>
      <c r="O186" s="2">
        <v>35</v>
      </c>
      <c r="P186" s="2">
        <v>0</v>
      </c>
      <c r="Q186" s="2">
        <v>0.17899999999999999</v>
      </c>
      <c r="R186" s="42" t="s">
        <v>1330</v>
      </c>
      <c r="S186" s="42">
        <v>164</v>
      </c>
      <c r="T186" s="42">
        <v>68</v>
      </c>
      <c r="U186" s="74"/>
      <c r="Z186" s="89">
        <v>84</v>
      </c>
      <c r="AA186" s="2">
        <v>35</v>
      </c>
      <c r="AB186" s="2">
        <v>0</v>
      </c>
      <c r="AC186" s="2">
        <v>0.85317960000000004</v>
      </c>
      <c r="AD186" s="42" t="s">
        <v>1330</v>
      </c>
      <c r="AE186" s="42">
        <v>164</v>
      </c>
      <c r="AF186" s="42">
        <v>68</v>
      </c>
      <c r="AG186" s="74"/>
      <c r="AL186" s="89">
        <v>84</v>
      </c>
      <c r="AM186" s="2">
        <v>35</v>
      </c>
      <c r="AN186" s="2">
        <v>0</v>
      </c>
      <c r="AO186" s="2">
        <v>0.59463829999999995</v>
      </c>
      <c r="AP186" s="42" t="s">
        <v>1330</v>
      </c>
      <c r="AQ186" s="42">
        <v>164</v>
      </c>
      <c r="AR186" s="42">
        <v>68</v>
      </c>
      <c r="AS186" s="74"/>
      <c r="AX186" s="89">
        <v>85</v>
      </c>
      <c r="AY186" s="2">
        <v>37</v>
      </c>
      <c r="AZ186" s="2">
        <v>0</v>
      </c>
      <c r="BA186" s="2">
        <v>1.711041</v>
      </c>
      <c r="BB186" s="42" t="s">
        <v>1330</v>
      </c>
      <c r="BC186" s="42">
        <v>164</v>
      </c>
      <c r="BD186" s="42">
        <v>68</v>
      </c>
      <c r="BE186" s="74"/>
      <c r="BJ186" s="89">
        <v>85</v>
      </c>
      <c r="BK186" s="2">
        <v>37</v>
      </c>
      <c r="BL186" s="2">
        <v>0</v>
      </c>
      <c r="BM186" s="2">
        <v>0.91260090000000005</v>
      </c>
      <c r="BN186" s="42" t="s">
        <v>1330</v>
      </c>
      <c r="BO186" s="42">
        <v>164</v>
      </c>
      <c r="BP186" s="42">
        <v>68</v>
      </c>
      <c r="BQ186" s="74"/>
      <c r="BV186" s="89">
        <v>84</v>
      </c>
      <c r="BW186" s="2">
        <v>37</v>
      </c>
      <c r="BX186" s="2">
        <v>0</v>
      </c>
      <c r="BY186" s="2">
        <v>1E-3</v>
      </c>
      <c r="BZ186" s="42" t="s">
        <v>1330</v>
      </c>
      <c r="CA186" s="42">
        <v>164</v>
      </c>
      <c r="CB186" s="42">
        <v>68</v>
      </c>
      <c r="CC186" s="74"/>
      <c r="CH186" s="89">
        <v>83</v>
      </c>
      <c r="CI186" s="2">
        <v>37</v>
      </c>
      <c r="CJ186" s="2">
        <v>0</v>
      </c>
      <c r="CK186" s="2">
        <v>2E-3</v>
      </c>
      <c r="CL186" s="42" t="s">
        <v>1330</v>
      </c>
      <c r="CM186" s="42">
        <v>164</v>
      </c>
      <c r="CN186" s="42">
        <v>68</v>
      </c>
      <c r="CO186" s="74"/>
      <c r="CT186" s="89">
        <v>88</v>
      </c>
      <c r="CU186" s="2">
        <v>36</v>
      </c>
      <c r="CV186" s="2">
        <v>0</v>
      </c>
      <c r="CW186" s="2">
        <v>0.4575555</v>
      </c>
      <c r="CX186" s="42" t="s">
        <v>1330</v>
      </c>
      <c r="CY186" s="42">
        <v>164</v>
      </c>
      <c r="CZ186" s="42">
        <v>68</v>
      </c>
      <c r="DA186" s="74"/>
      <c r="DF186" s="89">
        <v>90</v>
      </c>
      <c r="DG186" s="2">
        <v>37</v>
      </c>
      <c r="DH186" s="2">
        <v>1</v>
      </c>
      <c r="DI186" s="2">
        <v>0.87480809999999998</v>
      </c>
      <c r="DJ186" s="42" t="s">
        <v>1330</v>
      </c>
      <c r="DK186" s="42">
        <v>164</v>
      </c>
      <c r="DL186" s="42">
        <v>68</v>
      </c>
      <c r="DM186" s="74"/>
      <c r="DR186" s="89">
        <v>91</v>
      </c>
      <c r="DS186" s="2">
        <v>34</v>
      </c>
      <c r="DT186" s="2">
        <v>0</v>
      </c>
      <c r="DU186" s="2">
        <v>5.0000000000000001E-3</v>
      </c>
      <c r="DV186" s="42" t="s">
        <v>1330</v>
      </c>
      <c r="DW186" s="42">
        <v>164</v>
      </c>
      <c r="DX186" s="42">
        <v>68</v>
      </c>
      <c r="DY186" s="74"/>
      <c r="ED186" s="89">
        <v>95</v>
      </c>
      <c r="EE186" s="2">
        <v>36</v>
      </c>
      <c r="EF186" s="2">
        <v>0</v>
      </c>
      <c r="EG186" s="2">
        <v>7.0000000000000001E-3</v>
      </c>
      <c r="EH186" s="42" t="s">
        <v>1330</v>
      </c>
      <c r="EI186" s="42">
        <v>164</v>
      </c>
      <c r="EJ186" s="42">
        <v>68</v>
      </c>
      <c r="EK186" s="74"/>
      <c r="ES186">
        <v>95</v>
      </c>
      <c r="ET186">
        <v>36</v>
      </c>
      <c r="EU186">
        <v>0</v>
      </c>
      <c r="EV186">
        <v>7.0000000000000001E-3</v>
      </c>
    </row>
    <row r="187" spans="1:152" x14ac:dyDescent="0.4">
      <c r="A187" s="89"/>
      <c r="B187" s="2"/>
      <c r="C187" s="2"/>
      <c r="D187" s="2"/>
      <c r="E187" s="42" t="s">
        <v>1330</v>
      </c>
      <c r="F187" s="42">
        <v>166</v>
      </c>
      <c r="G187" s="42">
        <v>68</v>
      </c>
      <c r="H187" s="74"/>
      <c r="N187" s="89">
        <v>80</v>
      </c>
      <c r="O187" s="2">
        <v>35</v>
      </c>
      <c r="P187" s="2">
        <v>1</v>
      </c>
      <c r="Q187" s="2">
        <v>0.15</v>
      </c>
      <c r="R187" s="42" t="s">
        <v>1330</v>
      </c>
      <c r="S187" s="42">
        <v>166</v>
      </c>
      <c r="T187" s="42">
        <v>68</v>
      </c>
      <c r="U187" s="74"/>
      <c r="Z187" s="89">
        <v>84</v>
      </c>
      <c r="AA187" s="2">
        <v>35</v>
      </c>
      <c r="AB187" s="2">
        <v>1</v>
      </c>
      <c r="AC187" s="2">
        <v>0.66859210000000002</v>
      </c>
      <c r="AD187" s="42" t="s">
        <v>1330</v>
      </c>
      <c r="AE187" s="42">
        <v>166</v>
      </c>
      <c r="AF187" s="42">
        <v>68</v>
      </c>
      <c r="AG187" s="74"/>
      <c r="AL187" s="89">
        <v>84</v>
      </c>
      <c r="AM187" s="2">
        <v>35</v>
      </c>
      <c r="AN187" s="2">
        <v>1</v>
      </c>
      <c r="AO187" s="2">
        <v>0.58415410000000001</v>
      </c>
      <c r="AP187" s="42" t="s">
        <v>1330</v>
      </c>
      <c r="AQ187" s="42">
        <v>166</v>
      </c>
      <c r="AR187" s="42">
        <v>68</v>
      </c>
      <c r="AS187" s="74"/>
      <c r="AX187" s="89">
        <v>86</v>
      </c>
      <c r="AY187" s="2">
        <v>37</v>
      </c>
      <c r="AZ187" s="2">
        <v>0</v>
      </c>
      <c r="BA187" s="2">
        <v>2.4E-2</v>
      </c>
      <c r="BB187" s="42" t="s">
        <v>1330</v>
      </c>
      <c r="BC187" s="42">
        <v>166</v>
      </c>
      <c r="BD187" s="42">
        <v>68</v>
      </c>
      <c r="BE187" s="74"/>
      <c r="BJ187" s="89">
        <v>86</v>
      </c>
      <c r="BK187" s="2">
        <v>37</v>
      </c>
      <c r="BL187" s="2">
        <v>0</v>
      </c>
      <c r="BM187" s="2">
        <v>4.9000000000000002E-2</v>
      </c>
      <c r="BN187" s="42" t="s">
        <v>1330</v>
      </c>
      <c r="BO187" s="42">
        <v>166</v>
      </c>
      <c r="BP187" s="42">
        <v>68</v>
      </c>
      <c r="BQ187" s="74"/>
      <c r="BV187" s="89">
        <v>85</v>
      </c>
      <c r="BW187" s="2">
        <v>37</v>
      </c>
      <c r="BX187" s="2">
        <v>0</v>
      </c>
      <c r="BY187" s="2">
        <v>0.87772159999999999</v>
      </c>
      <c r="BZ187" s="42" t="s">
        <v>1330</v>
      </c>
      <c r="CA187" s="42">
        <v>166</v>
      </c>
      <c r="CB187" s="42">
        <v>68</v>
      </c>
      <c r="CC187" s="74"/>
      <c r="CH187" s="89">
        <v>83</v>
      </c>
      <c r="CI187" s="2">
        <v>37</v>
      </c>
      <c r="CJ187" s="2">
        <v>1</v>
      </c>
      <c r="CK187" s="2">
        <v>2E-3</v>
      </c>
      <c r="CL187" s="42" t="s">
        <v>1330</v>
      </c>
      <c r="CM187" s="42">
        <v>166</v>
      </c>
      <c r="CN187" s="42">
        <v>68</v>
      </c>
      <c r="CO187" s="74"/>
      <c r="CT187" s="89">
        <v>89</v>
      </c>
      <c r="CU187" s="2">
        <v>36</v>
      </c>
      <c r="CV187" s="2">
        <v>0</v>
      </c>
      <c r="CW187" s="2">
        <v>0.35597800000000002</v>
      </c>
      <c r="CX187" s="42" t="s">
        <v>1330</v>
      </c>
      <c r="CY187" s="42">
        <v>166</v>
      </c>
      <c r="CZ187" s="42">
        <v>68</v>
      </c>
      <c r="DA187" s="74"/>
      <c r="DF187" s="89">
        <v>91</v>
      </c>
      <c r="DG187" s="2">
        <v>37</v>
      </c>
      <c r="DH187" s="2">
        <v>0</v>
      </c>
      <c r="DI187" s="2">
        <v>2.7445580000000001</v>
      </c>
      <c r="DJ187" s="42" t="s">
        <v>1330</v>
      </c>
      <c r="DK187" s="42">
        <v>166</v>
      </c>
      <c r="DL187" s="42">
        <v>68</v>
      </c>
      <c r="DM187" s="74"/>
      <c r="DR187" s="89">
        <v>92</v>
      </c>
      <c r="DS187" s="2">
        <v>34</v>
      </c>
      <c r="DT187" s="2">
        <v>0</v>
      </c>
      <c r="DU187" s="2">
        <v>2E-3</v>
      </c>
      <c r="DV187" s="42" t="s">
        <v>1330</v>
      </c>
      <c r="DW187" s="42">
        <v>166</v>
      </c>
      <c r="DX187" s="42">
        <v>68</v>
      </c>
      <c r="DY187" s="74"/>
      <c r="ED187" s="89">
        <v>96</v>
      </c>
      <c r="EE187" s="2">
        <v>36</v>
      </c>
      <c r="EF187" s="2">
        <v>0</v>
      </c>
      <c r="EG187" s="2">
        <v>1E-3</v>
      </c>
      <c r="EH187" s="42" t="s">
        <v>1330</v>
      </c>
      <c r="EI187" s="42">
        <v>166</v>
      </c>
      <c r="EJ187" s="42">
        <v>68</v>
      </c>
      <c r="EK187" s="74"/>
      <c r="ES187">
        <v>96</v>
      </c>
      <c r="ET187">
        <v>36</v>
      </c>
      <c r="EU187">
        <v>0</v>
      </c>
      <c r="EV187">
        <v>1E-3</v>
      </c>
    </row>
    <row r="188" spans="1:152" x14ac:dyDescent="0.4">
      <c r="A188" s="89"/>
      <c r="B188" s="2"/>
      <c r="C188" s="2"/>
      <c r="D188" s="2"/>
      <c r="E188" s="42" t="s">
        <v>1330</v>
      </c>
      <c r="F188" s="42">
        <v>167</v>
      </c>
      <c r="G188" s="42">
        <v>68</v>
      </c>
      <c r="H188" s="74"/>
      <c r="N188" s="89">
        <v>81</v>
      </c>
      <c r="O188" s="2">
        <v>35</v>
      </c>
      <c r="P188" s="2">
        <v>0</v>
      </c>
      <c r="Q188" s="2">
        <v>2.1644049999999999</v>
      </c>
      <c r="R188" s="42" t="s">
        <v>1330</v>
      </c>
      <c r="S188" s="42">
        <v>167</v>
      </c>
      <c r="T188" s="42">
        <v>68</v>
      </c>
      <c r="U188" s="74"/>
      <c r="Z188" s="89">
        <v>85</v>
      </c>
      <c r="AA188" s="2">
        <v>35</v>
      </c>
      <c r="AB188" s="2">
        <v>0</v>
      </c>
      <c r="AC188" s="2">
        <v>1.241141</v>
      </c>
      <c r="AD188" s="42" t="s">
        <v>1330</v>
      </c>
      <c r="AE188" s="42">
        <v>167</v>
      </c>
      <c r="AF188" s="42">
        <v>68</v>
      </c>
      <c r="AG188" s="74"/>
      <c r="AL188" s="89">
        <v>85</v>
      </c>
      <c r="AM188" s="2">
        <v>35</v>
      </c>
      <c r="AN188" s="2">
        <v>0</v>
      </c>
      <c r="AO188" s="2">
        <v>0.92167169999999998</v>
      </c>
      <c r="AP188" s="42" t="s">
        <v>1330</v>
      </c>
      <c r="AQ188" s="42">
        <v>167</v>
      </c>
      <c r="AR188" s="42">
        <v>68</v>
      </c>
      <c r="AS188" s="74"/>
      <c r="AX188" s="89">
        <v>86</v>
      </c>
      <c r="AY188" s="2">
        <v>37</v>
      </c>
      <c r="AZ188" s="2">
        <v>1</v>
      </c>
      <c r="BA188" s="2">
        <v>7.7142859999999999E-3</v>
      </c>
      <c r="BB188" s="42" t="s">
        <v>1330</v>
      </c>
      <c r="BC188" s="42">
        <v>167</v>
      </c>
      <c r="BD188" s="42">
        <v>68</v>
      </c>
      <c r="BE188" s="74"/>
      <c r="BJ188" s="89">
        <v>86</v>
      </c>
      <c r="BK188" s="2">
        <v>37</v>
      </c>
      <c r="BL188" s="2">
        <v>1</v>
      </c>
      <c r="BM188" s="2">
        <v>2.2188679999999999E-2</v>
      </c>
      <c r="BN188" s="42" t="s">
        <v>1330</v>
      </c>
      <c r="BO188" s="42">
        <v>167</v>
      </c>
      <c r="BP188" s="42">
        <v>68</v>
      </c>
      <c r="BQ188" s="74"/>
      <c r="BV188" s="89">
        <v>86</v>
      </c>
      <c r="BW188" s="2">
        <v>37</v>
      </c>
      <c r="BX188" s="2">
        <v>0</v>
      </c>
      <c r="BY188" s="2">
        <v>1.6E-2</v>
      </c>
      <c r="BZ188" s="42" t="s">
        <v>1330</v>
      </c>
      <c r="CA188" s="42">
        <v>167</v>
      </c>
      <c r="CB188" s="42">
        <v>68</v>
      </c>
      <c r="CC188" s="74"/>
      <c r="CH188" s="89">
        <v>84</v>
      </c>
      <c r="CI188" s="2">
        <v>37</v>
      </c>
      <c r="CJ188" s="2">
        <v>0</v>
      </c>
      <c r="CK188" s="2">
        <v>0.01</v>
      </c>
      <c r="CL188" s="42" t="s">
        <v>1330</v>
      </c>
      <c r="CM188" s="42">
        <v>167</v>
      </c>
      <c r="CN188" s="42">
        <v>68</v>
      </c>
      <c r="CO188" s="74"/>
      <c r="CT188" s="89">
        <v>90</v>
      </c>
      <c r="CU188" s="2">
        <v>36</v>
      </c>
      <c r="CV188" s="2">
        <v>0</v>
      </c>
      <c r="CW188" s="2">
        <v>0.25471199999999999</v>
      </c>
      <c r="CX188" s="42" t="s">
        <v>1330</v>
      </c>
      <c r="CY188" s="42">
        <v>167</v>
      </c>
      <c r="CZ188" s="42">
        <v>68</v>
      </c>
      <c r="DA188" s="74"/>
      <c r="DF188" s="89">
        <v>92</v>
      </c>
      <c r="DG188" s="2">
        <v>37</v>
      </c>
      <c r="DH188" s="2">
        <v>0</v>
      </c>
      <c r="DI188" s="2">
        <v>2.2947220000000002</v>
      </c>
      <c r="DJ188" s="42" t="s">
        <v>1330</v>
      </c>
      <c r="DK188" s="42">
        <v>167</v>
      </c>
      <c r="DL188" s="42">
        <v>68</v>
      </c>
      <c r="DM188" s="74"/>
      <c r="DR188" s="89">
        <v>79</v>
      </c>
      <c r="DS188" s="2">
        <v>35</v>
      </c>
      <c r="DT188" s="2">
        <v>0</v>
      </c>
      <c r="DU188" s="2">
        <v>1.413759</v>
      </c>
      <c r="DV188" s="42" t="s">
        <v>1330</v>
      </c>
      <c r="DW188" s="42">
        <v>167</v>
      </c>
      <c r="DX188" s="42">
        <v>68</v>
      </c>
      <c r="DY188" s="74"/>
      <c r="ED188" s="89">
        <v>98</v>
      </c>
      <c r="EE188" s="2">
        <v>36</v>
      </c>
      <c r="EF188" s="2">
        <v>0</v>
      </c>
      <c r="EG188" s="2">
        <v>1E-3</v>
      </c>
      <c r="EH188" s="42" t="s">
        <v>1330</v>
      </c>
      <c r="EI188" s="42">
        <v>167</v>
      </c>
      <c r="EJ188" s="42">
        <v>68</v>
      </c>
      <c r="EK188" s="74"/>
      <c r="ES188">
        <v>98</v>
      </c>
      <c r="ET188">
        <v>36</v>
      </c>
      <c r="EU188">
        <v>0</v>
      </c>
      <c r="EV188">
        <v>1E-3</v>
      </c>
    </row>
    <row r="189" spans="1:152" x14ac:dyDescent="0.4">
      <c r="A189" s="89"/>
      <c r="B189" s="2"/>
      <c r="C189" s="2"/>
      <c r="D189" s="2"/>
      <c r="E189" s="42" t="s">
        <v>1330</v>
      </c>
      <c r="F189" s="42">
        <v>168</v>
      </c>
      <c r="G189" s="42">
        <v>68</v>
      </c>
      <c r="H189" s="74"/>
      <c r="N189" s="89">
        <v>82</v>
      </c>
      <c r="O189" s="2">
        <v>35</v>
      </c>
      <c r="P189" s="2">
        <v>0</v>
      </c>
      <c r="Q189" s="2">
        <v>0.82839770000000001</v>
      </c>
      <c r="R189" s="42" t="s">
        <v>1330</v>
      </c>
      <c r="S189" s="42">
        <v>168</v>
      </c>
      <c r="T189" s="42">
        <v>68</v>
      </c>
      <c r="U189" s="74"/>
      <c r="Z189" s="89">
        <v>86</v>
      </c>
      <c r="AA189" s="2">
        <v>35</v>
      </c>
      <c r="AB189" s="2">
        <v>0</v>
      </c>
      <c r="AC189" s="2">
        <v>0.77437</v>
      </c>
      <c r="AD189" s="42" t="s">
        <v>1330</v>
      </c>
      <c r="AE189" s="42">
        <v>168</v>
      </c>
      <c r="AF189" s="42">
        <v>68</v>
      </c>
      <c r="AG189" s="74"/>
      <c r="AL189" s="89">
        <v>86</v>
      </c>
      <c r="AM189" s="2">
        <v>35</v>
      </c>
      <c r="AN189" s="2">
        <v>0</v>
      </c>
      <c r="AO189" s="2">
        <v>0.50265800000000005</v>
      </c>
      <c r="AP189" s="42" t="s">
        <v>1330</v>
      </c>
      <c r="AQ189" s="42">
        <v>168</v>
      </c>
      <c r="AR189" s="42">
        <v>68</v>
      </c>
      <c r="AS189" s="74"/>
      <c r="AX189" s="89">
        <v>87</v>
      </c>
      <c r="AY189" s="2">
        <v>37</v>
      </c>
      <c r="AZ189" s="2">
        <v>0</v>
      </c>
      <c r="BA189" s="2">
        <v>2.1010659999999999</v>
      </c>
      <c r="BB189" s="42" t="s">
        <v>1330</v>
      </c>
      <c r="BC189" s="42">
        <v>168</v>
      </c>
      <c r="BD189" s="42">
        <v>68</v>
      </c>
      <c r="BE189" s="74"/>
      <c r="BJ189" s="89">
        <v>87</v>
      </c>
      <c r="BK189" s="2">
        <v>37</v>
      </c>
      <c r="BL189" s="2">
        <v>0</v>
      </c>
      <c r="BM189" s="2">
        <v>1.273072</v>
      </c>
      <c r="BN189" s="42" t="s">
        <v>1330</v>
      </c>
      <c r="BO189" s="42">
        <v>168</v>
      </c>
      <c r="BP189" s="42">
        <v>68</v>
      </c>
      <c r="BQ189" s="74"/>
      <c r="BV189" s="89">
        <v>86</v>
      </c>
      <c r="BW189" s="2">
        <v>37</v>
      </c>
      <c r="BX189" s="2">
        <v>1</v>
      </c>
      <c r="BY189" s="2">
        <v>7.1111120000000002E-3</v>
      </c>
      <c r="BZ189" s="42" t="s">
        <v>1330</v>
      </c>
      <c r="CA189" s="42">
        <v>168</v>
      </c>
      <c r="CB189" s="42">
        <v>68</v>
      </c>
      <c r="CC189" s="74"/>
      <c r="CH189" s="89">
        <v>84</v>
      </c>
      <c r="CI189" s="2">
        <v>37</v>
      </c>
      <c r="CJ189" s="2">
        <v>1</v>
      </c>
      <c r="CK189" s="2">
        <v>6.0000009999999996E-3</v>
      </c>
      <c r="CL189" s="42" t="s">
        <v>1330</v>
      </c>
      <c r="CM189" s="42">
        <v>168</v>
      </c>
      <c r="CN189" s="42">
        <v>68</v>
      </c>
      <c r="CO189" s="74"/>
      <c r="CT189" s="89">
        <v>91</v>
      </c>
      <c r="CU189" s="2">
        <v>36</v>
      </c>
      <c r="CV189" s="2">
        <v>0</v>
      </c>
      <c r="CW189" s="2">
        <v>0.13072400000000001</v>
      </c>
      <c r="CX189" s="42" t="s">
        <v>1330</v>
      </c>
      <c r="CY189" s="42">
        <v>168</v>
      </c>
      <c r="CZ189" s="42">
        <v>68</v>
      </c>
      <c r="DA189" s="74"/>
      <c r="DF189" s="89">
        <v>93</v>
      </c>
      <c r="DG189" s="2">
        <v>37</v>
      </c>
      <c r="DH189" s="2">
        <v>0</v>
      </c>
      <c r="DI189" s="2">
        <v>1.700464</v>
      </c>
      <c r="DJ189" s="42" t="s">
        <v>1330</v>
      </c>
      <c r="DK189" s="42">
        <v>168</v>
      </c>
      <c r="DL189" s="42">
        <v>68</v>
      </c>
      <c r="DM189" s="74"/>
      <c r="DR189" s="89">
        <v>79</v>
      </c>
      <c r="DS189" s="2">
        <v>35</v>
      </c>
      <c r="DT189" s="2">
        <v>1</v>
      </c>
      <c r="DU189" s="2">
        <v>6.0000000000000001E-3</v>
      </c>
      <c r="DV189" s="42" t="s">
        <v>1330</v>
      </c>
      <c r="DW189" s="42">
        <v>168</v>
      </c>
      <c r="DX189" s="42">
        <v>68</v>
      </c>
      <c r="DY189" s="74"/>
      <c r="ED189" s="89">
        <v>85</v>
      </c>
      <c r="EE189" s="2">
        <v>37</v>
      </c>
      <c r="EF189" s="2">
        <v>0</v>
      </c>
      <c r="EG189" s="2">
        <v>0.70371090000000003</v>
      </c>
      <c r="EH189" s="42" t="s">
        <v>1330</v>
      </c>
      <c r="EI189" s="42">
        <v>168</v>
      </c>
      <c r="EJ189" s="42">
        <v>68</v>
      </c>
      <c r="EK189" s="74"/>
      <c r="ES189">
        <v>85</v>
      </c>
      <c r="ET189">
        <v>37</v>
      </c>
      <c r="EU189">
        <v>0</v>
      </c>
      <c r="EV189">
        <v>0.70371090000000003</v>
      </c>
    </row>
    <row r="190" spans="1:152" x14ac:dyDescent="0.4">
      <c r="A190" s="89"/>
      <c r="B190" s="2"/>
      <c r="C190" s="2"/>
      <c r="D190" s="2"/>
      <c r="E190" s="42" t="s">
        <v>1330</v>
      </c>
      <c r="F190" s="42">
        <v>170</v>
      </c>
      <c r="G190" s="42">
        <v>68</v>
      </c>
      <c r="H190" s="74"/>
      <c r="N190" s="89">
        <v>82</v>
      </c>
      <c r="O190" s="2">
        <v>35</v>
      </c>
      <c r="P190" s="2">
        <v>1</v>
      </c>
      <c r="Q190" s="2">
        <v>0.108432</v>
      </c>
      <c r="R190" s="42" t="s">
        <v>1330</v>
      </c>
      <c r="S190" s="42">
        <v>170</v>
      </c>
      <c r="T190" s="42">
        <v>68</v>
      </c>
      <c r="U190" s="74"/>
      <c r="Z190" s="89">
        <v>87</v>
      </c>
      <c r="AA190" s="2">
        <v>35</v>
      </c>
      <c r="AB190" s="2">
        <v>0</v>
      </c>
      <c r="AC190" s="2">
        <v>0.47923759999999999</v>
      </c>
      <c r="AD190" s="42" t="s">
        <v>1330</v>
      </c>
      <c r="AE190" s="42">
        <v>170</v>
      </c>
      <c r="AF190" s="42">
        <v>68</v>
      </c>
      <c r="AG190" s="74"/>
      <c r="AL190" s="89">
        <v>87</v>
      </c>
      <c r="AM190" s="2">
        <v>35</v>
      </c>
      <c r="AN190" s="2">
        <v>0</v>
      </c>
      <c r="AO190" s="2">
        <v>0.26582070000000002</v>
      </c>
      <c r="AP190" s="42" t="s">
        <v>1330</v>
      </c>
      <c r="AQ190" s="42">
        <v>170</v>
      </c>
      <c r="AR190" s="42">
        <v>68</v>
      </c>
      <c r="AS190" s="74"/>
      <c r="AX190" s="89">
        <v>88</v>
      </c>
      <c r="AY190" s="2">
        <v>37</v>
      </c>
      <c r="AZ190" s="2">
        <v>0</v>
      </c>
      <c r="BA190" s="2">
        <v>2.2669030000000001</v>
      </c>
      <c r="BB190" s="42" t="s">
        <v>1330</v>
      </c>
      <c r="BC190" s="42">
        <v>170</v>
      </c>
      <c r="BD190" s="42">
        <v>68</v>
      </c>
      <c r="BE190" s="74"/>
      <c r="BJ190" s="89">
        <v>88</v>
      </c>
      <c r="BK190" s="2">
        <v>37</v>
      </c>
      <c r="BL190" s="2">
        <v>0</v>
      </c>
      <c r="BM190" s="2">
        <v>1.4976700000000001</v>
      </c>
      <c r="BN190" s="42" t="s">
        <v>1330</v>
      </c>
      <c r="BO190" s="42">
        <v>170</v>
      </c>
      <c r="BP190" s="42">
        <v>68</v>
      </c>
      <c r="BQ190" s="74"/>
      <c r="BV190" s="89">
        <v>87</v>
      </c>
      <c r="BW190" s="2">
        <v>37</v>
      </c>
      <c r="BX190" s="2">
        <v>0</v>
      </c>
      <c r="BY190" s="2">
        <v>1.314843</v>
      </c>
      <c r="BZ190" s="42" t="s">
        <v>1330</v>
      </c>
      <c r="CA190" s="42">
        <v>170</v>
      </c>
      <c r="CB190" s="42">
        <v>68</v>
      </c>
      <c r="CC190" s="74"/>
      <c r="CH190" s="89">
        <v>85</v>
      </c>
      <c r="CI190" s="2">
        <v>37</v>
      </c>
      <c r="CJ190" s="2">
        <v>0</v>
      </c>
      <c r="CK190" s="2">
        <v>0.73356080000000001</v>
      </c>
      <c r="CL190" s="42" t="s">
        <v>1330</v>
      </c>
      <c r="CM190" s="42">
        <v>170</v>
      </c>
      <c r="CN190" s="42">
        <v>68</v>
      </c>
      <c r="CO190" s="74"/>
      <c r="CT190" s="89">
        <v>92</v>
      </c>
      <c r="CU190" s="2">
        <v>36</v>
      </c>
      <c r="CV190" s="2">
        <v>0</v>
      </c>
      <c r="CW190" s="2">
        <v>7.7036010000000002E-2</v>
      </c>
      <c r="CX190" s="42" t="s">
        <v>1330</v>
      </c>
      <c r="CY190" s="42">
        <v>170</v>
      </c>
      <c r="CZ190" s="42">
        <v>68</v>
      </c>
      <c r="DA190" s="74"/>
      <c r="DF190" s="89">
        <v>94</v>
      </c>
      <c r="DG190" s="2">
        <v>37</v>
      </c>
      <c r="DH190" s="2">
        <v>0</v>
      </c>
      <c r="DI190" s="2">
        <v>0.99136279999999999</v>
      </c>
      <c r="DJ190" s="42" t="s">
        <v>1330</v>
      </c>
      <c r="DK190" s="42">
        <v>170</v>
      </c>
      <c r="DL190" s="42">
        <v>68</v>
      </c>
      <c r="DM190" s="74"/>
      <c r="DR190" s="89">
        <v>80</v>
      </c>
      <c r="DS190" s="2">
        <v>35</v>
      </c>
      <c r="DT190" s="2">
        <v>0</v>
      </c>
      <c r="DU190" s="2">
        <v>0.03</v>
      </c>
      <c r="DV190" s="42" t="s">
        <v>1330</v>
      </c>
      <c r="DW190" s="42">
        <v>170</v>
      </c>
      <c r="DX190" s="42">
        <v>68</v>
      </c>
      <c r="DY190" s="74"/>
      <c r="ED190" s="89">
        <v>86</v>
      </c>
      <c r="EE190" s="2">
        <v>37</v>
      </c>
      <c r="EF190" s="2">
        <v>0</v>
      </c>
      <c r="EG190" s="2">
        <v>2.4E-2</v>
      </c>
      <c r="EH190" s="42" t="s">
        <v>1330</v>
      </c>
      <c r="EI190" s="42">
        <v>170</v>
      </c>
      <c r="EJ190" s="42">
        <v>68</v>
      </c>
      <c r="EK190" s="74"/>
      <c r="ES190">
        <v>86</v>
      </c>
      <c r="ET190">
        <v>37</v>
      </c>
      <c r="EU190">
        <v>0</v>
      </c>
      <c r="EV190">
        <v>2.4E-2</v>
      </c>
    </row>
    <row r="191" spans="1:152" x14ac:dyDescent="0.4">
      <c r="A191" s="89"/>
      <c r="B191" s="2"/>
      <c r="C191" s="2"/>
      <c r="D191" s="2"/>
      <c r="E191" s="43" t="s">
        <v>1340</v>
      </c>
      <c r="F191" s="43">
        <v>169</v>
      </c>
      <c r="G191" s="43">
        <v>69</v>
      </c>
      <c r="H191" s="74">
        <f>SUM(SUMIFS(D$14:D$1004,B$14:B$1004,G191,A$14:A$1004,F191,C$14:C$1004,0))</f>
        <v>0</v>
      </c>
      <c r="N191" s="89">
        <v>83</v>
      </c>
      <c r="O191" s="2">
        <v>35</v>
      </c>
      <c r="P191" s="2">
        <v>0</v>
      </c>
      <c r="Q191" s="2">
        <v>2.0247999999999999</v>
      </c>
      <c r="R191" s="43" t="s">
        <v>1340</v>
      </c>
      <c r="S191" s="43">
        <v>169</v>
      </c>
      <c r="T191" s="43">
        <v>69</v>
      </c>
      <c r="U191" s="74">
        <f>SUM(SUMIFS(Q$14:Q$1004,O$14:O$1004,T191,N$14:N$1004,S191,P$14:P$1004,0))</f>
        <v>0</v>
      </c>
      <c r="Z191" s="89">
        <v>88</v>
      </c>
      <c r="AA191" s="2">
        <v>35</v>
      </c>
      <c r="AB191" s="2">
        <v>0</v>
      </c>
      <c r="AC191" s="2">
        <v>0.26223039999999997</v>
      </c>
      <c r="AD191" s="43" t="s">
        <v>1340</v>
      </c>
      <c r="AE191" s="43">
        <v>169</v>
      </c>
      <c r="AF191" s="43">
        <v>69</v>
      </c>
      <c r="AG191" s="74">
        <f>SUM(SUMIFS(AC$14:AC$1004,AA$14:AA$1004,AF191,Z$14:Z$1004,AE191,AB$14:AB$1004,0))</f>
        <v>1E-3</v>
      </c>
      <c r="AL191" s="89">
        <v>88</v>
      </c>
      <c r="AM191" s="2">
        <v>35</v>
      </c>
      <c r="AN191" s="2">
        <v>0</v>
      </c>
      <c r="AO191" s="2">
        <v>0.1541833</v>
      </c>
      <c r="AP191" s="43" t="s">
        <v>1340</v>
      </c>
      <c r="AQ191" s="43">
        <v>169</v>
      </c>
      <c r="AR191" s="43">
        <v>69</v>
      </c>
      <c r="AS191" s="74">
        <f>SUM(SUMIFS(AO$14:AO$1004,AM$14:AM$1004,AR191,AL$14:AL$1004,AQ191,AN$14:AN$1004,0))</f>
        <v>0</v>
      </c>
      <c r="AX191" s="89">
        <v>89</v>
      </c>
      <c r="AY191" s="2">
        <v>37</v>
      </c>
      <c r="AZ191" s="2">
        <v>0</v>
      </c>
      <c r="BA191" s="2">
        <v>2.3078180000000001</v>
      </c>
      <c r="BB191" s="43" t="s">
        <v>1340</v>
      </c>
      <c r="BC191" s="43">
        <v>169</v>
      </c>
      <c r="BD191" s="43">
        <v>69</v>
      </c>
      <c r="BE191" s="74">
        <f>SUM(SUMIFS(BA$14:BA$1004,AY$14:AY$1004,BD191,AX$14:AX$1004,BC191,AZ$14:AZ$1004,0))</f>
        <v>3.0000000000000001E-3</v>
      </c>
      <c r="BJ191" s="89">
        <v>89</v>
      </c>
      <c r="BK191" s="2">
        <v>37</v>
      </c>
      <c r="BL191" s="2">
        <v>0</v>
      </c>
      <c r="BM191" s="2">
        <v>1.456645</v>
      </c>
      <c r="BN191" s="43" t="s">
        <v>1340</v>
      </c>
      <c r="BO191" s="43">
        <v>169</v>
      </c>
      <c r="BP191" s="43">
        <v>69</v>
      </c>
      <c r="BQ191" s="74">
        <f>SUM(SUMIFS(BM$14:BM$1004,BK$14:BK$1004,BP191,BJ$14:BJ$1004,BO191,BL$14:BL$1004,0))</f>
        <v>3.0000000000000001E-3</v>
      </c>
      <c r="BV191" s="89">
        <v>88</v>
      </c>
      <c r="BW191" s="2">
        <v>37</v>
      </c>
      <c r="BX191" s="2">
        <v>0</v>
      </c>
      <c r="BY191" s="2">
        <v>1.623626</v>
      </c>
      <c r="BZ191" s="43" t="s">
        <v>1340</v>
      </c>
      <c r="CA191" s="43">
        <v>169</v>
      </c>
      <c r="CB191" s="43">
        <v>69</v>
      </c>
      <c r="CC191" s="74">
        <f>SUM(SUMIFS(BY$14:BY$1004,BW$14:BW$1004,CB191,BV$14:BV$1004,CA191,BX$14:BX$1004,0))</f>
        <v>0</v>
      </c>
      <c r="CH191" s="89">
        <v>86</v>
      </c>
      <c r="CI191" s="2">
        <v>37</v>
      </c>
      <c r="CJ191" s="2">
        <v>0</v>
      </c>
      <c r="CK191" s="2">
        <v>9.8000000000000004E-2</v>
      </c>
      <c r="CL191" s="43" t="s">
        <v>1340</v>
      </c>
      <c r="CM191" s="43">
        <v>169</v>
      </c>
      <c r="CN191" s="43">
        <v>69</v>
      </c>
      <c r="CO191" s="74">
        <f>SUM(SUMIFS(CK$14:CK$1004,CI$14:CI$1004,CN191,CH$14:CH$1004,CM191,CJ$14:CJ$1004,0))</f>
        <v>8.0000000000000002E-3</v>
      </c>
      <c r="CT191" s="89">
        <v>93</v>
      </c>
      <c r="CU191" s="2">
        <v>36</v>
      </c>
      <c r="CV191" s="2">
        <v>0</v>
      </c>
      <c r="CW191" s="2">
        <v>2.8039999999999999E-2</v>
      </c>
      <c r="CX191" s="43" t="s">
        <v>1340</v>
      </c>
      <c r="CY191" s="43">
        <v>169</v>
      </c>
      <c r="CZ191" s="43">
        <v>69</v>
      </c>
      <c r="DA191" s="74">
        <f>SUM(SUMIFS(CW$14:CW$1004,CU$14:CU$1004,CZ191,CT$14:CT$1004,CY191,CV$14:CV$1004,0))</f>
        <v>7.4999999999999997E-2</v>
      </c>
      <c r="DF191" s="89">
        <v>95</v>
      </c>
      <c r="DG191" s="2">
        <v>37</v>
      </c>
      <c r="DH191" s="2">
        <v>0</v>
      </c>
      <c r="DI191" s="2">
        <v>0.53466080000000005</v>
      </c>
      <c r="DJ191" s="43" t="s">
        <v>1340</v>
      </c>
      <c r="DK191" s="43">
        <v>169</v>
      </c>
      <c r="DL191" s="43">
        <v>69</v>
      </c>
      <c r="DM191" s="74">
        <f>SUM(SUMIFS(DI$14:DI$1004,DG$14:DG$1004,DL191,DF$14:DF$1004,DK191,DH$14:DH$1004,0))</f>
        <v>2E-3</v>
      </c>
      <c r="DR191" s="89">
        <v>80</v>
      </c>
      <c r="DS191" s="2">
        <v>35</v>
      </c>
      <c r="DT191" s="2">
        <v>1</v>
      </c>
      <c r="DU191" s="2">
        <v>2.8000000000000001E-2</v>
      </c>
      <c r="DV191" s="43" t="s">
        <v>1340</v>
      </c>
      <c r="DW191" s="43">
        <v>169</v>
      </c>
      <c r="DX191" s="43">
        <v>69</v>
      </c>
      <c r="DY191" s="74">
        <f>SUM(SUMIFS(DU$14:DU$1004,DS$14:DS$1004,DX191,DR$14:DR$1004,DW191,DT$14:DT$1004,0))</f>
        <v>2E-3</v>
      </c>
      <c r="ED191" s="89">
        <v>86</v>
      </c>
      <c r="EE191" s="2">
        <v>37</v>
      </c>
      <c r="EF191" s="2">
        <v>1</v>
      </c>
      <c r="EG191" s="2">
        <v>1.476923E-2</v>
      </c>
      <c r="EH191" s="43" t="s">
        <v>1340</v>
      </c>
      <c r="EI191" s="43">
        <v>169</v>
      </c>
      <c r="EJ191" s="43">
        <v>69</v>
      </c>
      <c r="EK191" s="74">
        <f>SUM(SUMIFS(EG$14:EG$1004,EE$14:EE$1004,EJ191,ED$14:ED$1004,EI191,EF$14:EF$1004,0))</f>
        <v>4.0000000000000001E-3</v>
      </c>
      <c r="ES191">
        <v>86</v>
      </c>
      <c r="ET191">
        <v>37</v>
      </c>
      <c r="EU191">
        <v>1</v>
      </c>
      <c r="EV191">
        <v>1.476923E-2</v>
      </c>
    </row>
    <row r="192" spans="1:152" x14ac:dyDescent="0.4">
      <c r="A192" s="89"/>
      <c r="B192" s="2"/>
      <c r="C192" s="2"/>
      <c r="D192" s="2"/>
      <c r="E192" s="42" t="s">
        <v>1329</v>
      </c>
      <c r="F192" s="42">
        <v>168</v>
      </c>
      <c r="G192" s="42">
        <v>70</v>
      </c>
      <c r="H192" s="74" cm="1">
        <f t="array" ref="H192">SUM(SUMIFS(D$14:D$1004,B$14:B$1004,G192:G198,A$14:A$1004,F192:F198,C$14:C$1004,0))</f>
        <v>0</v>
      </c>
      <c r="N192" s="89">
        <v>84</v>
      </c>
      <c r="O192" s="2">
        <v>35</v>
      </c>
      <c r="P192" s="2">
        <v>0</v>
      </c>
      <c r="Q192" s="2">
        <v>0.93179820000000002</v>
      </c>
      <c r="R192" s="42" t="s">
        <v>1329</v>
      </c>
      <c r="S192" s="42">
        <v>168</v>
      </c>
      <c r="T192" s="42">
        <v>70</v>
      </c>
      <c r="U192" s="74" cm="1">
        <f t="array" ref="U192">SUM(SUMIFS(Q$14:Q$1004,O$14:O$1004,T192:T198,N$14:N$1004,S192:S198,P$14:P$1004,0))</f>
        <v>0</v>
      </c>
      <c r="Z192" s="89">
        <v>89</v>
      </c>
      <c r="AA192" s="2">
        <v>35</v>
      </c>
      <c r="AB192" s="2">
        <v>0</v>
      </c>
      <c r="AC192" s="2">
        <v>0.13753199999999999</v>
      </c>
      <c r="AD192" s="42" t="s">
        <v>1329</v>
      </c>
      <c r="AE192" s="42">
        <v>168</v>
      </c>
      <c r="AF192" s="42">
        <v>70</v>
      </c>
      <c r="AG192" s="74" cm="1">
        <f t="array" ref="AG192">SUM(SUMIFS(AC$14:AC$1004,AA$14:AA$1004,AF192:AF198,Z$14:Z$1004,AE192:AE198,AB$14:AB$1004,0))</f>
        <v>0</v>
      </c>
      <c r="AL192" s="89">
        <v>89</v>
      </c>
      <c r="AM192" s="2">
        <v>35</v>
      </c>
      <c r="AN192" s="2">
        <v>0</v>
      </c>
      <c r="AO192" s="2">
        <v>5.4688000000000001E-2</v>
      </c>
      <c r="AP192" s="42" t="s">
        <v>1329</v>
      </c>
      <c r="AQ192" s="42">
        <v>168</v>
      </c>
      <c r="AR192" s="42">
        <v>70</v>
      </c>
      <c r="AS192" s="74" cm="1">
        <f t="array" ref="AS192">SUM(SUMIFS(AO$14:AO$1004,AM$14:AM$1004,AR192:AR198,AL$14:AL$1004,AQ192:AQ198,AN$14:AN$1004,0))</f>
        <v>0</v>
      </c>
      <c r="AX192" s="89">
        <v>90</v>
      </c>
      <c r="AY192" s="2">
        <v>37</v>
      </c>
      <c r="AZ192" s="2">
        <v>0</v>
      </c>
      <c r="BA192" s="2">
        <v>1.173367</v>
      </c>
      <c r="BB192" s="42" t="s">
        <v>1329</v>
      </c>
      <c r="BC192" s="42">
        <v>168</v>
      </c>
      <c r="BD192" s="42">
        <v>70</v>
      </c>
      <c r="BE192" s="74" cm="1">
        <f t="array" ref="BE192">SUM(SUMIFS(BA$14:BA$1004,AY$14:AY$1004,BD192:BD198,AX$14:AX$1004,BC192:BC198,AZ$14:AZ$1004,0))</f>
        <v>1.09987E-2</v>
      </c>
      <c r="BJ192" s="89">
        <v>90</v>
      </c>
      <c r="BK192" s="2">
        <v>37</v>
      </c>
      <c r="BL192" s="2">
        <v>0</v>
      </c>
      <c r="BM192" s="2">
        <v>0.68006310000000003</v>
      </c>
      <c r="BN192" s="42" t="s">
        <v>1329</v>
      </c>
      <c r="BO192" s="42">
        <v>168</v>
      </c>
      <c r="BP192" s="42">
        <v>70</v>
      </c>
      <c r="BQ192" s="74" cm="1">
        <f t="array" ref="BQ192">SUM(SUMIFS(BM$14:BM$1004,BK$14:BK$1004,BP192:BP198,BJ$14:BJ$1004,BO192:BO198,BL$14:BL$1004,0))</f>
        <v>9.9986999999999993E-3</v>
      </c>
      <c r="BV192" s="89">
        <v>89</v>
      </c>
      <c r="BW192" s="2">
        <v>37</v>
      </c>
      <c r="BX192" s="2">
        <v>0</v>
      </c>
      <c r="BY192" s="2">
        <v>1.6901269999999999</v>
      </c>
      <c r="BZ192" s="42" t="s">
        <v>1329</v>
      </c>
      <c r="CA192" s="42">
        <v>168</v>
      </c>
      <c r="CB192" s="42">
        <v>70</v>
      </c>
      <c r="CC192" s="74" cm="1">
        <f t="array" ref="CC192">SUM(SUMIFS(BY$14:BY$1004,BW$14:BW$1004,CB192:CB198,BV$14:BV$1004,CA192:CA198,BX$14:BX$1004,0))</f>
        <v>5.9987E-3</v>
      </c>
      <c r="CH192" s="89">
        <v>86</v>
      </c>
      <c r="CI192" s="2">
        <v>37</v>
      </c>
      <c r="CJ192" s="2">
        <v>1</v>
      </c>
      <c r="CK192" s="2">
        <v>5.9153150000000002E-2</v>
      </c>
      <c r="CL192" s="42" t="s">
        <v>1329</v>
      </c>
      <c r="CM192" s="42">
        <v>168</v>
      </c>
      <c r="CN192" s="42">
        <v>70</v>
      </c>
      <c r="CO192" s="74" cm="1">
        <f t="array" ref="CO192">SUM(SUMIFS(CK$14:CK$1004,CI$14:CI$1004,CN192:CN198,CH$14:CH$1004,CM192:CM198,CJ$14:CJ$1004,0))</f>
        <v>2.3993501E-2</v>
      </c>
      <c r="CT192" s="89">
        <v>94</v>
      </c>
      <c r="CU192" s="2">
        <v>36</v>
      </c>
      <c r="CV192" s="2">
        <v>0</v>
      </c>
      <c r="CW192" s="2">
        <v>1.3599999999999999E-2</v>
      </c>
      <c r="CX192" s="42" t="s">
        <v>1329</v>
      </c>
      <c r="CY192" s="42">
        <v>168</v>
      </c>
      <c r="CZ192" s="42">
        <v>70</v>
      </c>
      <c r="DA192" s="74" cm="1">
        <f t="array" ref="DA192">SUM(SUMIFS(CW$14:CW$1004,CU$14:CU$1004,CZ192:CZ198,CT$14:CT$1004,CY192:CY198,CV$14:CV$1004,0))</f>
        <v>0.18798491000000001</v>
      </c>
      <c r="DF192" s="89">
        <v>96</v>
      </c>
      <c r="DG192" s="2">
        <v>37</v>
      </c>
      <c r="DH192" s="2">
        <v>0</v>
      </c>
      <c r="DI192" s="2">
        <v>0.188278</v>
      </c>
      <c r="DJ192" s="42" t="s">
        <v>1329</v>
      </c>
      <c r="DK192" s="42">
        <v>168</v>
      </c>
      <c r="DL192" s="42">
        <v>70</v>
      </c>
      <c r="DM192" s="74" cm="1">
        <f t="array" ref="DM192">SUM(SUMIFS(DI$14:DI$1004,DG$14:DG$1004,DL192:DL198,DF$14:DF$1004,DK192:DK198,DH$14:DH$1004,0))</f>
        <v>1E-3</v>
      </c>
      <c r="DR192" s="89">
        <v>81</v>
      </c>
      <c r="DS192" s="2">
        <v>35</v>
      </c>
      <c r="DT192" s="2">
        <v>0</v>
      </c>
      <c r="DU192" s="2">
        <v>1.9240429999999999</v>
      </c>
      <c r="DV192" s="42" t="s">
        <v>1329</v>
      </c>
      <c r="DW192" s="42">
        <v>168</v>
      </c>
      <c r="DX192" s="42">
        <v>70</v>
      </c>
      <c r="DY192" s="74" cm="1">
        <f t="array" ref="DY192">SUM(SUMIFS(DU$14:DU$1004,DS$14:DS$1004,DX192:DX198,DR$14:DR$1004,DW192:DW198,DT$14:DT$1004,0))</f>
        <v>0</v>
      </c>
      <c r="ED192" s="89">
        <v>87</v>
      </c>
      <c r="EE192" s="2">
        <v>37</v>
      </c>
      <c r="EF192" s="2">
        <v>0</v>
      </c>
      <c r="EG192" s="2">
        <v>1.047957</v>
      </c>
      <c r="EH192" s="42" t="s">
        <v>1329</v>
      </c>
      <c r="EI192" s="42">
        <v>168</v>
      </c>
      <c r="EJ192" s="42">
        <v>70</v>
      </c>
      <c r="EK192" s="74" cm="1">
        <f t="array" ref="EK192">SUM(SUMIFS(EG$14:EG$1004,EE$14:EE$1004,EJ192:EJ198,ED$14:ED$1004,EI192:EI198,EF$14:EF$1004,0))</f>
        <v>7.0000000000000001E-3</v>
      </c>
      <c r="ES192">
        <v>87</v>
      </c>
      <c r="ET192">
        <v>37</v>
      </c>
      <c r="EU192">
        <v>0</v>
      </c>
      <c r="EV192">
        <v>1.047957</v>
      </c>
    </row>
    <row r="193" spans="1:152" x14ac:dyDescent="0.4">
      <c r="A193" s="89"/>
      <c r="B193" s="2"/>
      <c r="C193" s="2"/>
      <c r="D193" s="2"/>
      <c r="E193" s="42" t="s">
        <v>1329</v>
      </c>
      <c r="F193" s="42">
        <v>170</v>
      </c>
      <c r="G193" s="42">
        <v>70</v>
      </c>
      <c r="H193" s="74"/>
      <c r="N193" s="89">
        <v>84</v>
      </c>
      <c r="O193" s="2">
        <v>35</v>
      </c>
      <c r="P193" s="2">
        <v>1</v>
      </c>
      <c r="Q193" s="2">
        <v>0.83767139999999995</v>
      </c>
      <c r="R193" s="42" t="s">
        <v>1329</v>
      </c>
      <c r="S193" s="42">
        <v>170</v>
      </c>
      <c r="T193" s="42">
        <v>70</v>
      </c>
      <c r="U193" s="74"/>
      <c r="Z193" s="89">
        <v>90</v>
      </c>
      <c r="AA193" s="2">
        <v>35</v>
      </c>
      <c r="AB193" s="2">
        <v>0</v>
      </c>
      <c r="AC193" s="2">
        <v>5.1209999999999999E-2</v>
      </c>
      <c r="AD193" s="42" t="s">
        <v>1329</v>
      </c>
      <c r="AE193" s="42">
        <v>170</v>
      </c>
      <c r="AF193" s="42">
        <v>70</v>
      </c>
      <c r="AG193" s="74"/>
      <c r="AL193" s="89">
        <v>90</v>
      </c>
      <c r="AM193" s="2">
        <v>35</v>
      </c>
      <c r="AN193" s="2">
        <v>0</v>
      </c>
      <c r="AO193" s="2">
        <v>2.921E-2</v>
      </c>
      <c r="AP193" s="42" t="s">
        <v>1329</v>
      </c>
      <c r="AQ193" s="42">
        <v>170</v>
      </c>
      <c r="AR193" s="42">
        <v>70</v>
      </c>
      <c r="AS193" s="74"/>
      <c r="AX193" s="89">
        <v>90</v>
      </c>
      <c r="AY193" s="2">
        <v>37</v>
      </c>
      <c r="AZ193" s="2">
        <v>1</v>
      </c>
      <c r="BA193" s="2">
        <v>0.86873069999999997</v>
      </c>
      <c r="BB193" s="42" t="s">
        <v>1329</v>
      </c>
      <c r="BC193" s="42">
        <v>170</v>
      </c>
      <c r="BD193" s="42">
        <v>70</v>
      </c>
      <c r="BE193" s="74"/>
      <c r="BJ193" s="89">
        <v>90</v>
      </c>
      <c r="BK193" s="2">
        <v>37</v>
      </c>
      <c r="BL193" s="2">
        <v>1</v>
      </c>
      <c r="BM193" s="2">
        <v>0.67397640000000003</v>
      </c>
      <c r="BN193" s="42" t="s">
        <v>1329</v>
      </c>
      <c r="BO193" s="42">
        <v>170</v>
      </c>
      <c r="BP193" s="42">
        <v>70</v>
      </c>
      <c r="BQ193" s="74"/>
      <c r="BV193" s="89">
        <v>90</v>
      </c>
      <c r="BW193" s="2">
        <v>37</v>
      </c>
      <c r="BX193" s="2">
        <v>0</v>
      </c>
      <c r="BY193" s="2">
        <v>1.0710839999999999</v>
      </c>
      <c r="BZ193" s="42" t="s">
        <v>1329</v>
      </c>
      <c r="CA193" s="42">
        <v>170</v>
      </c>
      <c r="CB193" s="42">
        <v>70</v>
      </c>
      <c r="CC193" s="74"/>
      <c r="CH193" s="89">
        <v>87</v>
      </c>
      <c r="CI193" s="2">
        <v>37</v>
      </c>
      <c r="CJ193" s="2">
        <v>0</v>
      </c>
      <c r="CK193" s="2">
        <v>0.95231460000000001</v>
      </c>
      <c r="CL193" s="42" t="s">
        <v>1329</v>
      </c>
      <c r="CM193" s="42">
        <v>170</v>
      </c>
      <c r="CN193" s="42">
        <v>70</v>
      </c>
      <c r="CO193" s="74"/>
      <c r="CT193" s="89">
        <v>95</v>
      </c>
      <c r="CU193" s="2">
        <v>36</v>
      </c>
      <c r="CV193" s="2">
        <v>0</v>
      </c>
      <c r="CW193" s="2">
        <v>4.0000000000000001E-3</v>
      </c>
      <c r="CX193" s="42" t="s">
        <v>1329</v>
      </c>
      <c r="CY193" s="42">
        <v>170</v>
      </c>
      <c r="CZ193" s="42">
        <v>70</v>
      </c>
      <c r="DA193" s="74"/>
      <c r="DF193" s="89">
        <v>96</v>
      </c>
      <c r="DG193" s="2">
        <v>37</v>
      </c>
      <c r="DH193" s="2">
        <v>1</v>
      </c>
      <c r="DI193" s="2">
        <v>3.4763969999999998E-2</v>
      </c>
      <c r="DJ193" s="42" t="s">
        <v>1329</v>
      </c>
      <c r="DK193" s="42">
        <v>170</v>
      </c>
      <c r="DL193" s="42">
        <v>70</v>
      </c>
      <c r="DM193" s="74"/>
      <c r="DR193" s="89">
        <v>82</v>
      </c>
      <c r="DS193" s="2">
        <v>35</v>
      </c>
      <c r="DT193" s="2">
        <v>0</v>
      </c>
      <c r="DU193" s="2">
        <v>0.29816510000000002</v>
      </c>
      <c r="DV193" s="42" t="s">
        <v>1329</v>
      </c>
      <c r="DW193" s="42">
        <v>170</v>
      </c>
      <c r="DX193" s="42">
        <v>70</v>
      </c>
      <c r="DY193" s="74"/>
      <c r="ED193" s="89">
        <v>88</v>
      </c>
      <c r="EE193" s="2">
        <v>37</v>
      </c>
      <c r="EF193" s="2">
        <v>0</v>
      </c>
      <c r="EG193" s="2">
        <v>1.2180979999999999</v>
      </c>
      <c r="EH193" s="42" t="s">
        <v>1329</v>
      </c>
      <c r="EI193" s="42">
        <v>170</v>
      </c>
      <c r="EJ193" s="42">
        <v>70</v>
      </c>
      <c r="EK193" s="74"/>
      <c r="ES193">
        <v>88</v>
      </c>
      <c r="ET193">
        <v>37</v>
      </c>
      <c r="EU193">
        <v>0</v>
      </c>
      <c r="EV193">
        <v>1.2180979999999999</v>
      </c>
    </row>
    <row r="194" spans="1:152" x14ac:dyDescent="0.4">
      <c r="A194" s="89"/>
      <c r="B194" s="2"/>
      <c r="C194" s="2"/>
      <c r="D194" s="2"/>
      <c r="E194" s="42" t="s">
        <v>1329</v>
      </c>
      <c r="F194" s="42">
        <v>171</v>
      </c>
      <c r="G194" s="42">
        <v>70</v>
      </c>
      <c r="H194" s="74"/>
      <c r="N194" s="89">
        <v>85</v>
      </c>
      <c r="O194" s="2">
        <v>35</v>
      </c>
      <c r="P194" s="2">
        <v>0</v>
      </c>
      <c r="Q194" s="2">
        <v>1.3937109999999999</v>
      </c>
      <c r="R194" s="42" t="s">
        <v>1329</v>
      </c>
      <c r="S194" s="42">
        <v>171</v>
      </c>
      <c r="T194" s="42">
        <v>70</v>
      </c>
      <c r="U194" s="74"/>
      <c r="Z194" s="89">
        <v>91</v>
      </c>
      <c r="AA194" s="2">
        <v>35</v>
      </c>
      <c r="AB194" s="2">
        <v>0</v>
      </c>
      <c r="AC194" s="2">
        <v>1.8790000000000001E-2</v>
      </c>
      <c r="AD194" s="42" t="s">
        <v>1329</v>
      </c>
      <c r="AE194" s="42">
        <v>171</v>
      </c>
      <c r="AF194" s="42">
        <v>70</v>
      </c>
      <c r="AG194" s="74"/>
      <c r="AL194" s="89">
        <v>91</v>
      </c>
      <c r="AM194" s="2">
        <v>35</v>
      </c>
      <c r="AN194" s="2">
        <v>0</v>
      </c>
      <c r="AO194" s="2">
        <v>3.79E-3</v>
      </c>
      <c r="AP194" s="42" t="s">
        <v>1329</v>
      </c>
      <c r="AQ194" s="42">
        <v>171</v>
      </c>
      <c r="AR194" s="42">
        <v>70</v>
      </c>
      <c r="AS194" s="74"/>
      <c r="AX194" s="89">
        <v>91</v>
      </c>
      <c r="AY194" s="2">
        <v>37</v>
      </c>
      <c r="AZ194" s="2">
        <v>0</v>
      </c>
      <c r="BA194" s="2">
        <v>1.7427049999999999</v>
      </c>
      <c r="BB194" s="42" t="s">
        <v>1329</v>
      </c>
      <c r="BC194" s="42">
        <v>171</v>
      </c>
      <c r="BD194" s="42">
        <v>70</v>
      </c>
      <c r="BE194" s="74"/>
      <c r="BJ194" s="89">
        <v>91</v>
      </c>
      <c r="BK194" s="2">
        <v>37</v>
      </c>
      <c r="BL194" s="2">
        <v>0</v>
      </c>
      <c r="BM194" s="2">
        <v>1.2138549999999999</v>
      </c>
      <c r="BN194" s="42" t="s">
        <v>1329</v>
      </c>
      <c r="BO194" s="42">
        <v>171</v>
      </c>
      <c r="BP194" s="42">
        <v>70</v>
      </c>
      <c r="BQ194" s="74"/>
      <c r="BV194" s="89">
        <v>90</v>
      </c>
      <c r="BW194" s="2">
        <v>37</v>
      </c>
      <c r="BX194" s="2">
        <v>1</v>
      </c>
      <c r="BY194" s="2">
        <v>0.72329339999999998</v>
      </c>
      <c r="BZ194" s="42" t="s">
        <v>1329</v>
      </c>
      <c r="CA194" s="42">
        <v>171</v>
      </c>
      <c r="CB194" s="42">
        <v>70</v>
      </c>
      <c r="CC194" s="74"/>
      <c r="CH194" s="89">
        <v>88</v>
      </c>
      <c r="CI194" s="2">
        <v>37</v>
      </c>
      <c r="CJ194" s="2">
        <v>0</v>
      </c>
      <c r="CK194" s="2">
        <v>1.1003229999999999</v>
      </c>
      <c r="CL194" s="42" t="s">
        <v>1329</v>
      </c>
      <c r="CM194" s="42">
        <v>171</v>
      </c>
      <c r="CN194" s="42">
        <v>70</v>
      </c>
      <c r="CO194" s="74"/>
      <c r="CT194" s="89">
        <v>84</v>
      </c>
      <c r="CU194" s="2">
        <v>37</v>
      </c>
      <c r="CV194" s="2">
        <v>0</v>
      </c>
      <c r="CW194" s="2">
        <v>3.0000000000000001E-3</v>
      </c>
      <c r="CX194" s="42" t="s">
        <v>1329</v>
      </c>
      <c r="CY194" s="42">
        <v>171</v>
      </c>
      <c r="CZ194" s="42">
        <v>70</v>
      </c>
      <c r="DA194" s="74"/>
      <c r="DF194" s="89">
        <v>97</v>
      </c>
      <c r="DG194" s="2">
        <v>37</v>
      </c>
      <c r="DH194" s="2">
        <v>0</v>
      </c>
      <c r="DI194" s="2">
        <v>9.9002999999999994E-2</v>
      </c>
      <c r="DJ194" s="42" t="s">
        <v>1329</v>
      </c>
      <c r="DK194" s="42">
        <v>171</v>
      </c>
      <c r="DL194" s="42">
        <v>70</v>
      </c>
      <c r="DM194" s="74"/>
      <c r="DR194" s="89">
        <v>82</v>
      </c>
      <c r="DS194" s="2">
        <v>35</v>
      </c>
      <c r="DT194" s="2">
        <v>1</v>
      </c>
      <c r="DU194" s="2">
        <v>3.4789309999999997E-2</v>
      </c>
      <c r="DV194" s="42" t="s">
        <v>1329</v>
      </c>
      <c r="DW194" s="42">
        <v>171</v>
      </c>
      <c r="DX194" s="42">
        <v>70</v>
      </c>
      <c r="DY194" s="74"/>
      <c r="ED194" s="89">
        <v>89</v>
      </c>
      <c r="EE194" s="2">
        <v>37</v>
      </c>
      <c r="EF194" s="2">
        <v>0</v>
      </c>
      <c r="EG194" s="2">
        <v>1.29094</v>
      </c>
      <c r="EH194" s="42" t="s">
        <v>1329</v>
      </c>
      <c r="EI194" s="42">
        <v>171</v>
      </c>
      <c r="EJ194" s="42">
        <v>70</v>
      </c>
      <c r="EK194" s="74"/>
      <c r="ES194">
        <v>89</v>
      </c>
      <c r="ET194">
        <v>37</v>
      </c>
      <c r="EU194">
        <v>0</v>
      </c>
      <c r="EV194">
        <v>1.29094</v>
      </c>
    </row>
    <row r="195" spans="1:152" x14ac:dyDescent="0.4">
      <c r="A195" s="89"/>
      <c r="B195" s="2"/>
      <c r="C195" s="2"/>
      <c r="D195" s="2"/>
      <c r="E195" s="42" t="s">
        <v>1329</v>
      </c>
      <c r="F195" s="42">
        <v>172</v>
      </c>
      <c r="G195" s="42">
        <v>70</v>
      </c>
      <c r="H195" s="74"/>
      <c r="N195" s="89">
        <v>86</v>
      </c>
      <c r="O195" s="2">
        <v>35</v>
      </c>
      <c r="P195" s="2">
        <v>0</v>
      </c>
      <c r="Q195" s="2">
        <v>0.75417400000000001</v>
      </c>
      <c r="R195" s="42" t="s">
        <v>1329</v>
      </c>
      <c r="S195" s="42">
        <v>172</v>
      </c>
      <c r="T195" s="42">
        <v>70</v>
      </c>
      <c r="U195" s="74"/>
      <c r="Z195" s="89">
        <v>92</v>
      </c>
      <c r="AA195" s="2">
        <v>35</v>
      </c>
      <c r="AB195" s="2">
        <v>0</v>
      </c>
      <c r="AC195" s="2">
        <v>6.0000000000000001E-3</v>
      </c>
      <c r="AD195" s="42" t="s">
        <v>1329</v>
      </c>
      <c r="AE195" s="42">
        <v>172</v>
      </c>
      <c r="AF195" s="42">
        <v>70</v>
      </c>
      <c r="AG195" s="74"/>
      <c r="AL195" s="89">
        <v>92</v>
      </c>
      <c r="AM195" s="2">
        <v>35</v>
      </c>
      <c r="AN195" s="2">
        <v>0</v>
      </c>
      <c r="AO195" s="2">
        <v>3.0000000000000001E-3</v>
      </c>
      <c r="AP195" s="42" t="s">
        <v>1329</v>
      </c>
      <c r="AQ195" s="42">
        <v>172</v>
      </c>
      <c r="AR195" s="42">
        <v>70</v>
      </c>
      <c r="AS195" s="74"/>
      <c r="AX195" s="89">
        <v>92</v>
      </c>
      <c r="AY195" s="2">
        <v>37</v>
      </c>
      <c r="AZ195" s="2">
        <v>0</v>
      </c>
      <c r="BA195" s="2">
        <v>1.258399</v>
      </c>
      <c r="BB195" s="42" t="s">
        <v>1329</v>
      </c>
      <c r="BC195" s="42">
        <v>172</v>
      </c>
      <c r="BD195" s="42">
        <v>70</v>
      </c>
      <c r="BE195" s="74"/>
      <c r="BJ195" s="89">
        <v>92</v>
      </c>
      <c r="BK195" s="2">
        <v>37</v>
      </c>
      <c r="BL195" s="2">
        <v>0</v>
      </c>
      <c r="BM195" s="2">
        <v>0.82370500000000002</v>
      </c>
      <c r="BN195" s="42" t="s">
        <v>1329</v>
      </c>
      <c r="BO195" s="42">
        <v>172</v>
      </c>
      <c r="BP195" s="42">
        <v>70</v>
      </c>
      <c r="BQ195" s="74"/>
      <c r="BV195" s="89">
        <v>91</v>
      </c>
      <c r="BW195" s="2">
        <v>37</v>
      </c>
      <c r="BX195" s="2">
        <v>0</v>
      </c>
      <c r="BY195" s="2">
        <v>1.731379</v>
      </c>
      <c r="BZ195" s="42" t="s">
        <v>1329</v>
      </c>
      <c r="CA195" s="42">
        <v>172</v>
      </c>
      <c r="CB195" s="42">
        <v>70</v>
      </c>
      <c r="CC195" s="74"/>
      <c r="CH195" s="89">
        <v>89</v>
      </c>
      <c r="CI195" s="2">
        <v>37</v>
      </c>
      <c r="CJ195" s="2">
        <v>0</v>
      </c>
      <c r="CK195" s="2">
        <v>1.0440149999999999</v>
      </c>
      <c r="CL195" s="42" t="s">
        <v>1329</v>
      </c>
      <c r="CM195" s="42">
        <v>172</v>
      </c>
      <c r="CN195" s="42">
        <v>70</v>
      </c>
      <c r="CO195" s="74"/>
      <c r="CT195" s="89">
        <v>84</v>
      </c>
      <c r="CU195" s="2">
        <v>37</v>
      </c>
      <c r="CV195" s="2">
        <v>1</v>
      </c>
      <c r="CW195" s="2">
        <v>2E-3</v>
      </c>
      <c r="CX195" s="42" t="s">
        <v>1329</v>
      </c>
      <c r="CY195" s="42">
        <v>172</v>
      </c>
      <c r="CZ195" s="42">
        <v>70</v>
      </c>
      <c r="DA195" s="74"/>
      <c r="DF195" s="89">
        <v>98</v>
      </c>
      <c r="DG195" s="2">
        <v>37</v>
      </c>
      <c r="DH195" s="2">
        <v>0</v>
      </c>
      <c r="DI195" s="2">
        <v>3.1E-2</v>
      </c>
      <c r="DJ195" s="42" t="s">
        <v>1329</v>
      </c>
      <c r="DK195" s="42">
        <v>172</v>
      </c>
      <c r="DL195" s="42">
        <v>70</v>
      </c>
      <c r="DM195" s="74"/>
      <c r="DR195" s="89">
        <v>83</v>
      </c>
      <c r="DS195" s="2">
        <v>35</v>
      </c>
      <c r="DT195" s="2">
        <v>0</v>
      </c>
      <c r="DU195" s="2">
        <v>2.1091259999999998</v>
      </c>
      <c r="DV195" s="42" t="s">
        <v>1329</v>
      </c>
      <c r="DW195" s="42">
        <v>172</v>
      </c>
      <c r="DX195" s="42">
        <v>70</v>
      </c>
      <c r="DY195" s="74"/>
      <c r="ED195" s="89">
        <v>90</v>
      </c>
      <c r="EE195" s="2">
        <v>37</v>
      </c>
      <c r="EF195" s="2">
        <v>0</v>
      </c>
      <c r="EG195" s="2">
        <v>0.7196283</v>
      </c>
      <c r="EH195" s="42" t="s">
        <v>1329</v>
      </c>
      <c r="EI195" s="42">
        <v>172</v>
      </c>
      <c r="EJ195" s="42">
        <v>70</v>
      </c>
      <c r="EK195" s="74"/>
      <c r="ES195">
        <v>90</v>
      </c>
      <c r="ET195">
        <v>37</v>
      </c>
      <c r="EU195">
        <v>0</v>
      </c>
      <c r="EV195">
        <v>0.7196283</v>
      </c>
    </row>
    <row r="196" spans="1:152" x14ac:dyDescent="0.4">
      <c r="A196" s="89"/>
      <c r="B196" s="2"/>
      <c r="C196" s="2"/>
      <c r="D196" s="2"/>
      <c r="E196" s="42" t="s">
        <v>1329</v>
      </c>
      <c r="F196" s="42">
        <v>173</v>
      </c>
      <c r="G196" s="42">
        <v>70</v>
      </c>
      <c r="H196" s="74"/>
      <c r="N196" s="89">
        <v>87</v>
      </c>
      <c r="O196" s="2">
        <v>35</v>
      </c>
      <c r="P196" s="2">
        <v>0</v>
      </c>
      <c r="Q196" s="2">
        <v>0.43405389999999999</v>
      </c>
      <c r="R196" s="42" t="s">
        <v>1329</v>
      </c>
      <c r="S196" s="42">
        <v>173</v>
      </c>
      <c r="T196" s="42">
        <v>70</v>
      </c>
      <c r="U196" s="74"/>
      <c r="Z196" s="89">
        <v>93</v>
      </c>
      <c r="AA196" s="2">
        <v>35</v>
      </c>
      <c r="AB196" s="2">
        <v>0</v>
      </c>
      <c r="AC196" s="2">
        <v>1E-3</v>
      </c>
      <c r="AD196" s="42" t="s">
        <v>1329</v>
      </c>
      <c r="AE196" s="42">
        <v>173</v>
      </c>
      <c r="AF196" s="42">
        <v>70</v>
      </c>
      <c r="AG196" s="74"/>
      <c r="AL196" s="89">
        <v>79</v>
      </c>
      <c r="AM196" s="2">
        <v>36</v>
      </c>
      <c r="AN196" s="2">
        <v>0</v>
      </c>
      <c r="AO196" s="2">
        <v>6.0000000000000001E-3</v>
      </c>
      <c r="AP196" s="42" t="s">
        <v>1329</v>
      </c>
      <c r="AQ196" s="42">
        <v>173</v>
      </c>
      <c r="AR196" s="42">
        <v>70</v>
      </c>
      <c r="AS196" s="74"/>
      <c r="AX196" s="89">
        <v>93</v>
      </c>
      <c r="AY196" s="2">
        <v>37</v>
      </c>
      <c r="AZ196" s="2">
        <v>0</v>
      </c>
      <c r="BA196" s="2">
        <v>0.79532639999999999</v>
      </c>
      <c r="BB196" s="42" t="s">
        <v>1329</v>
      </c>
      <c r="BC196" s="42">
        <v>173</v>
      </c>
      <c r="BD196" s="42">
        <v>70</v>
      </c>
      <c r="BE196" s="74"/>
      <c r="BJ196" s="89">
        <v>93</v>
      </c>
      <c r="BK196" s="2">
        <v>37</v>
      </c>
      <c r="BL196" s="2">
        <v>0</v>
      </c>
      <c r="BM196" s="2">
        <v>0.52483979999999997</v>
      </c>
      <c r="BN196" s="42" t="s">
        <v>1329</v>
      </c>
      <c r="BO196" s="42">
        <v>173</v>
      </c>
      <c r="BP196" s="42">
        <v>70</v>
      </c>
      <c r="BQ196" s="74"/>
      <c r="BV196" s="89">
        <v>92</v>
      </c>
      <c r="BW196" s="2">
        <v>37</v>
      </c>
      <c r="BX196" s="2">
        <v>0</v>
      </c>
      <c r="BY196" s="2">
        <v>1.3951009999999999</v>
      </c>
      <c r="BZ196" s="42" t="s">
        <v>1329</v>
      </c>
      <c r="CA196" s="42">
        <v>173</v>
      </c>
      <c r="CB196" s="42">
        <v>70</v>
      </c>
      <c r="CC196" s="74"/>
      <c r="CH196" s="89">
        <v>90</v>
      </c>
      <c r="CI196" s="2">
        <v>37</v>
      </c>
      <c r="CJ196" s="2">
        <v>0</v>
      </c>
      <c r="CK196" s="2">
        <v>0.45914929999999998</v>
      </c>
      <c r="CL196" s="42" t="s">
        <v>1329</v>
      </c>
      <c r="CM196" s="42">
        <v>173</v>
      </c>
      <c r="CN196" s="42">
        <v>70</v>
      </c>
      <c r="CO196" s="74"/>
      <c r="CT196" s="89">
        <v>85</v>
      </c>
      <c r="CU196" s="2">
        <v>37</v>
      </c>
      <c r="CV196" s="2">
        <v>0</v>
      </c>
      <c r="CW196" s="2">
        <v>0.44824079999999999</v>
      </c>
      <c r="CX196" s="42" t="s">
        <v>1329</v>
      </c>
      <c r="CY196" s="42">
        <v>173</v>
      </c>
      <c r="CZ196" s="42">
        <v>70</v>
      </c>
      <c r="DA196" s="74"/>
      <c r="DF196" s="89">
        <v>98</v>
      </c>
      <c r="DG196" s="2">
        <v>37</v>
      </c>
      <c r="DH196" s="2">
        <v>1</v>
      </c>
      <c r="DI196" s="2">
        <v>9.3000000000000005E-4</v>
      </c>
      <c r="DJ196" s="42" t="s">
        <v>1329</v>
      </c>
      <c r="DK196" s="42">
        <v>173</v>
      </c>
      <c r="DL196" s="42">
        <v>70</v>
      </c>
      <c r="DM196" s="74"/>
      <c r="DR196" s="89">
        <v>84</v>
      </c>
      <c r="DS196" s="2">
        <v>35</v>
      </c>
      <c r="DT196" s="2">
        <v>0</v>
      </c>
      <c r="DU196" s="2">
        <v>1.4670510000000001</v>
      </c>
      <c r="DV196" s="42" t="s">
        <v>1329</v>
      </c>
      <c r="DW196" s="42">
        <v>173</v>
      </c>
      <c r="DX196" s="42">
        <v>70</v>
      </c>
      <c r="DY196" s="74"/>
      <c r="ED196" s="89">
        <v>90</v>
      </c>
      <c r="EE196" s="2">
        <v>37</v>
      </c>
      <c r="EF196" s="2">
        <v>1</v>
      </c>
      <c r="EG196" s="2">
        <v>0.58688879999999999</v>
      </c>
      <c r="EH196" s="42" t="s">
        <v>1329</v>
      </c>
      <c r="EI196" s="42">
        <v>173</v>
      </c>
      <c r="EJ196" s="42">
        <v>70</v>
      </c>
      <c r="EK196" s="74"/>
      <c r="ES196">
        <v>90</v>
      </c>
      <c r="ET196">
        <v>37</v>
      </c>
      <c r="EU196">
        <v>1</v>
      </c>
      <c r="EV196">
        <v>0.58688879999999999</v>
      </c>
    </row>
    <row r="197" spans="1:152" x14ac:dyDescent="0.4">
      <c r="A197" s="89"/>
      <c r="B197" s="2"/>
      <c r="C197" s="2"/>
      <c r="D197" s="2"/>
      <c r="E197" s="42" t="s">
        <v>1329</v>
      </c>
      <c r="F197" s="42">
        <v>174</v>
      </c>
      <c r="G197" s="42">
        <v>70</v>
      </c>
      <c r="H197" s="74"/>
      <c r="N197" s="89">
        <v>88</v>
      </c>
      <c r="O197" s="2">
        <v>35</v>
      </c>
      <c r="P197" s="2">
        <v>0</v>
      </c>
      <c r="Q197" s="2">
        <v>0.25118210000000002</v>
      </c>
      <c r="R197" s="42" t="s">
        <v>1329</v>
      </c>
      <c r="S197" s="42">
        <v>174</v>
      </c>
      <c r="T197" s="42">
        <v>70</v>
      </c>
      <c r="U197" s="74"/>
      <c r="Z197" s="89">
        <v>94</v>
      </c>
      <c r="AA197" s="2">
        <v>35</v>
      </c>
      <c r="AB197" s="2">
        <v>0</v>
      </c>
      <c r="AC197" s="2">
        <v>3.0000000000000001E-3</v>
      </c>
      <c r="AD197" s="42" t="s">
        <v>1329</v>
      </c>
      <c r="AE197" s="42">
        <v>174</v>
      </c>
      <c r="AF197" s="42">
        <v>70</v>
      </c>
      <c r="AG197" s="74"/>
      <c r="AL197" s="89">
        <v>79</v>
      </c>
      <c r="AM197" s="2">
        <v>36</v>
      </c>
      <c r="AN197" s="2">
        <v>1</v>
      </c>
      <c r="AO197" s="2">
        <v>6.0000000000000001E-3</v>
      </c>
      <c r="AP197" s="42" t="s">
        <v>1329</v>
      </c>
      <c r="AQ197" s="42">
        <v>174</v>
      </c>
      <c r="AR197" s="42">
        <v>70</v>
      </c>
      <c r="AS197" s="74"/>
      <c r="AX197" s="89">
        <v>94</v>
      </c>
      <c r="AY197" s="2">
        <v>37</v>
      </c>
      <c r="AZ197" s="2">
        <v>0</v>
      </c>
      <c r="BA197" s="2">
        <v>0.38786330000000002</v>
      </c>
      <c r="BB197" s="42" t="s">
        <v>1329</v>
      </c>
      <c r="BC197" s="42">
        <v>174</v>
      </c>
      <c r="BD197" s="42">
        <v>70</v>
      </c>
      <c r="BE197" s="74"/>
      <c r="BJ197" s="89">
        <v>94</v>
      </c>
      <c r="BK197" s="2">
        <v>37</v>
      </c>
      <c r="BL197" s="2">
        <v>0</v>
      </c>
      <c r="BM197" s="2">
        <v>0.2569437</v>
      </c>
      <c r="BN197" s="42" t="s">
        <v>1329</v>
      </c>
      <c r="BO197" s="42">
        <v>174</v>
      </c>
      <c r="BP197" s="42">
        <v>70</v>
      </c>
      <c r="BQ197" s="74"/>
      <c r="BV197" s="89">
        <v>93</v>
      </c>
      <c r="BW197" s="2">
        <v>37</v>
      </c>
      <c r="BX197" s="2">
        <v>0</v>
      </c>
      <c r="BY197" s="2">
        <v>0.93818939999999995</v>
      </c>
      <c r="BZ197" s="42" t="s">
        <v>1329</v>
      </c>
      <c r="CA197" s="42">
        <v>174</v>
      </c>
      <c r="CB197" s="42">
        <v>70</v>
      </c>
      <c r="CC197" s="74"/>
      <c r="CH197" s="89">
        <v>90</v>
      </c>
      <c r="CI197" s="2">
        <v>37</v>
      </c>
      <c r="CJ197" s="2">
        <v>1</v>
      </c>
      <c r="CK197" s="2">
        <v>0.55908290000000005</v>
      </c>
      <c r="CL197" s="42" t="s">
        <v>1329</v>
      </c>
      <c r="CM197" s="42">
        <v>174</v>
      </c>
      <c r="CN197" s="42">
        <v>70</v>
      </c>
      <c r="CO197" s="74"/>
      <c r="CT197" s="89">
        <v>86</v>
      </c>
      <c r="CU197" s="2">
        <v>37</v>
      </c>
      <c r="CV197" s="2">
        <v>0</v>
      </c>
      <c r="CW197" s="2">
        <v>4.5999999999999999E-2</v>
      </c>
      <c r="CX197" s="42" t="s">
        <v>1329</v>
      </c>
      <c r="CY197" s="42">
        <v>174</v>
      </c>
      <c r="CZ197" s="42">
        <v>70</v>
      </c>
      <c r="DA197" s="74"/>
      <c r="DF197" s="89">
        <v>99</v>
      </c>
      <c r="DG197" s="2">
        <v>37</v>
      </c>
      <c r="DH197" s="2">
        <v>0</v>
      </c>
      <c r="DI197" s="2">
        <v>9.0000010000000005E-3</v>
      </c>
      <c r="DJ197" s="42" t="s">
        <v>1329</v>
      </c>
      <c r="DK197" s="42">
        <v>174</v>
      </c>
      <c r="DL197" s="42">
        <v>70</v>
      </c>
      <c r="DM197" s="74"/>
      <c r="DR197" s="89">
        <v>84</v>
      </c>
      <c r="DS197" s="2">
        <v>35</v>
      </c>
      <c r="DT197" s="2">
        <v>1</v>
      </c>
      <c r="DU197" s="2">
        <v>0.6845078</v>
      </c>
      <c r="DV197" s="42" t="s">
        <v>1329</v>
      </c>
      <c r="DW197" s="42">
        <v>174</v>
      </c>
      <c r="DX197" s="42">
        <v>70</v>
      </c>
      <c r="DY197" s="74"/>
      <c r="ED197" s="89">
        <v>91</v>
      </c>
      <c r="EE197" s="2">
        <v>37</v>
      </c>
      <c r="EF197" s="2">
        <v>0</v>
      </c>
      <c r="EG197" s="2">
        <v>1.1631100000000001</v>
      </c>
      <c r="EH197" s="42" t="s">
        <v>1329</v>
      </c>
      <c r="EI197" s="42">
        <v>174</v>
      </c>
      <c r="EJ197" s="42">
        <v>70</v>
      </c>
      <c r="EK197" s="74"/>
      <c r="ES197">
        <v>91</v>
      </c>
      <c r="ET197">
        <v>37</v>
      </c>
      <c r="EU197">
        <v>0</v>
      </c>
      <c r="EV197">
        <v>1.1631100000000001</v>
      </c>
    </row>
    <row r="198" spans="1:152" x14ac:dyDescent="0.4">
      <c r="A198" s="89"/>
      <c r="B198" s="2"/>
      <c r="C198" s="2"/>
      <c r="D198" s="2"/>
      <c r="E198" s="42" t="s">
        <v>1329</v>
      </c>
      <c r="F198" s="42">
        <v>176</v>
      </c>
      <c r="G198" s="42">
        <v>70</v>
      </c>
      <c r="H198" s="74"/>
      <c r="N198" s="89">
        <v>89</v>
      </c>
      <c r="O198" s="2">
        <v>35</v>
      </c>
      <c r="P198" s="2">
        <v>0</v>
      </c>
      <c r="Q198" s="2">
        <v>0.10460999999999999</v>
      </c>
      <c r="R198" s="42" t="s">
        <v>1329</v>
      </c>
      <c r="S198" s="42">
        <v>176</v>
      </c>
      <c r="T198" s="42">
        <v>70</v>
      </c>
      <c r="U198" s="74"/>
      <c r="Z198" s="89">
        <v>80</v>
      </c>
      <c r="AA198" s="2">
        <v>36</v>
      </c>
      <c r="AB198" s="2">
        <v>0</v>
      </c>
      <c r="AC198" s="2">
        <v>7.3525999999999994E-2</v>
      </c>
      <c r="AD198" s="42" t="s">
        <v>1329</v>
      </c>
      <c r="AE198" s="42">
        <v>176</v>
      </c>
      <c r="AF198" s="42">
        <v>70</v>
      </c>
      <c r="AG198" s="74"/>
      <c r="AL198" s="89">
        <v>80</v>
      </c>
      <c r="AM198" s="2">
        <v>36</v>
      </c>
      <c r="AN198" s="2">
        <v>0</v>
      </c>
      <c r="AO198" s="2">
        <v>0.206902</v>
      </c>
      <c r="AP198" s="42" t="s">
        <v>1329</v>
      </c>
      <c r="AQ198" s="42">
        <v>176</v>
      </c>
      <c r="AR198" s="42">
        <v>70</v>
      </c>
      <c r="AS198" s="74"/>
      <c r="AX198" s="89">
        <v>95</v>
      </c>
      <c r="AY198" s="2">
        <v>37</v>
      </c>
      <c r="AZ198" s="2">
        <v>0</v>
      </c>
      <c r="BA198" s="2">
        <v>0.18580740000000001</v>
      </c>
      <c r="BB198" s="42" t="s">
        <v>1329</v>
      </c>
      <c r="BC198" s="42">
        <v>176</v>
      </c>
      <c r="BD198" s="42">
        <v>70</v>
      </c>
      <c r="BE198" s="74"/>
      <c r="BJ198" s="89">
        <v>95</v>
      </c>
      <c r="BK198" s="2">
        <v>37</v>
      </c>
      <c r="BL198" s="2">
        <v>0</v>
      </c>
      <c r="BM198" s="2">
        <v>0.1070045</v>
      </c>
      <c r="BN198" s="42" t="s">
        <v>1329</v>
      </c>
      <c r="BO198" s="42">
        <v>176</v>
      </c>
      <c r="BP198" s="42">
        <v>70</v>
      </c>
      <c r="BQ198" s="74"/>
      <c r="BV198" s="89">
        <v>94</v>
      </c>
      <c r="BW198" s="2">
        <v>37</v>
      </c>
      <c r="BX198" s="2">
        <v>0</v>
      </c>
      <c r="BY198" s="2">
        <v>0.54704629999999999</v>
      </c>
      <c r="BZ198" s="42" t="s">
        <v>1329</v>
      </c>
      <c r="CA198" s="42">
        <v>176</v>
      </c>
      <c r="CB198" s="42">
        <v>70</v>
      </c>
      <c r="CC198" s="74"/>
      <c r="CH198" s="89">
        <v>91</v>
      </c>
      <c r="CI198" s="2">
        <v>37</v>
      </c>
      <c r="CJ198" s="2">
        <v>0</v>
      </c>
      <c r="CK198" s="2">
        <v>0.82472400000000001</v>
      </c>
      <c r="CL198" s="42" t="s">
        <v>1329</v>
      </c>
      <c r="CM198" s="42">
        <v>176</v>
      </c>
      <c r="CN198" s="42">
        <v>70</v>
      </c>
      <c r="CO198" s="74"/>
      <c r="CT198" s="89">
        <v>86</v>
      </c>
      <c r="CU198" s="2">
        <v>37</v>
      </c>
      <c r="CV198" s="2">
        <v>1</v>
      </c>
      <c r="CW198" s="2">
        <v>3.4274510000000001E-2</v>
      </c>
      <c r="CX198" s="42" t="s">
        <v>1329</v>
      </c>
      <c r="CY198" s="42">
        <v>176</v>
      </c>
      <c r="CZ198" s="42">
        <v>70</v>
      </c>
      <c r="DA198" s="74"/>
      <c r="DF198" s="89">
        <v>86</v>
      </c>
      <c r="DG198" s="2">
        <v>38</v>
      </c>
      <c r="DH198" s="2">
        <v>0</v>
      </c>
      <c r="DI198" s="2">
        <v>4.0000000000000001E-3</v>
      </c>
      <c r="DJ198" s="42" t="s">
        <v>1329</v>
      </c>
      <c r="DK198" s="42">
        <v>176</v>
      </c>
      <c r="DL198" s="42">
        <v>70</v>
      </c>
      <c r="DM198" s="74"/>
      <c r="DR198" s="89">
        <v>85</v>
      </c>
      <c r="DS198" s="2">
        <v>35</v>
      </c>
      <c r="DT198" s="2">
        <v>0</v>
      </c>
      <c r="DU198" s="2">
        <v>1.9392959999999999</v>
      </c>
      <c r="DV198" s="42" t="s">
        <v>1329</v>
      </c>
      <c r="DW198" s="42">
        <v>176</v>
      </c>
      <c r="DX198" s="42">
        <v>70</v>
      </c>
      <c r="DY198" s="74"/>
      <c r="ED198" s="89">
        <v>92</v>
      </c>
      <c r="EE198" s="2">
        <v>37</v>
      </c>
      <c r="EF198" s="2">
        <v>0</v>
      </c>
      <c r="EG198" s="2">
        <v>0.98904999999999998</v>
      </c>
      <c r="EH198" s="42" t="s">
        <v>1329</v>
      </c>
      <c r="EI198" s="42">
        <v>176</v>
      </c>
      <c r="EJ198" s="42">
        <v>70</v>
      </c>
      <c r="EK198" s="74"/>
      <c r="ES198">
        <v>92</v>
      </c>
      <c r="ET198">
        <v>37</v>
      </c>
      <c r="EU198">
        <v>0</v>
      </c>
      <c r="EV198">
        <v>0.98904999999999998</v>
      </c>
    </row>
    <row r="199" spans="1:152" x14ac:dyDescent="0.4">
      <c r="A199" s="89"/>
      <c r="B199" s="2"/>
      <c r="C199" s="2"/>
      <c r="D199" s="2"/>
      <c r="E199" s="43" t="s">
        <v>1377</v>
      </c>
      <c r="F199" s="43">
        <v>175</v>
      </c>
      <c r="G199" s="43">
        <v>71</v>
      </c>
      <c r="H199" s="74">
        <f>SUM(SUMIFS(D$14:D$1004,B$14:B$1004,G199,A$14:A$1004,F199,C$14:C$1004,0))</f>
        <v>0</v>
      </c>
      <c r="N199" s="89">
        <v>90</v>
      </c>
      <c r="O199" s="2">
        <v>35</v>
      </c>
      <c r="P199" s="2">
        <v>0</v>
      </c>
      <c r="Q199" s="2">
        <v>5.0999999999999997E-2</v>
      </c>
      <c r="R199" s="43" t="s">
        <v>1377</v>
      </c>
      <c r="S199" s="43">
        <v>175</v>
      </c>
      <c r="T199" s="43">
        <v>71</v>
      </c>
      <c r="U199" s="74">
        <f>SUM(SUMIFS(Q$14:Q$1004,O$14:O$1004,T199,N$14:N$1004,S199,P$14:P$1004,0))</f>
        <v>0</v>
      </c>
      <c r="Z199" s="89">
        <v>81</v>
      </c>
      <c r="AA199" s="2">
        <v>36</v>
      </c>
      <c r="AB199" s="2">
        <v>0</v>
      </c>
      <c r="AC199" s="2">
        <v>1.4E-2</v>
      </c>
      <c r="AD199" s="43" t="s">
        <v>1377</v>
      </c>
      <c r="AE199" s="43">
        <v>175</v>
      </c>
      <c r="AF199" s="43">
        <v>71</v>
      </c>
      <c r="AG199" s="74">
        <f>SUM(SUMIFS(AC$14:AC$1004,AA$14:AA$1004,AF199,Z$14:Z$1004,AE199,AB$14:AB$1004,0))</f>
        <v>0</v>
      </c>
      <c r="AL199" s="89">
        <v>81</v>
      </c>
      <c r="AM199" s="2">
        <v>36</v>
      </c>
      <c r="AN199" s="2">
        <v>0</v>
      </c>
      <c r="AO199" s="2">
        <v>7.1999999999999995E-2</v>
      </c>
      <c r="AP199" s="43" t="s">
        <v>1377</v>
      </c>
      <c r="AQ199" s="43">
        <v>175</v>
      </c>
      <c r="AR199" s="43">
        <v>71</v>
      </c>
      <c r="AS199" s="74">
        <f>SUM(SUMIFS(AO$14:AO$1004,AM$14:AM$1004,AR199,AL$14:AL$1004,AQ199,AN$14:AN$1004,0))</f>
        <v>0</v>
      </c>
      <c r="AX199" s="89">
        <v>96</v>
      </c>
      <c r="AY199" s="2">
        <v>37</v>
      </c>
      <c r="AZ199" s="2">
        <v>0</v>
      </c>
      <c r="BA199" s="2">
        <v>5.5806990000000001E-2</v>
      </c>
      <c r="BB199" s="43" t="s">
        <v>1377</v>
      </c>
      <c r="BC199" s="43">
        <v>175</v>
      </c>
      <c r="BD199" s="43">
        <v>71</v>
      </c>
      <c r="BE199" s="74">
        <f>SUM(SUMIFS(BA$14:BA$1004,AY$14:AY$1004,BD199,AX$14:AX$1004,BC199,AZ$14:AZ$1004,0))</f>
        <v>2E-3</v>
      </c>
      <c r="BJ199" s="89">
        <v>96</v>
      </c>
      <c r="BK199" s="2">
        <v>37</v>
      </c>
      <c r="BL199" s="2">
        <v>0</v>
      </c>
      <c r="BM199" s="2">
        <v>4.0217570000000001E-2</v>
      </c>
      <c r="BN199" s="43" t="s">
        <v>1377</v>
      </c>
      <c r="BO199" s="43">
        <v>175</v>
      </c>
      <c r="BP199" s="43">
        <v>71</v>
      </c>
      <c r="BQ199" s="74">
        <f>SUM(SUMIFS(BM$14:BM$1004,BK$14:BK$1004,BP199,BJ$14:BJ$1004,BO199,BL$14:BL$1004,0))</f>
        <v>1E-3</v>
      </c>
      <c r="BV199" s="89">
        <v>95</v>
      </c>
      <c r="BW199" s="2">
        <v>37</v>
      </c>
      <c r="BX199" s="2">
        <v>0</v>
      </c>
      <c r="BY199" s="2">
        <v>0.25486930000000002</v>
      </c>
      <c r="BZ199" s="43" t="s">
        <v>1377</v>
      </c>
      <c r="CA199" s="43">
        <v>175</v>
      </c>
      <c r="CB199" s="43">
        <v>71</v>
      </c>
      <c r="CC199" s="74">
        <f>SUM(SUMIFS(BY$14:BY$1004,BW$14:BW$1004,CB199,BV$14:BV$1004,CA199,BX$14:BX$1004,0))</f>
        <v>0</v>
      </c>
      <c r="CH199" s="89">
        <v>92</v>
      </c>
      <c r="CI199" s="2">
        <v>37</v>
      </c>
      <c r="CJ199" s="2">
        <v>0</v>
      </c>
      <c r="CK199" s="2">
        <v>0.598356</v>
      </c>
      <c r="CL199" s="43" t="s">
        <v>1377</v>
      </c>
      <c r="CM199" s="43">
        <v>175</v>
      </c>
      <c r="CN199" s="43">
        <v>71</v>
      </c>
      <c r="CO199" s="74">
        <f>SUM(SUMIFS(CK$14:CK$1004,CI$14:CI$1004,CN199,CH$14:CH$1004,CM199,CJ$14:CJ$1004,0))</f>
        <v>1E-3</v>
      </c>
      <c r="CT199" s="89">
        <v>87</v>
      </c>
      <c r="CU199" s="2">
        <v>37</v>
      </c>
      <c r="CV199" s="2">
        <v>0</v>
      </c>
      <c r="CW199" s="2">
        <v>0.58913749999999998</v>
      </c>
      <c r="CX199" s="43" t="s">
        <v>1377</v>
      </c>
      <c r="CY199" s="43">
        <v>175</v>
      </c>
      <c r="CZ199" s="43">
        <v>71</v>
      </c>
      <c r="DA199" s="74">
        <f>SUM(SUMIFS(CW$14:CW$1004,CU$14:CU$1004,CZ199,CT$14:CT$1004,CY199,CV$14:CV$1004,0))</f>
        <v>1.2999999999999999E-2</v>
      </c>
      <c r="DF199" s="89">
        <v>87</v>
      </c>
      <c r="DG199" s="2">
        <v>38</v>
      </c>
      <c r="DH199" s="2">
        <v>0</v>
      </c>
      <c r="DI199" s="2">
        <v>9.9850000000000004E-4</v>
      </c>
      <c r="DJ199" s="43" t="s">
        <v>1377</v>
      </c>
      <c r="DK199" s="43">
        <v>175</v>
      </c>
      <c r="DL199" s="43">
        <v>71</v>
      </c>
      <c r="DM199" s="74">
        <f>SUM(SUMIFS(DI$14:DI$1004,DG$14:DG$1004,DL199,DF$14:DF$1004,DK199,DH$14:DH$1004,0))</f>
        <v>0</v>
      </c>
      <c r="DR199" s="89">
        <v>86</v>
      </c>
      <c r="DS199" s="2">
        <v>35</v>
      </c>
      <c r="DT199" s="2">
        <v>0</v>
      </c>
      <c r="DU199" s="2">
        <v>1.422698</v>
      </c>
      <c r="DV199" s="43" t="s">
        <v>1377</v>
      </c>
      <c r="DW199" s="43">
        <v>175</v>
      </c>
      <c r="DX199" s="43">
        <v>71</v>
      </c>
      <c r="DY199" s="74">
        <f>SUM(SUMIFS(DU$14:DU$1004,DS$14:DS$1004,DX199,DR$14:DR$1004,DW199,DT$14:DT$1004,0))</f>
        <v>0</v>
      </c>
      <c r="ED199" s="89">
        <v>93</v>
      </c>
      <c r="EE199" s="2">
        <v>37</v>
      </c>
      <c r="EF199" s="2">
        <v>0</v>
      </c>
      <c r="EG199" s="2">
        <v>0.65979540000000003</v>
      </c>
      <c r="EH199" s="43" t="s">
        <v>1377</v>
      </c>
      <c r="EI199" s="43">
        <v>175</v>
      </c>
      <c r="EJ199" s="43">
        <v>71</v>
      </c>
      <c r="EK199" s="74">
        <f>SUM(SUMIFS(EG$14:EG$1004,EE$14:EE$1004,EJ199,ED$14:ED$1004,EI199,EF$14:EF$1004,0))</f>
        <v>2E-3</v>
      </c>
      <c r="ES199">
        <v>93</v>
      </c>
      <c r="ET199">
        <v>37</v>
      </c>
      <c r="EU199">
        <v>0</v>
      </c>
      <c r="EV199">
        <v>0.65979540000000003</v>
      </c>
    </row>
    <row r="200" spans="1:152" x14ac:dyDescent="0.4">
      <c r="A200" s="89"/>
      <c r="B200" s="2"/>
      <c r="C200" s="2"/>
      <c r="D200" s="2"/>
      <c r="E200" s="42" t="s">
        <v>1328</v>
      </c>
      <c r="F200" s="42">
        <v>174</v>
      </c>
      <c r="G200" s="42">
        <v>72</v>
      </c>
      <c r="H200" s="74" cm="1">
        <f t="array" ref="H200">SUM(SUMIFS(D$14:D$1004,B$14:B$1004,G200:G205,A$14:A$1004,F200:F205,C$14:C$1004,0))</f>
        <v>0</v>
      </c>
      <c r="N200" s="89">
        <v>91</v>
      </c>
      <c r="O200" s="2">
        <v>35</v>
      </c>
      <c r="P200" s="2">
        <v>0</v>
      </c>
      <c r="Q200" s="2">
        <v>1.0999999999999999E-2</v>
      </c>
      <c r="R200" s="42" t="s">
        <v>1328</v>
      </c>
      <c r="S200" s="42">
        <v>174</v>
      </c>
      <c r="T200" s="42">
        <v>72</v>
      </c>
      <c r="U200" s="74" cm="1">
        <f t="array" ref="U200">SUM(SUMIFS(Q$14:Q$1004,O$14:O$1004,T200:T205,N$14:N$1004,S200:S205,P$14:P$1004,0))</f>
        <v>0</v>
      </c>
      <c r="Z200" s="89">
        <v>82</v>
      </c>
      <c r="AA200" s="2">
        <v>36</v>
      </c>
      <c r="AB200" s="2">
        <v>0</v>
      </c>
      <c r="AC200" s="2">
        <v>0.58200010000000002</v>
      </c>
      <c r="AD200" s="42" t="s">
        <v>1328</v>
      </c>
      <c r="AE200" s="42">
        <v>174</v>
      </c>
      <c r="AF200" s="42">
        <v>72</v>
      </c>
      <c r="AG200" s="74" cm="1">
        <f t="array" ref="AG200">SUM(SUMIFS(AC$14:AC$1004,AA$14:AA$1004,AF200:AF205,Z$14:Z$1004,AE200:AE205,AB$14:AB$1004,0))</f>
        <v>0</v>
      </c>
      <c r="AL200" s="89">
        <v>81</v>
      </c>
      <c r="AM200" s="2">
        <v>36</v>
      </c>
      <c r="AN200" s="2">
        <v>1</v>
      </c>
      <c r="AO200" s="2">
        <v>4.6300350000000002E-3</v>
      </c>
      <c r="AP200" s="42" t="s">
        <v>1328</v>
      </c>
      <c r="AQ200" s="42">
        <v>174</v>
      </c>
      <c r="AR200" s="42">
        <v>72</v>
      </c>
      <c r="AS200" s="74" cm="1">
        <f t="array" ref="AS200">SUM(SUMIFS(AO$14:AO$1004,AM$14:AM$1004,AR200:AR205,AL$14:AL$1004,AQ200:AQ205,AN$14:AN$1004,0))</f>
        <v>0</v>
      </c>
      <c r="AX200" s="89">
        <v>96</v>
      </c>
      <c r="AY200" s="2">
        <v>37</v>
      </c>
      <c r="AZ200" s="2">
        <v>1</v>
      </c>
      <c r="BA200" s="2">
        <v>2.446035E-3</v>
      </c>
      <c r="BB200" s="42" t="s">
        <v>1328</v>
      </c>
      <c r="BC200" s="42">
        <v>174</v>
      </c>
      <c r="BD200" s="42">
        <v>72</v>
      </c>
      <c r="BE200" s="74" cm="1">
        <f t="array" ref="BE200">SUM(SUMIFS(BA$14:BA$1004,AY$14:AY$1004,BD200:BD205,AX$14:AX$1004,BC200:BC205,AZ$14:AZ$1004,0))</f>
        <v>1E-3</v>
      </c>
      <c r="BJ200" s="89">
        <v>96</v>
      </c>
      <c r="BK200" s="2">
        <v>37</v>
      </c>
      <c r="BL200" s="2">
        <v>1</v>
      </c>
      <c r="BM200" s="2">
        <v>5.2688580000000004E-3</v>
      </c>
      <c r="BN200" s="42" t="s">
        <v>1328</v>
      </c>
      <c r="BO200" s="42">
        <v>174</v>
      </c>
      <c r="BP200" s="42">
        <v>72</v>
      </c>
      <c r="BQ200" s="74" cm="1">
        <f t="array" ref="BQ200">SUM(SUMIFS(BM$14:BM$1004,BK$14:BK$1004,BP200:BP205,BJ$14:BJ$1004,BO200:BO205,BL$14:BL$1004,0))</f>
        <v>1E-3</v>
      </c>
      <c r="BV200" s="89">
        <v>96</v>
      </c>
      <c r="BW200" s="2">
        <v>37</v>
      </c>
      <c r="BX200" s="2">
        <v>0</v>
      </c>
      <c r="BY200" s="2">
        <v>0.1020901</v>
      </c>
      <c r="BZ200" s="42" t="s">
        <v>1328</v>
      </c>
      <c r="CA200" s="42">
        <v>174</v>
      </c>
      <c r="CB200" s="42">
        <v>72</v>
      </c>
      <c r="CC200" s="74" cm="1">
        <f t="array" ref="CC200">SUM(SUMIFS(BY$14:BY$1004,BW$14:BW$1004,CB200:CB205,BV$14:BV$1004,CA200:CA205,BX$14:BX$1004,0))</f>
        <v>1E-3</v>
      </c>
      <c r="CH200" s="89">
        <v>93</v>
      </c>
      <c r="CI200" s="2">
        <v>37</v>
      </c>
      <c r="CJ200" s="2">
        <v>0</v>
      </c>
      <c r="CK200" s="2">
        <v>0.36140879999999997</v>
      </c>
      <c r="CL200" s="42" t="s">
        <v>1328</v>
      </c>
      <c r="CM200" s="42">
        <v>174</v>
      </c>
      <c r="CN200" s="42">
        <v>72</v>
      </c>
      <c r="CO200" s="74" cm="1">
        <f t="array" ref="CO200">SUM(SUMIFS(CK$14:CK$1004,CI$14:CI$1004,CN200:CN205,CH$14:CH$1004,CM200:CM205,CJ$14:CJ$1004,0))</f>
        <v>1.5E-3</v>
      </c>
      <c r="CT200" s="89">
        <v>88</v>
      </c>
      <c r="CU200" s="2">
        <v>37</v>
      </c>
      <c r="CV200" s="2">
        <v>0</v>
      </c>
      <c r="CW200" s="2">
        <v>0.66055549999999996</v>
      </c>
      <c r="CX200" s="42" t="s">
        <v>1328</v>
      </c>
      <c r="CY200" s="42">
        <v>174</v>
      </c>
      <c r="CZ200" s="42">
        <v>72</v>
      </c>
      <c r="DA200" s="74" cm="1">
        <f t="array" ref="DA200">SUM(SUMIFS(CW$14:CW$1004,CU$14:CU$1004,CZ200:CZ205,CT$14:CT$1004,CY200:CY205,CV$14:CV$1004,0))</f>
        <v>2.5999999999999999E-2</v>
      </c>
      <c r="DF200" s="89">
        <v>87</v>
      </c>
      <c r="DG200" s="2">
        <v>38</v>
      </c>
      <c r="DH200" s="2">
        <v>1</v>
      </c>
      <c r="DI200" s="2">
        <v>5.0000000000000001E-4</v>
      </c>
      <c r="DJ200" s="42" t="s">
        <v>1328</v>
      </c>
      <c r="DK200" s="42">
        <v>174</v>
      </c>
      <c r="DL200" s="42">
        <v>72</v>
      </c>
      <c r="DM200" s="74" cm="1">
        <f t="array" ref="DM200">SUM(SUMIFS(DI$14:DI$1004,DG$14:DG$1004,DL200:DL205,DF$14:DF$1004,DK200:DK205,DH$14:DH$1004,0))</f>
        <v>0</v>
      </c>
      <c r="DR200" s="89">
        <v>87</v>
      </c>
      <c r="DS200" s="2">
        <v>35</v>
      </c>
      <c r="DT200" s="2">
        <v>0</v>
      </c>
      <c r="DU200" s="2">
        <v>1.1058220000000001</v>
      </c>
      <c r="DV200" s="42" t="s">
        <v>1328</v>
      </c>
      <c r="DW200" s="42">
        <v>174</v>
      </c>
      <c r="DX200" s="42">
        <v>72</v>
      </c>
      <c r="DY200" s="74" cm="1">
        <f t="array" ref="DY200">SUM(SUMIFS(DU$14:DU$1004,DS$14:DS$1004,DX200:DX205,DR$14:DR$1004,DW200:DW205,DT$14:DT$1004,0))</f>
        <v>0</v>
      </c>
      <c r="ED200" s="89">
        <v>94</v>
      </c>
      <c r="EE200" s="2">
        <v>37</v>
      </c>
      <c r="EF200" s="2">
        <v>0</v>
      </c>
      <c r="EG200" s="2">
        <v>0.32004549999999998</v>
      </c>
      <c r="EH200" s="42" t="s">
        <v>1328</v>
      </c>
      <c r="EI200" s="42">
        <v>174</v>
      </c>
      <c r="EJ200" s="42">
        <v>72</v>
      </c>
      <c r="EK200" s="74" cm="1">
        <f t="array" ref="EK200">SUM(SUMIFS(EG$14:EG$1004,EE$14:EE$1004,EJ200:EJ205,ED$14:ED$1004,EI200:EI205,EF$14:EF$1004,0))</f>
        <v>3.0000000000000001E-3</v>
      </c>
      <c r="ES200">
        <v>94</v>
      </c>
      <c r="ET200">
        <v>37</v>
      </c>
      <c r="EU200">
        <v>0</v>
      </c>
      <c r="EV200">
        <v>0.32004549999999998</v>
      </c>
    </row>
    <row r="201" spans="1:152" x14ac:dyDescent="0.4">
      <c r="A201" s="89"/>
      <c r="B201" s="2"/>
      <c r="C201" s="2"/>
      <c r="D201" s="2"/>
      <c r="E201" s="42" t="s">
        <v>1328</v>
      </c>
      <c r="F201" s="42">
        <v>176</v>
      </c>
      <c r="G201" s="42">
        <v>72</v>
      </c>
      <c r="H201" s="74"/>
      <c r="N201" s="89">
        <v>92</v>
      </c>
      <c r="O201" s="2">
        <v>35</v>
      </c>
      <c r="P201" s="2">
        <v>0</v>
      </c>
      <c r="Q201" s="2">
        <v>3.0000000000000001E-3</v>
      </c>
      <c r="R201" s="42" t="s">
        <v>1328</v>
      </c>
      <c r="S201" s="42">
        <v>176</v>
      </c>
      <c r="T201" s="42">
        <v>72</v>
      </c>
      <c r="U201" s="74"/>
      <c r="Z201" s="89">
        <v>83</v>
      </c>
      <c r="AA201" s="2">
        <v>36</v>
      </c>
      <c r="AB201" s="2">
        <v>0</v>
      </c>
      <c r="AC201" s="2">
        <v>1.9339679999999999</v>
      </c>
      <c r="AD201" s="42" t="s">
        <v>1328</v>
      </c>
      <c r="AE201" s="42">
        <v>176</v>
      </c>
      <c r="AF201" s="42">
        <v>72</v>
      </c>
      <c r="AG201" s="74"/>
      <c r="AL201" s="89">
        <v>82</v>
      </c>
      <c r="AM201" s="2">
        <v>36</v>
      </c>
      <c r="AN201" s="2">
        <v>0</v>
      </c>
      <c r="AO201" s="2">
        <v>0.96800010000000003</v>
      </c>
      <c r="AP201" s="42" t="s">
        <v>1328</v>
      </c>
      <c r="AQ201" s="42">
        <v>176</v>
      </c>
      <c r="AR201" s="42">
        <v>72</v>
      </c>
      <c r="AS201" s="74"/>
      <c r="AX201" s="89">
        <v>97</v>
      </c>
      <c r="AY201" s="2">
        <v>37</v>
      </c>
      <c r="AZ201" s="2">
        <v>0</v>
      </c>
      <c r="BA201" s="2">
        <v>1.8932999999999998E-2</v>
      </c>
      <c r="BB201" s="42" t="s">
        <v>1328</v>
      </c>
      <c r="BC201" s="42">
        <v>176</v>
      </c>
      <c r="BD201" s="42">
        <v>72</v>
      </c>
      <c r="BE201" s="74"/>
      <c r="BJ201" s="89">
        <v>97</v>
      </c>
      <c r="BK201" s="2">
        <v>37</v>
      </c>
      <c r="BL201" s="2">
        <v>0</v>
      </c>
      <c r="BM201" s="2">
        <v>7.0000000000000001E-3</v>
      </c>
      <c r="BN201" s="42" t="s">
        <v>1328</v>
      </c>
      <c r="BO201" s="42">
        <v>176</v>
      </c>
      <c r="BP201" s="42">
        <v>72</v>
      </c>
      <c r="BQ201" s="74"/>
      <c r="BV201" s="89">
        <v>96</v>
      </c>
      <c r="BW201" s="2">
        <v>37</v>
      </c>
      <c r="BX201" s="2">
        <v>1</v>
      </c>
      <c r="BY201" s="2">
        <v>1.758386E-2</v>
      </c>
      <c r="BZ201" s="42" t="s">
        <v>1328</v>
      </c>
      <c r="CA201" s="42">
        <v>176</v>
      </c>
      <c r="CB201" s="42">
        <v>72</v>
      </c>
      <c r="CC201" s="74"/>
      <c r="CH201" s="89">
        <v>94</v>
      </c>
      <c r="CI201" s="2">
        <v>37</v>
      </c>
      <c r="CJ201" s="2">
        <v>0</v>
      </c>
      <c r="CK201" s="2">
        <v>0.14193990000000001</v>
      </c>
      <c r="CL201" s="42" t="s">
        <v>1328</v>
      </c>
      <c r="CM201" s="42">
        <v>176</v>
      </c>
      <c r="CN201" s="42">
        <v>72</v>
      </c>
      <c r="CO201" s="74"/>
      <c r="CT201" s="89">
        <v>89</v>
      </c>
      <c r="CU201" s="2">
        <v>37</v>
      </c>
      <c r="CV201" s="2">
        <v>0</v>
      </c>
      <c r="CW201" s="2">
        <v>0.69097810000000004</v>
      </c>
      <c r="CX201" s="42" t="s">
        <v>1328</v>
      </c>
      <c r="CY201" s="42">
        <v>176</v>
      </c>
      <c r="CZ201" s="42">
        <v>72</v>
      </c>
      <c r="DA201" s="74"/>
      <c r="DF201" s="89">
        <v>88</v>
      </c>
      <c r="DG201" s="2">
        <v>38</v>
      </c>
      <c r="DH201" s="2">
        <v>0</v>
      </c>
      <c r="DI201" s="2">
        <v>2.6387830000000001</v>
      </c>
      <c r="DJ201" s="42" t="s">
        <v>1328</v>
      </c>
      <c r="DK201" s="42">
        <v>176</v>
      </c>
      <c r="DL201" s="42">
        <v>72</v>
      </c>
      <c r="DM201" s="74"/>
      <c r="DR201" s="89">
        <v>88</v>
      </c>
      <c r="DS201" s="2">
        <v>35</v>
      </c>
      <c r="DT201" s="2">
        <v>0</v>
      </c>
      <c r="DU201" s="2">
        <v>0.68574990000000002</v>
      </c>
      <c r="DV201" s="42" t="s">
        <v>1328</v>
      </c>
      <c r="DW201" s="42">
        <v>176</v>
      </c>
      <c r="DX201" s="42">
        <v>72</v>
      </c>
      <c r="DY201" s="74"/>
      <c r="ED201" s="89">
        <v>95</v>
      </c>
      <c r="EE201" s="2">
        <v>37</v>
      </c>
      <c r="EF201" s="2">
        <v>0</v>
      </c>
      <c r="EG201" s="2">
        <v>0.16583609999999999</v>
      </c>
      <c r="EH201" s="42" t="s">
        <v>1328</v>
      </c>
      <c r="EI201" s="42">
        <v>176</v>
      </c>
      <c r="EJ201" s="42">
        <v>72</v>
      </c>
      <c r="EK201" s="74"/>
      <c r="ES201">
        <v>95</v>
      </c>
      <c r="ET201">
        <v>37</v>
      </c>
      <c r="EU201">
        <v>0</v>
      </c>
      <c r="EV201">
        <v>0.16583609999999999</v>
      </c>
    </row>
    <row r="202" spans="1:152" x14ac:dyDescent="0.4">
      <c r="A202" s="89"/>
      <c r="B202" s="2"/>
      <c r="C202" s="2"/>
      <c r="D202" s="2"/>
      <c r="E202" s="42" t="s">
        <v>1328</v>
      </c>
      <c r="F202" s="42">
        <v>177</v>
      </c>
      <c r="G202" s="42">
        <v>72</v>
      </c>
      <c r="H202" s="74"/>
      <c r="N202" s="89">
        <v>94</v>
      </c>
      <c r="O202" s="2">
        <v>35</v>
      </c>
      <c r="P202" s="2">
        <v>0</v>
      </c>
      <c r="Q202" s="2">
        <v>2E-3</v>
      </c>
      <c r="R202" s="42" t="s">
        <v>1328</v>
      </c>
      <c r="S202" s="42">
        <v>177</v>
      </c>
      <c r="T202" s="42">
        <v>72</v>
      </c>
      <c r="U202" s="74"/>
      <c r="Z202" s="89">
        <v>83</v>
      </c>
      <c r="AA202" s="2">
        <v>36</v>
      </c>
      <c r="AB202" s="2">
        <v>1</v>
      </c>
      <c r="AC202" s="2">
        <v>1.7081</v>
      </c>
      <c r="AD202" s="42" t="s">
        <v>1328</v>
      </c>
      <c r="AE202" s="42">
        <v>177</v>
      </c>
      <c r="AF202" s="42">
        <v>72</v>
      </c>
      <c r="AG202" s="74"/>
      <c r="AL202" s="89">
        <v>83</v>
      </c>
      <c r="AM202" s="2">
        <v>36</v>
      </c>
      <c r="AN202" s="2">
        <v>0</v>
      </c>
      <c r="AO202" s="2">
        <v>1.987436</v>
      </c>
      <c r="AP202" s="42" t="s">
        <v>1328</v>
      </c>
      <c r="AQ202" s="42">
        <v>177</v>
      </c>
      <c r="AR202" s="42">
        <v>72</v>
      </c>
      <c r="AS202" s="74"/>
      <c r="AX202" s="89">
        <v>98</v>
      </c>
      <c r="AY202" s="2">
        <v>37</v>
      </c>
      <c r="AZ202" s="2">
        <v>0</v>
      </c>
      <c r="BA202" s="2">
        <v>4.0000000000000001E-3</v>
      </c>
      <c r="BB202" s="42" t="s">
        <v>1328</v>
      </c>
      <c r="BC202" s="42">
        <v>177</v>
      </c>
      <c r="BD202" s="42">
        <v>72</v>
      </c>
      <c r="BE202" s="74"/>
      <c r="BJ202" s="89">
        <v>98</v>
      </c>
      <c r="BK202" s="2">
        <v>37</v>
      </c>
      <c r="BL202" s="2">
        <v>0</v>
      </c>
      <c r="BM202" s="2">
        <v>3.0000000000000001E-3</v>
      </c>
      <c r="BN202" s="42" t="s">
        <v>1328</v>
      </c>
      <c r="BO202" s="42">
        <v>177</v>
      </c>
      <c r="BP202" s="42">
        <v>72</v>
      </c>
      <c r="BQ202" s="74"/>
      <c r="BV202" s="89">
        <v>97</v>
      </c>
      <c r="BW202" s="2">
        <v>37</v>
      </c>
      <c r="BX202" s="2">
        <v>0</v>
      </c>
      <c r="BY202" s="2">
        <v>3.6073000000000001E-2</v>
      </c>
      <c r="BZ202" s="42" t="s">
        <v>1328</v>
      </c>
      <c r="CA202" s="42">
        <v>177</v>
      </c>
      <c r="CB202" s="42">
        <v>72</v>
      </c>
      <c r="CC202" s="74"/>
      <c r="CH202" s="89">
        <v>95</v>
      </c>
      <c r="CI202" s="2">
        <v>37</v>
      </c>
      <c r="CJ202" s="2">
        <v>0</v>
      </c>
      <c r="CK202" s="2">
        <v>4.9971300000000003E-2</v>
      </c>
      <c r="CL202" s="42" t="s">
        <v>1328</v>
      </c>
      <c r="CM202" s="42">
        <v>177</v>
      </c>
      <c r="CN202" s="42">
        <v>72</v>
      </c>
      <c r="CO202" s="74"/>
      <c r="CT202" s="89">
        <v>90</v>
      </c>
      <c r="CU202" s="2">
        <v>37</v>
      </c>
      <c r="CV202" s="2">
        <v>0</v>
      </c>
      <c r="CW202" s="2">
        <v>0.27381309999999998</v>
      </c>
      <c r="CX202" s="42" t="s">
        <v>1328</v>
      </c>
      <c r="CY202" s="42">
        <v>177</v>
      </c>
      <c r="CZ202" s="42">
        <v>72</v>
      </c>
      <c r="DA202" s="74"/>
      <c r="DF202" s="89">
        <v>89</v>
      </c>
      <c r="DG202" s="2">
        <v>38</v>
      </c>
      <c r="DH202" s="2">
        <v>0</v>
      </c>
      <c r="DI202" s="2">
        <v>2.7049910000000001</v>
      </c>
      <c r="DJ202" s="42" t="s">
        <v>1328</v>
      </c>
      <c r="DK202" s="42">
        <v>177</v>
      </c>
      <c r="DL202" s="42">
        <v>72</v>
      </c>
      <c r="DM202" s="74"/>
      <c r="DR202" s="89">
        <v>89</v>
      </c>
      <c r="DS202" s="2">
        <v>35</v>
      </c>
      <c r="DT202" s="2">
        <v>0</v>
      </c>
      <c r="DU202" s="2">
        <v>0.38327</v>
      </c>
      <c r="DV202" s="42" t="s">
        <v>1328</v>
      </c>
      <c r="DW202" s="42">
        <v>177</v>
      </c>
      <c r="DX202" s="42">
        <v>72</v>
      </c>
      <c r="DY202" s="74"/>
      <c r="ED202" s="89">
        <v>96</v>
      </c>
      <c r="EE202" s="2">
        <v>37</v>
      </c>
      <c r="EF202" s="2">
        <v>0</v>
      </c>
      <c r="EG202" s="2">
        <v>5.2022249999999999E-2</v>
      </c>
      <c r="EH202" s="42" t="s">
        <v>1328</v>
      </c>
      <c r="EI202" s="42">
        <v>177</v>
      </c>
      <c r="EJ202" s="42">
        <v>72</v>
      </c>
      <c r="EK202" s="74"/>
      <c r="ES202">
        <v>96</v>
      </c>
      <c r="ET202">
        <v>37</v>
      </c>
      <c r="EU202">
        <v>0</v>
      </c>
      <c r="EV202">
        <v>5.2022249999999999E-2</v>
      </c>
    </row>
    <row r="203" spans="1:152" x14ac:dyDescent="0.4">
      <c r="A203" s="89"/>
      <c r="B203" s="2"/>
      <c r="C203" s="2"/>
      <c r="D203" s="2"/>
      <c r="E203" s="42" t="s">
        <v>1328</v>
      </c>
      <c r="F203" s="42">
        <v>178</v>
      </c>
      <c r="G203" s="42">
        <v>72</v>
      </c>
      <c r="H203" s="74"/>
      <c r="N203" s="89">
        <v>78</v>
      </c>
      <c r="O203" s="2">
        <v>36</v>
      </c>
      <c r="P203" s="2">
        <v>0</v>
      </c>
      <c r="Q203" s="2">
        <v>1E-3</v>
      </c>
      <c r="R203" s="42" t="s">
        <v>1328</v>
      </c>
      <c r="S203" s="42">
        <v>178</v>
      </c>
      <c r="T203" s="42">
        <v>72</v>
      </c>
      <c r="U203" s="74"/>
      <c r="Z203" s="89">
        <v>84</v>
      </c>
      <c r="AA203" s="2">
        <v>36</v>
      </c>
      <c r="AB203" s="2">
        <v>0</v>
      </c>
      <c r="AC203" s="2">
        <v>2.1132040000000001</v>
      </c>
      <c r="AD203" s="42" t="s">
        <v>1328</v>
      </c>
      <c r="AE203" s="42">
        <v>178</v>
      </c>
      <c r="AF203" s="42">
        <v>72</v>
      </c>
      <c r="AG203" s="74"/>
      <c r="AL203" s="89">
        <v>83</v>
      </c>
      <c r="AM203" s="2">
        <v>36</v>
      </c>
      <c r="AN203" s="2">
        <v>1</v>
      </c>
      <c r="AO203" s="2">
        <v>1.568225</v>
      </c>
      <c r="AP203" s="42" t="s">
        <v>1328</v>
      </c>
      <c r="AQ203" s="42">
        <v>178</v>
      </c>
      <c r="AR203" s="42">
        <v>72</v>
      </c>
      <c r="AS203" s="74"/>
      <c r="AX203" s="89">
        <v>99</v>
      </c>
      <c r="AY203" s="2">
        <v>37</v>
      </c>
      <c r="AZ203" s="2">
        <v>0</v>
      </c>
      <c r="BA203" s="2">
        <v>3.0000000000000001E-3</v>
      </c>
      <c r="BB203" s="42" t="s">
        <v>1328</v>
      </c>
      <c r="BC203" s="42">
        <v>178</v>
      </c>
      <c r="BD203" s="42">
        <v>72</v>
      </c>
      <c r="BE203" s="74"/>
      <c r="BJ203" s="89">
        <v>85</v>
      </c>
      <c r="BK203" s="2">
        <v>38</v>
      </c>
      <c r="BL203" s="2">
        <v>0</v>
      </c>
      <c r="BM203" s="2">
        <v>1E-3</v>
      </c>
      <c r="BN203" s="42" t="s">
        <v>1328</v>
      </c>
      <c r="BO203" s="42">
        <v>178</v>
      </c>
      <c r="BP203" s="42">
        <v>72</v>
      </c>
      <c r="BQ203" s="74"/>
      <c r="BV203" s="89">
        <v>98</v>
      </c>
      <c r="BW203" s="2">
        <v>37</v>
      </c>
      <c r="BX203" s="2">
        <v>0</v>
      </c>
      <c r="BY203" s="2">
        <v>0.01</v>
      </c>
      <c r="BZ203" s="42" t="s">
        <v>1328</v>
      </c>
      <c r="CA203" s="42">
        <v>178</v>
      </c>
      <c r="CB203" s="42">
        <v>72</v>
      </c>
      <c r="CC203" s="74"/>
      <c r="CH203" s="89">
        <v>96</v>
      </c>
      <c r="CI203" s="2">
        <v>37</v>
      </c>
      <c r="CJ203" s="2">
        <v>0</v>
      </c>
      <c r="CK203" s="2">
        <v>1.7500000000000002E-2</v>
      </c>
      <c r="CL203" s="42" t="s">
        <v>1328</v>
      </c>
      <c r="CM203" s="42">
        <v>178</v>
      </c>
      <c r="CN203" s="42">
        <v>72</v>
      </c>
      <c r="CO203" s="74"/>
      <c r="CT203" s="89">
        <v>90</v>
      </c>
      <c r="CU203" s="2">
        <v>37</v>
      </c>
      <c r="CV203" s="2">
        <v>1</v>
      </c>
      <c r="CW203" s="2">
        <v>0.35410570000000002</v>
      </c>
      <c r="CX203" s="42" t="s">
        <v>1328</v>
      </c>
      <c r="CY203" s="42">
        <v>178</v>
      </c>
      <c r="CZ203" s="42">
        <v>72</v>
      </c>
      <c r="DA203" s="74"/>
      <c r="DF203" s="89">
        <v>90</v>
      </c>
      <c r="DG203" s="2">
        <v>38</v>
      </c>
      <c r="DH203" s="2">
        <v>0</v>
      </c>
      <c r="DI203" s="2">
        <v>2.976416</v>
      </c>
      <c r="DJ203" s="42" t="s">
        <v>1328</v>
      </c>
      <c r="DK203" s="42">
        <v>178</v>
      </c>
      <c r="DL203" s="42">
        <v>72</v>
      </c>
      <c r="DM203" s="74"/>
      <c r="DR203" s="89">
        <v>90</v>
      </c>
      <c r="DS203" s="2">
        <v>35</v>
      </c>
      <c r="DT203" s="2">
        <v>0</v>
      </c>
      <c r="DU203" s="2">
        <v>0.16505</v>
      </c>
      <c r="DV203" s="42" t="s">
        <v>1328</v>
      </c>
      <c r="DW203" s="42">
        <v>178</v>
      </c>
      <c r="DX203" s="42">
        <v>72</v>
      </c>
      <c r="DY203" s="74"/>
      <c r="ED203" s="89">
        <v>96</v>
      </c>
      <c r="EE203" s="2">
        <v>37</v>
      </c>
      <c r="EF203" s="2">
        <v>1</v>
      </c>
      <c r="EG203" s="2">
        <v>5.8814999999999996E-3</v>
      </c>
      <c r="EH203" s="42" t="s">
        <v>1328</v>
      </c>
      <c r="EI203" s="42">
        <v>178</v>
      </c>
      <c r="EJ203" s="42">
        <v>72</v>
      </c>
      <c r="EK203" s="74"/>
      <c r="ES203">
        <v>96</v>
      </c>
      <c r="ET203">
        <v>37</v>
      </c>
      <c r="EU203">
        <v>1</v>
      </c>
      <c r="EV203">
        <v>5.8814999999999996E-3</v>
      </c>
    </row>
    <row r="204" spans="1:152" x14ac:dyDescent="0.4">
      <c r="A204" s="89"/>
      <c r="B204" s="2"/>
      <c r="C204" s="2"/>
      <c r="D204" s="2"/>
      <c r="E204" s="42" t="s">
        <v>1328</v>
      </c>
      <c r="F204" s="42">
        <v>179</v>
      </c>
      <c r="G204" s="42">
        <v>72</v>
      </c>
      <c r="H204" s="74"/>
      <c r="N204" s="89">
        <v>79</v>
      </c>
      <c r="O204" s="2">
        <v>36</v>
      </c>
      <c r="P204" s="2">
        <v>0</v>
      </c>
      <c r="Q204" s="2">
        <v>2E-3</v>
      </c>
      <c r="R204" s="42" t="s">
        <v>1328</v>
      </c>
      <c r="S204" s="42">
        <v>179</v>
      </c>
      <c r="T204" s="42">
        <v>72</v>
      </c>
      <c r="U204" s="74"/>
      <c r="Z204" s="89">
        <v>85</v>
      </c>
      <c r="AA204" s="2">
        <v>36</v>
      </c>
      <c r="AB204" s="2">
        <v>0</v>
      </c>
      <c r="AC204" s="2">
        <v>1.151918</v>
      </c>
      <c r="AD204" s="42" t="s">
        <v>1328</v>
      </c>
      <c r="AE204" s="42">
        <v>179</v>
      </c>
      <c r="AF204" s="42">
        <v>72</v>
      </c>
      <c r="AG204" s="74"/>
      <c r="AL204" s="89">
        <v>84</v>
      </c>
      <c r="AM204" s="2">
        <v>36</v>
      </c>
      <c r="AN204" s="2">
        <v>0</v>
      </c>
      <c r="AO204" s="2">
        <v>2.2697370000000001</v>
      </c>
      <c r="AP204" s="42" t="s">
        <v>1328</v>
      </c>
      <c r="AQ204" s="42">
        <v>179</v>
      </c>
      <c r="AR204" s="42">
        <v>72</v>
      </c>
      <c r="AS204" s="74"/>
      <c r="AX204" s="89">
        <v>84</v>
      </c>
      <c r="AY204" s="2">
        <v>38</v>
      </c>
      <c r="AZ204" s="2">
        <v>0</v>
      </c>
      <c r="BA204" s="2">
        <v>3.1999999999999999E-5</v>
      </c>
      <c r="BB204" s="42" t="s">
        <v>1328</v>
      </c>
      <c r="BC204" s="42">
        <v>179</v>
      </c>
      <c r="BD204" s="42">
        <v>72</v>
      </c>
      <c r="BE204" s="74"/>
      <c r="BJ204" s="89">
        <v>86</v>
      </c>
      <c r="BK204" s="2">
        <v>38</v>
      </c>
      <c r="BL204" s="2">
        <v>0</v>
      </c>
      <c r="BM204" s="2">
        <v>5.2999999999999999E-2</v>
      </c>
      <c r="BN204" s="42" t="s">
        <v>1328</v>
      </c>
      <c r="BO204" s="42">
        <v>179</v>
      </c>
      <c r="BP204" s="42">
        <v>72</v>
      </c>
      <c r="BQ204" s="74"/>
      <c r="BV204" s="89">
        <v>98</v>
      </c>
      <c r="BW204" s="2">
        <v>37</v>
      </c>
      <c r="BX204" s="2">
        <v>1</v>
      </c>
      <c r="BY204" s="2">
        <v>1.8600000000000001E-3</v>
      </c>
      <c r="BZ204" s="42" t="s">
        <v>1328</v>
      </c>
      <c r="CA204" s="42">
        <v>179</v>
      </c>
      <c r="CB204" s="42">
        <v>72</v>
      </c>
      <c r="CC204" s="74"/>
      <c r="CH204" s="89">
        <v>96</v>
      </c>
      <c r="CI204" s="2">
        <v>37</v>
      </c>
      <c r="CJ204" s="2">
        <v>1</v>
      </c>
      <c r="CK204" s="2">
        <v>3.0000000000000001E-3</v>
      </c>
      <c r="CL204" s="42" t="s">
        <v>1328</v>
      </c>
      <c r="CM204" s="42">
        <v>179</v>
      </c>
      <c r="CN204" s="42">
        <v>72</v>
      </c>
      <c r="CO204" s="74"/>
      <c r="CT204" s="89">
        <v>91</v>
      </c>
      <c r="CU204" s="2">
        <v>37</v>
      </c>
      <c r="CV204" s="2">
        <v>0</v>
      </c>
      <c r="CW204" s="2">
        <v>0.50072399999999995</v>
      </c>
      <c r="CX204" s="42" t="s">
        <v>1328</v>
      </c>
      <c r="CY204" s="42">
        <v>179</v>
      </c>
      <c r="CZ204" s="42">
        <v>72</v>
      </c>
      <c r="DA204" s="74"/>
      <c r="DF204" s="89">
        <v>91</v>
      </c>
      <c r="DG204" s="2">
        <v>38</v>
      </c>
      <c r="DH204" s="2">
        <v>0</v>
      </c>
      <c r="DI204" s="2">
        <v>3.2375579999999999</v>
      </c>
      <c r="DJ204" s="42" t="s">
        <v>1328</v>
      </c>
      <c r="DK204" s="42">
        <v>179</v>
      </c>
      <c r="DL204" s="42">
        <v>72</v>
      </c>
      <c r="DM204" s="74"/>
      <c r="DR204" s="89">
        <v>91</v>
      </c>
      <c r="DS204" s="2">
        <v>35</v>
      </c>
      <c r="DT204" s="2">
        <v>0</v>
      </c>
      <c r="DU204" s="2">
        <v>0.11294999999999999</v>
      </c>
      <c r="DV204" s="42" t="s">
        <v>1328</v>
      </c>
      <c r="DW204" s="42">
        <v>179</v>
      </c>
      <c r="DX204" s="42">
        <v>72</v>
      </c>
      <c r="DY204" s="74"/>
      <c r="ED204" s="89">
        <v>97</v>
      </c>
      <c r="EE204" s="2">
        <v>37</v>
      </c>
      <c r="EF204" s="2">
        <v>0</v>
      </c>
      <c r="EG204" s="2">
        <v>2.1069999999999998E-2</v>
      </c>
      <c r="EH204" s="42" t="s">
        <v>1328</v>
      </c>
      <c r="EI204" s="42">
        <v>179</v>
      </c>
      <c r="EJ204" s="42">
        <v>72</v>
      </c>
      <c r="EK204" s="74"/>
      <c r="ES204">
        <v>97</v>
      </c>
      <c r="ET204">
        <v>37</v>
      </c>
      <c r="EU204">
        <v>0</v>
      </c>
      <c r="EV204">
        <v>2.1069999999999998E-2</v>
      </c>
    </row>
    <row r="205" spans="1:152" x14ac:dyDescent="0.4">
      <c r="A205" s="89"/>
      <c r="B205" s="2"/>
      <c r="C205" s="2"/>
      <c r="D205" s="2"/>
      <c r="E205" s="42" t="s">
        <v>1328</v>
      </c>
      <c r="F205" s="42">
        <v>180</v>
      </c>
      <c r="G205" s="42">
        <v>72</v>
      </c>
      <c r="H205" s="74"/>
      <c r="N205" s="89">
        <v>79</v>
      </c>
      <c r="O205" s="2">
        <v>36</v>
      </c>
      <c r="P205" s="2">
        <v>1</v>
      </c>
      <c r="Q205" s="2">
        <v>1E-3</v>
      </c>
      <c r="R205" s="42" t="s">
        <v>1328</v>
      </c>
      <c r="S205" s="42">
        <v>180</v>
      </c>
      <c r="T205" s="42">
        <v>72</v>
      </c>
      <c r="U205" s="74"/>
      <c r="Z205" s="89">
        <v>85</v>
      </c>
      <c r="AA205" s="2">
        <v>36</v>
      </c>
      <c r="AB205" s="2">
        <v>1</v>
      </c>
      <c r="AC205" s="2">
        <v>1.2750919999999999</v>
      </c>
      <c r="AD205" s="42" t="s">
        <v>1328</v>
      </c>
      <c r="AE205" s="42">
        <v>180</v>
      </c>
      <c r="AF205" s="42">
        <v>72</v>
      </c>
      <c r="AG205" s="74"/>
      <c r="AL205" s="89">
        <v>85</v>
      </c>
      <c r="AM205" s="2">
        <v>36</v>
      </c>
      <c r="AN205" s="2">
        <v>0</v>
      </c>
      <c r="AO205" s="2">
        <v>1.2896190000000001</v>
      </c>
      <c r="AP205" s="42" t="s">
        <v>1328</v>
      </c>
      <c r="AQ205" s="42">
        <v>180</v>
      </c>
      <c r="AR205" s="42">
        <v>72</v>
      </c>
      <c r="AS205" s="74"/>
      <c r="AX205" s="89">
        <v>86</v>
      </c>
      <c r="AY205" s="2">
        <v>38</v>
      </c>
      <c r="AZ205" s="2">
        <v>0</v>
      </c>
      <c r="BA205" s="2">
        <v>2.5000000000000001E-2</v>
      </c>
      <c r="BB205" s="42" t="s">
        <v>1328</v>
      </c>
      <c r="BC205" s="42">
        <v>180</v>
      </c>
      <c r="BD205" s="42">
        <v>72</v>
      </c>
      <c r="BE205" s="74"/>
      <c r="BJ205" s="89">
        <v>87</v>
      </c>
      <c r="BK205" s="2">
        <v>38</v>
      </c>
      <c r="BL205" s="2">
        <v>0</v>
      </c>
      <c r="BM205" s="2">
        <v>1.2994800000000001E-2</v>
      </c>
      <c r="BN205" s="42" t="s">
        <v>1328</v>
      </c>
      <c r="BO205" s="42">
        <v>180</v>
      </c>
      <c r="BP205" s="42">
        <v>72</v>
      </c>
      <c r="BQ205" s="74"/>
      <c r="BV205" s="89">
        <v>84</v>
      </c>
      <c r="BW205" s="2">
        <v>38</v>
      </c>
      <c r="BX205" s="2">
        <v>0</v>
      </c>
      <c r="BY205" s="2">
        <v>3.1999999999999999E-5</v>
      </c>
      <c r="BZ205" s="42" t="s">
        <v>1328</v>
      </c>
      <c r="CA205" s="42">
        <v>180</v>
      </c>
      <c r="CB205" s="42">
        <v>72</v>
      </c>
      <c r="CC205" s="74"/>
      <c r="CH205" s="89">
        <v>97</v>
      </c>
      <c r="CI205" s="2">
        <v>37</v>
      </c>
      <c r="CJ205" s="2">
        <v>0</v>
      </c>
      <c r="CK205" s="2">
        <v>5.0000000000000001E-3</v>
      </c>
      <c r="CL205" s="42" t="s">
        <v>1328</v>
      </c>
      <c r="CM205" s="42">
        <v>180</v>
      </c>
      <c r="CN205" s="42">
        <v>72</v>
      </c>
      <c r="CO205" s="74"/>
      <c r="CT205" s="89">
        <v>92</v>
      </c>
      <c r="CU205" s="2">
        <v>37</v>
      </c>
      <c r="CV205" s="2">
        <v>0</v>
      </c>
      <c r="CW205" s="2">
        <v>0.340036</v>
      </c>
      <c r="CX205" s="42" t="s">
        <v>1328</v>
      </c>
      <c r="CY205" s="42">
        <v>180</v>
      </c>
      <c r="CZ205" s="42">
        <v>72</v>
      </c>
      <c r="DA205" s="74"/>
      <c r="DF205" s="89">
        <v>92</v>
      </c>
      <c r="DG205" s="2">
        <v>38</v>
      </c>
      <c r="DH205" s="2">
        <v>0</v>
      </c>
      <c r="DI205" s="2">
        <v>3.5005289999999998</v>
      </c>
      <c r="DJ205" s="42" t="s">
        <v>1328</v>
      </c>
      <c r="DK205" s="42">
        <v>180</v>
      </c>
      <c r="DL205" s="42">
        <v>72</v>
      </c>
      <c r="DM205" s="74"/>
      <c r="DR205" s="89">
        <v>92</v>
      </c>
      <c r="DS205" s="2">
        <v>35</v>
      </c>
      <c r="DT205" s="2">
        <v>0</v>
      </c>
      <c r="DU205" s="2">
        <v>3.5000000000000003E-2</v>
      </c>
      <c r="DV205" s="42" t="s">
        <v>1328</v>
      </c>
      <c r="DW205" s="42">
        <v>180</v>
      </c>
      <c r="DX205" s="42">
        <v>72</v>
      </c>
      <c r="DY205" s="74"/>
      <c r="ED205" s="89">
        <v>98</v>
      </c>
      <c r="EE205" s="2">
        <v>37</v>
      </c>
      <c r="EF205" s="2">
        <v>0</v>
      </c>
      <c r="EG205" s="2">
        <v>6.0000000000000001E-3</v>
      </c>
      <c r="EH205" s="42" t="s">
        <v>1328</v>
      </c>
      <c r="EI205" s="42">
        <v>180</v>
      </c>
      <c r="EJ205" s="42">
        <v>72</v>
      </c>
      <c r="EK205" s="74"/>
      <c r="ES205">
        <v>98</v>
      </c>
      <c r="ET205">
        <v>37</v>
      </c>
      <c r="EU205">
        <v>0</v>
      </c>
      <c r="EV205">
        <v>6.0000000000000001E-3</v>
      </c>
    </row>
    <row r="206" spans="1:152" x14ac:dyDescent="0.4">
      <c r="A206" s="89"/>
      <c r="B206" s="2"/>
      <c r="C206" s="2"/>
      <c r="D206" s="2"/>
      <c r="E206" s="43" t="s">
        <v>1378</v>
      </c>
      <c r="F206" s="43">
        <v>180</v>
      </c>
      <c r="G206" s="43">
        <v>73</v>
      </c>
      <c r="H206" s="74" cm="1">
        <f t="array" ref="H206">SUM(SUMIFS(D$14:D$1004,B$14:B$1004,G206:G207,A$14:A$1004,F206:F207,C$14:C$1004,0))</f>
        <v>0</v>
      </c>
      <c r="N206" s="89">
        <v>80</v>
      </c>
      <c r="O206" s="2">
        <v>36</v>
      </c>
      <c r="P206" s="2">
        <v>0</v>
      </c>
      <c r="Q206" s="2">
        <v>0.17414299999999999</v>
      </c>
      <c r="R206" s="43" t="s">
        <v>1378</v>
      </c>
      <c r="S206" s="43">
        <v>180</v>
      </c>
      <c r="T206" s="43">
        <v>73</v>
      </c>
      <c r="U206" s="74" cm="1">
        <f t="array" ref="U206">SUM(SUMIFS(Q$14:Q$1004,O$14:O$1004,T206:T207,N$14:N$1004,S206:S207,P$14:P$1004,0))</f>
        <v>0</v>
      </c>
      <c r="Z206" s="89">
        <v>86</v>
      </c>
      <c r="AA206" s="2">
        <v>36</v>
      </c>
      <c r="AB206" s="2">
        <v>0</v>
      </c>
      <c r="AC206" s="2">
        <v>2.1074410000000001</v>
      </c>
      <c r="AD206" s="43" t="s">
        <v>1378</v>
      </c>
      <c r="AE206" s="43">
        <v>180</v>
      </c>
      <c r="AF206" s="43">
        <v>73</v>
      </c>
      <c r="AG206" s="74" cm="1">
        <f t="array" ref="AG206">SUM(SUMIFS(AC$14:AC$1004,AA$14:AA$1004,AF206:AF207,Z$14:Z$1004,AE206:AE207,AB$14:AB$1004,0))</f>
        <v>0</v>
      </c>
      <c r="AL206" s="89">
        <v>85</v>
      </c>
      <c r="AM206" s="2">
        <v>36</v>
      </c>
      <c r="AN206" s="2">
        <v>1</v>
      </c>
      <c r="AO206" s="2">
        <v>0.96189849999999999</v>
      </c>
      <c r="AP206" s="43" t="s">
        <v>1378</v>
      </c>
      <c r="AQ206" s="43">
        <v>180</v>
      </c>
      <c r="AR206" s="43">
        <v>73</v>
      </c>
      <c r="AS206" s="74" cm="1">
        <f t="array" ref="AS206">SUM(SUMIFS(AO$14:AO$1004,AM$14:AM$1004,AR206:AR207,AL$14:AL$1004,AQ206:AQ207,AN$14:AN$1004,0))</f>
        <v>0</v>
      </c>
      <c r="AX206" s="89">
        <v>87</v>
      </c>
      <c r="AY206" s="2">
        <v>38</v>
      </c>
      <c r="AZ206" s="2">
        <v>0</v>
      </c>
      <c r="BA206" s="2">
        <v>1E-3</v>
      </c>
      <c r="BB206" s="43" t="s">
        <v>1378</v>
      </c>
      <c r="BC206" s="43">
        <v>180</v>
      </c>
      <c r="BD206" s="43">
        <v>73</v>
      </c>
      <c r="BE206" s="74" cm="1">
        <f t="array" ref="BE206">SUM(SUMIFS(BA$14:BA$1004,AY$14:AY$1004,BD206:BD207,AX$14:AX$1004,BC206:BC207,AZ$14:AZ$1004,0))</f>
        <v>0</v>
      </c>
      <c r="BJ206" s="89">
        <v>87</v>
      </c>
      <c r="BK206" s="2">
        <v>38</v>
      </c>
      <c r="BL206" s="2">
        <v>1</v>
      </c>
      <c r="BM206" s="2">
        <v>1.7333330000000001E-3</v>
      </c>
      <c r="BN206" s="43" t="s">
        <v>1378</v>
      </c>
      <c r="BO206" s="43">
        <v>180</v>
      </c>
      <c r="BP206" s="43">
        <v>73</v>
      </c>
      <c r="BQ206" s="74" cm="1">
        <f t="array" ref="BQ206">SUM(SUMIFS(BM$14:BM$1004,BK$14:BK$1004,BP206:BP207,BJ$14:BJ$1004,BO206:BO207,BL$14:BL$1004,0))</f>
        <v>0</v>
      </c>
      <c r="BV206" s="89">
        <v>86</v>
      </c>
      <c r="BW206" s="2">
        <v>38</v>
      </c>
      <c r="BX206" s="2">
        <v>0</v>
      </c>
      <c r="BY206" s="2">
        <v>1.6E-2</v>
      </c>
      <c r="BZ206" s="43" t="s">
        <v>1378</v>
      </c>
      <c r="CA206" s="43">
        <v>180</v>
      </c>
      <c r="CB206" s="43">
        <v>73</v>
      </c>
      <c r="CC206" s="74" cm="1">
        <f t="array" ref="CC206">SUM(SUMIFS(BY$14:BY$1004,BW$14:BW$1004,CB206:CB207,BV$14:BV$1004,CA206:CA207,BX$14:BX$1004,0))</f>
        <v>0</v>
      </c>
      <c r="CH206" s="89">
        <v>84</v>
      </c>
      <c r="CI206" s="2">
        <v>38</v>
      </c>
      <c r="CJ206" s="2">
        <v>0</v>
      </c>
      <c r="CK206" s="2">
        <v>3.2000010000000001E-4</v>
      </c>
      <c r="CL206" s="43" t="s">
        <v>1378</v>
      </c>
      <c r="CM206" s="43">
        <v>180</v>
      </c>
      <c r="CN206" s="43">
        <v>73</v>
      </c>
      <c r="CO206" s="74" cm="1">
        <f t="array" ref="CO206">SUM(SUMIFS(CK$14:CK$1004,CI$14:CI$1004,CN206:CN207,CH$14:CH$1004,CM206:CM207,CJ$14:CJ$1004,0))</f>
        <v>0</v>
      </c>
      <c r="CT206" s="89">
        <v>93</v>
      </c>
      <c r="CU206" s="2">
        <v>37</v>
      </c>
      <c r="CV206" s="2">
        <v>0</v>
      </c>
      <c r="CW206" s="2">
        <v>0.24319099999999999</v>
      </c>
      <c r="CX206" s="43" t="s">
        <v>1378</v>
      </c>
      <c r="CY206" s="43">
        <v>180</v>
      </c>
      <c r="CZ206" s="43">
        <v>73</v>
      </c>
      <c r="DA206" s="74" cm="1">
        <f t="array" ref="DA206">SUM(SUMIFS(CW$14:CW$1004,CU$14:CU$1004,CZ206:CZ207,CT$14:CT$1004,CY206:CY207,CV$14:CV$1004,0))</f>
        <v>0</v>
      </c>
      <c r="DF206" s="89">
        <v>93</v>
      </c>
      <c r="DG206" s="2">
        <v>38</v>
      </c>
      <c r="DH206" s="2">
        <v>0</v>
      </c>
      <c r="DI206" s="2">
        <v>3.4657849999999999</v>
      </c>
      <c r="DJ206" s="43" t="s">
        <v>1378</v>
      </c>
      <c r="DK206" s="43">
        <v>180</v>
      </c>
      <c r="DL206" s="43">
        <v>73</v>
      </c>
      <c r="DM206" s="74" cm="1">
        <f t="array" ref="DM206">SUM(SUMIFS(DI$14:DI$1004,DG$14:DG$1004,DL206:DL207,DF$14:DF$1004,DK206:DK207,DH$14:DH$1004,0))</f>
        <v>0</v>
      </c>
      <c r="DR206" s="89">
        <v>93</v>
      </c>
      <c r="DS206" s="2">
        <v>35</v>
      </c>
      <c r="DT206" s="2">
        <v>0</v>
      </c>
      <c r="DU206" s="2">
        <v>1.2999999999999999E-2</v>
      </c>
      <c r="DV206" s="43" t="s">
        <v>1378</v>
      </c>
      <c r="DW206" s="43">
        <v>180</v>
      </c>
      <c r="DX206" s="43">
        <v>73</v>
      </c>
      <c r="DY206" s="74" cm="1">
        <f t="array" ref="DY206">SUM(SUMIFS(DU$14:DU$1004,DS$14:DS$1004,DX206:DX207,DR$14:DR$1004,DW206:DW207,DT$14:DT$1004,0))</f>
        <v>0</v>
      </c>
      <c r="ED206" s="89">
        <v>98</v>
      </c>
      <c r="EE206" s="2">
        <v>37</v>
      </c>
      <c r="EF206" s="2">
        <v>1</v>
      </c>
      <c r="EG206" s="2">
        <v>9.3000000000000005E-4</v>
      </c>
      <c r="EH206" s="43" t="s">
        <v>1378</v>
      </c>
      <c r="EI206" s="43">
        <v>180</v>
      </c>
      <c r="EJ206" s="43">
        <v>73</v>
      </c>
      <c r="EK206" s="74" cm="1">
        <f t="array" ref="EK206">SUM(SUMIFS(EG$14:EG$1004,EE$14:EE$1004,EJ206:EJ207,ED$14:ED$1004,EI206:EI207,EF$14:EF$1004,0))</f>
        <v>0</v>
      </c>
      <c r="ES206">
        <v>98</v>
      </c>
      <c r="ET206">
        <v>37</v>
      </c>
      <c r="EU206">
        <v>1</v>
      </c>
      <c r="EV206">
        <v>9.3000000000000005E-4</v>
      </c>
    </row>
    <row r="207" spans="1:152" x14ac:dyDescent="0.4">
      <c r="A207" s="89"/>
      <c r="B207" s="2"/>
      <c r="C207" s="2"/>
      <c r="D207" s="2"/>
      <c r="E207" s="43" t="s">
        <v>1378</v>
      </c>
      <c r="F207" s="43">
        <v>181</v>
      </c>
      <c r="G207" s="43">
        <v>73</v>
      </c>
      <c r="H207" s="74"/>
      <c r="N207" s="89">
        <v>81</v>
      </c>
      <c r="O207" s="2">
        <v>36</v>
      </c>
      <c r="P207" s="2">
        <v>0</v>
      </c>
      <c r="Q207" s="2">
        <v>4.2000000000000003E-2</v>
      </c>
      <c r="R207" s="43" t="s">
        <v>1378</v>
      </c>
      <c r="S207" s="43">
        <v>181</v>
      </c>
      <c r="T207" s="43">
        <v>73</v>
      </c>
      <c r="U207" s="74"/>
      <c r="Z207" s="89">
        <v>87</v>
      </c>
      <c r="AA207" s="2">
        <v>36</v>
      </c>
      <c r="AB207" s="2">
        <v>0</v>
      </c>
      <c r="AC207" s="2">
        <v>1.5637779999999999</v>
      </c>
      <c r="AD207" s="43" t="s">
        <v>1378</v>
      </c>
      <c r="AE207" s="43">
        <v>181</v>
      </c>
      <c r="AF207" s="43">
        <v>73</v>
      </c>
      <c r="AG207" s="74"/>
      <c r="AL207" s="89">
        <v>86</v>
      </c>
      <c r="AM207" s="2">
        <v>36</v>
      </c>
      <c r="AN207" s="2">
        <v>0</v>
      </c>
      <c r="AO207" s="2">
        <v>1.857407</v>
      </c>
      <c r="AP207" s="43" t="s">
        <v>1378</v>
      </c>
      <c r="AQ207" s="43">
        <v>181</v>
      </c>
      <c r="AR207" s="43">
        <v>73</v>
      </c>
      <c r="AS207" s="74"/>
      <c r="AX207" s="89">
        <v>88</v>
      </c>
      <c r="AY207" s="2">
        <v>38</v>
      </c>
      <c r="AZ207" s="2">
        <v>0</v>
      </c>
      <c r="BA207" s="2">
        <v>2.2929029999999999</v>
      </c>
      <c r="BB207" s="43" t="s">
        <v>1378</v>
      </c>
      <c r="BC207" s="43">
        <v>181</v>
      </c>
      <c r="BD207" s="43">
        <v>73</v>
      </c>
      <c r="BE207" s="74"/>
      <c r="BJ207" s="89">
        <v>88</v>
      </c>
      <c r="BK207" s="2">
        <v>38</v>
      </c>
      <c r="BL207" s="2">
        <v>0</v>
      </c>
      <c r="BM207" s="2">
        <v>1.5676699999999999</v>
      </c>
      <c r="BN207" s="43" t="s">
        <v>1378</v>
      </c>
      <c r="BO207" s="43">
        <v>181</v>
      </c>
      <c r="BP207" s="43">
        <v>73</v>
      </c>
      <c r="BQ207" s="74"/>
      <c r="BV207" s="89">
        <v>87</v>
      </c>
      <c r="BW207" s="2">
        <v>38</v>
      </c>
      <c r="BX207" s="2">
        <v>0</v>
      </c>
      <c r="BY207" s="2">
        <v>2E-3</v>
      </c>
      <c r="BZ207" s="43" t="s">
        <v>1378</v>
      </c>
      <c r="CA207" s="43">
        <v>181</v>
      </c>
      <c r="CB207" s="43">
        <v>73</v>
      </c>
      <c r="CC207" s="74"/>
      <c r="CH207" s="89">
        <v>85</v>
      </c>
      <c r="CI207" s="2">
        <v>38</v>
      </c>
      <c r="CJ207" s="2">
        <v>0</v>
      </c>
      <c r="CK207" s="2">
        <v>2E-3</v>
      </c>
      <c r="CL207" s="43" t="s">
        <v>1378</v>
      </c>
      <c r="CM207" s="43">
        <v>181</v>
      </c>
      <c r="CN207" s="43">
        <v>73</v>
      </c>
      <c r="CO207" s="74"/>
      <c r="CT207" s="89">
        <v>94</v>
      </c>
      <c r="CU207" s="2">
        <v>37</v>
      </c>
      <c r="CV207" s="2">
        <v>0</v>
      </c>
      <c r="CW207" s="2">
        <v>0.12456390000000001</v>
      </c>
      <c r="CX207" s="43" t="s">
        <v>1378</v>
      </c>
      <c r="CY207" s="43">
        <v>181</v>
      </c>
      <c r="CZ207" s="43">
        <v>73</v>
      </c>
      <c r="DA207" s="74"/>
      <c r="DF207" s="89">
        <v>94</v>
      </c>
      <c r="DG207" s="2">
        <v>38</v>
      </c>
      <c r="DH207" s="2">
        <v>0</v>
      </c>
      <c r="DI207" s="2">
        <v>3.1482160000000001</v>
      </c>
      <c r="DJ207" s="43" t="s">
        <v>1378</v>
      </c>
      <c r="DK207" s="43">
        <v>181</v>
      </c>
      <c r="DL207" s="43">
        <v>73</v>
      </c>
      <c r="DM207" s="74"/>
      <c r="DR207" s="89">
        <v>94</v>
      </c>
      <c r="DS207" s="2">
        <v>35</v>
      </c>
      <c r="DT207" s="2">
        <v>0</v>
      </c>
      <c r="DU207" s="2">
        <v>6.0000000000000001E-3</v>
      </c>
      <c r="DV207" s="43" t="s">
        <v>1378</v>
      </c>
      <c r="DW207" s="43">
        <v>181</v>
      </c>
      <c r="DX207" s="43">
        <v>73</v>
      </c>
      <c r="DY207" s="74"/>
      <c r="ED207" s="89">
        <v>86</v>
      </c>
      <c r="EE207" s="2">
        <v>38</v>
      </c>
      <c r="EF207" s="2">
        <v>0</v>
      </c>
      <c r="EG207" s="2">
        <v>2.4E-2</v>
      </c>
      <c r="EH207" s="43" t="s">
        <v>1378</v>
      </c>
      <c r="EI207" s="43">
        <v>181</v>
      </c>
      <c r="EJ207" s="43">
        <v>73</v>
      </c>
      <c r="EK207" s="74"/>
      <c r="ES207">
        <v>86</v>
      </c>
      <c r="ET207">
        <v>38</v>
      </c>
      <c r="EU207">
        <v>0</v>
      </c>
      <c r="EV207">
        <v>2.4E-2</v>
      </c>
    </row>
    <row r="208" spans="1:152" x14ac:dyDescent="0.4">
      <c r="A208" s="89"/>
      <c r="B208" s="2"/>
      <c r="C208" s="2"/>
      <c r="D208" s="2"/>
      <c r="E208" s="42" t="s">
        <v>1327</v>
      </c>
      <c r="F208" s="42">
        <v>180</v>
      </c>
      <c r="G208" s="42">
        <v>74</v>
      </c>
      <c r="H208" s="74" cm="1">
        <f t="array" ref="H208">SUM(SUMIFS(D$14:D$1004,B$14:B$1004,G208:G212,A$14:A$1004,F208:F212,C$14:C$1004,0))</f>
        <v>0</v>
      </c>
      <c r="N208" s="89">
        <v>82</v>
      </c>
      <c r="O208" s="2">
        <v>36</v>
      </c>
      <c r="P208" s="2">
        <v>0</v>
      </c>
      <c r="Q208" s="2">
        <v>0.99500010000000005</v>
      </c>
      <c r="R208" s="42" t="s">
        <v>1327</v>
      </c>
      <c r="S208" s="42">
        <v>180</v>
      </c>
      <c r="T208" s="42">
        <v>74</v>
      </c>
      <c r="U208" s="74" cm="1">
        <f t="array" ref="U208">SUM(SUMIFS(Q$14:Q$1004,O$14:O$1004,T208:T212,N$14:N$1004,S208:S212,P$14:P$1004,0))</f>
        <v>0</v>
      </c>
      <c r="Z208" s="89">
        <v>88</v>
      </c>
      <c r="AA208" s="2">
        <v>36</v>
      </c>
      <c r="AB208" s="2">
        <v>0</v>
      </c>
      <c r="AC208" s="2">
        <v>1.2320530000000001</v>
      </c>
      <c r="AD208" s="42" t="s">
        <v>1327</v>
      </c>
      <c r="AE208" s="42">
        <v>180</v>
      </c>
      <c r="AF208" s="42">
        <v>74</v>
      </c>
      <c r="AG208" s="74" cm="1">
        <f t="array" ref="AG208">SUM(SUMIFS(AC$14:AC$1004,AA$14:AA$1004,AF208:AF212,Z$14:Z$1004,AE208:AE212,AB$14:AB$1004,0))</f>
        <v>0</v>
      </c>
      <c r="AL208" s="89">
        <v>87</v>
      </c>
      <c r="AM208" s="2">
        <v>36</v>
      </c>
      <c r="AN208" s="2">
        <v>0</v>
      </c>
      <c r="AO208" s="2">
        <v>1.283479</v>
      </c>
      <c r="AP208" s="42" t="s">
        <v>1327</v>
      </c>
      <c r="AQ208" s="42">
        <v>180</v>
      </c>
      <c r="AR208" s="42">
        <v>74</v>
      </c>
      <c r="AS208" s="74" cm="1">
        <f t="array" ref="AS208">SUM(SUMIFS(AO$14:AO$1004,AM$14:AM$1004,AR208:AR212,AL$14:AL$1004,AQ208:AQ212,AN$14:AN$1004,0))</f>
        <v>0</v>
      </c>
      <c r="AX208" s="89">
        <v>89</v>
      </c>
      <c r="AY208" s="2">
        <v>38</v>
      </c>
      <c r="AZ208" s="2">
        <v>0</v>
      </c>
      <c r="BA208" s="2">
        <v>2.429818</v>
      </c>
      <c r="BB208" s="42" t="s">
        <v>1327</v>
      </c>
      <c r="BC208" s="42">
        <v>180</v>
      </c>
      <c r="BD208" s="42">
        <v>74</v>
      </c>
      <c r="BE208" s="74" cm="1">
        <f t="array" ref="BE208">SUM(SUMIFS(BA$14:BA$1004,AY$14:AY$1004,BD208:BD212,AX$14:AX$1004,BC208:BC212,AZ$14:AZ$1004,0))</f>
        <v>0</v>
      </c>
      <c r="BJ208" s="89">
        <v>89</v>
      </c>
      <c r="BK208" s="2">
        <v>38</v>
      </c>
      <c r="BL208" s="2">
        <v>0</v>
      </c>
      <c r="BM208" s="2">
        <v>1.6106450000000001</v>
      </c>
      <c r="BN208" s="42" t="s">
        <v>1327</v>
      </c>
      <c r="BO208" s="42">
        <v>180</v>
      </c>
      <c r="BP208" s="42">
        <v>74</v>
      </c>
      <c r="BQ208" s="74" cm="1">
        <f t="array" ref="BQ208">SUM(SUMIFS(BM$14:BM$1004,BK$14:BK$1004,BP208:BP212,BJ$14:BJ$1004,BO208:BO212,BL$14:BL$1004,0))</f>
        <v>0</v>
      </c>
      <c r="BV208" s="89">
        <v>88</v>
      </c>
      <c r="BW208" s="2">
        <v>38</v>
      </c>
      <c r="BX208" s="2">
        <v>0</v>
      </c>
      <c r="BY208" s="2">
        <v>1.649626</v>
      </c>
      <c r="BZ208" s="42" t="s">
        <v>1327</v>
      </c>
      <c r="CA208" s="42">
        <v>180</v>
      </c>
      <c r="CB208" s="42">
        <v>74</v>
      </c>
      <c r="CC208" s="74" cm="1">
        <f t="array" ref="CC208">SUM(SUMIFS(BY$14:BY$1004,BW$14:BW$1004,CB208:CB212,BV$14:BV$1004,CA208:CA212,BX$14:BX$1004,0))</f>
        <v>0</v>
      </c>
      <c r="CH208" s="89">
        <v>86</v>
      </c>
      <c r="CI208" s="2">
        <v>38</v>
      </c>
      <c r="CJ208" s="2">
        <v>0</v>
      </c>
      <c r="CK208" s="2">
        <v>0.105</v>
      </c>
      <c r="CL208" s="42" t="s">
        <v>1327</v>
      </c>
      <c r="CM208" s="42">
        <v>180</v>
      </c>
      <c r="CN208" s="42">
        <v>74</v>
      </c>
      <c r="CO208" s="74" cm="1">
        <f t="array" ref="CO208">SUM(SUMIFS(CK$14:CK$1004,CI$14:CI$1004,CN208:CN212,CH$14:CH$1004,CM208:CM212,CJ$14:CJ$1004,0))</f>
        <v>1E-3</v>
      </c>
      <c r="CT208" s="89">
        <v>95</v>
      </c>
      <c r="CU208" s="2">
        <v>37</v>
      </c>
      <c r="CV208" s="2">
        <v>0</v>
      </c>
      <c r="CW208" s="2">
        <v>5.98852E-2</v>
      </c>
      <c r="CX208" s="42" t="s">
        <v>1327</v>
      </c>
      <c r="CY208" s="42">
        <v>180</v>
      </c>
      <c r="CZ208" s="42">
        <v>74</v>
      </c>
      <c r="DA208" s="74" cm="1">
        <f t="array" ref="DA208">SUM(SUMIFS(CW$14:CW$1004,CU$14:CU$1004,CZ208:CZ212,CT$14:CT$1004,CY208:CY212,CV$14:CV$1004,0))</f>
        <v>0</v>
      </c>
      <c r="DF208" s="89">
        <v>95</v>
      </c>
      <c r="DG208" s="2">
        <v>38</v>
      </c>
      <c r="DH208" s="2">
        <v>0</v>
      </c>
      <c r="DI208" s="2">
        <v>2.3729089999999999</v>
      </c>
      <c r="DJ208" s="42" t="s">
        <v>1327</v>
      </c>
      <c r="DK208" s="42">
        <v>180</v>
      </c>
      <c r="DL208" s="42">
        <v>74</v>
      </c>
      <c r="DM208" s="74" cm="1">
        <f t="array" ref="DM208">SUM(SUMIFS(DI$14:DI$1004,DG$14:DG$1004,DL208:DL212,DF$14:DF$1004,DK208:DK212,DH$14:DH$1004,0))</f>
        <v>0</v>
      </c>
      <c r="DR208" s="89">
        <v>95</v>
      </c>
      <c r="DS208" s="2">
        <v>35</v>
      </c>
      <c r="DT208" s="2">
        <v>0</v>
      </c>
      <c r="DU208" s="2">
        <v>2E-3</v>
      </c>
      <c r="DV208" s="42" t="s">
        <v>1327</v>
      </c>
      <c r="DW208" s="42">
        <v>180</v>
      </c>
      <c r="DX208" s="42">
        <v>74</v>
      </c>
      <c r="DY208" s="74" cm="1">
        <f t="array" ref="DY208">SUM(SUMIFS(DU$14:DU$1004,DS$14:DS$1004,DX208:DX212,DR$14:DR$1004,DW208:DW212,DT$14:DT$1004,0))</f>
        <v>0</v>
      </c>
      <c r="ED208" s="89">
        <v>87</v>
      </c>
      <c r="EE208" s="2">
        <v>38</v>
      </c>
      <c r="EF208" s="2">
        <v>0</v>
      </c>
      <c r="EG208" s="2">
        <v>1.1997000000000001E-2</v>
      </c>
      <c r="EH208" s="42" t="s">
        <v>1327</v>
      </c>
      <c r="EI208" s="42">
        <v>180</v>
      </c>
      <c r="EJ208" s="42">
        <v>74</v>
      </c>
      <c r="EK208" s="74" cm="1">
        <f t="array" ref="EK208">SUM(SUMIFS(EG$14:EG$1004,EE$14:EE$1004,EJ208:EJ212,ED$14:ED$1004,EI208:EI212,EF$14:EF$1004,0))</f>
        <v>1E-3</v>
      </c>
      <c r="ES208">
        <v>87</v>
      </c>
      <c r="ET208">
        <v>38</v>
      </c>
      <c r="EU208">
        <v>0</v>
      </c>
      <c r="EV208">
        <v>1.1997000000000001E-2</v>
      </c>
    </row>
    <row r="209" spans="1:152" x14ac:dyDescent="0.4">
      <c r="A209" s="89"/>
      <c r="B209" s="2"/>
      <c r="C209" s="2"/>
      <c r="D209" s="2"/>
      <c r="E209" s="42" t="s">
        <v>1327</v>
      </c>
      <c r="F209" s="42">
        <v>182</v>
      </c>
      <c r="G209" s="42">
        <v>74</v>
      </c>
      <c r="N209" s="89">
        <v>83</v>
      </c>
      <c r="O209" s="2">
        <v>36</v>
      </c>
      <c r="P209" s="2">
        <v>0</v>
      </c>
      <c r="Q209" s="2">
        <v>2.5112999999999999</v>
      </c>
      <c r="R209" s="42" t="s">
        <v>1327</v>
      </c>
      <c r="S209" s="42">
        <v>182</v>
      </c>
      <c r="T209" s="42">
        <v>74</v>
      </c>
      <c r="Z209" s="89">
        <v>89</v>
      </c>
      <c r="AA209" s="2">
        <v>36</v>
      </c>
      <c r="AB209" s="2">
        <v>0</v>
      </c>
      <c r="AC209" s="2">
        <v>0.77273769999999997</v>
      </c>
      <c r="AD209" s="42" t="s">
        <v>1327</v>
      </c>
      <c r="AE209" s="42">
        <v>182</v>
      </c>
      <c r="AF209" s="42">
        <v>74</v>
      </c>
      <c r="AL209" s="89">
        <v>88</v>
      </c>
      <c r="AM209" s="2">
        <v>36</v>
      </c>
      <c r="AN209" s="2">
        <v>0</v>
      </c>
      <c r="AO209" s="2">
        <v>0.85656399999999999</v>
      </c>
      <c r="AP209" s="42" t="s">
        <v>1327</v>
      </c>
      <c r="AQ209" s="42">
        <v>182</v>
      </c>
      <c r="AR209" s="42">
        <v>74</v>
      </c>
      <c r="AX209" s="89">
        <v>90</v>
      </c>
      <c r="AY209" s="2">
        <v>38</v>
      </c>
      <c r="AZ209" s="2">
        <v>0</v>
      </c>
      <c r="BA209" s="2">
        <v>2.4385110000000001</v>
      </c>
      <c r="BB209" s="42" t="s">
        <v>1327</v>
      </c>
      <c r="BC209" s="42">
        <v>182</v>
      </c>
      <c r="BD209" s="42">
        <v>74</v>
      </c>
      <c r="BJ209" s="89">
        <v>90</v>
      </c>
      <c r="BK209" s="2">
        <v>38</v>
      </c>
      <c r="BL209" s="2">
        <v>0</v>
      </c>
      <c r="BM209" s="2">
        <v>1.748516</v>
      </c>
      <c r="BN209" s="42" t="s">
        <v>1327</v>
      </c>
      <c r="BO209" s="42">
        <v>182</v>
      </c>
      <c r="BP209" s="42">
        <v>74</v>
      </c>
      <c r="BV209" s="89">
        <v>89</v>
      </c>
      <c r="BW209" s="2">
        <v>38</v>
      </c>
      <c r="BX209" s="2">
        <v>0</v>
      </c>
      <c r="BY209" s="2">
        <v>1.774127</v>
      </c>
      <c r="BZ209" s="42" t="s">
        <v>1327</v>
      </c>
      <c r="CA209" s="42">
        <v>182</v>
      </c>
      <c r="CB209" s="42">
        <v>74</v>
      </c>
      <c r="CH209" s="89">
        <v>87</v>
      </c>
      <c r="CI209" s="2">
        <v>38</v>
      </c>
      <c r="CJ209" s="2">
        <v>0</v>
      </c>
      <c r="CK209" s="2">
        <v>3.3000000000000002E-2</v>
      </c>
      <c r="CL209" s="42" t="s">
        <v>1327</v>
      </c>
      <c r="CM209" s="42">
        <v>182</v>
      </c>
      <c r="CN209" s="42">
        <v>74</v>
      </c>
      <c r="CT209" s="89">
        <v>96</v>
      </c>
      <c r="CU209" s="2">
        <v>37</v>
      </c>
      <c r="CV209" s="2">
        <v>0</v>
      </c>
      <c r="CW209" s="2">
        <v>1.7000000000000001E-2</v>
      </c>
      <c r="CX209" s="42" t="s">
        <v>1327</v>
      </c>
      <c r="CY209" s="42">
        <v>182</v>
      </c>
      <c r="CZ209" s="42">
        <v>74</v>
      </c>
      <c r="DF209" s="89">
        <v>96</v>
      </c>
      <c r="DG209" s="2">
        <v>38</v>
      </c>
      <c r="DH209" s="2">
        <v>0</v>
      </c>
      <c r="DI209" s="2">
        <v>1.630296</v>
      </c>
      <c r="DJ209" s="42" t="s">
        <v>1327</v>
      </c>
      <c r="DK209" s="42">
        <v>182</v>
      </c>
      <c r="DL209" s="42">
        <v>74</v>
      </c>
      <c r="DR209" s="89">
        <v>96</v>
      </c>
      <c r="DS209" s="2">
        <v>35</v>
      </c>
      <c r="DT209" s="2">
        <v>0</v>
      </c>
      <c r="DU209" s="2">
        <v>1E-3</v>
      </c>
      <c r="DV209" s="42" t="s">
        <v>1327</v>
      </c>
      <c r="DW209" s="42">
        <v>182</v>
      </c>
      <c r="DX209" s="42">
        <v>74</v>
      </c>
      <c r="ED209" s="89">
        <v>87</v>
      </c>
      <c r="EE209" s="2">
        <v>38</v>
      </c>
      <c r="EF209" s="2">
        <v>1</v>
      </c>
      <c r="EG209" s="2">
        <v>1E-3</v>
      </c>
      <c r="EH209" s="42" t="s">
        <v>1327</v>
      </c>
      <c r="EI209" s="42">
        <v>182</v>
      </c>
      <c r="EJ209" s="42">
        <v>74</v>
      </c>
      <c r="ES209">
        <v>87</v>
      </c>
      <c r="ET209">
        <v>38</v>
      </c>
      <c r="EU209">
        <v>1</v>
      </c>
      <c r="EV209">
        <v>1E-3</v>
      </c>
    </row>
    <row r="210" spans="1:152" x14ac:dyDescent="0.4">
      <c r="A210" s="89"/>
      <c r="B210" s="2"/>
      <c r="C210" s="2"/>
      <c r="D210" s="2"/>
      <c r="E210" s="42" t="s">
        <v>1327</v>
      </c>
      <c r="F210" s="42">
        <v>183</v>
      </c>
      <c r="G210" s="42">
        <v>74</v>
      </c>
      <c r="N210" s="89">
        <v>83</v>
      </c>
      <c r="O210" s="2">
        <v>36</v>
      </c>
      <c r="P210" s="2">
        <v>1</v>
      </c>
      <c r="Q210" s="2">
        <v>2.0683379999999998</v>
      </c>
      <c r="R210" s="42" t="s">
        <v>1327</v>
      </c>
      <c r="S210" s="42">
        <v>183</v>
      </c>
      <c r="T210" s="42">
        <v>74</v>
      </c>
      <c r="Z210" s="89">
        <v>90</v>
      </c>
      <c r="AA210" s="2">
        <v>36</v>
      </c>
      <c r="AB210" s="2">
        <v>0</v>
      </c>
      <c r="AC210" s="2">
        <v>0.4423704</v>
      </c>
      <c r="AD210" s="42" t="s">
        <v>1327</v>
      </c>
      <c r="AE210" s="42">
        <v>183</v>
      </c>
      <c r="AF210" s="42">
        <v>74</v>
      </c>
      <c r="AL210" s="89">
        <v>89</v>
      </c>
      <c r="AM210" s="2">
        <v>36</v>
      </c>
      <c r="AN210" s="2">
        <v>0</v>
      </c>
      <c r="AO210" s="2">
        <v>0.46116269999999998</v>
      </c>
      <c r="AP210" s="42" t="s">
        <v>1327</v>
      </c>
      <c r="AQ210" s="42">
        <v>183</v>
      </c>
      <c r="AR210" s="42">
        <v>74</v>
      </c>
      <c r="AX210" s="89">
        <v>91</v>
      </c>
      <c r="AY210" s="2">
        <v>38</v>
      </c>
      <c r="AZ210" s="2">
        <v>0</v>
      </c>
      <c r="BA210" s="2">
        <v>2.516705</v>
      </c>
      <c r="BB210" s="42" t="s">
        <v>1327</v>
      </c>
      <c r="BC210" s="42">
        <v>183</v>
      </c>
      <c r="BD210" s="42">
        <v>74</v>
      </c>
      <c r="BJ210" s="89">
        <v>91</v>
      </c>
      <c r="BK210" s="2">
        <v>38</v>
      </c>
      <c r="BL210" s="2">
        <v>0</v>
      </c>
      <c r="BM210" s="2">
        <v>1.934855</v>
      </c>
      <c r="BN210" s="42" t="s">
        <v>1327</v>
      </c>
      <c r="BO210" s="42">
        <v>183</v>
      </c>
      <c r="BP210" s="42">
        <v>74</v>
      </c>
      <c r="BV210" s="89">
        <v>90</v>
      </c>
      <c r="BW210" s="2">
        <v>38</v>
      </c>
      <c r="BX210" s="2">
        <v>0</v>
      </c>
      <c r="BY210" s="2">
        <v>2.0225719999999998</v>
      </c>
      <c r="BZ210" s="42" t="s">
        <v>1327</v>
      </c>
      <c r="CA210" s="42">
        <v>183</v>
      </c>
      <c r="CB210" s="42">
        <v>74</v>
      </c>
      <c r="CH210" s="89">
        <v>88</v>
      </c>
      <c r="CI210" s="2">
        <v>38</v>
      </c>
      <c r="CJ210" s="2">
        <v>0</v>
      </c>
      <c r="CK210" s="2">
        <v>1.2213229999999999</v>
      </c>
      <c r="CL210" s="42" t="s">
        <v>1327</v>
      </c>
      <c r="CM210" s="42">
        <v>183</v>
      </c>
      <c r="CN210" s="42">
        <v>74</v>
      </c>
      <c r="CT210" s="89">
        <v>97</v>
      </c>
      <c r="CU210" s="2">
        <v>37</v>
      </c>
      <c r="CV210" s="2">
        <v>0</v>
      </c>
      <c r="CW210" s="2">
        <v>1.0999999999999999E-2</v>
      </c>
      <c r="CX210" s="42" t="s">
        <v>1327</v>
      </c>
      <c r="CY210" s="42">
        <v>183</v>
      </c>
      <c r="CZ210" s="42">
        <v>74</v>
      </c>
      <c r="DF210" s="89">
        <v>97</v>
      </c>
      <c r="DG210" s="2">
        <v>38</v>
      </c>
      <c r="DH210" s="2">
        <v>0</v>
      </c>
      <c r="DI210" s="2">
        <v>0.83343129999999999</v>
      </c>
      <c r="DJ210" s="42" t="s">
        <v>1327</v>
      </c>
      <c r="DK210" s="42">
        <v>183</v>
      </c>
      <c r="DL210" s="42">
        <v>74</v>
      </c>
      <c r="DR210" s="89">
        <v>80</v>
      </c>
      <c r="DS210" s="2">
        <v>36</v>
      </c>
      <c r="DT210" s="2">
        <v>0</v>
      </c>
      <c r="DU210" s="2">
        <v>2.751E-2</v>
      </c>
      <c r="DV210" s="42" t="s">
        <v>1327</v>
      </c>
      <c r="DW210" s="42">
        <v>183</v>
      </c>
      <c r="DX210" s="42">
        <v>74</v>
      </c>
      <c r="ED210" s="89">
        <v>88</v>
      </c>
      <c r="EE210" s="2">
        <v>38</v>
      </c>
      <c r="EF210" s="2">
        <v>0</v>
      </c>
      <c r="EG210" s="2">
        <v>1.2750980000000001</v>
      </c>
      <c r="EH210" s="42" t="s">
        <v>1327</v>
      </c>
      <c r="EI210" s="42">
        <v>183</v>
      </c>
      <c r="EJ210" s="42">
        <v>74</v>
      </c>
      <c r="ES210">
        <v>88</v>
      </c>
      <c r="ET210">
        <v>38</v>
      </c>
      <c r="EU210">
        <v>0</v>
      </c>
      <c r="EV210">
        <v>1.2750980000000001</v>
      </c>
    </row>
    <row r="211" spans="1:152" x14ac:dyDescent="0.4">
      <c r="A211" s="89"/>
      <c r="B211" s="2"/>
      <c r="C211" s="2"/>
      <c r="D211" s="2"/>
      <c r="E211" s="42" t="s">
        <v>1327</v>
      </c>
      <c r="F211" s="42">
        <v>184</v>
      </c>
      <c r="G211" s="42">
        <v>74</v>
      </c>
      <c r="N211" s="89">
        <v>84</v>
      </c>
      <c r="O211" s="2">
        <v>36</v>
      </c>
      <c r="P211" s="2">
        <v>0</v>
      </c>
      <c r="Q211" s="2">
        <v>2.8148460000000002</v>
      </c>
      <c r="R211" s="42" t="s">
        <v>1327</v>
      </c>
      <c r="S211" s="42">
        <v>184</v>
      </c>
      <c r="T211" s="42">
        <v>74</v>
      </c>
      <c r="Z211" s="89">
        <v>91</v>
      </c>
      <c r="AA211" s="2">
        <v>36</v>
      </c>
      <c r="AB211" s="2">
        <v>0</v>
      </c>
      <c r="AC211" s="2">
        <v>0.231018</v>
      </c>
      <c r="AD211" s="42" t="s">
        <v>1327</v>
      </c>
      <c r="AE211" s="42">
        <v>184</v>
      </c>
      <c r="AF211" s="42">
        <v>74</v>
      </c>
      <c r="AL211" s="89">
        <v>90</v>
      </c>
      <c r="AM211" s="2">
        <v>36</v>
      </c>
      <c r="AN211" s="2">
        <v>0</v>
      </c>
      <c r="AO211" s="2">
        <v>0.24478240000000001</v>
      </c>
      <c r="AP211" s="42" t="s">
        <v>1327</v>
      </c>
      <c r="AQ211" s="42">
        <v>184</v>
      </c>
      <c r="AR211" s="42">
        <v>74</v>
      </c>
      <c r="AX211" s="89">
        <v>92</v>
      </c>
      <c r="AY211" s="2">
        <v>38</v>
      </c>
      <c r="AZ211" s="2">
        <v>0</v>
      </c>
      <c r="BA211" s="2">
        <v>2.6235339999999998</v>
      </c>
      <c r="BB211" s="42" t="s">
        <v>1327</v>
      </c>
      <c r="BC211" s="42">
        <v>184</v>
      </c>
      <c r="BD211" s="42">
        <v>74</v>
      </c>
      <c r="BJ211" s="89">
        <v>92</v>
      </c>
      <c r="BK211" s="2">
        <v>38</v>
      </c>
      <c r="BL211" s="2">
        <v>0</v>
      </c>
      <c r="BM211" s="2">
        <v>1.9350529999999999</v>
      </c>
      <c r="BN211" s="42" t="s">
        <v>1327</v>
      </c>
      <c r="BO211" s="42">
        <v>184</v>
      </c>
      <c r="BP211" s="42">
        <v>74</v>
      </c>
      <c r="BV211" s="89">
        <v>91</v>
      </c>
      <c r="BW211" s="2">
        <v>38</v>
      </c>
      <c r="BX211" s="2">
        <v>0</v>
      </c>
      <c r="BY211" s="2">
        <v>2.3133789999999999</v>
      </c>
      <c r="BZ211" s="42" t="s">
        <v>1327</v>
      </c>
      <c r="CA211" s="42">
        <v>184</v>
      </c>
      <c r="CB211" s="42">
        <v>74</v>
      </c>
      <c r="CH211" s="89">
        <v>89</v>
      </c>
      <c r="CI211" s="2">
        <v>38</v>
      </c>
      <c r="CJ211" s="2">
        <v>0</v>
      </c>
      <c r="CK211" s="2">
        <v>1.3260149999999999</v>
      </c>
      <c r="CL211" s="42" t="s">
        <v>1327</v>
      </c>
      <c r="CM211" s="42">
        <v>184</v>
      </c>
      <c r="CN211" s="42">
        <v>74</v>
      </c>
      <c r="CT211" s="89">
        <v>98</v>
      </c>
      <c r="CU211" s="2">
        <v>37</v>
      </c>
      <c r="CV211" s="2">
        <v>0</v>
      </c>
      <c r="CW211" s="2">
        <v>4.0000000000000001E-3</v>
      </c>
      <c r="CX211" s="42" t="s">
        <v>1327</v>
      </c>
      <c r="CY211" s="42">
        <v>184</v>
      </c>
      <c r="CZ211" s="42">
        <v>74</v>
      </c>
      <c r="DF211" s="89">
        <v>98</v>
      </c>
      <c r="DG211" s="2">
        <v>38</v>
      </c>
      <c r="DH211" s="2">
        <v>0</v>
      </c>
      <c r="DI211" s="2">
        <v>0.41606749999999998</v>
      </c>
      <c r="DJ211" s="42" t="s">
        <v>1327</v>
      </c>
      <c r="DK211" s="42">
        <v>184</v>
      </c>
      <c r="DL211" s="42">
        <v>74</v>
      </c>
      <c r="DR211" s="89">
        <v>81</v>
      </c>
      <c r="DS211" s="2">
        <v>36</v>
      </c>
      <c r="DT211" s="2">
        <v>0</v>
      </c>
      <c r="DU211" s="2">
        <v>5.0000000000000001E-3</v>
      </c>
      <c r="DV211" s="42" t="s">
        <v>1327</v>
      </c>
      <c r="DW211" s="42">
        <v>184</v>
      </c>
      <c r="DX211" s="42">
        <v>74</v>
      </c>
      <c r="ED211" s="89">
        <v>89</v>
      </c>
      <c r="EE211" s="2">
        <v>38</v>
      </c>
      <c r="EF211" s="2">
        <v>0</v>
      </c>
      <c r="EG211" s="2">
        <v>1.4089400000000001</v>
      </c>
      <c r="EH211" s="42" t="s">
        <v>1327</v>
      </c>
      <c r="EI211" s="42">
        <v>184</v>
      </c>
      <c r="EJ211" s="42">
        <v>74</v>
      </c>
      <c r="ES211">
        <v>89</v>
      </c>
      <c r="ET211">
        <v>38</v>
      </c>
      <c r="EU211">
        <v>0</v>
      </c>
      <c r="EV211">
        <v>1.4089400000000001</v>
      </c>
    </row>
    <row r="212" spans="1:152" x14ac:dyDescent="0.4">
      <c r="A212" s="89"/>
      <c r="B212" s="2"/>
      <c r="C212" s="2"/>
      <c r="D212" s="2"/>
      <c r="E212" s="42" t="s">
        <v>1327</v>
      </c>
      <c r="F212" s="42">
        <v>186</v>
      </c>
      <c r="G212" s="42">
        <v>74</v>
      </c>
      <c r="N212" s="89">
        <v>85</v>
      </c>
      <c r="O212" s="2">
        <v>36</v>
      </c>
      <c r="P212" s="2">
        <v>0</v>
      </c>
      <c r="Q212" s="2">
        <v>1.550745</v>
      </c>
      <c r="R212" s="42" t="s">
        <v>1327</v>
      </c>
      <c r="S212" s="42">
        <v>186</v>
      </c>
      <c r="T212" s="42">
        <v>74</v>
      </c>
      <c r="Z212" s="89">
        <v>92</v>
      </c>
      <c r="AA212" s="2">
        <v>36</v>
      </c>
      <c r="AB212" s="2">
        <v>0</v>
      </c>
      <c r="AC212" s="2">
        <v>9.3694E-2</v>
      </c>
      <c r="AD212" s="42" t="s">
        <v>1327</v>
      </c>
      <c r="AE212" s="42">
        <v>186</v>
      </c>
      <c r="AF212" s="42">
        <v>74</v>
      </c>
      <c r="AL212" s="89">
        <v>91</v>
      </c>
      <c r="AM212" s="2">
        <v>36</v>
      </c>
      <c r="AN212" s="2">
        <v>0</v>
      </c>
      <c r="AO212" s="2">
        <v>9.6024999999999999E-2</v>
      </c>
      <c r="AP212" s="42" t="s">
        <v>1327</v>
      </c>
      <c r="AQ212" s="42">
        <v>186</v>
      </c>
      <c r="AR212" s="42">
        <v>74</v>
      </c>
      <c r="AX212" s="89">
        <v>93</v>
      </c>
      <c r="AY212" s="2">
        <v>38</v>
      </c>
      <c r="AZ212" s="2">
        <v>0</v>
      </c>
      <c r="BA212" s="2">
        <v>2.303366</v>
      </c>
      <c r="BB212" s="42" t="s">
        <v>1327</v>
      </c>
      <c r="BC212" s="42">
        <v>186</v>
      </c>
      <c r="BD212" s="42">
        <v>74</v>
      </c>
      <c r="BJ212" s="89">
        <v>93</v>
      </c>
      <c r="BK212" s="2">
        <v>38</v>
      </c>
      <c r="BL212" s="2">
        <v>0</v>
      </c>
      <c r="BM212" s="2">
        <v>1.786443</v>
      </c>
      <c r="BN212" s="42" t="s">
        <v>1327</v>
      </c>
      <c r="BO212" s="42">
        <v>186</v>
      </c>
      <c r="BP212" s="42">
        <v>74</v>
      </c>
      <c r="BV212" s="89">
        <v>92</v>
      </c>
      <c r="BW212" s="2">
        <v>38</v>
      </c>
      <c r="BX212" s="2">
        <v>0</v>
      </c>
      <c r="BY212" s="2">
        <v>2.4872359999999998</v>
      </c>
      <c r="BZ212" s="42" t="s">
        <v>1327</v>
      </c>
      <c r="CA212" s="42">
        <v>186</v>
      </c>
      <c r="CB212" s="42">
        <v>74</v>
      </c>
      <c r="CH212" s="89">
        <v>90</v>
      </c>
      <c r="CI212" s="2">
        <v>38</v>
      </c>
      <c r="CJ212" s="2">
        <v>0</v>
      </c>
      <c r="CK212" s="2">
        <v>1.5306960000000001</v>
      </c>
      <c r="CL212" s="42" t="s">
        <v>1327</v>
      </c>
      <c r="CM212" s="42">
        <v>186</v>
      </c>
      <c r="CN212" s="42">
        <v>74</v>
      </c>
      <c r="CT212" s="89">
        <v>84</v>
      </c>
      <c r="CU212" s="2">
        <v>38</v>
      </c>
      <c r="CV212" s="2">
        <v>0</v>
      </c>
      <c r="CW212" s="2">
        <v>1.096E-3</v>
      </c>
      <c r="CX212" s="42" t="s">
        <v>1327</v>
      </c>
      <c r="CY212" s="42">
        <v>186</v>
      </c>
      <c r="CZ212" s="42">
        <v>74</v>
      </c>
      <c r="DF212" s="89">
        <v>99</v>
      </c>
      <c r="DG212" s="2">
        <v>38</v>
      </c>
      <c r="DH212" s="2">
        <v>0</v>
      </c>
      <c r="DI212" s="2">
        <v>0.16256899999999999</v>
      </c>
      <c r="DJ212" s="42" t="s">
        <v>1327</v>
      </c>
      <c r="DK212" s="42">
        <v>186</v>
      </c>
      <c r="DL212" s="42">
        <v>74</v>
      </c>
      <c r="DR212" s="89">
        <v>82</v>
      </c>
      <c r="DS212" s="2">
        <v>36</v>
      </c>
      <c r="DT212" s="2">
        <v>0</v>
      </c>
      <c r="DU212" s="2">
        <v>0.33200000000000002</v>
      </c>
      <c r="DV212" s="42" t="s">
        <v>1327</v>
      </c>
      <c r="DW212" s="42">
        <v>186</v>
      </c>
      <c r="DX212" s="42">
        <v>74</v>
      </c>
      <c r="ED212" s="89">
        <v>90</v>
      </c>
      <c r="EE212" s="2">
        <v>38</v>
      </c>
      <c r="EF212" s="2">
        <v>0</v>
      </c>
      <c r="EG212" s="2">
        <v>1.5902579999999999</v>
      </c>
      <c r="EH212" s="42" t="s">
        <v>1327</v>
      </c>
      <c r="EI212" s="42">
        <v>186</v>
      </c>
      <c r="EJ212" s="42">
        <v>74</v>
      </c>
      <c r="ES212">
        <v>90</v>
      </c>
      <c r="ET212">
        <v>38</v>
      </c>
      <c r="EU212">
        <v>0</v>
      </c>
      <c r="EV212">
        <v>1.5902579999999999</v>
      </c>
    </row>
    <row r="213" spans="1:152" x14ac:dyDescent="0.4">
      <c r="N213" s="89">
        <v>85</v>
      </c>
      <c r="O213" s="2">
        <v>36</v>
      </c>
      <c r="P213" s="2">
        <v>1</v>
      </c>
      <c r="Q213" s="2">
        <v>1.443978</v>
      </c>
      <c r="Z213" s="89">
        <v>93</v>
      </c>
      <c r="AA213" s="2">
        <v>36</v>
      </c>
      <c r="AB213" s="2">
        <v>0</v>
      </c>
      <c r="AC213" s="2">
        <v>2.742E-2</v>
      </c>
      <c r="AL213" s="89">
        <v>92</v>
      </c>
      <c r="AM213" s="2">
        <v>36</v>
      </c>
      <c r="AN213" s="2">
        <v>0</v>
      </c>
      <c r="AO213" s="2">
        <v>3.9007E-2</v>
      </c>
      <c r="AX213" s="89">
        <v>94</v>
      </c>
      <c r="AY213" s="2">
        <v>38</v>
      </c>
      <c r="AZ213" s="2">
        <v>0</v>
      </c>
      <c r="BA213" s="2">
        <v>1.8446689999999999</v>
      </c>
      <c r="BJ213" s="89">
        <v>94</v>
      </c>
      <c r="BK213" s="2">
        <v>38</v>
      </c>
      <c r="BL213" s="2">
        <v>0</v>
      </c>
      <c r="BM213" s="2">
        <v>1.381195</v>
      </c>
      <c r="BV213" s="89">
        <v>93</v>
      </c>
      <c r="BW213" s="2">
        <v>38</v>
      </c>
      <c r="BX213" s="2">
        <v>0</v>
      </c>
      <c r="BY213" s="2">
        <v>2.3753069999999998</v>
      </c>
      <c r="CH213" s="89">
        <v>91</v>
      </c>
      <c r="CI213" s="2">
        <v>38</v>
      </c>
      <c r="CJ213" s="2">
        <v>0</v>
      </c>
      <c r="CK213" s="2">
        <v>1.602724</v>
      </c>
      <c r="CT213" s="89">
        <v>85</v>
      </c>
      <c r="CU213" s="2">
        <v>38</v>
      </c>
      <c r="CV213" s="2">
        <v>0</v>
      </c>
      <c r="CW213" s="2">
        <v>1E-3</v>
      </c>
      <c r="DF213" s="89">
        <v>100</v>
      </c>
      <c r="DG213" s="2">
        <v>38</v>
      </c>
      <c r="DH213" s="2">
        <v>0</v>
      </c>
      <c r="DI213" s="2">
        <v>5.8000000000000003E-2</v>
      </c>
      <c r="DR213" s="89">
        <v>83</v>
      </c>
      <c r="DS213" s="2">
        <v>36</v>
      </c>
      <c r="DT213" s="2">
        <v>0</v>
      </c>
      <c r="DU213" s="2">
        <v>2.2116259999999999</v>
      </c>
      <c r="ED213" s="89">
        <v>91</v>
      </c>
      <c r="EE213" s="2">
        <v>38</v>
      </c>
      <c r="EF213" s="2">
        <v>0</v>
      </c>
      <c r="EG213" s="2">
        <v>1.7561100000000001</v>
      </c>
      <c r="ES213">
        <v>91</v>
      </c>
      <c r="ET213">
        <v>38</v>
      </c>
      <c r="EU213">
        <v>0</v>
      </c>
      <c r="EV213">
        <v>1.7561100000000001</v>
      </c>
    </row>
    <row r="214" spans="1:152" x14ac:dyDescent="0.4">
      <c r="N214" s="89">
        <v>86</v>
      </c>
      <c r="O214" s="2">
        <v>36</v>
      </c>
      <c r="P214" s="2">
        <v>0</v>
      </c>
      <c r="Q214" s="2">
        <v>2.3421430000000001</v>
      </c>
      <c r="Z214" s="89">
        <v>94</v>
      </c>
      <c r="AA214" s="2">
        <v>36</v>
      </c>
      <c r="AB214" s="2">
        <v>0</v>
      </c>
      <c r="AC214" s="2">
        <v>1.6899999999999998E-2</v>
      </c>
      <c r="AL214" s="89">
        <v>93</v>
      </c>
      <c r="AM214" s="2">
        <v>36</v>
      </c>
      <c r="AN214" s="2">
        <v>0</v>
      </c>
      <c r="AO214" s="2">
        <v>1.2E-2</v>
      </c>
      <c r="AX214" s="89">
        <v>95</v>
      </c>
      <c r="AY214" s="2">
        <v>38</v>
      </c>
      <c r="AZ214" s="2">
        <v>0</v>
      </c>
      <c r="BA214" s="2">
        <v>1.1783060000000001</v>
      </c>
      <c r="BJ214" s="89">
        <v>95</v>
      </c>
      <c r="BK214" s="2">
        <v>38</v>
      </c>
      <c r="BL214" s="2">
        <v>0</v>
      </c>
      <c r="BM214" s="2">
        <v>0.86119129999999999</v>
      </c>
      <c r="BV214" s="89">
        <v>94</v>
      </c>
      <c r="BW214" s="2">
        <v>38</v>
      </c>
      <c r="BX214" s="2">
        <v>0</v>
      </c>
      <c r="BY214" s="2">
        <v>2.0577139999999998</v>
      </c>
      <c r="CH214" s="89">
        <v>92</v>
      </c>
      <c r="CI214" s="2">
        <v>38</v>
      </c>
      <c r="CJ214" s="2">
        <v>0</v>
      </c>
      <c r="CK214" s="2">
        <v>1.562416</v>
      </c>
      <c r="CT214" s="89">
        <v>86</v>
      </c>
      <c r="CU214" s="2">
        <v>38</v>
      </c>
      <c r="CV214" s="2">
        <v>0</v>
      </c>
      <c r="CW214" s="2">
        <v>4.9000000000000002E-2</v>
      </c>
      <c r="DF214" s="89">
        <v>101</v>
      </c>
      <c r="DG214" s="2">
        <v>38</v>
      </c>
      <c r="DH214" s="2">
        <v>0</v>
      </c>
      <c r="DI214" s="2">
        <v>1.2999999999999999E-2</v>
      </c>
      <c r="DR214" s="89">
        <v>83</v>
      </c>
      <c r="DS214" s="2">
        <v>36</v>
      </c>
      <c r="DT214" s="2">
        <v>1</v>
      </c>
      <c r="DU214" s="2">
        <v>2.1146120000000002</v>
      </c>
      <c r="ED214" s="89">
        <v>92</v>
      </c>
      <c r="EE214" s="2">
        <v>38</v>
      </c>
      <c r="EF214" s="2">
        <v>0</v>
      </c>
      <c r="EG214" s="2">
        <v>1.9442870000000001</v>
      </c>
      <c r="ES214">
        <v>92</v>
      </c>
      <c r="ET214">
        <v>38</v>
      </c>
      <c r="EU214">
        <v>0</v>
      </c>
      <c r="EV214">
        <v>1.9442870000000001</v>
      </c>
    </row>
    <row r="215" spans="1:152" x14ac:dyDescent="0.4">
      <c r="N215" s="89">
        <v>87</v>
      </c>
      <c r="O215" s="2">
        <v>36</v>
      </c>
      <c r="P215" s="2">
        <v>0</v>
      </c>
      <c r="Q215" s="2">
        <v>1.6169880000000001</v>
      </c>
      <c r="Z215" s="89">
        <v>95</v>
      </c>
      <c r="AA215" s="2">
        <v>36</v>
      </c>
      <c r="AB215" s="2">
        <v>0</v>
      </c>
      <c r="AC215" s="2">
        <v>4.0000000000000001E-3</v>
      </c>
      <c r="AL215" s="89">
        <v>94</v>
      </c>
      <c r="AM215" s="2">
        <v>36</v>
      </c>
      <c r="AN215" s="2">
        <v>0</v>
      </c>
      <c r="AO215" s="2">
        <v>3.0000000000000001E-3</v>
      </c>
      <c r="AX215" s="89">
        <v>96</v>
      </c>
      <c r="AY215" s="2">
        <v>38</v>
      </c>
      <c r="AZ215" s="2">
        <v>0</v>
      </c>
      <c r="BA215" s="2">
        <v>0.68630610000000003</v>
      </c>
      <c r="BJ215" s="89">
        <v>96</v>
      </c>
      <c r="BK215" s="2">
        <v>38</v>
      </c>
      <c r="BL215" s="2">
        <v>0</v>
      </c>
      <c r="BM215" s="2">
        <v>0.47022140000000001</v>
      </c>
      <c r="BV215" s="89">
        <v>95</v>
      </c>
      <c r="BW215" s="2">
        <v>38</v>
      </c>
      <c r="BX215" s="2">
        <v>0</v>
      </c>
      <c r="BY215" s="2">
        <v>1.460631</v>
      </c>
      <c r="CH215" s="89">
        <v>93</v>
      </c>
      <c r="CI215" s="2">
        <v>38</v>
      </c>
      <c r="CJ215" s="2">
        <v>0</v>
      </c>
      <c r="CK215" s="2">
        <v>1.3326849999999999</v>
      </c>
      <c r="CT215" s="89">
        <v>87</v>
      </c>
      <c r="CU215" s="2">
        <v>38</v>
      </c>
      <c r="CV215" s="2">
        <v>0</v>
      </c>
      <c r="CW215" s="2">
        <v>1.699463E-2</v>
      </c>
      <c r="DF215" s="89">
        <v>102</v>
      </c>
      <c r="DG215" s="2">
        <v>38</v>
      </c>
      <c r="DH215" s="2">
        <v>0</v>
      </c>
      <c r="DI215" s="2">
        <v>4.0000000000000001E-3</v>
      </c>
      <c r="DR215" s="89">
        <v>84</v>
      </c>
      <c r="DS215" s="2">
        <v>36</v>
      </c>
      <c r="DT215" s="2">
        <v>0</v>
      </c>
      <c r="DU215" s="2">
        <v>2.4781110000000002</v>
      </c>
      <c r="ED215" s="89">
        <v>93</v>
      </c>
      <c r="EE215" s="2">
        <v>38</v>
      </c>
      <c r="EF215" s="2">
        <v>0</v>
      </c>
      <c r="EG215" s="2">
        <v>1.842883</v>
      </c>
      <c r="ES215">
        <v>93</v>
      </c>
      <c r="ET215">
        <v>38</v>
      </c>
      <c r="EU215">
        <v>0</v>
      </c>
      <c r="EV215">
        <v>1.842883</v>
      </c>
    </row>
    <row r="216" spans="1:152" x14ac:dyDescent="0.4">
      <c r="N216" s="89">
        <v>88</v>
      </c>
      <c r="O216" s="2">
        <v>36</v>
      </c>
      <c r="P216" s="2">
        <v>0</v>
      </c>
      <c r="Q216" s="2">
        <v>1.1961029999999999</v>
      </c>
      <c r="Z216" s="89">
        <v>82</v>
      </c>
      <c r="AA216" s="2">
        <v>37</v>
      </c>
      <c r="AB216" s="2">
        <v>0</v>
      </c>
      <c r="AC216" s="2">
        <v>1E-3</v>
      </c>
      <c r="AL216" s="89">
        <v>95</v>
      </c>
      <c r="AM216" s="2">
        <v>36</v>
      </c>
      <c r="AN216" s="2">
        <v>0</v>
      </c>
      <c r="AO216" s="2">
        <v>1E-3</v>
      </c>
      <c r="AX216" s="89">
        <v>97</v>
      </c>
      <c r="AY216" s="2">
        <v>38</v>
      </c>
      <c r="AZ216" s="2">
        <v>0</v>
      </c>
      <c r="BA216" s="2">
        <v>0.31273279999999998</v>
      </c>
      <c r="BJ216" s="89">
        <v>97</v>
      </c>
      <c r="BK216" s="2">
        <v>38</v>
      </c>
      <c r="BL216" s="2">
        <v>0</v>
      </c>
      <c r="BM216" s="2">
        <v>0.21265700000000001</v>
      </c>
      <c r="BV216" s="89">
        <v>96</v>
      </c>
      <c r="BW216" s="2">
        <v>38</v>
      </c>
      <c r="BX216" s="2">
        <v>0</v>
      </c>
      <c r="BY216" s="2">
        <v>0.91826129999999995</v>
      </c>
      <c r="CH216" s="89">
        <v>94</v>
      </c>
      <c r="CI216" s="2">
        <v>38</v>
      </c>
      <c r="CJ216" s="2">
        <v>0</v>
      </c>
      <c r="CK216" s="2">
        <v>0.91690159999999998</v>
      </c>
      <c r="CT216" s="89">
        <v>87</v>
      </c>
      <c r="CU216" s="2">
        <v>38</v>
      </c>
      <c r="CV216" s="2">
        <v>1</v>
      </c>
      <c r="CW216" s="2">
        <v>1.7894740000000001E-3</v>
      </c>
      <c r="DF216" s="89">
        <v>103</v>
      </c>
      <c r="DG216" s="2">
        <v>38</v>
      </c>
      <c r="DH216" s="2">
        <v>0</v>
      </c>
      <c r="DI216" s="2">
        <v>1E-3</v>
      </c>
      <c r="DR216" s="89">
        <v>85</v>
      </c>
      <c r="DS216" s="2">
        <v>36</v>
      </c>
      <c r="DT216" s="2">
        <v>0</v>
      </c>
      <c r="DU216" s="2">
        <v>1.066344</v>
      </c>
      <c r="ED216" s="89">
        <v>94</v>
      </c>
      <c r="EE216" s="2">
        <v>38</v>
      </c>
      <c r="EF216" s="2">
        <v>0</v>
      </c>
      <c r="EG216" s="2">
        <v>1.494983</v>
      </c>
      <c r="ES216">
        <v>94</v>
      </c>
      <c r="ET216">
        <v>38</v>
      </c>
      <c r="EU216">
        <v>0</v>
      </c>
      <c r="EV216">
        <v>1.494983</v>
      </c>
    </row>
    <row r="217" spans="1:152" x14ac:dyDescent="0.4">
      <c r="N217" s="89">
        <v>89</v>
      </c>
      <c r="O217" s="2">
        <v>36</v>
      </c>
      <c r="P217" s="2">
        <v>0</v>
      </c>
      <c r="Q217" s="2">
        <v>0.68040599999999996</v>
      </c>
      <c r="Z217" s="89">
        <v>82</v>
      </c>
      <c r="AA217" s="2">
        <v>37</v>
      </c>
      <c r="AB217" s="2">
        <v>1</v>
      </c>
      <c r="AC217" s="2">
        <v>3.0000000000000001E-3</v>
      </c>
      <c r="AL217" s="89">
        <v>81</v>
      </c>
      <c r="AM217" s="2">
        <v>37</v>
      </c>
      <c r="AN217" s="2">
        <v>0</v>
      </c>
      <c r="AO217" s="2">
        <v>4.8479619999999999E-3</v>
      </c>
      <c r="AX217" s="89">
        <v>98</v>
      </c>
      <c r="AY217" s="2">
        <v>38</v>
      </c>
      <c r="AZ217" s="2">
        <v>0</v>
      </c>
      <c r="BA217" s="2">
        <v>0.13392299999999999</v>
      </c>
      <c r="BJ217" s="89">
        <v>98</v>
      </c>
      <c r="BK217" s="2">
        <v>38</v>
      </c>
      <c r="BL217" s="2">
        <v>0</v>
      </c>
      <c r="BM217" s="2">
        <v>7.3584499999999997E-2</v>
      </c>
      <c r="BV217" s="89">
        <v>97</v>
      </c>
      <c r="BW217" s="2">
        <v>38</v>
      </c>
      <c r="BX217" s="2">
        <v>0</v>
      </c>
      <c r="BY217" s="2">
        <v>0.42739870000000002</v>
      </c>
      <c r="CH217" s="89">
        <v>95</v>
      </c>
      <c r="CI217" s="2">
        <v>38</v>
      </c>
      <c r="CJ217" s="2">
        <v>0</v>
      </c>
      <c r="CK217" s="2">
        <v>0.57301880000000005</v>
      </c>
      <c r="CT217" s="89">
        <v>88</v>
      </c>
      <c r="CU217" s="2">
        <v>38</v>
      </c>
      <c r="CV217" s="2">
        <v>0</v>
      </c>
      <c r="CW217" s="2">
        <v>0.72455550000000002</v>
      </c>
      <c r="DF217" s="89">
        <v>89</v>
      </c>
      <c r="DG217" s="2">
        <v>39</v>
      </c>
      <c r="DH217" s="2">
        <v>0</v>
      </c>
      <c r="DI217" s="2">
        <v>2.7049910000000001</v>
      </c>
      <c r="DR217" s="89">
        <v>85</v>
      </c>
      <c r="DS217" s="2">
        <v>36</v>
      </c>
      <c r="DT217" s="2">
        <v>1</v>
      </c>
      <c r="DU217" s="2">
        <v>1.9528650000000001</v>
      </c>
      <c r="ED217" s="89">
        <v>95</v>
      </c>
      <c r="EE217" s="2">
        <v>38</v>
      </c>
      <c r="EF217" s="2">
        <v>0</v>
      </c>
      <c r="EG217" s="2">
        <v>1.067545</v>
      </c>
      <c r="ES217">
        <v>95</v>
      </c>
      <c r="ET217">
        <v>38</v>
      </c>
      <c r="EU217">
        <v>0</v>
      </c>
      <c r="EV217">
        <v>1.067545</v>
      </c>
    </row>
    <row r="218" spans="1:152" x14ac:dyDescent="0.4">
      <c r="N218" s="89">
        <v>90</v>
      </c>
      <c r="O218" s="2">
        <v>36</v>
      </c>
      <c r="P218" s="2">
        <v>0</v>
      </c>
      <c r="Q218" s="2">
        <v>0.36865399999999998</v>
      </c>
      <c r="Z218" s="89">
        <v>83</v>
      </c>
      <c r="AA218" s="2">
        <v>37</v>
      </c>
      <c r="AB218" s="2">
        <v>0</v>
      </c>
      <c r="AC218" s="2">
        <v>9.0000010000000005E-3</v>
      </c>
      <c r="AL218" s="89">
        <v>81</v>
      </c>
      <c r="AM218" s="2">
        <v>37</v>
      </c>
      <c r="AN218" s="2">
        <v>1</v>
      </c>
      <c r="AO218" s="2">
        <v>4.0010000000000002E-3</v>
      </c>
      <c r="AX218" s="89">
        <v>99</v>
      </c>
      <c r="AY218" s="2">
        <v>38</v>
      </c>
      <c r="AZ218" s="2">
        <v>0</v>
      </c>
      <c r="BA218" s="2">
        <v>5.1522999999999999E-2</v>
      </c>
      <c r="BJ218" s="89">
        <v>99</v>
      </c>
      <c r="BK218" s="2">
        <v>38</v>
      </c>
      <c r="BL218" s="2">
        <v>0</v>
      </c>
      <c r="BM218" s="2">
        <v>1.7000000000000001E-2</v>
      </c>
      <c r="BV218" s="89">
        <v>98</v>
      </c>
      <c r="BW218" s="2">
        <v>38</v>
      </c>
      <c r="BX218" s="2">
        <v>0</v>
      </c>
      <c r="BY218" s="2">
        <v>0.219475</v>
      </c>
      <c r="CH218" s="89">
        <v>96</v>
      </c>
      <c r="CI218" s="2">
        <v>38</v>
      </c>
      <c r="CJ218" s="2">
        <v>0</v>
      </c>
      <c r="CK218" s="2">
        <v>0.27590999999999999</v>
      </c>
      <c r="CT218" s="89">
        <v>89</v>
      </c>
      <c r="CU218" s="2">
        <v>38</v>
      </c>
      <c r="CV218" s="2">
        <v>0</v>
      </c>
      <c r="CW218" s="2">
        <v>0.82597799999999999</v>
      </c>
      <c r="DF218" s="89">
        <v>89</v>
      </c>
      <c r="DG218" s="2">
        <v>39</v>
      </c>
      <c r="DH218" s="2">
        <v>1</v>
      </c>
      <c r="DI218" s="2">
        <v>2.7049909999999998E-4</v>
      </c>
      <c r="DR218" s="89">
        <v>86</v>
      </c>
      <c r="DS218" s="2">
        <v>36</v>
      </c>
      <c r="DT218" s="2">
        <v>0</v>
      </c>
      <c r="DU218" s="2">
        <v>2.6934740000000001</v>
      </c>
      <c r="ED218" s="89">
        <v>96</v>
      </c>
      <c r="EE218" s="2">
        <v>38</v>
      </c>
      <c r="EF218" s="2">
        <v>0</v>
      </c>
      <c r="EG218" s="2">
        <v>0.65928359999999997</v>
      </c>
      <c r="ES218">
        <v>96</v>
      </c>
      <c r="ET218">
        <v>38</v>
      </c>
      <c r="EU218">
        <v>0</v>
      </c>
      <c r="EV218">
        <v>0.65928359999999997</v>
      </c>
    </row>
    <row r="219" spans="1:152" x14ac:dyDescent="0.4">
      <c r="N219" s="89">
        <v>91</v>
      </c>
      <c r="O219" s="2">
        <v>36</v>
      </c>
      <c r="P219" s="2">
        <v>0</v>
      </c>
      <c r="Q219" s="2">
        <v>0.138793</v>
      </c>
      <c r="Z219" s="89">
        <v>83</v>
      </c>
      <c r="AA219" s="2">
        <v>37</v>
      </c>
      <c r="AB219" s="2">
        <v>1</v>
      </c>
      <c r="AC219" s="2">
        <v>8.0000000000000002E-3</v>
      </c>
      <c r="AL219" s="89">
        <v>82</v>
      </c>
      <c r="AM219" s="2">
        <v>37</v>
      </c>
      <c r="AN219" s="2">
        <v>0</v>
      </c>
      <c r="AO219" s="2">
        <v>1E-3</v>
      </c>
      <c r="AX219" s="89">
        <v>100</v>
      </c>
      <c r="AY219" s="2">
        <v>38</v>
      </c>
      <c r="AZ219" s="2">
        <v>0</v>
      </c>
      <c r="BA219" s="2">
        <v>1.6E-2</v>
      </c>
      <c r="BJ219" s="89">
        <v>100</v>
      </c>
      <c r="BK219" s="2">
        <v>38</v>
      </c>
      <c r="BL219" s="2">
        <v>0</v>
      </c>
      <c r="BM219" s="2">
        <v>8.0000000000000002E-3</v>
      </c>
      <c r="BV219" s="89">
        <v>99</v>
      </c>
      <c r="BW219" s="2">
        <v>38</v>
      </c>
      <c r="BX219" s="2">
        <v>0</v>
      </c>
      <c r="BY219" s="2">
        <v>7.9000000000000001E-2</v>
      </c>
      <c r="CH219" s="89">
        <v>97</v>
      </c>
      <c r="CI219" s="2">
        <v>38</v>
      </c>
      <c r="CJ219" s="2">
        <v>0</v>
      </c>
      <c r="CK219" s="2">
        <v>0.112745</v>
      </c>
      <c r="CT219" s="89">
        <v>90</v>
      </c>
      <c r="CU219" s="2">
        <v>38</v>
      </c>
      <c r="CV219" s="2">
        <v>0</v>
      </c>
      <c r="CW219" s="2">
        <v>0.90271199999999996</v>
      </c>
      <c r="DF219" s="89">
        <v>90</v>
      </c>
      <c r="DG219" s="2">
        <v>39</v>
      </c>
      <c r="DH219" s="2">
        <v>0</v>
      </c>
      <c r="DI219" s="2">
        <v>2.9814159999999998</v>
      </c>
      <c r="DR219" s="89">
        <v>87</v>
      </c>
      <c r="DS219" s="2">
        <v>36</v>
      </c>
      <c r="DT219" s="2">
        <v>0</v>
      </c>
      <c r="DU219" s="2">
        <v>2.4720119999999999</v>
      </c>
      <c r="ED219" s="89">
        <v>97</v>
      </c>
      <c r="EE219" s="2">
        <v>38</v>
      </c>
      <c r="EF219" s="2">
        <v>0</v>
      </c>
      <c r="EG219" s="2">
        <v>0.29460950000000002</v>
      </c>
      <c r="ES219">
        <v>97</v>
      </c>
      <c r="ET219">
        <v>38</v>
      </c>
      <c r="EU219">
        <v>0</v>
      </c>
      <c r="EV219">
        <v>0.29460950000000002</v>
      </c>
    </row>
    <row r="220" spans="1:152" x14ac:dyDescent="0.4">
      <c r="N220" s="89">
        <v>92</v>
      </c>
      <c r="O220" s="2">
        <v>36</v>
      </c>
      <c r="P220" s="2">
        <v>0</v>
      </c>
      <c r="Q220" s="2">
        <v>5.6007000000000001E-2</v>
      </c>
      <c r="Z220" s="89">
        <v>84</v>
      </c>
      <c r="AA220" s="2">
        <v>37</v>
      </c>
      <c r="AB220" s="2">
        <v>0</v>
      </c>
      <c r="AC220" s="2">
        <v>4.9000000000000002E-2</v>
      </c>
      <c r="AL220" s="89">
        <v>82</v>
      </c>
      <c r="AM220" s="2">
        <v>37</v>
      </c>
      <c r="AN220" s="2">
        <v>1</v>
      </c>
      <c r="AO220" s="2">
        <v>1.2E-2</v>
      </c>
      <c r="AX220" s="89">
        <v>101</v>
      </c>
      <c r="AY220" s="2">
        <v>38</v>
      </c>
      <c r="AZ220" s="2">
        <v>0</v>
      </c>
      <c r="BA220" s="2">
        <v>1E-3</v>
      </c>
      <c r="BJ220" s="89">
        <v>101</v>
      </c>
      <c r="BK220" s="2">
        <v>38</v>
      </c>
      <c r="BL220" s="2">
        <v>0</v>
      </c>
      <c r="BM220" s="2">
        <v>1E-3</v>
      </c>
      <c r="BV220" s="89">
        <v>100</v>
      </c>
      <c r="BW220" s="2">
        <v>38</v>
      </c>
      <c r="BX220" s="2">
        <v>0</v>
      </c>
      <c r="BY220" s="2">
        <v>0.02</v>
      </c>
      <c r="CH220" s="89">
        <v>98</v>
      </c>
      <c r="CI220" s="2">
        <v>38</v>
      </c>
      <c r="CJ220" s="2">
        <v>0</v>
      </c>
      <c r="CK220" s="2">
        <v>3.3000000000000002E-2</v>
      </c>
      <c r="CT220" s="89">
        <v>91</v>
      </c>
      <c r="CU220" s="2">
        <v>38</v>
      </c>
      <c r="CV220" s="2">
        <v>0</v>
      </c>
      <c r="CW220" s="2">
        <v>0.90872410000000003</v>
      </c>
      <c r="DF220" s="89">
        <v>90</v>
      </c>
      <c r="DG220" s="2">
        <v>39</v>
      </c>
      <c r="DH220" s="2">
        <v>1</v>
      </c>
      <c r="DI220" s="2">
        <v>1E-3</v>
      </c>
      <c r="DR220" s="89">
        <v>88</v>
      </c>
      <c r="DS220" s="2">
        <v>36</v>
      </c>
      <c r="DT220" s="2">
        <v>0</v>
      </c>
      <c r="DU220" s="2">
        <v>2.1168459999999998</v>
      </c>
      <c r="ED220" s="89">
        <v>98</v>
      </c>
      <c r="EE220" s="2">
        <v>38</v>
      </c>
      <c r="EF220" s="2">
        <v>0</v>
      </c>
      <c r="EG220" s="2">
        <v>0.134099</v>
      </c>
      <c r="ES220">
        <v>98</v>
      </c>
      <c r="ET220">
        <v>38</v>
      </c>
      <c r="EU220">
        <v>0</v>
      </c>
      <c r="EV220">
        <v>0.134099</v>
      </c>
    </row>
    <row r="221" spans="1:152" x14ac:dyDescent="0.4">
      <c r="N221" s="89">
        <v>93</v>
      </c>
      <c r="O221" s="2">
        <v>36</v>
      </c>
      <c r="P221" s="2">
        <v>0</v>
      </c>
      <c r="Q221" s="2">
        <v>2.9399999999999999E-2</v>
      </c>
      <c r="Z221" s="89">
        <v>84</v>
      </c>
      <c r="AA221" s="2">
        <v>37</v>
      </c>
      <c r="AB221" s="2">
        <v>1</v>
      </c>
      <c r="AC221" s="2">
        <v>3.4745449999999997E-2</v>
      </c>
      <c r="AL221" s="89">
        <v>83</v>
      </c>
      <c r="AM221" s="2">
        <v>37</v>
      </c>
      <c r="AN221" s="2">
        <v>0</v>
      </c>
      <c r="AO221" s="2">
        <v>5.7000000000000002E-2</v>
      </c>
      <c r="AX221" s="89">
        <v>89</v>
      </c>
      <c r="AY221" s="2">
        <v>39</v>
      </c>
      <c r="AZ221" s="2">
        <v>0</v>
      </c>
      <c r="BA221" s="2">
        <v>2.4318179999999998</v>
      </c>
      <c r="BJ221" s="89">
        <v>102</v>
      </c>
      <c r="BK221" s="2">
        <v>38</v>
      </c>
      <c r="BL221" s="2">
        <v>0</v>
      </c>
      <c r="BM221" s="2">
        <v>2E-3</v>
      </c>
      <c r="BV221" s="89">
        <v>101</v>
      </c>
      <c r="BW221" s="2">
        <v>38</v>
      </c>
      <c r="BX221" s="2">
        <v>0</v>
      </c>
      <c r="BY221" s="2">
        <v>1.2E-2</v>
      </c>
      <c r="CH221" s="89">
        <v>99</v>
      </c>
      <c r="CI221" s="2">
        <v>38</v>
      </c>
      <c r="CJ221" s="2">
        <v>0</v>
      </c>
      <c r="CK221" s="2">
        <v>1.2E-2</v>
      </c>
      <c r="CT221" s="89">
        <v>92</v>
      </c>
      <c r="CU221" s="2">
        <v>38</v>
      </c>
      <c r="CV221" s="2">
        <v>0</v>
      </c>
      <c r="CW221" s="2">
        <v>0.91844079999999995</v>
      </c>
      <c r="DF221" s="89">
        <v>91</v>
      </c>
      <c r="DG221" s="2">
        <v>39</v>
      </c>
      <c r="DH221" s="2">
        <v>0</v>
      </c>
      <c r="DI221" s="2">
        <v>3.2595580000000002</v>
      </c>
      <c r="DR221" s="89">
        <v>89</v>
      </c>
      <c r="DS221" s="2">
        <v>36</v>
      </c>
      <c r="DT221" s="2">
        <v>0</v>
      </c>
      <c r="DU221" s="2">
        <v>1.5288310000000001</v>
      </c>
      <c r="ED221" s="89">
        <v>99</v>
      </c>
      <c r="EE221" s="2">
        <v>38</v>
      </c>
      <c r="EF221" s="2">
        <v>0</v>
      </c>
      <c r="EG221" s="2">
        <v>3.6999999999999998E-2</v>
      </c>
      <c r="ES221">
        <v>99</v>
      </c>
      <c r="ET221">
        <v>38</v>
      </c>
      <c r="EU221">
        <v>0</v>
      </c>
      <c r="EV221">
        <v>3.6999999999999998E-2</v>
      </c>
    </row>
    <row r="222" spans="1:152" x14ac:dyDescent="0.4">
      <c r="N222" s="89">
        <v>94</v>
      </c>
      <c r="O222" s="2">
        <v>36</v>
      </c>
      <c r="P222" s="2">
        <v>0</v>
      </c>
      <c r="Q222" s="2">
        <v>1.26E-2</v>
      </c>
      <c r="Z222" s="89">
        <v>85</v>
      </c>
      <c r="AA222" s="2">
        <v>37</v>
      </c>
      <c r="AB222" s="2">
        <v>0</v>
      </c>
      <c r="AC222" s="2">
        <v>2.3571409999999999</v>
      </c>
      <c r="AL222" s="89">
        <v>83</v>
      </c>
      <c r="AM222" s="2">
        <v>37</v>
      </c>
      <c r="AN222" s="2">
        <v>1</v>
      </c>
      <c r="AO222" s="2">
        <v>4.9000000000000002E-2</v>
      </c>
      <c r="AX222" s="89">
        <v>89</v>
      </c>
      <c r="AY222" s="2">
        <v>39</v>
      </c>
      <c r="AZ222" s="2">
        <v>1</v>
      </c>
      <c r="BA222" s="2">
        <v>9.0964850000000005E-4</v>
      </c>
      <c r="BJ222" s="89">
        <v>89</v>
      </c>
      <c r="BK222" s="2">
        <v>39</v>
      </c>
      <c r="BL222" s="2">
        <v>0</v>
      </c>
      <c r="BM222" s="2">
        <v>1.6186449999999999</v>
      </c>
      <c r="BV222" s="89">
        <v>102</v>
      </c>
      <c r="BW222" s="2">
        <v>38</v>
      </c>
      <c r="BX222" s="2">
        <v>0</v>
      </c>
      <c r="BY222" s="2">
        <v>2E-3</v>
      </c>
      <c r="CH222" s="89">
        <v>100</v>
      </c>
      <c r="CI222" s="2">
        <v>38</v>
      </c>
      <c r="CJ222" s="2">
        <v>0</v>
      </c>
      <c r="CK222" s="2">
        <v>2E-3</v>
      </c>
      <c r="CT222" s="89">
        <v>93</v>
      </c>
      <c r="CU222" s="2">
        <v>38</v>
      </c>
      <c r="CV222" s="2">
        <v>0</v>
      </c>
      <c r="CW222" s="2">
        <v>0.78236720000000004</v>
      </c>
      <c r="DF222" s="89">
        <v>91</v>
      </c>
      <c r="DG222" s="2">
        <v>39</v>
      </c>
      <c r="DH222" s="2">
        <v>1</v>
      </c>
      <c r="DI222" s="2">
        <v>1.916979</v>
      </c>
      <c r="DR222" s="89">
        <v>90</v>
      </c>
      <c r="DS222" s="2">
        <v>36</v>
      </c>
      <c r="DT222" s="2">
        <v>0</v>
      </c>
      <c r="DU222" s="2">
        <v>1.0410379999999999</v>
      </c>
      <c r="ED222" s="89">
        <v>100</v>
      </c>
      <c r="EE222" s="2">
        <v>38</v>
      </c>
      <c r="EF222" s="2">
        <v>0</v>
      </c>
      <c r="EG222" s="2">
        <v>1.2E-2</v>
      </c>
      <c r="ES222">
        <v>100</v>
      </c>
      <c r="ET222">
        <v>38</v>
      </c>
      <c r="EU222">
        <v>0</v>
      </c>
      <c r="EV222">
        <v>1.2E-2</v>
      </c>
    </row>
    <row r="223" spans="1:152" x14ac:dyDescent="0.4">
      <c r="N223" s="89">
        <v>95</v>
      </c>
      <c r="O223" s="2">
        <v>36</v>
      </c>
      <c r="P223" s="2">
        <v>0</v>
      </c>
      <c r="Q223" s="2">
        <v>2E-3</v>
      </c>
      <c r="Z223" s="89">
        <v>86</v>
      </c>
      <c r="AA223" s="2">
        <v>37</v>
      </c>
      <c r="AB223" s="2">
        <v>0</v>
      </c>
      <c r="AC223" s="2">
        <v>0.41699999999999998</v>
      </c>
      <c r="AL223" s="89">
        <v>84</v>
      </c>
      <c r="AM223" s="2">
        <v>37</v>
      </c>
      <c r="AN223" s="2">
        <v>0</v>
      </c>
      <c r="AO223" s="2">
        <v>0.158</v>
      </c>
      <c r="AX223" s="89">
        <v>90</v>
      </c>
      <c r="AY223" s="2">
        <v>39</v>
      </c>
      <c r="AZ223" s="2">
        <v>0</v>
      </c>
      <c r="BA223" s="2">
        <v>2.4505110000000001</v>
      </c>
      <c r="BJ223" s="89">
        <v>89</v>
      </c>
      <c r="BK223" s="2">
        <v>39</v>
      </c>
      <c r="BL223" s="2">
        <v>1</v>
      </c>
      <c r="BM223" s="2">
        <v>5.4943980000000002E-3</v>
      </c>
      <c r="BV223" s="89">
        <v>89</v>
      </c>
      <c r="BW223" s="2">
        <v>39</v>
      </c>
      <c r="BX223" s="2">
        <v>0</v>
      </c>
      <c r="BY223" s="2">
        <v>1.774127</v>
      </c>
      <c r="CH223" s="89">
        <v>101</v>
      </c>
      <c r="CI223" s="2">
        <v>38</v>
      </c>
      <c r="CJ223" s="2">
        <v>0</v>
      </c>
      <c r="CK223" s="2">
        <v>1E-3</v>
      </c>
      <c r="CT223" s="89">
        <v>94</v>
      </c>
      <c r="CU223" s="2">
        <v>38</v>
      </c>
      <c r="CV223" s="2">
        <v>0</v>
      </c>
      <c r="CW223" s="2">
        <v>0.66213299999999997</v>
      </c>
      <c r="DF223" s="89">
        <v>92</v>
      </c>
      <c r="DG223" s="2">
        <v>39</v>
      </c>
      <c r="DH223" s="2">
        <v>0</v>
      </c>
      <c r="DI223" s="2">
        <v>3.5785290000000001</v>
      </c>
      <c r="DR223" s="89">
        <v>91</v>
      </c>
      <c r="DS223" s="2">
        <v>36</v>
      </c>
      <c r="DT223" s="2">
        <v>0</v>
      </c>
      <c r="DU223" s="2">
        <v>0.59894499999999995</v>
      </c>
      <c r="ED223" s="89">
        <v>101</v>
      </c>
      <c r="EE223" s="2">
        <v>38</v>
      </c>
      <c r="EF223" s="2">
        <v>0</v>
      </c>
      <c r="EG223" s="2">
        <v>4.0000000000000001E-3</v>
      </c>
      <c r="ES223">
        <v>101</v>
      </c>
      <c r="ET223">
        <v>38</v>
      </c>
      <c r="EU223">
        <v>0</v>
      </c>
      <c r="EV223">
        <v>4.0000000000000001E-3</v>
      </c>
    </row>
    <row r="224" spans="1:152" x14ac:dyDescent="0.4">
      <c r="N224" s="89">
        <v>82</v>
      </c>
      <c r="O224" s="2">
        <v>37</v>
      </c>
      <c r="P224" s="2">
        <v>1</v>
      </c>
      <c r="Q224" s="2">
        <v>5.0000000000000001E-3</v>
      </c>
      <c r="Z224" s="89">
        <v>86</v>
      </c>
      <c r="AA224" s="2">
        <v>37</v>
      </c>
      <c r="AB224" s="2">
        <v>1</v>
      </c>
      <c r="AC224" s="2">
        <v>0.3078958</v>
      </c>
      <c r="AL224" s="89">
        <v>84</v>
      </c>
      <c r="AM224" s="2">
        <v>37</v>
      </c>
      <c r="AN224" s="2">
        <v>1</v>
      </c>
      <c r="AO224" s="2">
        <v>0.1232024</v>
      </c>
      <c r="AX224" s="89">
        <v>90</v>
      </c>
      <c r="AY224" s="2">
        <v>39</v>
      </c>
      <c r="AZ224" s="2">
        <v>1</v>
      </c>
      <c r="BA224" s="2">
        <v>3.0000000000000001E-3</v>
      </c>
      <c r="BJ224" s="89">
        <v>90</v>
      </c>
      <c r="BK224" s="2">
        <v>39</v>
      </c>
      <c r="BL224" s="2">
        <v>0</v>
      </c>
      <c r="BM224" s="2">
        <v>1.778516</v>
      </c>
      <c r="BV224" s="89">
        <v>89</v>
      </c>
      <c r="BW224" s="2">
        <v>39</v>
      </c>
      <c r="BX224" s="2">
        <v>1</v>
      </c>
      <c r="BY224" s="2">
        <v>1.774127E-4</v>
      </c>
      <c r="CH224" s="89">
        <v>88</v>
      </c>
      <c r="CI224" s="2">
        <v>39</v>
      </c>
      <c r="CJ224" s="2">
        <v>0</v>
      </c>
      <c r="CK224" s="2">
        <v>1E-3</v>
      </c>
      <c r="CT224" s="89">
        <v>95</v>
      </c>
      <c r="CU224" s="2">
        <v>38</v>
      </c>
      <c r="CV224" s="2">
        <v>0</v>
      </c>
      <c r="CW224" s="2">
        <v>0.43801309999999999</v>
      </c>
      <c r="DF224" s="89">
        <v>93</v>
      </c>
      <c r="DG224" s="2">
        <v>39</v>
      </c>
      <c r="DH224" s="2">
        <v>0</v>
      </c>
      <c r="DI224" s="2">
        <v>3.7727849999999998</v>
      </c>
      <c r="DR224" s="89">
        <v>92</v>
      </c>
      <c r="DS224" s="2">
        <v>36</v>
      </c>
      <c r="DT224" s="2">
        <v>0</v>
      </c>
      <c r="DU224" s="2">
        <v>0.32525500000000002</v>
      </c>
      <c r="ED224" s="89">
        <v>88</v>
      </c>
      <c r="EE224" s="2">
        <v>39</v>
      </c>
      <c r="EF224" s="2">
        <v>0</v>
      </c>
      <c r="EG224" s="2">
        <v>3.0000000000000001E-3</v>
      </c>
      <c r="ES224">
        <v>88</v>
      </c>
      <c r="ET224">
        <v>39</v>
      </c>
      <c r="EU224">
        <v>0</v>
      </c>
      <c r="EV224">
        <v>3.0000000000000001E-3</v>
      </c>
    </row>
    <row r="225" spans="14:152" x14ac:dyDescent="0.4">
      <c r="N225" s="89">
        <v>83</v>
      </c>
      <c r="O225" s="2">
        <v>37</v>
      </c>
      <c r="P225" s="2">
        <v>0</v>
      </c>
      <c r="Q225" s="2">
        <v>2.1999999999999999E-2</v>
      </c>
      <c r="Z225" s="89">
        <v>87</v>
      </c>
      <c r="AA225" s="2">
        <v>37</v>
      </c>
      <c r="AB225" s="2">
        <v>0</v>
      </c>
      <c r="AC225" s="2">
        <v>2.491819</v>
      </c>
      <c r="AL225" s="89">
        <v>85</v>
      </c>
      <c r="AM225" s="2">
        <v>37</v>
      </c>
      <c r="AN225" s="2">
        <v>0</v>
      </c>
      <c r="AO225" s="2">
        <v>2.5236719999999999</v>
      </c>
      <c r="AX225" s="89">
        <v>91</v>
      </c>
      <c r="AY225" s="2">
        <v>39</v>
      </c>
      <c r="AZ225" s="2">
        <v>0</v>
      </c>
      <c r="BA225" s="2">
        <v>2.5867049999999998</v>
      </c>
      <c r="BJ225" s="89">
        <v>90</v>
      </c>
      <c r="BK225" s="2">
        <v>39</v>
      </c>
      <c r="BL225" s="2">
        <v>1</v>
      </c>
      <c r="BM225" s="2">
        <v>1.2727270000000001E-2</v>
      </c>
      <c r="BV225" s="89">
        <v>90</v>
      </c>
      <c r="BW225" s="2">
        <v>39</v>
      </c>
      <c r="BX225" s="2">
        <v>0</v>
      </c>
      <c r="BY225" s="2">
        <v>2.0295719999999999</v>
      </c>
      <c r="CH225" s="89">
        <v>88</v>
      </c>
      <c r="CI225" s="2">
        <v>39</v>
      </c>
      <c r="CJ225" s="2">
        <v>1</v>
      </c>
      <c r="CK225" s="2">
        <v>1E-3</v>
      </c>
      <c r="CT225" s="89">
        <v>96</v>
      </c>
      <c r="CU225" s="2">
        <v>38</v>
      </c>
      <c r="CV225" s="2">
        <v>0</v>
      </c>
      <c r="CW225" s="2">
        <v>0.24248500000000001</v>
      </c>
      <c r="DF225" s="89">
        <v>93</v>
      </c>
      <c r="DG225" s="2">
        <v>39</v>
      </c>
      <c r="DH225" s="2">
        <v>1</v>
      </c>
      <c r="DI225" s="2">
        <v>1.006847</v>
      </c>
      <c r="DR225" s="89">
        <v>93</v>
      </c>
      <c r="DS225" s="2">
        <v>36</v>
      </c>
      <c r="DT225" s="2">
        <v>0</v>
      </c>
      <c r="DU225" s="2">
        <v>0.13936000000000001</v>
      </c>
      <c r="ED225" s="89">
        <v>88</v>
      </c>
      <c r="EE225" s="2">
        <v>39</v>
      </c>
      <c r="EF225" s="2">
        <v>1</v>
      </c>
      <c r="EG225" s="2">
        <v>1E-3</v>
      </c>
      <c r="ES225">
        <v>88</v>
      </c>
      <c r="ET225">
        <v>39</v>
      </c>
      <c r="EU225">
        <v>1</v>
      </c>
      <c r="EV225">
        <v>1E-3</v>
      </c>
    </row>
    <row r="226" spans="14:152" x14ac:dyDescent="0.4">
      <c r="N226" s="89">
        <v>83</v>
      </c>
      <c r="O226" s="2">
        <v>37</v>
      </c>
      <c r="P226" s="2">
        <v>1</v>
      </c>
      <c r="Q226" s="2">
        <v>1.9E-2</v>
      </c>
      <c r="Z226" s="89">
        <v>88</v>
      </c>
      <c r="AA226" s="2">
        <v>37</v>
      </c>
      <c r="AB226" s="2">
        <v>0</v>
      </c>
      <c r="AC226" s="2">
        <v>2.398053</v>
      </c>
      <c r="AL226" s="89">
        <v>86</v>
      </c>
      <c r="AM226" s="2">
        <v>37</v>
      </c>
      <c r="AN226" s="2">
        <v>0</v>
      </c>
      <c r="AO226" s="2">
        <v>0.77100000000000002</v>
      </c>
      <c r="AX226" s="89">
        <v>91</v>
      </c>
      <c r="AY226" s="2">
        <v>39</v>
      </c>
      <c r="AZ226" s="2">
        <v>1</v>
      </c>
      <c r="BA226" s="2">
        <v>1.5258290000000001</v>
      </c>
      <c r="BJ226" s="89">
        <v>91</v>
      </c>
      <c r="BK226" s="2">
        <v>39</v>
      </c>
      <c r="BL226" s="2">
        <v>0</v>
      </c>
      <c r="BM226" s="2">
        <v>2.0228549999999998</v>
      </c>
      <c r="BV226" s="89">
        <v>90</v>
      </c>
      <c r="BW226" s="2">
        <v>39</v>
      </c>
      <c r="BX226" s="2">
        <v>1</v>
      </c>
      <c r="BY226" s="2">
        <v>3.0000000000000001E-3</v>
      </c>
      <c r="CH226" s="89">
        <v>89</v>
      </c>
      <c r="CI226" s="2">
        <v>39</v>
      </c>
      <c r="CJ226" s="2">
        <v>0</v>
      </c>
      <c r="CK226" s="2">
        <v>1.342015</v>
      </c>
      <c r="CT226" s="89">
        <v>97</v>
      </c>
      <c r="CU226" s="2">
        <v>38</v>
      </c>
      <c r="CV226" s="2">
        <v>0</v>
      </c>
      <c r="CW226" s="2">
        <v>0.122791</v>
      </c>
      <c r="DF226" s="89">
        <v>94</v>
      </c>
      <c r="DG226" s="2">
        <v>39</v>
      </c>
      <c r="DH226" s="2">
        <v>0</v>
      </c>
      <c r="DI226" s="2">
        <v>3.8922159999999999</v>
      </c>
      <c r="DR226" s="89">
        <v>94</v>
      </c>
      <c r="DS226" s="2">
        <v>36</v>
      </c>
      <c r="DT226" s="2">
        <v>0</v>
      </c>
      <c r="DU226" s="2">
        <v>6.5799999999999997E-2</v>
      </c>
      <c r="ED226" s="89">
        <v>89</v>
      </c>
      <c r="EE226" s="2">
        <v>39</v>
      </c>
      <c r="EF226" s="2">
        <v>0</v>
      </c>
      <c r="EG226" s="2">
        <v>1.41194</v>
      </c>
      <c r="ES226">
        <v>89</v>
      </c>
      <c r="ET226">
        <v>39</v>
      </c>
      <c r="EU226">
        <v>0</v>
      </c>
      <c r="EV226">
        <v>1.41194</v>
      </c>
    </row>
    <row r="227" spans="14:152" x14ac:dyDescent="0.4">
      <c r="N227" s="89">
        <v>84</v>
      </c>
      <c r="O227" s="2">
        <v>37</v>
      </c>
      <c r="P227" s="2">
        <v>0</v>
      </c>
      <c r="Q227" s="2">
        <v>8.2000000000000003E-2</v>
      </c>
      <c r="Z227" s="89">
        <v>89</v>
      </c>
      <c r="AA227" s="2">
        <v>37</v>
      </c>
      <c r="AB227" s="2">
        <v>0</v>
      </c>
      <c r="AC227" s="2">
        <v>2.1747380000000001</v>
      </c>
      <c r="AL227" s="89">
        <v>86</v>
      </c>
      <c r="AM227" s="2">
        <v>37</v>
      </c>
      <c r="AN227" s="2">
        <v>1</v>
      </c>
      <c r="AO227" s="2">
        <v>0.56810530000000004</v>
      </c>
      <c r="AX227" s="89">
        <v>92</v>
      </c>
      <c r="AY227" s="2">
        <v>39</v>
      </c>
      <c r="AZ227" s="2">
        <v>0</v>
      </c>
      <c r="BA227" s="2">
        <v>2.8765339999999999</v>
      </c>
      <c r="BJ227" s="89">
        <v>91</v>
      </c>
      <c r="BK227" s="2">
        <v>39</v>
      </c>
      <c r="BL227" s="2">
        <v>1</v>
      </c>
      <c r="BM227" s="2">
        <v>1.1974689999999999</v>
      </c>
      <c r="BV227" s="89">
        <v>91</v>
      </c>
      <c r="BW227" s="2">
        <v>39</v>
      </c>
      <c r="BX227" s="2">
        <v>0</v>
      </c>
      <c r="BY227" s="2">
        <v>2.3573789999999999</v>
      </c>
      <c r="CH227" s="89">
        <v>89</v>
      </c>
      <c r="CI227" s="2">
        <v>39</v>
      </c>
      <c r="CJ227" s="2">
        <v>1</v>
      </c>
      <c r="CK227" s="2">
        <v>1.21326E-2</v>
      </c>
      <c r="CT227" s="89">
        <v>98</v>
      </c>
      <c r="CU227" s="2">
        <v>38</v>
      </c>
      <c r="CV227" s="2">
        <v>0</v>
      </c>
      <c r="CW227" s="2">
        <v>5.1445999999999999E-2</v>
      </c>
      <c r="DF227" s="89">
        <v>95</v>
      </c>
      <c r="DG227" s="2">
        <v>39</v>
      </c>
      <c r="DH227" s="2">
        <v>0</v>
      </c>
      <c r="DI227" s="2">
        <v>3.807909</v>
      </c>
      <c r="DR227" s="89">
        <v>95</v>
      </c>
      <c r="DS227" s="2">
        <v>36</v>
      </c>
      <c r="DT227" s="2">
        <v>0</v>
      </c>
      <c r="DU227" s="2">
        <v>3.4000000000000002E-2</v>
      </c>
      <c r="ED227" s="89">
        <v>89</v>
      </c>
      <c r="EE227" s="2">
        <v>39</v>
      </c>
      <c r="EF227" s="2">
        <v>1</v>
      </c>
      <c r="EG227" s="2">
        <v>3.140894E-3</v>
      </c>
      <c r="ES227">
        <v>89</v>
      </c>
      <c r="ET227">
        <v>39</v>
      </c>
      <c r="EU227">
        <v>1</v>
      </c>
      <c r="EV227">
        <v>3.140894E-3</v>
      </c>
    </row>
    <row r="228" spans="14:152" x14ac:dyDescent="0.4">
      <c r="N228" s="89">
        <v>84</v>
      </c>
      <c r="O228" s="2">
        <v>37</v>
      </c>
      <c r="P228" s="2">
        <v>1</v>
      </c>
      <c r="Q228" s="2">
        <v>5.9222230000000001E-2</v>
      </c>
      <c r="Z228" s="89">
        <v>90</v>
      </c>
      <c r="AA228" s="2">
        <v>37</v>
      </c>
      <c r="AB228" s="2">
        <v>0</v>
      </c>
      <c r="AC228" s="2">
        <v>0.50320699999999996</v>
      </c>
      <c r="AL228" s="89">
        <v>87</v>
      </c>
      <c r="AM228" s="2">
        <v>37</v>
      </c>
      <c r="AN228" s="2">
        <v>0</v>
      </c>
      <c r="AO228" s="2">
        <v>2.5825849999999999</v>
      </c>
      <c r="AX228" s="89">
        <v>93</v>
      </c>
      <c r="AY228" s="2">
        <v>39</v>
      </c>
      <c r="AZ228" s="2">
        <v>0</v>
      </c>
      <c r="BA228" s="2">
        <v>2.9473660000000002</v>
      </c>
      <c r="BJ228" s="89">
        <v>92</v>
      </c>
      <c r="BK228" s="2">
        <v>39</v>
      </c>
      <c r="BL228" s="2">
        <v>0</v>
      </c>
      <c r="BM228" s="2">
        <v>2.1890529999999999</v>
      </c>
      <c r="BV228" s="89">
        <v>91</v>
      </c>
      <c r="BW228" s="2">
        <v>39</v>
      </c>
      <c r="BX228" s="2">
        <v>1</v>
      </c>
      <c r="BY228" s="2">
        <v>1.389192</v>
      </c>
      <c r="CH228" s="89">
        <v>90</v>
      </c>
      <c r="CI228" s="2">
        <v>39</v>
      </c>
      <c r="CJ228" s="2">
        <v>0</v>
      </c>
      <c r="CK228" s="2">
        <v>1.589696</v>
      </c>
      <c r="CT228" s="89">
        <v>99</v>
      </c>
      <c r="CU228" s="2">
        <v>38</v>
      </c>
      <c r="CV228" s="2">
        <v>0</v>
      </c>
      <c r="CW228" s="2">
        <v>1.7000000000000001E-2</v>
      </c>
      <c r="DF228" s="89">
        <v>96</v>
      </c>
      <c r="DG228" s="2">
        <v>39</v>
      </c>
      <c r="DH228" s="2">
        <v>0</v>
      </c>
      <c r="DI228" s="2">
        <v>3.1337299999999999</v>
      </c>
      <c r="DR228" s="89">
        <v>96</v>
      </c>
      <c r="DS228" s="2">
        <v>36</v>
      </c>
      <c r="DT228" s="2">
        <v>0</v>
      </c>
      <c r="DU228" s="2">
        <v>4.0000000000000001E-3</v>
      </c>
      <c r="ED228" s="89">
        <v>90</v>
      </c>
      <c r="EE228" s="2">
        <v>39</v>
      </c>
      <c r="EF228" s="2">
        <v>0</v>
      </c>
      <c r="EG228" s="2">
        <v>1.614258</v>
      </c>
      <c r="ES228">
        <v>90</v>
      </c>
      <c r="ET228">
        <v>39</v>
      </c>
      <c r="EU228">
        <v>0</v>
      </c>
      <c r="EV228">
        <v>1.614258</v>
      </c>
    </row>
    <row r="229" spans="14:152" x14ac:dyDescent="0.4">
      <c r="N229" s="89">
        <v>85</v>
      </c>
      <c r="O229" s="2">
        <v>37</v>
      </c>
      <c r="P229" s="2">
        <v>0</v>
      </c>
      <c r="Q229" s="2">
        <v>3.0547110000000002</v>
      </c>
      <c r="Z229" s="89">
        <v>90</v>
      </c>
      <c r="AA229" s="2">
        <v>37</v>
      </c>
      <c r="AB229" s="2">
        <v>1</v>
      </c>
      <c r="AC229" s="2">
        <v>1.2188540000000001</v>
      </c>
      <c r="AL229" s="89">
        <v>88</v>
      </c>
      <c r="AM229" s="2">
        <v>37</v>
      </c>
      <c r="AN229" s="2">
        <v>0</v>
      </c>
      <c r="AO229" s="2">
        <v>2.2545639999999998</v>
      </c>
      <c r="AX229" s="89">
        <v>93</v>
      </c>
      <c r="AY229" s="2">
        <v>39</v>
      </c>
      <c r="AZ229" s="2">
        <v>1</v>
      </c>
      <c r="BA229" s="2">
        <v>0.90934470000000001</v>
      </c>
      <c r="BJ229" s="89">
        <v>93</v>
      </c>
      <c r="BK229" s="2">
        <v>39</v>
      </c>
      <c r="BL229" s="2">
        <v>0</v>
      </c>
      <c r="BM229" s="2">
        <v>2.386444</v>
      </c>
      <c r="BV229" s="89">
        <v>92</v>
      </c>
      <c r="BW229" s="2">
        <v>39</v>
      </c>
      <c r="BX229" s="2">
        <v>0</v>
      </c>
      <c r="BY229" s="2">
        <v>2.6232350000000002</v>
      </c>
      <c r="CH229" s="89">
        <v>90</v>
      </c>
      <c r="CI229" s="2">
        <v>39</v>
      </c>
      <c r="CJ229" s="2">
        <v>1</v>
      </c>
      <c r="CK229" s="2">
        <v>3.0393940000000001E-2</v>
      </c>
      <c r="CT229" s="89">
        <v>100</v>
      </c>
      <c r="CU229" s="2">
        <v>38</v>
      </c>
      <c r="CV229" s="2">
        <v>0</v>
      </c>
      <c r="CW229" s="2">
        <v>8.0000000000000002E-3</v>
      </c>
      <c r="DF229" s="89">
        <v>96</v>
      </c>
      <c r="DG229" s="2">
        <v>39</v>
      </c>
      <c r="DH229" s="2">
        <v>1</v>
      </c>
      <c r="DI229" s="2">
        <v>0.35706640000000001</v>
      </c>
      <c r="DR229" s="89">
        <v>97</v>
      </c>
      <c r="DS229" s="2">
        <v>36</v>
      </c>
      <c r="DT229" s="2">
        <v>0</v>
      </c>
      <c r="DU229" s="2">
        <v>3.0000000000000001E-3</v>
      </c>
      <c r="ED229" s="89">
        <v>90</v>
      </c>
      <c r="EE229" s="2">
        <v>39</v>
      </c>
      <c r="EF229" s="2">
        <v>1</v>
      </c>
      <c r="EG229" s="2">
        <v>1.248E-2</v>
      </c>
      <c r="ES229">
        <v>90</v>
      </c>
      <c r="ET229">
        <v>39</v>
      </c>
      <c r="EU229">
        <v>1</v>
      </c>
      <c r="EV229">
        <v>1.248E-2</v>
      </c>
    </row>
    <row r="230" spans="14:152" x14ac:dyDescent="0.4">
      <c r="N230" s="89">
        <v>86</v>
      </c>
      <c r="O230" s="2">
        <v>37</v>
      </c>
      <c r="P230" s="2">
        <v>0</v>
      </c>
      <c r="Q230" s="2">
        <v>0.73899999999999999</v>
      </c>
      <c r="Z230" s="89">
        <v>91</v>
      </c>
      <c r="AA230" s="2">
        <v>37</v>
      </c>
      <c r="AB230" s="2">
        <v>0</v>
      </c>
      <c r="AC230" s="2">
        <v>1.241018</v>
      </c>
      <c r="AL230" s="89">
        <v>89</v>
      </c>
      <c r="AM230" s="2">
        <v>37</v>
      </c>
      <c r="AN230" s="2">
        <v>0</v>
      </c>
      <c r="AO230" s="2">
        <v>1.826163</v>
      </c>
      <c r="AX230" s="89">
        <v>94</v>
      </c>
      <c r="AY230" s="2">
        <v>39</v>
      </c>
      <c r="AZ230" s="2">
        <v>0</v>
      </c>
      <c r="BA230" s="2">
        <v>2.946669</v>
      </c>
      <c r="BJ230" s="89">
        <v>93</v>
      </c>
      <c r="BK230" s="2">
        <v>39</v>
      </c>
      <c r="BL230" s="2">
        <v>1</v>
      </c>
      <c r="BM230" s="2">
        <v>0.79071820000000004</v>
      </c>
      <c r="BV230" s="89">
        <v>93</v>
      </c>
      <c r="BW230" s="2">
        <v>39</v>
      </c>
      <c r="BX230" s="2">
        <v>0</v>
      </c>
      <c r="BY230" s="2">
        <v>2.7703069999999999</v>
      </c>
      <c r="CH230" s="89">
        <v>91</v>
      </c>
      <c r="CI230" s="2">
        <v>39</v>
      </c>
      <c r="CJ230" s="2">
        <v>0</v>
      </c>
      <c r="CK230" s="2">
        <v>1.7917240000000001</v>
      </c>
      <c r="CT230" s="89">
        <v>88</v>
      </c>
      <c r="CU230" s="2">
        <v>39</v>
      </c>
      <c r="CV230" s="2">
        <v>0</v>
      </c>
      <c r="CW230" s="2">
        <v>2E-3</v>
      </c>
      <c r="DF230" s="89">
        <v>97</v>
      </c>
      <c r="DG230" s="2">
        <v>39</v>
      </c>
      <c r="DH230" s="2">
        <v>0</v>
      </c>
      <c r="DI230" s="2">
        <v>1.7305189999999999</v>
      </c>
      <c r="DR230" s="89">
        <v>98</v>
      </c>
      <c r="DS230" s="2">
        <v>36</v>
      </c>
      <c r="DT230" s="2">
        <v>0</v>
      </c>
      <c r="DU230" s="2">
        <v>1E-3</v>
      </c>
      <c r="ED230" s="89">
        <v>91</v>
      </c>
      <c r="EE230" s="2">
        <v>39</v>
      </c>
      <c r="EF230" s="2">
        <v>0</v>
      </c>
      <c r="EG230" s="2">
        <v>1.8281099999999999</v>
      </c>
      <c r="ES230">
        <v>91</v>
      </c>
      <c r="ET230">
        <v>39</v>
      </c>
      <c r="EU230">
        <v>0</v>
      </c>
      <c r="EV230">
        <v>1.8281099999999999</v>
      </c>
    </row>
    <row r="231" spans="14:152" x14ac:dyDescent="0.4">
      <c r="N231" s="89">
        <v>86</v>
      </c>
      <c r="O231" s="2">
        <v>37</v>
      </c>
      <c r="P231" s="2">
        <v>1</v>
      </c>
      <c r="Q231" s="2">
        <v>0.53821509999999995</v>
      </c>
      <c r="Z231" s="89">
        <v>92</v>
      </c>
      <c r="AA231" s="2">
        <v>37</v>
      </c>
      <c r="AB231" s="2">
        <v>0</v>
      </c>
      <c r="AC231" s="2">
        <v>0.74269399999999997</v>
      </c>
      <c r="AL231" s="89">
        <v>90</v>
      </c>
      <c r="AM231" s="2">
        <v>37</v>
      </c>
      <c r="AN231" s="2">
        <v>0</v>
      </c>
      <c r="AO231" s="2">
        <v>0.31824570000000002</v>
      </c>
      <c r="AX231" s="89">
        <v>95</v>
      </c>
      <c r="AY231" s="2">
        <v>39</v>
      </c>
      <c r="AZ231" s="2">
        <v>0</v>
      </c>
      <c r="BA231" s="2">
        <v>2.6743060000000001</v>
      </c>
      <c r="BJ231" s="89">
        <v>94</v>
      </c>
      <c r="BK231" s="2">
        <v>39</v>
      </c>
      <c r="BL231" s="2">
        <v>0</v>
      </c>
      <c r="BM231" s="2">
        <v>2.3881950000000001</v>
      </c>
      <c r="BV231" s="89">
        <v>93</v>
      </c>
      <c r="BW231" s="2">
        <v>39</v>
      </c>
      <c r="BX231" s="2">
        <v>1</v>
      </c>
      <c r="BY231" s="2">
        <v>0.77893089999999998</v>
      </c>
      <c r="CH231" s="89">
        <v>91</v>
      </c>
      <c r="CI231" s="2">
        <v>39</v>
      </c>
      <c r="CJ231" s="2">
        <v>1</v>
      </c>
      <c r="CK231" s="2">
        <v>1.083043</v>
      </c>
      <c r="CT231" s="89">
        <v>88</v>
      </c>
      <c r="CU231" s="2">
        <v>39</v>
      </c>
      <c r="CV231" s="2">
        <v>1</v>
      </c>
      <c r="CW231" s="2">
        <v>1E-3</v>
      </c>
      <c r="DF231" s="89">
        <v>97</v>
      </c>
      <c r="DG231" s="2">
        <v>39</v>
      </c>
      <c r="DH231" s="2">
        <v>1</v>
      </c>
      <c r="DI231" s="2">
        <v>1.0658479999999999</v>
      </c>
      <c r="DR231" s="89">
        <v>83</v>
      </c>
      <c r="DS231" s="2">
        <v>37</v>
      </c>
      <c r="DT231" s="2">
        <v>0</v>
      </c>
      <c r="DU231" s="2">
        <v>2E-3</v>
      </c>
      <c r="ED231" s="89">
        <v>91</v>
      </c>
      <c r="EE231" s="2">
        <v>39</v>
      </c>
      <c r="EF231" s="2">
        <v>1</v>
      </c>
      <c r="EG231" s="2">
        <v>1.0912949999999999</v>
      </c>
      <c r="ES231">
        <v>91</v>
      </c>
      <c r="ET231">
        <v>39</v>
      </c>
      <c r="EU231">
        <v>1</v>
      </c>
      <c r="EV231">
        <v>1.0912949999999999</v>
      </c>
    </row>
    <row r="232" spans="14:152" x14ac:dyDescent="0.4">
      <c r="N232" s="89">
        <v>87</v>
      </c>
      <c r="O232" s="2">
        <v>37</v>
      </c>
      <c r="P232" s="2">
        <v>0</v>
      </c>
      <c r="Q232" s="2">
        <v>2.9570639999999999</v>
      </c>
      <c r="Z232" s="89">
        <v>93</v>
      </c>
      <c r="AA232" s="2">
        <v>37</v>
      </c>
      <c r="AB232" s="2">
        <v>0</v>
      </c>
      <c r="AC232" s="2">
        <v>0.44060759999999999</v>
      </c>
      <c r="AL232" s="89">
        <v>90</v>
      </c>
      <c r="AM232" s="2">
        <v>37</v>
      </c>
      <c r="AN232" s="2">
        <v>1</v>
      </c>
      <c r="AO232" s="2">
        <v>0.99849770000000004</v>
      </c>
      <c r="AX232" s="89">
        <v>96</v>
      </c>
      <c r="AY232" s="2">
        <v>39</v>
      </c>
      <c r="AZ232" s="2">
        <v>0</v>
      </c>
      <c r="BA232" s="2">
        <v>1.7462660000000001</v>
      </c>
      <c r="BJ232" s="89">
        <v>95</v>
      </c>
      <c r="BK232" s="2">
        <v>39</v>
      </c>
      <c r="BL232" s="2">
        <v>0</v>
      </c>
      <c r="BM232" s="2">
        <v>2.1571910000000001</v>
      </c>
      <c r="BV232" s="89">
        <v>94</v>
      </c>
      <c r="BW232" s="2">
        <v>39</v>
      </c>
      <c r="BX232" s="2">
        <v>0</v>
      </c>
      <c r="BY232" s="2">
        <v>2.8157130000000001</v>
      </c>
      <c r="CH232" s="89">
        <v>92</v>
      </c>
      <c r="CI232" s="2">
        <v>39</v>
      </c>
      <c r="CJ232" s="2">
        <v>0</v>
      </c>
      <c r="CK232" s="2">
        <v>1.9444159999999999</v>
      </c>
      <c r="CT232" s="89">
        <v>89</v>
      </c>
      <c r="CU232" s="2">
        <v>39</v>
      </c>
      <c r="CV232" s="2">
        <v>0</v>
      </c>
      <c r="CW232" s="2">
        <v>0.839978</v>
      </c>
      <c r="DF232" s="89">
        <v>97</v>
      </c>
      <c r="DG232" s="2">
        <v>39</v>
      </c>
      <c r="DH232" s="2">
        <v>2</v>
      </c>
      <c r="DI232" s="2">
        <v>6.4091969999999998E-2</v>
      </c>
      <c r="DR232" s="89">
        <v>83</v>
      </c>
      <c r="DS232" s="2">
        <v>37</v>
      </c>
      <c r="DT232" s="2">
        <v>1</v>
      </c>
      <c r="DU232" s="2">
        <v>2E-3</v>
      </c>
      <c r="ED232" s="89">
        <v>92</v>
      </c>
      <c r="EE232" s="2">
        <v>39</v>
      </c>
      <c r="EF232" s="2">
        <v>0</v>
      </c>
      <c r="EG232" s="2">
        <v>2.126287</v>
      </c>
      <c r="ES232">
        <v>92</v>
      </c>
      <c r="ET232">
        <v>39</v>
      </c>
      <c r="EU232">
        <v>0</v>
      </c>
      <c r="EV232">
        <v>2.126287</v>
      </c>
    </row>
    <row r="233" spans="14:152" x14ac:dyDescent="0.4">
      <c r="N233" s="89">
        <v>88</v>
      </c>
      <c r="O233" s="2">
        <v>37</v>
      </c>
      <c r="P233" s="2">
        <v>0</v>
      </c>
      <c r="Q233" s="2">
        <v>2.7311030000000001</v>
      </c>
      <c r="Z233" s="89">
        <v>94</v>
      </c>
      <c r="AA233" s="2">
        <v>37</v>
      </c>
      <c r="AB233" s="2">
        <v>0</v>
      </c>
      <c r="AC233" s="2">
        <v>0.20882719999999999</v>
      </c>
      <c r="AL233" s="89">
        <v>91</v>
      </c>
      <c r="AM233" s="2">
        <v>37</v>
      </c>
      <c r="AN233" s="2">
        <v>0</v>
      </c>
      <c r="AO233" s="2">
        <v>0.80402499999999999</v>
      </c>
      <c r="AX233" s="89">
        <v>96</v>
      </c>
      <c r="AY233" s="2">
        <v>39</v>
      </c>
      <c r="AZ233" s="2">
        <v>1</v>
      </c>
      <c r="BA233" s="2">
        <v>0.34022809999999998</v>
      </c>
      <c r="BJ233" s="89">
        <v>96</v>
      </c>
      <c r="BK233" s="2">
        <v>39</v>
      </c>
      <c r="BL233" s="2">
        <v>0</v>
      </c>
      <c r="BM233" s="2">
        <v>1.340174</v>
      </c>
      <c r="BV233" s="89">
        <v>95</v>
      </c>
      <c r="BW233" s="2">
        <v>39</v>
      </c>
      <c r="BX233" s="2">
        <v>0</v>
      </c>
      <c r="BY233" s="2">
        <v>2.7466309999999998</v>
      </c>
      <c r="CH233" s="89">
        <v>93</v>
      </c>
      <c r="CI233" s="2">
        <v>39</v>
      </c>
      <c r="CJ233" s="2">
        <v>0</v>
      </c>
      <c r="CK233" s="2">
        <v>1.992685</v>
      </c>
      <c r="CT233" s="89">
        <v>89</v>
      </c>
      <c r="CU233" s="2">
        <v>39</v>
      </c>
      <c r="CV233" s="2">
        <v>1</v>
      </c>
      <c r="CW233" s="2">
        <v>1.0349270000000001E-2</v>
      </c>
      <c r="DF233" s="89">
        <v>98</v>
      </c>
      <c r="DG233" s="2">
        <v>39</v>
      </c>
      <c r="DH233" s="2">
        <v>0</v>
      </c>
      <c r="DI233" s="2">
        <v>1.2625960000000001</v>
      </c>
      <c r="DR233" s="89">
        <v>84</v>
      </c>
      <c r="DS233" s="2">
        <v>37</v>
      </c>
      <c r="DT233" s="2">
        <v>0</v>
      </c>
      <c r="DU233" s="2">
        <v>1.4E-2</v>
      </c>
      <c r="ED233" s="89">
        <v>93</v>
      </c>
      <c r="EE233" s="2">
        <v>39</v>
      </c>
      <c r="EF233" s="2">
        <v>0</v>
      </c>
      <c r="EG233" s="2">
        <v>2.294883</v>
      </c>
      <c r="ES233">
        <v>93</v>
      </c>
      <c r="ET233">
        <v>39</v>
      </c>
      <c r="EU233">
        <v>0</v>
      </c>
      <c r="EV233">
        <v>2.294883</v>
      </c>
    </row>
    <row r="234" spans="14:152" x14ac:dyDescent="0.4">
      <c r="N234" s="89">
        <v>89</v>
      </c>
      <c r="O234" s="2">
        <v>37</v>
      </c>
      <c r="P234" s="2">
        <v>0</v>
      </c>
      <c r="Q234" s="2">
        <v>2.2824059999999999</v>
      </c>
      <c r="Z234" s="89">
        <v>95</v>
      </c>
      <c r="AA234" s="2">
        <v>37</v>
      </c>
      <c r="AB234" s="2">
        <v>0</v>
      </c>
      <c r="AC234" s="2">
        <v>8.6885210000000004E-2</v>
      </c>
      <c r="AL234" s="89">
        <v>92</v>
      </c>
      <c r="AM234" s="2">
        <v>37</v>
      </c>
      <c r="AN234" s="2">
        <v>0</v>
      </c>
      <c r="AO234" s="2">
        <v>0.43100699999999997</v>
      </c>
      <c r="AX234" s="89">
        <v>97</v>
      </c>
      <c r="AY234" s="2">
        <v>39</v>
      </c>
      <c r="AZ234" s="2">
        <v>0</v>
      </c>
      <c r="BA234" s="2">
        <v>0.87324679999999999</v>
      </c>
      <c r="BJ234" s="89">
        <v>96</v>
      </c>
      <c r="BK234" s="2">
        <v>39</v>
      </c>
      <c r="BL234" s="2">
        <v>1</v>
      </c>
      <c r="BM234" s="2">
        <v>0.3801754</v>
      </c>
      <c r="BV234" s="89">
        <v>96</v>
      </c>
      <c r="BW234" s="2">
        <v>39</v>
      </c>
      <c r="BX234" s="2">
        <v>0</v>
      </c>
      <c r="BY234" s="2">
        <v>2.0307919999999999</v>
      </c>
      <c r="CH234" s="89">
        <v>93</v>
      </c>
      <c r="CI234" s="2">
        <v>39</v>
      </c>
      <c r="CJ234" s="2">
        <v>1</v>
      </c>
      <c r="CK234" s="2">
        <v>0.73870100000000005</v>
      </c>
      <c r="CT234" s="89">
        <v>90</v>
      </c>
      <c r="CU234" s="2">
        <v>39</v>
      </c>
      <c r="CV234" s="2">
        <v>0</v>
      </c>
      <c r="CW234" s="2">
        <v>0.92571199999999998</v>
      </c>
      <c r="DF234" s="89">
        <v>98</v>
      </c>
      <c r="DG234" s="2">
        <v>39</v>
      </c>
      <c r="DH234" s="2">
        <v>1</v>
      </c>
      <c r="DI234" s="2">
        <v>0.79847190000000001</v>
      </c>
      <c r="DR234" s="89">
        <v>84</v>
      </c>
      <c r="DS234" s="2">
        <v>37</v>
      </c>
      <c r="DT234" s="2">
        <v>1</v>
      </c>
      <c r="DU234" s="2">
        <v>1.152941E-2</v>
      </c>
      <c r="ED234" s="89">
        <v>93</v>
      </c>
      <c r="EE234" s="2">
        <v>39</v>
      </c>
      <c r="EF234" s="2">
        <v>1</v>
      </c>
      <c r="EG234" s="2">
        <v>0.75108540000000001</v>
      </c>
      <c r="ES234">
        <v>93</v>
      </c>
      <c r="ET234">
        <v>39</v>
      </c>
      <c r="EU234">
        <v>1</v>
      </c>
      <c r="EV234">
        <v>0.75108540000000001</v>
      </c>
    </row>
    <row r="235" spans="14:152" x14ac:dyDescent="0.4">
      <c r="N235" s="89">
        <v>90</v>
      </c>
      <c r="O235" s="2">
        <v>37</v>
      </c>
      <c r="P235" s="2">
        <v>0</v>
      </c>
      <c r="Q235" s="2">
        <v>0.44030079999999999</v>
      </c>
      <c r="Z235" s="89">
        <v>96</v>
      </c>
      <c r="AA235" s="2">
        <v>37</v>
      </c>
      <c r="AB235" s="2">
        <v>0</v>
      </c>
      <c r="AC235" s="2">
        <v>3.452703E-2</v>
      </c>
      <c r="AL235" s="89">
        <v>93</v>
      </c>
      <c r="AM235" s="2">
        <v>37</v>
      </c>
      <c r="AN235" s="2">
        <v>0</v>
      </c>
      <c r="AO235" s="2">
        <v>0.22003329999999999</v>
      </c>
      <c r="AX235" s="89">
        <v>97</v>
      </c>
      <c r="AY235" s="2">
        <v>39</v>
      </c>
      <c r="AZ235" s="2">
        <v>1</v>
      </c>
      <c r="BA235" s="2">
        <v>0.74064719999999995</v>
      </c>
      <c r="BJ235" s="89">
        <v>97</v>
      </c>
      <c r="BK235" s="2">
        <v>39</v>
      </c>
      <c r="BL235" s="2">
        <v>0</v>
      </c>
      <c r="BM235" s="2">
        <v>0.65913719999999998</v>
      </c>
      <c r="BV235" s="89">
        <v>96</v>
      </c>
      <c r="BW235" s="2">
        <v>39</v>
      </c>
      <c r="BX235" s="2">
        <v>1</v>
      </c>
      <c r="BY235" s="2">
        <v>0.36372589999999999</v>
      </c>
      <c r="CH235" s="89">
        <v>94</v>
      </c>
      <c r="CI235" s="2">
        <v>39</v>
      </c>
      <c r="CJ235" s="2">
        <v>0</v>
      </c>
      <c r="CK235" s="2">
        <v>1.949902</v>
      </c>
      <c r="CT235" s="89">
        <v>90</v>
      </c>
      <c r="CU235" s="2">
        <v>39</v>
      </c>
      <c r="CV235" s="2">
        <v>1</v>
      </c>
      <c r="CW235" s="2">
        <v>1.4375000000000001E-2</v>
      </c>
      <c r="DF235" s="89">
        <v>99</v>
      </c>
      <c r="DG235" s="2">
        <v>39</v>
      </c>
      <c r="DH235" s="2">
        <v>0</v>
      </c>
      <c r="DI235" s="2">
        <v>1.3040210000000001</v>
      </c>
      <c r="DR235" s="89">
        <v>85</v>
      </c>
      <c r="DS235" s="2">
        <v>37</v>
      </c>
      <c r="DT235" s="2">
        <v>0</v>
      </c>
      <c r="DU235" s="2">
        <v>2.6642960000000002</v>
      </c>
      <c r="ED235" s="89">
        <v>94</v>
      </c>
      <c r="EE235" s="2">
        <v>39</v>
      </c>
      <c r="EF235" s="2">
        <v>0</v>
      </c>
      <c r="EG235" s="2">
        <v>2.2879830000000001</v>
      </c>
      <c r="ES235">
        <v>94</v>
      </c>
      <c r="ET235">
        <v>39</v>
      </c>
      <c r="EU235">
        <v>0</v>
      </c>
      <c r="EV235">
        <v>2.2879830000000001</v>
      </c>
    </row>
    <row r="236" spans="14:152" x14ac:dyDescent="0.4">
      <c r="N236" s="89">
        <v>90</v>
      </c>
      <c r="O236" s="2">
        <v>37</v>
      </c>
      <c r="P236" s="2">
        <v>1</v>
      </c>
      <c r="Q236" s="2">
        <v>1.291944</v>
      </c>
      <c r="Z236" s="89">
        <v>96</v>
      </c>
      <c r="AA236" s="2">
        <v>37</v>
      </c>
      <c r="AB236" s="2">
        <v>1</v>
      </c>
      <c r="AC236" s="2">
        <v>9.4594600000000003E-4</v>
      </c>
      <c r="AL236" s="89">
        <v>94</v>
      </c>
      <c r="AM236" s="2">
        <v>37</v>
      </c>
      <c r="AN236" s="2">
        <v>0</v>
      </c>
      <c r="AO236" s="2">
        <v>7.9995410000000003E-2</v>
      </c>
      <c r="AX236" s="89">
        <v>97</v>
      </c>
      <c r="AY236" s="2">
        <v>39</v>
      </c>
      <c r="AZ236" s="2">
        <v>2</v>
      </c>
      <c r="BA236" s="2">
        <v>5.2234129999999997E-2</v>
      </c>
      <c r="BJ236" s="89">
        <v>97</v>
      </c>
      <c r="BK236" s="2">
        <v>39</v>
      </c>
      <c r="BL236" s="2">
        <v>1</v>
      </c>
      <c r="BM236" s="2">
        <v>0.65792320000000004</v>
      </c>
      <c r="BV236" s="89">
        <v>97</v>
      </c>
      <c r="BW236" s="2">
        <v>39</v>
      </c>
      <c r="BX236" s="2">
        <v>0</v>
      </c>
      <c r="BY236" s="2">
        <v>1.0674170000000001</v>
      </c>
      <c r="CH236" s="89">
        <v>95</v>
      </c>
      <c r="CI236" s="2">
        <v>39</v>
      </c>
      <c r="CJ236" s="2">
        <v>0</v>
      </c>
      <c r="CK236" s="2">
        <v>1.7510190000000001</v>
      </c>
      <c r="CT236" s="89">
        <v>91</v>
      </c>
      <c r="CU236" s="2">
        <v>39</v>
      </c>
      <c r="CV236" s="2">
        <v>0</v>
      </c>
      <c r="CW236" s="2">
        <v>0.97472409999999998</v>
      </c>
      <c r="DF236" s="89">
        <v>100</v>
      </c>
      <c r="DG236" s="2">
        <v>39</v>
      </c>
      <c r="DH236" s="2">
        <v>0</v>
      </c>
      <c r="DI236" s="2">
        <v>0.64970229999999995</v>
      </c>
      <c r="DR236" s="89">
        <v>86</v>
      </c>
      <c r="DS236" s="2">
        <v>37</v>
      </c>
      <c r="DT236" s="2">
        <v>0</v>
      </c>
      <c r="DU236" s="2">
        <v>0.19900000000000001</v>
      </c>
      <c r="ED236" s="89">
        <v>95</v>
      </c>
      <c r="EE236" s="2">
        <v>39</v>
      </c>
      <c r="EF236" s="2">
        <v>0</v>
      </c>
      <c r="EG236" s="2">
        <v>2.2895449999999999</v>
      </c>
      <c r="ES236">
        <v>95</v>
      </c>
      <c r="ET236">
        <v>39</v>
      </c>
      <c r="EU236">
        <v>0</v>
      </c>
      <c r="EV236">
        <v>2.2895449999999999</v>
      </c>
    </row>
    <row r="237" spans="14:152" x14ac:dyDescent="0.4">
      <c r="N237" s="89">
        <v>91</v>
      </c>
      <c r="O237" s="2">
        <v>37</v>
      </c>
      <c r="P237" s="2">
        <v>0</v>
      </c>
      <c r="Q237" s="2">
        <v>1.0097929999999999</v>
      </c>
      <c r="Z237" s="89">
        <v>97</v>
      </c>
      <c r="AA237" s="2">
        <v>37</v>
      </c>
      <c r="AB237" s="2">
        <v>0</v>
      </c>
      <c r="AC237" s="2">
        <v>1.4E-2</v>
      </c>
      <c r="AL237" s="89">
        <v>95</v>
      </c>
      <c r="AM237" s="2">
        <v>37</v>
      </c>
      <c r="AN237" s="2">
        <v>0</v>
      </c>
      <c r="AO237" s="2">
        <v>4.2971299999999997E-2</v>
      </c>
      <c r="AX237" s="89">
        <v>98</v>
      </c>
      <c r="AY237" s="2">
        <v>39</v>
      </c>
      <c r="AZ237" s="2">
        <v>0</v>
      </c>
      <c r="BA237" s="2">
        <v>0.46174369999999998</v>
      </c>
      <c r="BJ237" s="89">
        <v>97</v>
      </c>
      <c r="BK237" s="2">
        <v>39</v>
      </c>
      <c r="BL237" s="2">
        <v>2</v>
      </c>
      <c r="BM237" s="2">
        <v>6.7155699999999999E-2</v>
      </c>
      <c r="BV237" s="89">
        <v>97</v>
      </c>
      <c r="BW237" s="2">
        <v>39</v>
      </c>
      <c r="BX237" s="2">
        <v>1</v>
      </c>
      <c r="BY237" s="2">
        <v>0.76126519999999998</v>
      </c>
      <c r="CH237" s="89">
        <v>96</v>
      </c>
      <c r="CI237" s="2">
        <v>39</v>
      </c>
      <c r="CJ237" s="2">
        <v>0</v>
      </c>
      <c r="CK237" s="2">
        <v>0.99061399999999999</v>
      </c>
      <c r="CT237" s="89">
        <v>91</v>
      </c>
      <c r="CU237" s="2">
        <v>39</v>
      </c>
      <c r="CV237" s="2">
        <v>1</v>
      </c>
      <c r="CW237" s="2">
        <v>0.58869329999999997</v>
      </c>
      <c r="DF237" s="89">
        <v>100</v>
      </c>
      <c r="DG237" s="2">
        <v>39</v>
      </c>
      <c r="DH237" s="2">
        <v>1</v>
      </c>
      <c r="DI237" s="2">
        <v>1.5469999999999999E-4</v>
      </c>
      <c r="DR237" s="89">
        <v>86</v>
      </c>
      <c r="DS237" s="2">
        <v>37</v>
      </c>
      <c r="DT237" s="2">
        <v>1</v>
      </c>
      <c r="DU237" s="2">
        <v>0.14214289999999999</v>
      </c>
      <c r="ED237" s="89">
        <v>96</v>
      </c>
      <c r="EE237" s="2">
        <v>39</v>
      </c>
      <c r="EF237" s="2">
        <v>0</v>
      </c>
      <c r="EG237" s="2">
        <v>1.557868</v>
      </c>
      <c r="ES237">
        <v>96</v>
      </c>
      <c r="ET237">
        <v>39</v>
      </c>
      <c r="EU237">
        <v>0</v>
      </c>
      <c r="EV237">
        <v>1.557868</v>
      </c>
    </row>
    <row r="238" spans="14:152" x14ac:dyDescent="0.4">
      <c r="N238" s="89">
        <v>92</v>
      </c>
      <c r="O238" s="2">
        <v>37</v>
      </c>
      <c r="P238" s="2">
        <v>0</v>
      </c>
      <c r="Q238" s="2">
        <v>0.63600710000000005</v>
      </c>
      <c r="Z238" s="89">
        <v>98</v>
      </c>
      <c r="AA238" s="2">
        <v>37</v>
      </c>
      <c r="AB238" s="2">
        <v>0</v>
      </c>
      <c r="AC238" s="2">
        <v>5.0000000000000001E-3</v>
      </c>
      <c r="AL238" s="89">
        <v>96</v>
      </c>
      <c r="AM238" s="2">
        <v>37</v>
      </c>
      <c r="AN238" s="2">
        <v>0</v>
      </c>
      <c r="AO238" s="2">
        <v>8.0999999999999996E-3</v>
      </c>
      <c r="AX238" s="89">
        <v>98</v>
      </c>
      <c r="AY238" s="2">
        <v>39</v>
      </c>
      <c r="AZ238" s="2">
        <v>1</v>
      </c>
      <c r="BA238" s="2">
        <v>0.41517939999999998</v>
      </c>
      <c r="BJ238" s="89">
        <v>98</v>
      </c>
      <c r="BK238" s="2">
        <v>39</v>
      </c>
      <c r="BL238" s="2">
        <v>0</v>
      </c>
      <c r="BM238" s="2">
        <v>0.33921829999999997</v>
      </c>
      <c r="BV238" s="89">
        <v>97</v>
      </c>
      <c r="BW238" s="2">
        <v>39</v>
      </c>
      <c r="BX238" s="2">
        <v>2</v>
      </c>
      <c r="BY238" s="2">
        <v>4.9316440000000003E-2</v>
      </c>
      <c r="CH238" s="89">
        <v>96</v>
      </c>
      <c r="CI238" s="2">
        <v>39</v>
      </c>
      <c r="CJ238" s="2">
        <v>1</v>
      </c>
      <c r="CK238" s="2">
        <v>0.37136370000000002</v>
      </c>
      <c r="CT238" s="89">
        <v>92</v>
      </c>
      <c r="CU238" s="2">
        <v>39</v>
      </c>
      <c r="CV238" s="2">
        <v>0</v>
      </c>
      <c r="CW238" s="2">
        <v>1.1154409999999999</v>
      </c>
      <c r="DF238" s="89">
        <v>101</v>
      </c>
      <c r="DG238" s="2">
        <v>39</v>
      </c>
      <c r="DH238" s="2">
        <v>0</v>
      </c>
      <c r="DI238" s="2">
        <v>0.33391189999999998</v>
      </c>
      <c r="DR238" s="89">
        <v>87</v>
      </c>
      <c r="DS238" s="2">
        <v>37</v>
      </c>
      <c r="DT238" s="2">
        <v>0</v>
      </c>
      <c r="DU238" s="2">
        <v>3.0340120000000002</v>
      </c>
      <c r="ED238" s="89">
        <v>96</v>
      </c>
      <c r="EE238" s="2">
        <v>39</v>
      </c>
      <c r="EF238" s="2">
        <v>1</v>
      </c>
      <c r="EG238" s="2">
        <v>0.35159220000000002</v>
      </c>
      <c r="ES238">
        <v>96</v>
      </c>
      <c r="ET238">
        <v>39</v>
      </c>
      <c r="EU238">
        <v>1</v>
      </c>
      <c r="EV238">
        <v>0.35159220000000002</v>
      </c>
    </row>
    <row r="239" spans="14:152" x14ac:dyDescent="0.4">
      <c r="N239" s="89">
        <v>93</v>
      </c>
      <c r="O239" s="2">
        <v>37</v>
      </c>
      <c r="P239" s="2">
        <v>0</v>
      </c>
      <c r="Q239" s="2">
        <v>0.34553990000000001</v>
      </c>
      <c r="Z239" s="89">
        <v>99</v>
      </c>
      <c r="AA239" s="2">
        <v>37</v>
      </c>
      <c r="AB239" s="2">
        <v>0</v>
      </c>
      <c r="AC239" s="2">
        <v>1E-3</v>
      </c>
      <c r="AL239" s="89">
        <v>96</v>
      </c>
      <c r="AM239" s="2">
        <v>37</v>
      </c>
      <c r="AN239" s="2">
        <v>1</v>
      </c>
      <c r="AO239" s="2">
        <v>1.8E-3</v>
      </c>
      <c r="AX239" s="89">
        <v>99</v>
      </c>
      <c r="AY239" s="2">
        <v>39</v>
      </c>
      <c r="AZ239" s="2">
        <v>0</v>
      </c>
      <c r="BA239" s="2">
        <v>0.57964780000000005</v>
      </c>
      <c r="BJ239" s="89">
        <v>98</v>
      </c>
      <c r="BK239" s="2">
        <v>39</v>
      </c>
      <c r="BL239" s="2">
        <v>1</v>
      </c>
      <c r="BM239" s="2">
        <v>0.36536629999999998</v>
      </c>
      <c r="BV239" s="89">
        <v>98</v>
      </c>
      <c r="BW239" s="2">
        <v>39</v>
      </c>
      <c r="BX239" s="2">
        <v>0</v>
      </c>
      <c r="BY239" s="2">
        <v>0.73808050000000003</v>
      </c>
      <c r="CH239" s="89">
        <v>97</v>
      </c>
      <c r="CI239" s="2">
        <v>39</v>
      </c>
      <c r="CJ239" s="2">
        <v>0</v>
      </c>
      <c r="CK239" s="2">
        <v>0.4271316</v>
      </c>
      <c r="CT239" s="89">
        <v>93</v>
      </c>
      <c r="CU239" s="2">
        <v>39</v>
      </c>
      <c r="CV239" s="2">
        <v>0</v>
      </c>
      <c r="CW239" s="2">
        <v>1.129367</v>
      </c>
      <c r="DF239" s="89">
        <v>102</v>
      </c>
      <c r="DG239" s="2">
        <v>39</v>
      </c>
      <c r="DH239" s="2">
        <v>0</v>
      </c>
      <c r="DI239" s="2">
        <v>0.12289</v>
      </c>
      <c r="DR239" s="89">
        <v>88</v>
      </c>
      <c r="DS239" s="2">
        <v>37</v>
      </c>
      <c r="DT239" s="2">
        <v>0</v>
      </c>
      <c r="DU239" s="2">
        <v>3.013846</v>
      </c>
      <c r="ED239" s="89">
        <v>97</v>
      </c>
      <c r="EE239" s="2">
        <v>39</v>
      </c>
      <c r="EF239" s="2">
        <v>0</v>
      </c>
      <c r="EG239" s="2">
        <v>0.81852049999999998</v>
      </c>
      <c r="ES239">
        <v>97</v>
      </c>
      <c r="ET239">
        <v>39</v>
      </c>
      <c r="EU239">
        <v>0</v>
      </c>
      <c r="EV239">
        <v>0.81852049999999998</v>
      </c>
    </row>
    <row r="240" spans="14:152" x14ac:dyDescent="0.4">
      <c r="N240" s="89">
        <v>94</v>
      </c>
      <c r="O240" s="2">
        <v>37</v>
      </c>
      <c r="P240" s="2">
        <v>0</v>
      </c>
      <c r="Q240" s="2">
        <v>0.1485175</v>
      </c>
      <c r="Z240" s="89">
        <v>100</v>
      </c>
      <c r="AA240" s="2">
        <v>37</v>
      </c>
      <c r="AB240" s="2">
        <v>0</v>
      </c>
      <c r="AC240" s="2">
        <v>1E-3</v>
      </c>
      <c r="AL240" s="89">
        <v>97</v>
      </c>
      <c r="AM240" s="2">
        <v>37</v>
      </c>
      <c r="AN240" s="2">
        <v>0</v>
      </c>
      <c r="AO240" s="2">
        <v>8.0000000000000002E-3</v>
      </c>
      <c r="AX240" s="89">
        <v>100</v>
      </c>
      <c r="AY240" s="2">
        <v>39</v>
      </c>
      <c r="AZ240" s="2">
        <v>0</v>
      </c>
      <c r="BA240" s="2">
        <v>0.2488871</v>
      </c>
      <c r="BJ240" s="89">
        <v>99</v>
      </c>
      <c r="BK240" s="2">
        <v>39</v>
      </c>
      <c r="BL240" s="2">
        <v>0</v>
      </c>
      <c r="BM240" s="2">
        <v>0.40406239999999999</v>
      </c>
      <c r="BV240" s="89">
        <v>98</v>
      </c>
      <c r="BW240" s="2">
        <v>39</v>
      </c>
      <c r="BX240" s="2">
        <v>1</v>
      </c>
      <c r="BY240" s="2">
        <v>0.61939449999999996</v>
      </c>
      <c r="CH240" s="89">
        <v>97</v>
      </c>
      <c r="CI240" s="2">
        <v>39</v>
      </c>
      <c r="CJ240" s="2">
        <v>1</v>
      </c>
      <c r="CK240" s="2">
        <v>0.46472920000000001</v>
      </c>
      <c r="CT240" s="89">
        <v>93</v>
      </c>
      <c r="CU240" s="2">
        <v>39</v>
      </c>
      <c r="CV240" s="2">
        <v>1</v>
      </c>
      <c r="CW240" s="2">
        <v>0.4508954</v>
      </c>
      <c r="DF240" s="89">
        <v>102</v>
      </c>
      <c r="DG240" s="2">
        <v>39</v>
      </c>
      <c r="DH240" s="2">
        <v>1</v>
      </c>
      <c r="DI240" s="2">
        <v>1.89E-3</v>
      </c>
      <c r="DR240" s="89">
        <v>89</v>
      </c>
      <c r="DS240" s="2">
        <v>37</v>
      </c>
      <c r="DT240" s="2">
        <v>0</v>
      </c>
      <c r="DU240" s="2">
        <v>2.9688310000000002</v>
      </c>
      <c r="ED240" s="89">
        <v>97</v>
      </c>
      <c r="EE240" s="2">
        <v>39</v>
      </c>
      <c r="EF240" s="2">
        <v>1</v>
      </c>
      <c r="EG240" s="2">
        <v>0.71573699999999996</v>
      </c>
      <c r="ES240">
        <v>97</v>
      </c>
      <c r="ET240">
        <v>39</v>
      </c>
      <c r="EU240">
        <v>1</v>
      </c>
      <c r="EV240">
        <v>0.71573699999999996</v>
      </c>
    </row>
    <row r="241" spans="14:152" x14ac:dyDescent="0.4">
      <c r="N241" s="89">
        <v>95</v>
      </c>
      <c r="O241" s="2">
        <v>37</v>
      </c>
      <c r="P241" s="2">
        <v>0</v>
      </c>
      <c r="Q241" s="2">
        <v>6.9942599999999994E-2</v>
      </c>
      <c r="Z241" s="89">
        <v>84</v>
      </c>
      <c r="AA241" s="2">
        <v>38</v>
      </c>
      <c r="AB241" s="2">
        <v>0</v>
      </c>
      <c r="AC241" s="2">
        <v>2.568E-3</v>
      </c>
      <c r="AL241" s="89">
        <v>98</v>
      </c>
      <c r="AM241" s="2">
        <v>37</v>
      </c>
      <c r="AN241" s="2">
        <v>0</v>
      </c>
      <c r="AO241" s="2">
        <v>2E-3</v>
      </c>
      <c r="AX241" s="89">
        <v>100</v>
      </c>
      <c r="AY241" s="2">
        <v>39</v>
      </c>
      <c r="AZ241" s="2">
        <v>1</v>
      </c>
      <c r="BA241" s="2">
        <v>1.19E-5</v>
      </c>
      <c r="BJ241" s="89">
        <v>100</v>
      </c>
      <c r="BK241" s="2">
        <v>39</v>
      </c>
      <c r="BL241" s="2">
        <v>0</v>
      </c>
      <c r="BM241" s="2">
        <v>0.17794950000000001</v>
      </c>
      <c r="BV241" s="89">
        <v>99</v>
      </c>
      <c r="BW241" s="2">
        <v>39</v>
      </c>
      <c r="BX241" s="2">
        <v>0</v>
      </c>
      <c r="BY241" s="2">
        <v>0.83515600000000001</v>
      </c>
      <c r="CH241" s="89">
        <v>97</v>
      </c>
      <c r="CI241" s="2">
        <v>39</v>
      </c>
      <c r="CJ241" s="2">
        <v>2</v>
      </c>
      <c r="CK241" s="2">
        <v>6.6858139999999996E-2</v>
      </c>
      <c r="CT241" s="89">
        <v>94</v>
      </c>
      <c r="CU241" s="2">
        <v>39</v>
      </c>
      <c r="CV241" s="2">
        <v>0</v>
      </c>
      <c r="CW241" s="2">
        <v>1.1761330000000001</v>
      </c>
      <c r="DF241" s="89">
        <v>103</v>
      </c>
      <c r="DG241" s="2">
        <v>39</v>
      </c>
      <c r="DH241" s="2">
        <v>0</v>
      </c>
      <c r="DI241" s="2">
        <v>5.1999999999999998E-2</v>
      </c>
      <c r="DR241" s="89">
        <v>90</v>
      </c>
      <c r="DS241" s="2">
        <v>37</v>
      </c>
      <c r="DT241" s="2">
        <v>0</v>
      </c>
      <c r="DU241" s="2">
        <v>1.057776</v>
      </c>
      <c r="ED241" s="89">
        <v>97</v>
      </c>
      <c r="EE241" s="2">
        <v>39</v>
      </c>
      <c r="EF241" s="2">
        <v>2</v>
      </c>
      <c r="EG241" s="2">
        <v>7.4087719999999996E-2</v>
      </c>
      <c r="ES241">
        <v>97</v>
      </c>
      <c r="ET241">
        <v>39</v>
      </c>
      <c r="EU241">
        <v>2</v>
      </c>
      <c r="EV241">
        <v>7.4087719999999996E-2</v>
      </c>
    </row>
    <row r="242" spans="14:152" x14ac:dyDescent="0.4">
      <c r="N242" s="89">
        <v>96</v>
      </c>
      <c r="O242" s="2">
        <v>37</v>
      </c>
      <c r="P242" s="2">
        <v>0</v>
      </c>
      <c r="Q242" s="2">
        <v>2.6205880000000001E-2</v>
      </c>
      <c r="Z242" s="89">
        <v>85</v>
      </c>
      <c r="AA242" s="2">
        <v>38</v>
      </c>
      <c r="AB242" s="2">
        <v>0</v>
      </c>
      <c r="AC242" s="2">
        <v>1.4E-2</v>
      </c>
      <c r="AL242" s="89">
        <v>81</v>
      </c>
      <c r="AM242" s="2">
        <v>38</v>
      </c>
      <c r="AN242" s="2">
        <v>0</v>
      </c>
      <c r="AO242" s="2">
        <v>1E-3</v>
      </c>
      <c r="AX242" s="89">
        <v>101</v>
      </c>
      <c r="AY242" s="2">
        <v>39</v>
      </c>
      <c r="AZ242" s="2">
        <v>0</v>
      </c>
      <c r="BA242" s="2">
        <v>0.1009763</v>
      </c>
      <c r="BJ242" s="89">
        <v>100</v>
      </c>
      <c r="BK242" s="2">
        <v>39</v>
      </c>
      <c r="BL242" s="2">
        <v>1</v>
      </c>
      <c r="BM242" s="2">
        <v>1.19E-5</v>
      </c>
      <c r="BV242" s="89">
        <v>100</v>
      </c>
      <c r="BW242" s="2">
        <v>39</v>
      </c>
      <c r="BX242" s="2">
        <v>0</v>
      </c>
      <c r="BY242" s="2">
        <v>0.38198680000000002</v>
      </c>
      <c r="CH242" s="89">
        <v>98</v>
      </c>
      <c r="CI242" s="2">
        <v>39</v>
      </c>
      <c r="CJ242" s="2">
        <v>0</v>
      </c>
      <c r="CK242" s="2">
        <v>0.20818049999999999</v>
      </c>
      <c r="CT242" s="89">
        <v>95</v>
      </c>
      <c r="CU242" s="2">
        <v>39</v>
      </c>
      <c r="CV242" s="2">
        <v>0</v>
      </c>
      <c r="CW242" s="2">
        <v>1.113013</v>
      </c>
      <c r="DF242" s="89">
        <v>104</v>
      </c>
      <c r="DG242" s="2">
        <v>39</v>
      </c>
      <c r="DH242" s="2">
        <v>0</v>
      </c>
      <c r="DI242" s="2">
        <v>1.9E-2</v>
      </c>
      <c r="DR242" s="89">
        <v>90</v>
      </c>
      <c r="DS242" s="2">
        <v>37</v>
      </c>
      <c r="DT242" s="2">
        <v>1</v>
      </c>
      <c r="DU242" s="2">
        <v>1.624498</v>
      </c>
      <c r="ED242" s="89">
        <v>98</v>
      </c>
      <c r="EE242" s="2">
        <v>39</v>
      </c>
      <c r="EF242" s="2">
        <v>0</v>
      </c>
      <c r="EG242" s="2">
        <v>0.4867398</v>
      </c>
      <c r="ES242">
        <v>98</v>
      </c>
      <c r="ET242">
        <v>39</v>
      </c>
      <c r="EU242">
        <v>0</v>
      </c>
      <c r="EV242">
        <v>0.4867398</v>
      </c>
    </row>
    <row r="243" spans="14:152" x14ac:dyDescent="0.4">
      <c r="N243" s="89">
        <v>96</v>
      </c>
      <c r="O243" s="2">
        <v>37</v>
      </c>
      <c r="P243" s="2">
        <v>1</v>
      </c>
      <c r="Q243" s="2">
        <v>1.5882349999999999E-3</v>
      </c>
      <c r="Z243" s="89">
        <v>86</v>
      </c>
      <c r="AA243" s="2">
        <v>38</v>
      </c>
      <c r="AB243" s="2">
        <v>0</v>
      </c>
      <c r="AC243" s="2">
        <v>0.46500000000000002</v>
      </c>
      <c r="AL243" s="89">
        <v>83</v>
      </c>
      <c r="AM243" s="2">
        <v>38</v>
      </c>
      <c r="AN243" s="2">
        <v>0</v>
      </c>
      <c r="AO243" s="2">
        <v>1E-3</v>
      </c>
      <c r="AX243" s="89">
        <v>102</v>
      </c>
      <c r="AY243" s="2">
        <v>39</v>
      </c>
      <c r="AZ243" s="2">
        <v>0</v>
      </c>
      <c r="BA243" s="2">
        <v>3.4000000000000002E-2</v>
      </c>
      <c r="BJ243" s="89">
        <v>101</v>
      </c>
      <c r="BK243" s="2">
        <v>39</v>
      </c>
      <c r="BL243" s="2">
        <v>0</v>
      </c>
      <c r="BM243" s="2">
        <v>5.70863E-2</v>
      </c>
      <c r="BV243" s="89">
        <v>100</v>
      </c>
      <c r="BW243" s="2">
        <v>39</v>
      </c>
      <c r="BX243" s="2">
        <v>1</v>
      </c>
      <c r="BY243" s="2">
        <v>1.428E-4</v>
      </c>
      <c r="CH243" s="89">
        <v>98</v>
      </c>
      <c r="CI243" s="2">
        <v>39</v>
      </c>
      <c r="CJ243" s="2">
        <v>1</v>
      </c>
      <c r="CK243" s="2">
        <v>0.27081949999999999</v>
      </c>
      <c r="CT243" s="89">
        <v>96</v>
      </c>
      <c r="CU243" s="2">
        <v>39</v>
      </c>
      <c r="CV243" s="2">
        <v>0</v>
      </c>
      <c r="CW243" s="2">
        <v>0.55459860000000005</v>
      </c>
      <c r="DF243" s="89">
        <v>105</v>
      </c>
      <c r="DG243" s="2">
        <v>39</v>
      </c>
      <c r="DH243" s="2">
        <v>0</v>
      </c>
      <c r="DI243" s="2">
        <v>3.0000000000000001E-3</v>
      </c>
      <c r="DR243" s="89">
        <v>91</v>
      </c>
      <c r="DS243" s="2">
        <v>37</v>
      </c>
      <c r="DT243" s="2">
        <v>0</v>
      </c>
      <c r="DU243" s="2">
        <v>2.224945</v>
      </c>
      <c r="ED243" s="89">
        <v>98</v>
      </c>
      <c r="EE243" s="2">
        <v>39</v>
      </c>
      <c r="EF243" s="2">
        <v>1</v>
      </c>
      <c r="EG243" s="2">
        <v>0.45235920000000002</v>
      </c>
      <c r="ES243">
        <v>98</v>
      </c>
      <c r="ET243">
        <v>39</v>
      </c>
      <c r="EU243">
        <v>1</v>
      </c>
      <c r="EV243">
        <v>0.45235920000000002</v>
      </c>
    </row>
    <row r="244" spans="14:152" x14ac:dyDescent="0.4">
      <c r="N244" s="89">
        <v>97</v>
      </c>
      <c r="O244" s="2">
        <v>37</v>
      </c>
      <c r="P244" s="2">
        <v>0</v>
      </c>
      <c r="Q244" s="2">
        <v>8.0000000000000002E-3</v>
      </c>
      <c r="Z244" s="89">
        <v>87</v>
      </c>
      <c r="AA244" s="2">
        <v>38</v>
      </c>
      <c r="AB244" s="2">
        <v>0</v>
      </c>
      <c r="AC244" s="2">
        <v>0.1519595</v>
      </c>
      <c r="AL244" s="89">
        <v>84</v>
      </c>
      <c r="AM244" s="2">
        <v>38</v>
      </c>
      <c r="AN244" s="2">
        <v>0</v>
      </c>
      <c r="AO244" s="2">
        <v>6.0559999999999998E-3</v>
      </c>
      <c r="AX244" s="89">
        <v>103</v>
      </c>
      <c r="AY244" s="2">
        <v>39</v>
      </c>
      <c r="AZ244" s="2">
        <v>0</v>
      </c>
      <c r="BA244" s="2">
        <v>1.7999999999999999E-2</v>
      </c>
      <c r="BJ244" s="89">
        <v>102</v>
      </c>
      <c r="BK244" s="2">
        <v>39</v>
      </c>
      <c r="BL244" s="2">
        <v>0</v>
      </c>
      <c r="BM244" s="2">
        <v>1.4945E-2</v>
      </c>
      <c r="BV244" s="89">
        <v>101</v>
      </c>
      <c r="BW244" s="2">
        <v>39</v>
      </c>
      <c r="BX244" s="2">
        <v>0</v>
      </c>
      <c r="BY244" s="2">
        <v>0.16582559999999999</v>
      </c>
      <c r="CH244" s="89">
        <v>99</v>
      </c>
      <c r="CI244" s="2">
        <v>39</v>
      </c>
      <c r="CJ244" s="2">
        <v>0</v>
      </c>
      <c r="CK244" s="2">
        <v>0.2180156</v>
      </c>
      <c r="CT244" s="89">
        <v>96</v>
      </c>
      <c r="CU244" s="2">
        <v>39</v>
      </c>
      <c r="CV244" s="2">
        <v>1</v>
      </c>
      <c r="CW244" s="2">
        <v>0.31396010000000002</v>
      </c>
      <c r="DF244" s="89">
        <v>106</v>
      </c>
      <c r="DG244" s="2">
        <v>39</v>
      </c>
      <c r="DH244" s="2">
        <v>0</v>
      </c>
      <c r="DI244" s="2">
        <v>4.0000000000000001E-3</v>
      </c>
      <c r="DR244" s="89">
        <v>92</v>
      </c>
      <c r="DS244" s="2">
        <v>37</v>
      </c>
      <c r="DT244" s="2">
        <v>0</v>
      </c>
      <c r="DU244" s="2">
        <v>1.535255</v>
      </c>
      <c r="ED244" s="89">
        <v>99</v>
      </c>
      <c r="EE244" s="2">
        <v>39</v>
      </c>
      <c r="EF244" s="2">
        <v>0</v>
      </c>
      <c r="EG244" s="2">
        <v>0.56409359999999997</v>
      </c>
      <c r="ES244">
        <v>99</v>
      </c>
      <c r="ET244">
        <v>39</v>
      </c>
      <c r="EU244">
        <v>0</v>
      </c>
      <c r="EV244">
        <v>0.56409359999999997</v>
      </c>
    </row>
    <row r="245" spans="14:152" x14ac:dyDescent="0.4">
      <c r="N245" s="89">
        <v>98</v>
      </c>
      <c r="O245" s="2">
        <v>37</v>
      </c>
      <c r="P245" s="2">
        <v>0</v>
      </c>
      <c r="Q245" s="2">
        <v>4.0000000000000001E-3</v>
      </c>
      <c r="Z245" s="89">
        <v>87</v>
      </c>
      <c r="AA245" s="2">
        <v>38</v>
      </c>
      <c r="AB245" s="2">
        <v>1</v>
      </c>
      <c r="AC245" s="2">
        <v>1.3501290000000001E-2</v>
      </c>
      <c r="AL245" s="89">
        <v>85</v>
      </c>
      <c r="AM245" s="2">
        <v>38</v>
      </c>
      <c r="AN245" s="2">
        <v>0</v>
      </c>
      <c r="AO245" s="2">
        <v>5.2853549999999999E-2</v>
      </c>
      <c r="AX245" s="89">
        <v>104</v>
      </c>
      <c r="AY245" s="2">
        <v>39</v>
      </c>
      <c r="AZ245" s="2">
        <v>0</v>
      </c>
      <c r="BA245" s="2">
        <v>3.0000000000000001E-3</v>
      </c>
      <c r="BJ245" s="89">
        <v>102</v>
      </c>
      <c r="BK245" s="2">
        <v>39</v>
      </c>
      <c r="BL245" s="2">
        <v>1</v>
      </c>
      <c r="BM245" s="2">
        <v>9.4499999999999998E-4</v>
      </c>
      <c r="BV245" s="89">
        <v>102</v>
      </c>
      <c r="BW245" s="2">
        <v>39</v>
      </c>
      <c r="BX245" s="2">
        <v>0</v>
      </c>
      <c r="BY245" s="2">
        <v>5.1944999999999998E-2</v>
      </c>
      <c r="CH245" s="89">
        <v>100</v>
      </c>
      <c r="CI245" s="2">
        <v>39</v>
      </c>
      <c r="CJ245" s="2">
        <v>0</v>
      </c>
      <c r="CK245" s="2">
        <v>0.1009963</v>
      </c>
      <c r="CT245" s="89">
        <v>97</v>
      </c>
      <c r="CU245" s="2">
        <v>39</v>
      </c>
      <c r="CV245" s="2">
        <v>0</v>
      </c>
      <c r="CW245" s="2">
        <v>0.28406769999999998</v>
      </c>
      <c r="DF245" s="89">
        <v>107</v>
      </c>
      <c r="DG245" s="2">
        <v>39</v>
      </c>
      <c r="DH245" s="2">
        <v>0</v>
      </c>
      <c r="DI245" s="2">
        <v>1E-3</v>
      </c>
      <c r="DR245" s="89">
        <v>93</v>
      </c>
      <c r="DS245" s="2">
        <v>37</v>
      </c>
      <c r="DT245" s="2">
        <v>0</v>
      </c>
      <c r="DU245" s="2">
        <v>0.98709049999999998</v>
      </c>
      <c r="ED245" s="89">
        <v>100</v>
      </c>
      <c r="EE245" s="2">
        <v>39</v>
      </c>
      <c r="EF245" s="2">
        <v>0</v>
      </c>
      <c r="EG245" s="2">
        <v>0.21795400000000001</v>
      </c>
      <c r="ES245">
        <v>100</v>
      </c>
      <c r="ET245">
        <v>39</v>
      </c>
      <c r="EU245">
        <v>0</v>
      </c>
      <c r="EV245">
        <v>0.21795400000000001</v>
      </c>
    </row>
    <row r="246" spans="14:152" x14ac:dyDescent="0.4">
      <c r="N246" s="89">
        <v>84</v>
      </c>
      <c r="O246" s="2">
        <v>38</v>
      </c>
      <c r="P246" s="2">
        <v>0</v>
      </c>
      <c r="Q246" s="2">
        <v>2.624E-3</v>
      </c>
      <c r="Z246" s="89">
        <v>88</v>
      </c>
      <c r="AA246" s="2">
        <v>38</v>
      </c>
      <c r="AB246" s="2">
        <v>0</v>
      </c>
      <c r="AC246" s="2">
        <v>2.870053</v>
      </c>
      <c r="AL246" s="89">
        <v>85</v>
      </c>
      <c r="AM246" s="2">
        <v>38</v>
      </c>
      <c r="AN246" s="2">
        <v>1</v>
      </c>
      <c r="AO246" s="2">
        <v>1.092932E-3</v>
      </c>
      <c r="AX246" s="89">
        <v>90</v>
      </c>
      <c r="AY246" s="2">
        <v>40</v>
      </c>
      <c r="AZ246" s="2">
        <v>0</v>
      </c>
      <c r="BA246" s="2">
        <v>2.4505110000000001</v>
      </c>
      <c r="BJ246" s="89">
        <v>103</v>
      </c>
      <c r="BK246" s="2">
        <v>39</v>
      </c>
      <c r="BL246" s="2">
        <v>0</v>
      </c>
      <c r="BM246" s="2">
        <v>1E-3</v>
      </c>
      <c r="BV246" s="89">
        <v>102</v>
      </c>
      <c r="BW246" s="2">
        <v>39</v>
      </c>
      <c r="BX246" s="2">
        <v>1</v>
      </c>
      <c r="BY246" s="2">
        <v>9.4499999999999998E-4</v>
      </c>
      <c r="CH246" s="89">
        <v>100</v>
      </c>
      <c r="CI246" s="2">
        <v>39</v>
      </c>
      <c r="CJ246" s="2">
        <v>1</v>
      </c>
      <c r="CK246" s="2">
        <v>1.19E-5</v>
      </c>
      <c r="CT246" s="89">
        <v>97</v>
      </c>
      <c r="CU246" s="2">
        <v>39</v>
      </c>
      <c r="CV246" s="2">
        <v>1</v>
      </c>
      <c r="CW246" s="2">
        <v>0.40966609999999998</v>
      </c>
      <c r="DF246" s="89">
        <v>90</v>
      </c>
      <c r="DG246" s="2">
        <v>40</v>
      </c>
      <c r="DH246" s="2">
        <v>0</v>
      </c>
      <c r="DI246" s="2">
        <v>2.9814159999999998</v>
      </c>
      <c r="DR246" s="89">
        <v>94</v>
      </c>
      <c r="DS246" s="2">
        <v>37</v>
      </c>
      <c r="DT246" s="2">
        <v>0</v>
      </c>
      <c r="DU246" s="2">
        <v>0.5900455</v>
      </c>
      <c r="ED246" s="89">
        <v>100</v>
      </c>
      <c r="EE246" s="2">
        <v>39</v>
      </c>
      <c r="EF246" s="2">
        <v>1</v>
      </c>
      <c r="EG246" s="2">
        <v>4.7599999999999998E-5</v>
      </c>
      <c r="ES246">
        <v>100</v>
      </c>
      <c r="ET246">
        <v>39</v>
      </c>
      <c r="EU246">
        <v>1</v>
      </c>
      <c r="EV246" s="40">
        <v>4.7599999999999998E-5</v>
      </c>
    </row>
    <row r="247" spans="14:152" x14ac:dyDescent="0.4">
      <c r="N247" s="89">
        <v>85</v>
      </c>
      <c r="O247" s="2">
        <v>38</v>
      </c>
      <c r="P247" s="2">
        <v>0</v>
      </c>
      <c r="Q247" s="2">
        <v>2.6625719999999999E-2</v>
      </c>
      <c r="Z247" s="89">
        <v>89</v>
      </c>
      <c r="AA247" s="2">
        <v>38</v>
      </c>
      <c r="AB247" s="2">
        <v>0</v>
      </c>
      <c r="AC247" s="2">
        <v>2.9667379999999999</v>
      </c>
      <c r="AL247" s="89">
        <v>86</v>
      </c>
      <c r="AM247" s="2">
        <v>38</v>
      </c>
      <c r="AN247" s="2">
        <v>0</v>
      </c>
      <c r="AO247" s="2">
        <v>0.96200010000000002</v>
      </c>
      <c r="AX247" s="89">
        <v>91</v>
      </c>
      <c r="AY247" s="2">
        <v>40</v>
      </c>
      <c r="AZ247" s="2">
        <v>0</v>
      </c>
      <c r="BA247" s="2">
        <v>2.5867049999999998</v>
      </c>
      <c r="BJ247" s="89">
        <v>104</v>
      </c>
      <c r="BK247" s="2">
        <v>39</v>
      </c>
      <c r="BL247" s="2">
        <v>0</v>
      </c>
      <c r="BM247" s="2">
        <v>1E-3</v>
      </c>
      <c r="BV247" s="89">
        <v>103</v>
      </c>
      <c r="BW247" s="2">
        <v>39</v>
      </c>
      <c r="BX247" s="2">
        <v>0</v>
      </c>
      <c r="BY247" s="2">
        <v>2.1999999999999999E-2</v>
      </c>
      <c r="CH247" s="89">
        <v>101</v>
      </c>
      <c r="CI247" s="2">
        <v>39</v>
      </c>
      <c r="CJ247" s="2">
        <v>0</v>
      </c>
      <c r="CK247" s="2">
        <v>2.2976300000000002E-2</v>
      </c>
      <c r="CT247" s="89">
        <v>97</v>
      </c>
      <c r="CU247" s="2">
        <v>39</v>
      </c>
      <c r="CV247" s="2">
        <v>2</v>
      </c>
      <c r="CW247" s="2">
        <v>5.3202859999999998E-2</v>
      </c>
      <c r="DF247" s="89">
        <v>91</v>
      </c>
      <c r="DG247" s="2">
        <v>40</v>
      </c>
      <c r="DH247" s="2">
        <v>0</v>
      </c>
      <c r="DI247" s="2">
        <v>3.2595580000000002</v>
      </c>
      <c r="DR247" s="89">
        <v>95</v>
      </c>
      <c r="DS247" s="2">
        <v>37</v>
      </c>
      <c r="DT247" s="2">
        <v>0</v>
      </c>
      <c r="DU247" s="2">
        <v>0.32417220000000002</v>
      </c>
      <c r="ED247" s="89">
        <v>101</v>
      </c>
      <c r="EE247" s="2">
        <v>39</v>
      </c>
      <c r="EF247" s="2">
        <v>0</v>
      </c>
      <c r="EG247" s="2">
        <v>9.5905210000000005E-2</v>
      </c>
      <c r="ES247">
        <v>101</v>
      </c>
      <c r="ET247">
        <v>39</v>
      </c>
      <c r="EU247">
        <v>0</v>
      </c>
      <c r="EV247">
        <v>9.5905210000000005E-2</v>
      </c>
    </row>
    <row r="248" spans="14:152" x14ac:dyDescent="0.4">
      <c r="N248" s="89">
        <v>85</v>
      </c>
      <c r="O248" s="2">
        <v>38</v>
      </c>
      <c r="P248" s="2">
        <v>1</v>
      </c>
      <c r="Q248" s="2">
        <v>2.7931039999999998E-3</v>
      </c>
      <c r="Z248" s="89">
        <v>90</v>
      </c>
      <c r="AA248" s="2">
        <v>38</v>
      </c>
      <c r="AB248" s="2">
        <v>0</v>
      </c>
      <c r="AC248" s="2">
        <v>3.0083709999999999</v>
      </c>
      <c r="AL248" s="89">
        <v>87</v>
      </c>
      <c r="AM248" s="2">
        <v>38</v>
      </c>
      <c r="AN248" s="2">
        <v>0</v>
      </c>
      <c r="AO248" s="2">
        <v>0.42289399999999999</v>
      </c>
      <c r="AX248" s="89">
        <v>92</v>
      </c>
      <c r="AY248" s="2">
        <v>40</v>
      </c>
      <c r="AZ248" s="2">
        <v>0</v>
      </c>
      <c r="BA248" s="2">
        <v>2.8935339999999998</v>
      </c>
      <c r="BJ248" s="89">
        <v>90</v>
      </c>
      <c r="BK248" s="2">
        <v>40</v>
      </c>
      <c r="BL248" s="2">
        <v>0</v>
      </c>
      <c r="BM248" s="2">
        <v>1.7795160000000001</v>
      </c>
      <c r="BV248" s="89">
        <v>104</v>
      </c>
      <c r="BW248" s="2">
        <v>39</v>
      </c>
      <c r="BX248" s="2">
        <v>0</v>
      </c>
      <c r="BY248" s="2">
        <v>5.0000000000000001E-3</v>
      </c>
      <c r="CH248" s="89">
        <v>102</v>
      </c>
      <c r="CI248" s="2">
        <v>39</v>
      </c>
      <c r="CJ248" s="2">
        <v>0</v>
      </c>
      <c r="CK248" s="2">
        <v>8.0000000000000002E-3</v>
      </c>
      <c r="CT248" s="89">
        <v>98</v>
      </c>
      <c r="CU248" s="2">
        <v>39</v>
      </c>
      <c r="CV248" s="2">
        <v>0</v>
      </c>
      <c r="CW248" s="2">
        <v>0.15430930000000001</v>
      </c>
      <c r="DF248" s="89">
        <v>92</v>
      </c>
      <c r="DG248" s="2">
        <v>40</v>
      </c>
      <c r="DH248" s="2">
        <v>0</v>
      </c>
      <c r="DI248" s="2">
        <v>3.5805289999999999</v>
      </c>
      <c r="DR248" s="89">
        <v>96</v>
      </c>
      <c r="DS248" s="2">
        <v>37</v>
      </c>
      <c r="DT248" s="2">
        <v>0</v>
      </c>
      <c r="DU248" s="2">
        <v>0.12841150000000001</v>
      </c>
      <c r="ED248" s="89">
        <v>102</v>
      </c>
      <c r="EE248" s="2">
        <v>39</v>
      </c>
      <c r="EF248" s="2">
        <v>0</v>
      </c>
      <c r="EG248" s="2">
        <v>2.7E-2</v>
      </c>
      <c r="ES248">
        <v>102</v>
      </c>
      <c r="ET248">
        <v>39</v>
      </c>
      <c r="EU248">
        <v>0</v>
      </c>
      <c r="EV248">
        <v>2.7E-2</v>
      </c>
    </row>
    <row r="249" spans="14:152" x14ac:dyDescent="0.4">
      <c r="N249" s="89">
        <v>86</v>
      </c>
      <c r="O249" s="2">
        <v>38</v>
      </c>
      <c r="P249" s="2">
        <v>0</v>
      </c>
      <c r="Q249" s="2">
        <v>0.83800010000000003</v>
      </c>
      <c r="Z249" s="89">
        <v>91</v>
      </c>
      <c r="AA249" s="2">
        <v>38</v>
      </c>
      <c r="AB249" s="2">
        <v>0</v>
      </c>
      <c r="AC249" s="2">
        <v>2.757018</v>
      </c>
      <c r="AL249" s="89">
        <v>87</v>
      </c>
      <c r="AM249" s="2">
        <v>38</v>
      </c>
      <c r="AN249" s="2">
        <v>1</v>
      </c>
      <c r="AO249" s="2">
        <v>3.5337529999999999E-2</v>
      </c>
      <c r="AX249" s="89">
        <v>93</v>
      </c>
      <c r="AY249" s="2">
        <v>40</v>
      </c>
      <c r="AZ249" s="2">
        <v>0</v>
      </c>
      <c r="BA249" s="2">
        <v>3.0083660000000001</v>
      </c>
      <c r="BJ249" s="89">
        <v>91</v>
      </c>
      <c r="BK249" s="2">
        <v>40</v>
      </c>
      <c r="BL249" s="2">
        <v>0</v>
      </c>
      <c r="BM249" s="2">
        <v>2.0268549999999999</v>
      </c>
      <c r="BV249" s="89">
        <v>105</v>
      </c>
      <c r="BW249" s="2">
        <v>39</v>
      </c>
      <c r="BX249" s="2">
        <v>0</v>
      </c>
      <c r="BY249" s="2">
        <v>1E-3</v>
      </c>
      <c r="CH249" s="89">
        <v>90</v>
      </c>
      <c r="CI249" s="2">
        <v>40</v>
      </c>
      <c r="CJ249" s="2">
        <v>0</v>
      </c>
      <c r="CK249" s="2">
        <v>1.591696</v>
      </c>
      <c r="CT249" s="89">
        <v>98</v>
      </c>
      <c r="CU249" s="2">
        <v>39</v>
      </c>
      <c r="CV249" s="2">
        <v>1</v>
      </c>
      <c r="CW249" s="2">
        <v>0.24913669999999999</v>
      </c>
      <c r="DF249" s="89">
        <v>93</v>
      </c>
      <c r="DG249" s="2">
        <v>40</v>
      </c>
      <c r="DH249" s="2">
        <v>0</v>
      </c>
      <c r="DI249" s="2">
        <v>3.7897850000000002</v>
      </c>
      <c r="DR249" s="89">
        <v>96</v>
      </c>
      <c r="DS249" s="2">
        <v>37</v>
      </c>
      <c r="DT249" s="2">
        <v>1</v>
      </c>
      <c r="DU249" s="2">
        <v>5.2829110000000004E-3</v>
      </c>
      <c r="ED249" s="89">
        <v>103</v>
      </c>
      <c r="EE249" s="2">
        <v>39</v>
      </c>
      <c r="EF249" s="2">
        <v>0</v>
      </c>
      <c r="EG249" s="2">
        <v>8.0000000000000002E-3</v>
      </c>
      <c r="ES249">
        <v>103</v>
      </c>
      <c r="ET249">
        <v>39</v>
      </c>
      <c r="EU249">
        <v>0</v>
      </c>
      <c r="EV249">
        <v>8.0000000000000002E-3</v>
      </c>
    </row>
    <row r="250" spans="14:152" x14ac:dyDescent="0.4">
      <c r="N250" s="89">
        <v>87</v>
      </c>
      <c r="O250" s="2">
        <v>38</v>
      </c>
      <c r="P250" s="2">
        <v>0</v>
      </c>
      <c r="Q250" s="2">
        <v>0.31392429999999999</v>
      </c>
      <c r="Z250" s="89">
        <v>92</v>
      </c>
      <c r="AA250" s="2">
        <v>38</v>
      </c>
      <c r="AB250" s="2">
        <v>0</v>
      </c>
      <c r="AC250" s="2">
        <v>2.3668629999999999</v>
      </c>
      <c r="AL250" s="89">
        <v>88</v>
      </c>
      <c r="AM250" s="2">
        <v>38</v>
      </c>
      <c r="AN250" s="2">
        <v>0</v>
      </c>
      <c r="AO250" s="2">
        <v>3.2835640000000001</v>
      </c>
      <c r="AX250" s="89">
        <v>94</v>
      </c>
      <c r="AY250" s="2">
        <v>40</v>
      </c>
      <c r="AZ250" s="2">
        <v>0</v>
      </c>
      <c r="BA250" s="2">
        <v>3.164669</v>
      </c>
      <c r="BJ250" s="89">
        <v>92</v>
      </c>
      <c r="BK250" s="2">
        <v>40</v>
      </c>
      <c r="BL250" s="2">
        <v>0</v>
      </c>
      <c r="BM250" s="2">
        <v>2.2130529999999999</v>
      </c>
      <c r="BV250" s="89">
        <v>106</v>
      </c>
      <c r="BW250" s="2">
        <v>39</v>
      </c>
      <c r="BX250" s="2">
        <v>0</v>
      </c>
      <c r="BY250" s="2">
        <v>1E-3</v>
      </c>
      <c r="CH250" s="89">
        <v>90</v>
      </c>
      <c r="CI250" s="2">
        <v>40</v>
      </c>
      <c r="CJ250" s="2">
        <v>1</v>
      </c>
      <c r="CK250" s="2">
        <v>2E-3</v>
      </c>
      <c r="CT250" s="89">
        <v>99</v>
      </c>
      <c r="CU250" s="2">
        <v>39</v>
      </c>
      <c r="CV250" s="2">
        <v>0</v>
      </c>
      <c r="CW250" s="2">
        <v>0.2350624</v>
      </c>
      <c r="DF250" s="89">
        <v>94</v>
      </c>
      <c r="DG250" s="2">
        <v>40</v>
      </c>
      <c r="DH250" s="2">
        <v>0</v>
      </c>
      <c r="DI250" s="2">
        <v>3.9732159999999999</v>
      </c>
      <c r="DR250" s="89">
        <v>97</v>
      </c>
      <c r="DS250" s="2">
        <v>37</v>
      </c>
      <c r="DT250" s="2">
        <v>0</v>
      </c>
      <c r="DU250" s="2">
        <v>5.7868999999999997E-2</v>
      </c>
      <c r="ED250" s="89">
        <v>104</v>
      </c>
      <c r="EE250" s="2">
        <v>39</v>
      </c>
      <c r="EF250" s="2">
        <v>0</v>
      </c>
      <c r="EG250" s="2">
        <v>4.0000000000000001E-3</v>
      </c>
      <c r="ES250">
        <v>104</v>
      </c>
      <c r="ET250">
        <v>39</v>
      </c>
      <c r="EU250">
        <v>0</v>
      </c>
      <c r="EV250">
        <v>4.0000000000000001E-3</v>
      </c>
    </row>
    <row r="251" spans="14:152" x14ac:dyDescent="0.4">
      <c r="N251" s="89">
        <v>87</v>
      </c>
      <c r="O251" s="2">
        <v>38</v>
      </c>
      <c r="P251" s="2">
        <v>1</v>
      </c>
      <c r="Q251" s="2">
        <v>2.5215169999999999E-2</v>
      </c>
      <c r="Z251" s="89">
        <v>93</v>
      </c>
      <c r="AA251" s="2">
        <v>38</v>
      </c>
      <c r="AB251" s="2">
        <v>0</v>
      </c>
      <c r="AC251" s="2">
        <v>1.7395309999999999</v>
      </c>
      <c r="AL251" s="89">
        <v>89</v>
      </c>
      <c r="AM251" s="2">
        <v>38</v>
      </c>
      <c r="AN251" s="2">
        <v>0</v>
      </c>
      <c r="AO251" s="2">
        <v>3.1471629999999999</v>
      </c>
      <c r="AX251" s="89">
        <v>95</v>
      </c>
      <c r="AY251" s="2">
        <v>40</v>
      </c>
      <c r="AZ251" s="2">
        <v>0</v>
      </c>
      <c r="BA251" s="2">
        <v>3.1663060000000001</v>
      </c>
      <c r="BJ251" s="89">
        <v>93</v>
      </c>
      <c r="BK251" s="2">
        <v>40</v>
      </c>
      <c r="BL251" s="2">
        <v>0</v>
      </c>
      <c r="BM251" s="2">
        <v>2.4774440000000002</v>
      </c>
      <c r="BV251" s="89">
        <v>90</v>
      </c>
      <c r="BW251" s="2">
        <v>40</v>
      </c>
      <c r="BX251" s="2">
        <v>0</v>
      </c>
      <c r="BY251" s="2">
        <v>2.0295719999999999</v>
      </c>
      <c r="CH251" s="89">
        <v>91</v>
      </c>
      <c r="CI251" s="2">
        <v>40</v>
      </c>
      <c r="CJ251" s="2">
        <v>0</v>
      </c>
      <c r="CK251" s="2">
        <v>1.806724</v>
      </c>
      <c r="CT251" s="89">
        <v>100</v>
      </c>
      <c r="CU251" s="2">
        <v>39</v>
      </c>
      <c r="CV251" s="2">
        <v>0</v>
      </c>
      <c r="CW251" s="2">
        <v>8.6937609999999999E-2</v>
      </c>
      <c r="DF251" s="89">
        <v>95</v>
      </c>
      <c r="DG251" s="2">
        <v>40</v>
      </c>
      <c r="DH251" s="2">
        <v>0</v>
      </c>
      <c r="DI251" s="2">
        <v>4.0719089999999998</v>
      </c>
      <c r="DR251" s="89">
        <v>98</v>
      </c>
      <c r="DS251" s="2">
        <v>37</v>
      </c>
      <c r="DT251" s="2">
        <v>0</v>
      </c>
      <c r="DU251" s="2">
        <v>2.5000000000000001E-2</v>
      </c>
      <c r="ED251" s="89">
        <v>90</v>
      </c>
      <c r="EE251" s="2">
        <v>40</v>
      </c>
      <c r="EF251" s="2">
        <v>0</v>
      </c>
      <c r="EG251" s="2">
        <v>1.614258</v>
      </c>
      <c r="ES251">
        <v>90</v>
      </c>
      <c r="ET251">
        <v>40</v>
      </c>
      <c r="EU251">
        <v>0</v>
      </c>
      <c r="EV251">
        <v>1.614258</v>
      </c>
    </row>
    <row r="252" spans="14:152" x14ac:dyDescent="0.4">
      <c r="N252" s="89">
        <v>88</v>
      </c>
      <c r="O252" s="2">
        <v>38</v>
      </c>
      <c r="P252" s="2">
        <v>0</v>
      </c>
      <c r="Q252" s="2">
        <v>3.5911029999999999</v>
      </c>
      <c r="Z252" s="89">
        <v>94</v>
      </c>
      <c r="AA252" s="2">
        <v>38</v>
      </c>
      <c r="AB252" s="2">
        <v>0</v>
      </c>
      <c r="AC252" s="2">
        <v>1.167208</v>
      </c>
      <c r="AL252" s="89">
        <v>90</v>
      </c>
      <c r="AM252" s="2">
        <v>38</v>
      </c>
      <c r="AN252" s="2">
        <v>0</v>
      </c>
      <c r="AO252" s="2">
        <v>2.9657819999999999</v>
      </c>
      <c r="AX252" s="89">
        <v>96</v>
      </c>
      <c r="AY252" s="2">
        <v>40</v>
      </c>
      <c r="AZ252" s="2">
        <v>0</v>
      </c>
      <c r="BA252" s="2">
        <v>3.0013879999999999</v>
      </c>
      <c r="BJ252" s="89">
        <v>94</v>
      </c>
      <c r="BK252" s="2">
        <v>40</v>
      </c>
      <c r="BL252" s="2">
        <v>0</v>
      </c>
      <c r="BM252" s="2">
        <v>2.655195</v>
      </c>
      <c r="BV252" s="89">
        <v>91</v>
      </c>
      <c r="BW252" s="2">
        <v>40</v>
      </c>
      <c r="BX252" s="2">
        <v>0</v>
      </c>
      <c r="BY252" s="2">
        <v>2.3593790000000001</v>
      </c>
      <c r="CH252" s="89">
        <v>92</v>
      </c>
      <c r="CI252" s="2">
        <v>40</v>
      </c>
      <c r="CJ252" s="2">
        <v>0</v>
      </c>
      <c r="CK252" s="2">
        <v>1.9994160000000001</v>
      </c>
      <c r="CT252" s="89">
        <v>101</v>
      </c>
      <c r="CU252" s="2">
        <v>39</v>
      </c>
      <c r="CV252" s="2">
        <v>0</v>
      </c>
      <c r="CW252" s="2">
        <v>3.6999999999999998E-2</v>
      </c>
      <c r="DF252" s="89">
        <v>96</v>
      </c>
      <c r="DG252" s="2">
        <v>40</v>
      </c>
      <c r="DH252" s="2">
        <v>0</v>
      </c>
      <c r="DI252" s="2">
        <v>4.2693680000000001</v>
      </c>
      <c r="DR252" s="89">
        <v>98</v>
      </c>
      <c r="DS252" s="2">
        <v>37</v>
      </c>
      <c r="DT252" s="2">
        <v>1</v>
      </c>
      <c r="DU252" s="2">
        <v>9.3000000000000005E-4</v>
      </c>
      <c r="ED252" s="89">
        <v>91</v>
      </c>
      <c r="EE252" s="2">
        <v>40</v>
      </c>
      <c r="EF252" s="2">
        <v>0</v>
      </c>
      <c r="EG252" s="2">
        <v>1.8321099999999999</v>
      </c>
      <c r="ES252">
        <v>91</v>
      </c>
      <c r="ET252">
        <v>40</v>
      </c>
      <c r="EU252">
        <v>0</v>
      </c>
      <c r="EV252">
        <v>1.8321099999999999</v>
      </c>
    </row>
    <row r="253" spans="14:152" x14ac:dyDescent="0.4">
      <c r="N253" s="89">
        <v>89</v>
      </c>
      <c r="O253" s="2">
        <v>38</v>
      </c>
      <c r="P253" s="2">
        <v>0</v>
      </c>
      <c r="Q253" s="2">
        <v>3.4774060000000002</v>
      </c>
      <c r="Z253" s="89">
        <v>95</v>
      </c>
      <c r="AA253" s="2">
        <v>38</v>
      </c>
      <c r="AB253" s="2">
        <v>0</v>
      </c>
      <c r="AC253" s="2">
        <v>0.61803969999999997</v>
      </c>
      <c r="AL253" s="89">
        <v>91</v>
      </c>
      <c r="AM253" s="2">
        <v>38</v>
      </c>
      <c r="AN253" s="2">
        <v>0</v>
      </c>
      <c r="AO253" s="2">
        <v>2.3760249999999998</v>
      </c>
      <c r="AX253" s="89">
        <v>97</v>
      </c>
      <c r="AY253" s="2">
        <v>40</v>
      </c>
      <c r="AZ253" s="2">
        <v>0</v>
      </c>
      <c r="BA253" s="2">
        <v>2.8121800000000001</v>
      </c>
      <c r="BJ253" s="89">
        <v>95</v>
      </c>
      <c r="BK253" s="2">
        <v>40</v>
      </c>
      <c r="BL253" s="2">
        <v>0</v>
      </c>
      <c r="BM253" s="2">
        <v>2.7411910000000002</v>
      </c>
      <c r="BV253" s="89">
        <v>92</v>
      </c>
      <c r="BW253" s="2">
        <v>40</v>
      </c>
      <c r="BX253" s="2">
        <v>0</v>
      </c>
      <c r="BY253" s="2">
        <v>2.6302349999999999</v>
      </c>
      <c r="CH253" s="89">
        <v>93</v>
      </c>
      <c r="CI253" s="2">
        <v>40</v>
      </c>
      <c r="CJ253" s="2">
        <v>0</v>
      </c>
      <c r="CK253" s="2">
        <v>2.1656849999999999</v>
      </c>
      <c r="CT253" s="89">
        <v>102</v>
      </c>
      <c r="CU253" s="2">
        <v>39</v>
      </c>
      <c r="CV253" s="2">
        <v>0</v>
      </c>
      <c r="CW253" s="2">
        <v>1.4E-2</v>
      </c>
      <c r="DF253" s="89">
        <v>97</v>
      </c>
      <c r="DG253" s="2">
        <v>40</v>
      </c>
      <c r="DH253" s="2">
        <v>0</v>
      </c>
      <c r="DI253" s="2">
        <v>4.2062369999999998</v>
      </c>
      <c r="DR253" s="89">
        <v>99</v>
      </c>
      <c r="DS253" s="2">
        <v>37</v>
      </c>
      <c r="DT253" s="2">
        <v>0</v>
      </c>
      <c r="DU253" s="2">
        <v>9.0000010000000005E-3</v>
      </c>
      <c r="ED253" s="89">
        <v>92</v>
      </c>
      <c r="EE253" s="2">
        <v>40</v>
      </c>
      <c r="EF253" s="2">
        <v>0</v>
      </c>
      <c r="EG253" s="2">
        <v>2.1412870000000002</v>
      </c>
      <c r="ES253">
        <v>92</v>
      </c>
      <c r="ET253">
        <v>40</v>
      </c>
      <c r="EU253">
        <v>0</v>
      </c>
      <c r="EV253">
        <v>2.1412870000000002</v>
      </c>
    </row>
    <row r="254" spans="14:152" x14ac:dyDescent="0.4">
      <c r="N254" s="89">
        <v>90</v>
      </c>
      <c r="O254" s="2">
        <v>38</v>
      </c>
      <c r="P254" s="2">
        <v>0</v>
      </c>
      <c r="Q254" s="2">
        <v>3.3876539999999999</v>
      </c>
      <c r="Z254" s="89">
        <v>96</v>
      </c>
      <c r="AA254" s="2">
        <v>38</v>
      </c>
      <c r="AB254" s="2">
        <v>0</v>
      </c>
      <c r="AC254" s="2">
        <v>0.33588990000000002</v>
      </c>
      <c r="AL254" s="89">
        <v>92</v>
      </c>
      <c r="AM254" s="2">
        <v>38</v>
      </c>
      <c r="AN254" s="2">
        <v>0</v>
      </c>
      <c r="AO254" s="2">
        <v>1.7150879999999999</v>
      </c>
      <c r="AX254" s="89">
        <v>98</v>
      </c>
      <c r="AY254" s="2">
        <v>40</v>
      </c>
      <c r="AZ254" s="2">
        <v>0</v>
      </c>
      <c r="BA254" s="2">
        <v>2.2822480000000001</v>
      </c>
      <c r="BJ254" s="89">
        <v>96</v>
      </c>
      <c r="BK254" s="2">
        <v>40</v>
      </c>
      <c r="BL254" s="2">
        <v>0</v>
      </c>
      <c r="BM254" s="2">
        <v>2.9210729999999998</v>
      </c>
      <c r="BV254" s="89">
        <v>93</v>
      </c>
      <c r="BW254" s="2">
        <v>40</v>
      </c>
      <c r="BX254" s="2">
        <v>0</v>
      </c>
      <c r="BY254" s="2">
        <v>2.797307</v>
      </c>
      <c r="CH254" s="89">
        <v>94</v>
      </c>
      <c r="CI254" s="2">
        <v>40</v>
      </c>
      <c r="CJ254" s="2">
        <v>0</v>
      </c>
      <c r="CK254" s="2">
        <v>2.3749020000000001</v>
      </c>
      <c r="CT254" s="89">
        <v>103</v>
      </c>
      <c r="CU254" s="2">
        <v>39</v>
      </c>
      <c r="CV254" s="2">
        <v>0</v>
      </c>
      <c r="CW254" s="2">
        <v>5.0000000000000001E-3</v>
      </c>
      <c r="DF254" s="89">
        <v>98</v>
      </c>
      <c r="DG254" s="2">
        <v>40</v>
      </c>
      <c r="DH254" s="2">
        <v>0</v>
      </c>
      <c r="DI254" s="2">
        <v>4.0013589999999999</v>
      </c>
      <c r="DR254" s="89">
        <v>100</v>
      </c>
      <c r="DS254" s="2">
        <v>37</v>
      </c>
      <c r="DT254" s="2">
        <v>0</v>
      </c>
      <c r="DU254" s="2">
        <v>3.0000000000000001E-3</v>
      </c>
      <c r="ED254" s="89">
        <v>93</v>
      </c>
      <c r="EE254" s="2">
        <v>40</v>
      </c>
      <c r="EF254" s="2">
        <v>0</v>
      </c>
      <c r="EG254" s="2">
        <v>2.3548830000000001</v>
      </c>
      <c r="ES254">
        <v>93</v>
      </c>
      <c r="ET254">
        <v>40</v>
      </c>
      <c r="EU254">
        <v>0</v>
      </c>
      <c r="EV254">
        <v>2.3548830000000001</v>
      </c>
    </row>
    <row r="255" spans="14:152" x14ac:dyDescent="0.4">
      <c r="N255" s="89">
        <v>91</v>
      </c>
      <c r="O255" s="2">
        <v>38</v>
      </c>
      <c r="P255" s="2">
        <v>0</v>
      </c>
      <c r="Q255" s="2">
        <v>2.7497929999999999</v>
      </c>
      <c r="Z255" s="89">
        <v>97</v>
      </c>
      <c r="AA255" s="2">
        <v>38</v>
      </c>
      <c r="AB255" s="2">
        <v>0</v>
      </c>
      <c r="AC255" s="2">
        <v>0.13217599999999999</v>
      </c>
      <c r="AL255" s="89">
        <v>93</v>
      </c>
      <c r="AM255" s="2">
        <v>38</v>
      </c>
      <c r="AN255" s="2">
        <v>0</v>
      </c>
      <c r="AO255" s="2">
        <v>1.1480319999999999</v>
      </c>
      <c r="AX255" s="89">
        <v>99</v>
      </c>
      <c r="AY255" s="2">
        <v>40</v>
      </c>
      <c r="AZ255" s="2">
        <v>0</v>
      </c>
      <c r="BA255" s="2">
        <v>1.8780840000000001</v>
      </c>
      <c r="BJ255" s="89">
        <v>97</v>
      </c>
      <c r="BK255" s="2">
        <v>40</v>
      </c>
      <c r="BL255" s="2">
        <v>0</v>
      </c>
      <c r="BM255" s="2">
        <v>2.7652899999999998</v>
      </c>
      <c r="BV255" s="89">
        <v>94</v>
      </c>
      <c r="BW255" s="2">
        <v>40</v>
      </c>
      <c r="BX255" s="2">
        <v>0</v>
      </c>
      <c r="BY255" s="2">
        <v>2.9457140000000002</v>
      </c>
      <c r="CH255" s="89">
        <v>95</v>
      </c>
      <c r="CI255" s="2">
        <v>40</v>
      </c>
      <c r="CJ255" s="2">
        <v>0</v>
      </c>
      <c r="CK255" s="2">
        <v>2.5190190000000001</v>
      </c>
      <c r="CT255" s="89">
        <v>104</v>
      </c>
      <c r="CU255" s="2">
        <v>39</v>
      </c>
      <c r="CV255" s="2">
        <v>0</v>
      </c>
      <c r="CW255" s="2">
        <v>1E-3</v>
      </c>
      <c r="DF255" s="89">
        <v>99</v>
      </c>
      <c r="DG255" s="2">
        <v>40</v>
      </c>
      <c r="DH255" s="2">
        <v>0</v>
      </c>
      <c r="DI255" s="2">
        <v>3.1648299999999998</v>
      </c>
      <c r="DR255" s="89">
        <v>101</v>
      </c>
      <c r="DS255" s="2">
        <v>37</v>
      </c>
      <c r="DT255" s="2">
        <v>0</v>
      </c>
      <c r="DU255" s="2">
        <v>1E-3</v>
      </c>
      <c r="ED255" s="89">
        <v>94</v>
      </c>
      <c r="EE255" s="2">
        <v>40</v>
      </c>
      <c r="EF255" s="2">
        <v>0</v>
      </c>
      <c r="EG255" s="2">
        <v>2.4519829999999998</v>
      </c>
      <c r="ES255">
        <v>94</v>
      </c>
      <c r="ET255">
        <v>40</v>
      </c>
      <c r="EU255">
        <v>0</v>
      </c>
      <c r="EV255">
        <v>2.4519829999999998</v>
      </c>
    </row>
    <row r="256" spans="14:152" x14ac:dyDescent="0.4">
      <c r="N256" s="89">
        <v>92</v>
      </c>
      <c r="O256" s="2">
        <v>38</v>
      </c>
      <c r="P256" s="2">
        <v>0</v>
      </c>
      <c r="Q256" s="2">
        <v>2.234845</v>
      </c>
      <c r="Z256" s="89">
        <v>98</v>
      </c>
      <c r="AA256" s="2">
        <v>38</v>
      </c>
      <c r="AB256" s="2">
        <v>0</v>
      </c>
      <c r="AC256" s="2">
        <v>6.5468009999999993E-2</v>
      </c>
      <c r="AL256" s="89">
        <v>94</v>
      </c>
      <c r="AM256" s="2">
        <v>38</v>
      </c>
      <c r="AN256" s="2">
        <v>0</v>
      </c>
      <c r="AO256" s="2">
        <v>0.63461140000000005</v>
      </c>
      <c r="AX256" s="89">
        <v>100</v>
      </c>
      <c r="AY256" s="2">
        <v>40</v>
      </c>
      <c r="AZ256" s="2">
        <v>0</v>
      </c>
      <c r="BA256" s="2">
        <v>1.456609</v>
      </c>
      <c r="BJ256" s="89">
        <v>98</v>
      </c>
      <c r="BK256" s="2">
        <v>40</v>
      </c>
      <c r="BL256" s="2">
        <v>0</v>
      </c>
      <c r="BM256" s="2">
        <v>2.3689689999999999</v>
      </c>
      <c r="BV256" s="89">
        <v>95</v>
      </c>
      <c r="BW256" s="2">
        <v>40</v>
      </c>
      <c r="BX256" s="2">
        <v>0</v>
      </c>
      <c r="BY256" s="2">
        <v>3.1166309999999999</v>
      </c>
      <c r="CH256" s="89">
        <v>96</v>
      </c>
      <c r="CI256" s="2">
        <v>40</v>
      </c>
      <c r="CJ256" s="2">
        <v>0</v>
      </c>
      <c r="CK256" s="2">
        <v>2.6574659999999999</v>
      </c>
      <c r="CT256" s="89">
        <v>90</v>
      </c>
      <c r="CU256" s="2">
        <v>40</v>
      </c>
      <c r="CV256" s="2">
        <v>0</v>
      </c>
      <c r="CW256" s="2">
        <v>0.92671199999999998</v>
      </c>
      <c r="DF256" s="89">
        <v>100</v>
      </c>
      <c r="DG256" s="2">
        <v>40</v>
      </c>
      <c r="DH256" s="2">
        <v>0</v>
      </c>
      <c r="DI256" s="2">
        <v>2.5438800000000001</v>
      </c>
      <c r="DR256" s="89">
        <v>84</v>
      </c>
      <c r="DS256" s="2">
        <v>38</v>
      </c>
      <c r="DT256" s="2">
        <v>0</v>
      </c>
      <c r="DU256" s="2">
        <v>4.4799999999999999E-4</v>
      </c>
      <c r="ED256" s="89">
        <v>95</v>
      </c>
      <c r="EE256" s="2">
        <v>40</v>
      </c>
      <c r="EF256" s="2">
        <v>0</v>
      </c>
      <c r="EG256" s="2">
        <v>2.716545</v>
      </c>
      <c r="ES256">
        <v>95</v>
      </c>
      <c r="ET256">
        <v>40</v>
      </c>
      <c r="EU256">
        <v>0</v>
      </c>
      <c r="EV256">
        <v>2.716545</v>
      </c>
    </row>
    <row r="257" spans="14:152" x14ac:dyDescent="0.4">
      <c r="N257" s="89">
        <v>93</v>
      </c>
      <c r="O257" s="2">
        <v>38</v>
      </c>
      <c r="P257" s="2">
        <v>0</v>
      </c>
      <c r="Q257" s="2">
        <v>1.511703</v>
      </c>
      <c r="Z257" s="89">
        <v>99</v>
      </c>
      <c r="AA257" s="2">
        <v>38</v>
      </c>
      <c r="AB257" s="2">
        <v>0</v>
      </c>
      <c r="AC257" s="2">
        <v>2.3897000000000002E-2</v>
      </c>
      <c r="AL257" s="89">
        <v>95</v>
      </c>
      <c r="AM257" s="2">
        <v>38</v>
      </c>
      <c r="AN257" s="2">
        <v>0</v>
      </c>
      <c r="AO257" s="2">
        <v>0.33136120000000002</v>
      </c>
      <c r="AX257" s="89">
        <v>101</v>
      </c>
      <c r="AY257" s="2">
        <v>40</v>
      </c>
      <c r="AZ257" s="2">
        <v>0</v>
      </c>
      <c r="BA257" s="2">
        <v>0.90564230000000001</v>
      </c>
      <c r="BJ257" s="89">
        <v>99</v>
      </c>
      <c r="BK257" s="2">
        <v>40</v>
      </c>
      <c r="BL257" s="2">
        <v>0</v>
      </c>
      <c r="BM257" s="2">
        <v>1.78183</v>
      </c>
      <c r="BV257" s="89">
        <v>96</v>
      </c>
      <c r="BW257" s="2">
        <v>40</v>
      </c>
      <c r="BX257" s="2">
        <v>0</v>
      </c>
      <c r="BY257" s="2">
        <v>3.3275389999999998</v>
      </c>
      <c r="CH257" s="89">
        <v>97</v>
      </c>
      <c r="CI257" s="2">
        <v>40</v>
      </c>
      <c r="CJ257" s="2">
        <v>0</v>
      </c>
      <c r="CK257" s="2">
        <v>2.2920669999999999</v>
      </c>
      <c r="CT257" s="89">
        <v>90</v>
      </c>
      <c r="CU257" s="2">
        <v>40</v>
      </c>
      <c r="CV257" s="2">
        <v>1</v>
      </c>
      <c r="CW257" s="2">
        <v>1E-3</v>
      </c>
      <c r="DF257" s="89">
        <v>101</v>
      </c>
      <c r="DG257" s="2">
        <v>40</v>
      </c>
      <c r="DH257" s="2">
        <v>0</v>
      </c>
      <c r="DI257" s="2">
        <v>1.6590259999999999</v>
      </c>
      <c r="DR257" s="89">
        <v>85</v>
      </c>
      <c r="DS257" s="2">
        <v>38</v>
      </c>
      <c r="DT257" s="2">
        <v>0</v>
      </c>
      <c r="DU257" s="2">
        <v>1E-3</v>
      </c>
      <c r="ED257" s="89">
        <v>96</v>
      </c>
      <c r="EE257" s="2">
        <v>40</v>
      </c>
      <c r="EF257" s="2">
        <v>0</v>
      </c>
      <c r="EG257" s="2">
        <v>2.8053089999999998</v>
      </c>
      <c r="ES257">
        <v>96</v>
      </c>
      <c r="ET257">
        <v>40</v>
      </c>
      <c r="EU257">
        <v>0</v>
      </c>
      <c r="EV257">
        <v>2.8053089999999998</v>
      </c>
    </row>
    <row r="258" spans="14:152" x14ac:dyDescent="0.4">
      <c r="N258" s="89">
        <v>94</v>
      </c>
      <c r="O258" s="2">
        <v>38</v>
      </c>
      <c r="P258" s="2">
        <v>0</v>
      </c>
      <c r="Q258" s="2">
        <v>0.88253239999999999</v>
      </c>
      <c r="Z258" s="89">
        <v>100</v>
      </c>
      <c r="AA258" s="2">
        <v>38</v>
      </c>
      <c r="AB258" s="2">
        <v>0</v>
      </c>
      <c r="AC258" s="2">
        <v>4.9424999999999998E-3</v>
      </c>
      <c r="AL258" s="89">
        <v>96</v>
      </c>
      <c r="AM258" s="2">
        <v>38</v>
      </c>
      <c r="AN258" s="2">
        <v>0</v>
      </c>
      <c r="AO258" s="2">
        <v>0.17292360000000001</v>
      </c>
      <c r="AX258" s="89">
        <v>102</v>
      </c>
      <c r="AY258" s="2">
        <v>40</v>
      </c>
      <c r="AZ258" s="2">
        <v>0</v>
      </c>
      <c r="BA258" s="2">
        <v>0.499774</v>
      </c>
      <c r="BJ258" s="89">
        <v>100</v>
      </c>
      <c r="BK258" s="2">
        <v>40</v>
      </c>
      <c r="BL258" s="2">
        <v>0</v>
      </c>
      <c r="BM258" s="2">
        <v>1.185324</v>
      </c>
      <c r="BV258" s="89">
        <v>97</v>
      </c>
      <c r="BW258" s="2">
        <v>40</v>
      </c>
      <c r="BX258" s="2">
        <v>0</v>
      </c>
      <c r="BY258" s="2">
        <v>3.1884209999999999</v>
      </c>
      <c r="CH258" s="89">
        <v>98</v>
      </c>
      <c r="CI258" s="2">
        <v>40</v>
      </c>
      <c r="CJ258" s="2">
        <v>0</v>
      </c>
      <c r="CK258" s="2">
        <v>1.894828</v>
      </c>
      <c r="CT258" s="89">
        <v>91</v>
      </c>
      <c r="CU258" s="2">
        <v>40</v>
      </c>
      <c r="CV258" s="2">
        <v>0</v>
      </c>
      <c r="CW258" s="2">
        <v>0.97972400000000004</v>
      </c>
      <c r="DF258" s="89">
        <v>102</v>
      </c>
      <c r="DG258" s="2">
        <v>40</v>
      </c>
      <c r="DH258" s="2">
        <v>0</v>
      </c>
      <c r="DI258" s="2">
        <v>0.96782579999999996</v>
      </c>
      <c r="DR258" s="89">
        <v>86</v>
      </c>
      <c r="DS258" s="2">
        <v>38</v>
      </c>
      <c r="DT258" s="2">
        <v>0</v>
      </c>
      <c r="DU258" s="2">
        <v>0.21</v>
      </c>
      <c r="ED258" s="89">
        <v>97</v>
      </c>
      <c r="EE258" s="2">
        <v>40</v>
      </c>
      <c r="EF258" s="2">
        <v>0</v>
      </c>
      <c r="EG258" s="2">
        <v>2.8514590000000002</v>
      </c>
      <c r="ES258">
        <v>97</v>
      </c>
      <c r="ET258">
        <v>40</v>
      </c>
      <c r="EU258">
        <v>0</v>
      </c>
      <c r="EV258">
        <v>2.8514590000000002</v>
      </c>
    </row>
    <row r="259" spans="14:152" x14ac:dyDescent="0.4">
      <c r="N259" s="89">
        <v>95</v>
      </c>
      <c r="O259" s="2">
        <v>38</v>
      </c>
      <c r="P259" s="2">
        <v>0</v>
      </c>
      <c r="Q259" s="2">
        <v>0.46043909999999999</v>
      </c>
      <c r="Z259" s="89">
        <v>101</v>
      </c>
      <c r="AA259" s="2">
        <v>38</v>
      </c>
      <c r="AB259" s="2">
        <v>0</v>
      </c>
      <c r="AC259" s="2">
        <v>3.0000000000000001E-3</v>
      </c>
      <c r="AL259" s="89">
        <v>97</v>
      </c>
      <c r="AM259" s="2">
        <v>38</v>
      </c>
      <c r="AN259" s="2">
        <v>0</v>
      </c>
      <c r="AO259" s="2">
        <v>6.5268000000000007E-2</v>
      </c>
      <c r="AX259" s="89">
        <v>103</v>
      </c>
      <c r="AY259" s="2">
        <v>40</v>
      </c>
      <c r="AZ259" s="2">
        <v>0</v>
      </c>
      <c r="BA259" s="2">
        <v>0.1538234</v>
      </c>
      <c r="BJ259" s="89">
        <v>101</v>
      </c>
      <c r="BK259" s="2">
        <v>40</v>
      </c>
      <c r="BL259" s="2">
        <v>0</v>
      </c>
      <c r="BM259" s="2">
        <v>0.62886489999999995</v>
      </c>
      <c r="BV259" s="89">
        <v>98</v>
      </c>
      <c r="BW259" s="2">
        <v>40</v>
      </c>
      <c r="BX259" s="2">
        <v>0</v>
      </c>
      <c r="BY259" s="2">
        <v>3.1203729999999998</v>
      </c>
      <c r="CH259" s="89">
        <v>99</v>
      </c>
      <c r="CI259" s="2">
        <v>40</v>
      </c>
      <c r="CJ259" s="2">
        <v>0</v>
      </c>
      <c r="CK259" s="2">
        <v>1.264238</v>
      </c>
      <c r="CT259" s="89">
        <v>92</v>
      </c>
      <c r="CU259" s="2">
        <v>40</v>
      </c>
      <c r="CV259" s="2">
        <v>0</v>
      </c>
      <c r="CW259" s="2">
        <v>1.1394409999999999</v>
      </c>
      <c r="DF259" s="89">
        <v>103</v>
      </c>
      <c r="DG259" s="2">
        <v>40</v>
      </c>
      <c r="DH259" s="2">
        <v>0</v>
      </c>
      <c r="DI259" s="2">
        <v>0.46150819999999998</v>
      </c>
      <c r="DR259" s="89">
        <v>87</v>
      </c>
      <c r="DS259" s="2">
        <v>38</v>
      </c>
      <c r="DT259" s="2">
        <v>0</v>
      </c>
      <c r="DU259" s="2">
        <v>3.7999999999999999E-2</v>
      </c>
      <c r="ED259" s="89">
        <v>98</v>
      </c>
      <c r="EE259" s="2">
        <v>40</v>
      </c>
      <c r="EF259" s="2">
        <v>0</v>
      </c>
      <c r="EG259" s="2">
        <v>2.556813</v>
      </c>
      <c r="ES259">
        <v>98</v>
      </c>
      <c r="ET259">
        <v>40</v>
      </c>
      <c r="EU259">
        <v>0</v>
      </c>
      <c r="EV259">
        <v>2.556813</v>
      </c>
    </row>
    <row r="260" spans="14:152" x14ac:dyDescent="0.4">
      <c r="N260" s="89">
        <v>96</v>
      </c>
      <c r="O260" s="2">
        <v>38</v>
      </c>
      <c r="P260" s="2">
        <v>0</v>
      </c>
      <c r="Q260" s="2">
        <v>0.21849840000000001</v>
      </c>
      <c r="Z260" s="89">
        <v>102</v>
      </c>
      <c r="AA260" s="2">
        <v>38</v>
      </c>
      <c r="AB260" s="2">
        <v>0</v>
      </c>
      <c r="AC260" s="2">
        <v>1E-3</v>
      </c>
      <c r="AL260" s="89">
        <v>98</v>
      </c>
      <c r="AM260" s="2">
        <v>38</v>
      </c>
      <c r="AN260" s="2">
        <v>0</v>
      </c>
      <c r="AO260" s="2">
        <v>2.5722999999999999E-2</v>
      </c>
      <c r="AX260" s="89">
        <v>104</v>
      </c>
      <c r="AY260" s="2">
        <v>40</v>
      </c>
      <c r="AZ260" s="2">
        <v>0</v>
      </c>
      <c r="BA260" s="2">
        <v>7.8736600000000004E-2</v>
      </c>
      <c r="BJ260" s="89">
        <v>102</v>
      </c>
      <c r="BK260" s="2">
        <v>40</v>
      </c>
      <c r="BL260" s="2">
        <v>0</v>
      </c>
      <c r="BM260" s="2">
        <v>0.26519140000000002</v>
      </c>
      <c r="BV260" s="89">
        <v>99</v>
      </c>
      <c r="BW260" s="2">
        <v>40</v>
      </c>
      <c r="BX260" s="2">
        <v>0</v>
      </c>
      <c r="BY260" s="2">
        <v>2.395473</v>
      </c>
      <c r="CH260" s="89">
        <v>100</v>
      </c>
      <c r="CI260" s="2">
        <v>40</v>
      </c>
      <c r="CJ260" s="2">
        <v>0</v>
      </c>
      <c r="CK260" s="2">
        <v>0.83607909999999996</v>
      </c>
      <c r="CT260" s="89">
        <v>93</v>
      </c>
      <c r="CU260" s="2">
        <v>40</v>
      </c>
      <c r="CV260" s="2">
        <v>0</v>
      </c>
      <c r="CW260" s="2">
        <v>1.2233670000000001</v>
      </c>
      <c r="DF260" s="89">
        <v>104</v>
      </c>
      <c r="DG260" s="2">
        <v>40</v>
      </c>
      <c r="DH260" s="2">
        <v>0</v>
      </c>
      <c r="DI260" s="2">
        <v>0.2309243</v>
      </c>
      <c r="DR260" s="89">
        <v>88</v>
      </c>
      <c r="DS260" s="2">
        <v>38</v>
      </c>
      <c r="DT260" s="2">
        <v>0</v>
      </c>
      <c r="DU260" s="2">
        <v>3.2058460000000002</v>
      </c>
      <c r="ED260" s="89">
        <v>99</v>
      </c>
      <c r="EE260" s="2">
        <v>40</v>
      </c>
      <c r="EF260" s="2">
        <v>0</v>
      </c>
      <c r="EG260" s="2">
        <v>1.977509</v>
      </c>
      <c r="ES260">
        <v>99</v>
      </c>
      <c r="ET260">
        <v>40</v>
      </c>
      <c r="EU260">
        <v>0</v>
      </c>
      <c r="EV260">
        <v>1.977509</v>
      </c>
    </row>
    <row r="261" spans="14:152" x14ac:dyDescent="0.4">
      <c r="N261" s="89">
        <v>97</v>
      </c>
      <c r="O261" s="2">
        <v>38</v>
      </c>
      <c r="P261" s="2">
        <v>0</v>
      </c>
      <c r="Q261" s="2">
        <v>9.0544009999999994E-2</v>
      </c>
      <c r="Z261" s="89">
        <v>87</v>
      </c>
      <c r="AA261" s="2">
        <v>39</v>
      </c>
      <c r="AB261" s="2">
        <v>0</v>
      </c>
      <c r="AC261" s="2">
        <v>3.9528999999999996E-3</v>
      </c>
      <c r="AL261" s="89">
        <v>99</v>
      </c>
      <c r="AM261" s="2">
        <v>38</v>
      </c>
      <c r="AN261" s="2">
        <v>0</v>
      </c>
      <c r="AO261" s="2">
        <v>1.0999999999999999E-2</v>
      </c>
      <c r="AX261" s="89">
        <v>105</v>
      </c>
      <c r="AY261" s="2">
        <v>40</v>
      </c>
      <c r="AZ261" s="2">
        <v>0</v>
      </c>
      <c r="BA261" s="2">
        <v>1.9E-2</v>
      </c>
      <c r="BJ261" s="89">
        <v>103</v>
      </c>
      <c r="BK261" s="2">
        <v>40</v>
      </c>
      <c r="BL261" s="2">
        <v>0</v>
      </c>
      <c r="BM261" s="2">
        <v>0.1100078</v>
      </c>
      <c r="BV261" s="89">
        <v>100</v>
      </c>
      <c r="BW261" s="2">
        <v>40</v>
      </c>
      <c r="BX261" s="2">
        <v>0</v>
      </c>
      <c r="BY261" s="2">
        <v>1.9296150000000001</v>
      </c>
      <c r="CH261" s="89">
        <v>101</v>
      </c>
      <c r="CI261" s="2">
        <v>40</v>
      </c>
      <c r="CJ261" s="2">
        <v>0</v>
      </c>
      <c r="CK261" s="2">
        <v>0.3883683</v>
      </c>
      <c r="CT261" s="89">
        <v>94</v>
      </c>
      <c r="CU261" s="2">
        <v>40</v>
      </c>
      <c r="CV261" s="2">
        <v>0</v>
      </c>
      <c r="CW261" s="2">
        <v>1.397133</v>
      </c>
      <c r="DF261" s="89">
        <v>105</v>
      </c>
      <c r="DG261" s="2">
        <v>40</v>
      </c>
      <c r="DH261" s="2">
        <v>0</v>
      </c>
      <c r="DI261" s="2">
        <v>7.9407510000000001E-2</v>
      </c>
      <c r="DR261" s="89">
        <v>89</v>
      </c>
      <c r="DS261" s="2">
        <v>38</v>
      </c>
      <c r="DT261" s="2">
        <v>0</v>
      </c>
      <c r="DU261" s="2">
        <v>3.3868309999999999</v>
      </c>
      <c r="ED261" s="89">
        <v>100</v>
      </c>
      <c r="EE261" s="2">
        <v>40</v>
      </c>
      <c r="EF261" s="2">
        <v>0</v>
      </c>
      <c r="EG261" s="2">
        <v>1.4469959999999999</v>
      </c>
      <c r="ES261">
        <v>100</v>
      </c>
      <c r="ET261">
        <v>40</v>
      </c>
      <c r="EU261">
        <v>0</v>
      </c>
      <c r="EV261">
        <v>1.4469959999999999</v>
      </c>
    </row>
    <row r="262" spans="14:152" x14ac:dyDescent="0.4">
      <c r="N262" s="89">
        <v>98</v>
      </c>
      <c r="O262" s="2">
        <v>38</v>
      </c>
      <c r="P262" s="2">
        <v>0</v>
      </c>
      <c r="Q262" s="2">
        <v>3.8446000000000001E-2</v>
      </c>
      <c r="Z262" s="89">
        <v>87</v>
      </c>
      <c r="AA262" s="2">
        <v>39</v>
      </c>
      <c r="AB262" s="2">
        <v>1</v>
      </c>
      <c r="AC262" s="2">
        <v>3.0000000000000001E-3</v>
      </c>
      <c r="AL262" s="89">
        <v>100</v>
      </c>
      <c r="AM262" s="2">
        <v>38</v>
      </c>
      <c r="AN262" s="2">
        <v>0</v>
      </c>
      <c r="AO262" s="2">
        <v>4.0000000000000001E-3</v>
      </c>
      <c r="AX262" s="89">
        <v>106</v>
      </c>
      <c r="AY262" s="2">
        <v>40</v>
      </c>
      <c r="AZ262" s="2">
        <v>0</v>
      </c>
      <c r="BA262" s="2">
        <v>5.0000000000000001E-3</v>
      </c>
      <c r="BJ262" s="89">
        <v>104</v>
      </c>
      <c r="BK262" s="2">
        <v>40</v>
      </c>
      <c r="BL262" s="2">
        <v>0</v>
      </c>
      <c r="BM262" s="2">
        <v>4.7912200000000002E-2</v>
      </c>
      <c r="BV262" s="89">
        <v>101</v>
      </c>
      <c r="BW262" s="2">
        <v>40</v>
      </c>
      <c r="BX262" s="2">
        <v>0</v>
      </c>
      <c r="BY262" s="2">
        <v>1.1174170000000001</v>
      </c>
      <c r="CH262" s="89">
        <v>102</v>
      </c>
      <c r="CI262" s="2">
        <v>40</v>
      </c>
      <c r="CJ262" s="2">
        <v>0</v>
      </c>
      <c r="CK262" s="2">
        <v>0.19760800000000001</v>
      </c>
      <c r="CT262" s="89">
        <v>95</v>
      </c>
      <c r="CU262" s="2">
        <v>40</v>
      </c>
      <c r="CV262" s="2">
        <v>0</v>
      </c>
      <c r="CW262" s="2">
        <v>1.527013</v>
      </c>
      <c r="DF262" s="89">
        <v>106</v>
      </c>
      <c r="DG262" s="2">
        <v>40</v>
      </c>
      <c r="DH262" s="2">
        <v>0</v>
      </c>
      <c r="DI262" s="2">
        <v>3.5999999999999997E-2</v>
      </c>
      <c r="DR262" s="89">
        <v>90</v>
      </c>
      <c r="DS262" s="2">
        <v>38</v>
      </c>
      <c r="DT262" s="2">
        <v>0</v>
      </c>
      <c r="DU262" s="2">
        <v>3.5900379999999998</v>
      </c>
      <c r="ED262" s="89">
        <v>101</v>
      </c>
      <c r="EE262" s="2">
        <v>40</v>
      </c>
      <c r="EF262" s="2">
        <v>0</v>
      </c>
      <c r="EG262" s="2">
        <v>0.80322819999999995</v>
      </c>
      <c r="ES262">
        <v>101</v>
      </c>
      <c r="ET262">
        <v>40</v>
      </c>
      <c r="EU262">
        <v>0</v>
      </c>
      <c r="EV262">
        <v>0.80322819999999995</v>
      </c>
    </row>
    <row r="263" spans="14:152" x14ac:dyDescent="0.4">
      <c r="N263" s="89">
        <v>99</v>
      </c>
      <c r="O263" s="2">
        <v>38</v>
      </c>
      <c r="P263" s="2">
        <v>0</v>
      </c>
      <c r="Q263" s="2">
        <v>0.01</v>
      </c>
      <c r="Z263" s="89">
        <v>88</v>
      </c>
      <c r="AA263" s="2">
        <v>39</v>
      </c>
      <c r="AB263" s="2">
        <v>0</v>
      </c>
      <c r="AC263" s="2">
        <v>1.0999999999999999E-2</v>
      </c>
      <c r="AL263" s="89">
        <v>101</v>
      </c>
      <c r="AM263" s="2">
        <v>38</v>
      </c>
      <c r="AN263" s="2">
        <v>0</v>
      </c>
      <c r="AO263" s="2">
        <v>2E-3</v>
      </c>
      <c r="AX263" s="89">
        <v>107</v>
      </c>
      <c r="AY263" s="2">
        <v>40</v>
      </c>
      <c r="AZ263" s="2">
        <v>0</v>
      </c>
      <c r="BA263" s="2">
        <v>3.0000000000000001E-3</v>
      </c>
      <c r="BJ263" s="89">
        <v>105</v>
      </c>
      <c r="BK263" s="2">
        <v>40</v>
      </c>
      <c r="BL263" s="2">
        <v>0</v>
      </c>
      <c r="BM263" s="2">
        <v>7.0000000000000001E-3</v>
      </c>
      <c r="BV263" s="89">
        <v>102</v>
      </c>
      <c r="BW263" s="2">
        <v>40</v>
      </c>
      <c r="BX263" s="2">
        <v>0</v>
      </c>
      <c r="BY263" s="2">
        <v>0.65605840000000004</v>
      </c>
      <c r="CH263" s="89">
        <v>103</v>
      </c>
      <c r="CI263" s="2">
        <v>40</v>
      </c>
      <c r="CJ263" s="2">
        <v>0</v>
      </c>
      <c r="CK263" s="2">
        <v>6.4000000000000001E-2</v>
      </c>
      <c r="CT263" s="89">
        <v>96</v>
      </c>
      <c r="CU263" s="2">
        <v>40</v>
      </c>
      <c r="CV263" s="2">
        <v>0</v>
      </c>
      <c r="CW263" s="2">
        <v>1.5689340000000001</v>
      </c>
      <c r="DF263" s="89">
        <v>107</v>
      </c>
      <c r="DG263" s="2">
        <v>40</v>
      </c>
      <c r="DH263" s="2">
        <v>0</v>
      </c>
      <c r="DI263" s="2">
        <v>1.4E-2</v>
      </c>
      <c r="DR263" s="89">
        <v>91</v>
      </c>
      <c r="DS263" s="2">
        <v>38</v>
      </c>
      <c r="DT263" s="2">
        <v>0</v>
      </c>
      <c r="DU263" s="2">
        <v>3.5579450000000001</v>
      </c>
      <c r="ED263" s="89">
        <v>102</v>
      </c>
      <c r="EE263" s="2">
        <v>40</v>
      </c>
      <c r="EF263" s="2">
        <v>0</v>
      </c>
      <c r="EG263" s="2">
        <v>0.41131699999999999</v>
      </c>
      <c r="ES263">
        <v>102</v>
      </c>
      <c r="ET263">
        <v>40</v>
      </c>
      <c r="EU263">
        <v>0</v>
      </c>
      <c r="EV263">
        <v>0.41131699999999999</v>
      </c>
    </row>
    <row r="264" spans="14:152" x14ac:dyDescent="0.4">
      <c r="N264" s="89">
        <v>100</v>
      </c>
      <c r="O264" s="2">
        <v>38</v>
      </c>
      <c r="P264" s="2">
        <v>0</v>
      </c>
      <c r="Q264" s="2">
        <v>7.0000000000000001E-3</v>
      </c>
      <c r="Z264" s="89">
        <v>88</v>
      </c>
      <c r="AA264" s="2">
        <v>39</v>
      </c>
      <c r="AB264" s="2">
        <v>1</v>
      </c>
      <c r="AC264" s="2">
        <v>6.0000009999999996E-3</v>
      </c>
      <c r="AL264" s="89">
        <v>85</v>
      </c>
      <c r="AM264" s="2">
        <v>39</v>
      </c>
      <c r="AN264" s="2">
        <v>1</v>
      </c>
      <c r="AO264" s="2">
        <v>1E-3</v>
      </c>
      <c r="AX264" s="89">
        <v>93</v>
      </c>
      <c r="AY264" s="2">
        <v>41</v>
      </c>
      <c r="AZ264" s="2">
        <v>0</v>
      </c>
      <c r="BA264" s="2">
        <v>1E-3</v>
      </c>
      <c r="BJ264" s="89">
        <v>106</v>
      </c>
      <c r="BK264" s="2">
        <v>40</v>
      </c>
      <c r="BL264" s="2">
        <v>0</v>
      </c>
      <c r="BM264" s="2">
        <v>3.0000000000000001E-3</v>
      </c>
      <c r="BV264" s="89">
        <v>103</v>
      </c>
      <c r="BW264" s="2">
        <v>40</v>
      </c>
      <c r="BX264" s="2">
        <v>0</v>
      </c>
      <c r="BY264" s="2">
        <v>0.26067899999999999</v>
      </c>
      <c r="CH264" s="89">
        <v>104</v>
      </c>
      <c r="CI264" s="2">
        <v>40</v>
      </c>
      <c r="CJ264" s="2">
        <v>0</v>
      </c>
      <c r="CK264" s="2">
        <v>1.7000000000000001E-2</v>
      </c>
      <c r="CT264" s="89">
        <v>97</v>
      </c>
      <c r="CU264" s="2">
        <v>40</v>
      </c>
      <c r="CV264" s="2">
        <v>0</v>
      </c>
      <c r="CW264" s="2">
        <v>1.5623290000000001</v>
      </c>
      <c r="DF264" s="89">
        <v>108</v>
      </c>
      <c r="DG264" s="2">
        <v>40</v>
      </c>
      <c r="DH264" s="2">
        <v>0</v>
      </c>
      <c r="DI264" s="2">
        <v>5.0000000000000001E-3</v>
      </c>
      <c r="DR264" s="89">
        <v>92</v>
      </c>
      <c r="DS264" s="2">
        <v>38</v>
      </c>
      <c r="DT264" s="2">
        <v>0</v>
      </c>
      <c r="DU264" s="2">
        <v>3.3350740000000001</v>
      </c>
      <c r="ED264" s="89">
        <v>103</v>
      </c>
      <c r="EE264" s="2">
        <v>40</v>
      </c>
      <c r="EF264" s="2">
        <v>0</v>
      </c>
      <c r="EG264" s="2">
        <v>0.1607112</v>
      </c>
      <c r="ES264">
        <v>103</v>
      </c>
      <c r="ET264">
        <v>40</v>
      </c>
      <c r="EU264">
        <v>0</v>
      </c>
      <c r="EV264">
        <v>0.1607112</v>
      </c>
    </row>
    <row r="265" spans="14:152" x14ac:dyDescent="0.4">
      <c r="N265" s="89">
        <v>86</v>
      </c>
      <c r="O265" s="2">
        <v>39</v>
      </c>
      <c r="P265" s="2">
        <v>0</v>
      </c>
      <c r="Q265" s="2">
        <v>1.9862E-3</v>
      </c>
      <c r="Z265" s="89">
        <v>89</v>
      </c>
      <c r="AA265" s="2">
        <v>39</v>
      </c>
      <c r="AB265" s="2">
        <v>0</v>
      </c>
      <c r="AC265" s="2">
        <v>3.0647380000000002</v>
      </c>
      <c r="AL265" s="89">
        <v>86</v>
      </c>
      <c r="AM265" s="2">
        <v>39</v>
      </c>
      <c r="AN265" s="2">
        <v>0</v>
      </c>
      <c r="AO265" s="2">
        <v>3.9861999999999996E-3</v>
      </c>
      <c r="AX265" s="89">
        <v>94</v>
      </c>
      <c r="AY265" s="2">
        <v>41</v>
      </c>
      <c r="AZ265" s="2">
        <v>0</v>
      </c>
      <c r="BA265" s="2">
        <v>1.9933329999999999E-3</v>
      </c>
      <c r="BJ265" s="89">
        <v>107</v>
      </c>
      <c r="BK265" s="2">
        <v>40</v>
      </c>
      <c r="BL265" s="2">
        <v>0</v>
      </c>
      <c r="BM265" s="2">
        <v>1E-3</v>
      </c>
      <c r="BV265" s="89">
        <v>104</v>
      </c>
      <c r="BW265" s="2">
        <v>40</v>
      </c>
      <c r="BX265" s="2">
        <v>0</v>
      </c>
      <c r="BY265" s="2">
        <v>0.1177585</v>
      </c>
      <c r="CH265" s="89">
        <v>105</v>
      </c>
      <c r="CI265" s="2">
        <v>40</v>
      </c>
      <c r="CJ265" s="2">
        <v>0</v>
      </c>
      <c r="CK265" s="2">
        <v>6.0000000000000001E-3</v>
      </c>
      <c r="CT265" s="89">
        <v>98</v>
      </c>
      <c r="CU265" s="2">
        <v>40</v>
      </c>
      <c r="CV265" s="2">
        <v>0</v>
      </c>
      <c r="CW265" s="2">
        <v>1.3574550000000001</v>
      </c>
      <c r="DF265" s="89">
        <v>94</v>
      </c>
      <c r="DG265" s="2">
        <v>41</v>
      </c>
      <c r="DH265" s="2">
        <v>0</v>
      </c>
      <c r="DI265" s="2">
        <v>9.9749999999999991E-4</v>
      </c>
      <c r="DR265" s="89">
        <v>93</v>
      </c>
      <c r="DS265" s="2">
        <v>38</v>
      </c>
      <c r="DT265" s="2">
        <v>0</v>
      </c>
      <c r="DU265" s="2">
        <v>2.7398660000000001</v>
      </c>
      <c r="ED265" s="89">
        <v>104</v>
      </c>
      <c r="EE265" s="2">
        <v>40</v>
      </c>
      <c r="EF265" s="2">
        <v>0</v>
      </c>
      <c r="EG265" s="2">
        <v>7.5648809999999997E-2</v>
      </c>
      <c r="ES265">
        <v>104</v>
      </c>
      <c r="ET265">
        <v>40</v>
      </c>
      <c r="EU265">
        <v>0</v>
      </c>
      <c r="EV265">
        <v>7.5648809999999997E-2</v>
      </c>
    </row>
    <row r="266" spans="14:152" x14ac:dyDescent="0.4">
      <c r="N266" s="89">
        <v>86</v>
      </c>
      <c r="O266" s="2">
        <v>39</v>
      </c>
      <c r="P266" s="2">
        <v>1</v>
      </c>
      <c r="Q266" s="2">
        <v>2E-3</v>
      </c>
      <c r="Z266" s="89">
        <v>89</v>
      </c>
      <c r="AA266" s="2">
        <v>39</v>
      </c>
      <c r="AB266" s="2">
        <v>1</v>
      </c>
      <c r="AC266" s="2">
        <v>1.0001318E-2</v>
      </c>
      <c r="AL266" s="89">
        <v>86</v>
      </c>
      <c r="AM266" s="2">
        <v>39</v>
      </c>
      <c r="AN266" s="2">
        <v>1</v>
      </c>
      <c r="AO266" s="2">
        <v>2E-3</v>
      </c>
      <c r="AX266" s="89">
        <v>94</v>
      </c>
      <c r="AY266" s="2">
        <v>41</v>
      </c>
      <c r="AZ266" s="2">
        <v>1</v>
      </c>
      <c r="BA266" s="2">
        <v>1.3333329999999999E-3</v>
      </c>
      <c r="BJ266" s="89">
        <v>94</v>
      </c>
      <c r="BK266" s="2">
        <v>41</v>
      </c>
      <c r="BL266" s="2">
        <v>0</v>
      </c>
      <c r="BM266" s="2">
        <v>1.1985000000000001E-2</v>
      </c>
      <c r="BV266" s="89">
        <v>105</v>
      </c>
      <c r="BW266" s="2">
        <v>40</v>
      </c>
      <c r="BX266" s="2">
        <v>0</v>
      </c>
      <c r="BY266" s="2">
        <v>3.7802500000000003E-2</v>
      </c>
      <c r="CH266" s="89">
        <v>92</v>
      </c>
      <c r="CI266" s="2">
        <v>41</v>
      </c>
      <c r="CJ266" s="2">
        <v>0</v>
      </c>
      <c r="CK266" s="2">
        <v>1E-3</v>
      </c>
      <c r="CT266" s="89">
        <v>99</v>
      </c>
      <c r="CU266" s="2">
        <v>40</v>
      </c>
      <c r="CV266" s="2">
        <v>0</v>
      </c>
      <c r="CW266" s="2">
        <v>0.99486620000000003</v>
      </c>
      <c r="DF266" s="89">
        <v>94</v>
      </c>
      <c r="DG266" s="2">
        <v>41</v>
      </c>
      <c r="DH266" s="2">
        <v>1</v>
      </c>
      <c r="DI266" s="2">
        <v>5.0000000000000001E-4</v>
      </c>
      <c r="DR266" s="89">
        <v>94</v>
      </c>
      <c r="DS266" s="2">
        <v>38</v>
      </c>
      <c r="DT266" s="2">
        <v>0</v>
      </c>
      <c r="DU266" s="2">
        <v>2.2383299999999999</v>
      </c>
      <c r="ED266" s="89">
        <v>105</v>
      </c>
      <c r="EE266" s="2">
        <v>40</v>
      </c>
      <c r="EF266" s="2">
        <v>0</v>
      </c>
      <c r="EG266" s="2">
        <v>2.5999999999999999E-2</v>
      </c>
      <c r="ES266">
        <v>105</v>
      </c>
      <c r="ET266">
        <v>40</v>
      </c>
      <c r="EU266">
        <v>0</v>
      </c>
      <c r="EV266">
        <v>2.5999999999999999E-2</v>
      </c>
    </row>
    <row r="267" spans="14:152" x14ac:dyDescent="0.4">
      <c r="N267" s="89">
        <v>87</v>
      </c>
      <c r="O267" s="2">
        <v>39</v>
      </c>
      <c r="P267" s="2">
        <v>0</v>
      </c>
      <c r="Q267" s="2">
        <v>8.8587000000000006E-3</v>
      </c>
      <c r="Z267" s="89">
        <v>90</v>
      </c>
      <c r="AA267" s="2">
        <v>39</v>
      </c>
      <c r="AB267" s="2">
        <v>0</v>
      </c>
      <c r="AC267" s="2">
        <v>3.2953709999999998</v>
      </c>
      <c r="AL267" s="89">
        <v>87</v>
      </c>
      <c r="AM267" s="2">
        <v>39</v>
      </c>
      <c r="AN267" s="2">
        <v>0</v>
      </c>
      <c r="AO267" s="2">
        <v>2.26546E-2</v>
      </c>
      <c r="AX267" s="89">
        <v>95</v>
      </c>
      <c r="AY267" s="2">
        <v>41</v>
      </c>
      <c r="AZ267" s="2">
        <v>0</v>
      </c>
      <c r="BA267" s="2">
        <v>3.1894269999999998</v>
      </c>
      <c r="BJ267" s="89">
        <v>94</v>
      </c>
      <c r="BK267" s="2">
        <v>41</v>
      </c>
      <c r="BL267" s="2">
        <v>1</v>
      </c>
      <c r="BM267" s="2">
        <v>3.0000000000000001E-3</v>
      </c>
      <c r="BV267" s="89">
        <v>106</v>
      </c>
      <c r="BW267" s="2">
        <v>40</v>
      </c>
      <c r="BX267" s="2">
        <v>0</v>
      </c>
      <c r="BY267" s="2">
        <v>1.4E-2</v>
      </c>
      <c r="CH267" s="89">
        <v>93</v>
      </c>
      <c r="CI267" s="2">
        <v>41</v>
      </c>
      <c r="CJ267" s="2">
        <v>0</v>
      </c>
      <c r="CK267" s="2">
        <v>1.2E-2</v>
      </c>
      <c r="CT267" s="89">
        <v>100</v>
      </c>
      <c r="CU267" s="2">
        <v>40</v>
      </c>
      <c r="CV267" s="2">
        <v>0</v>
      </c>
      <c r="CW267" s="2">
        <v>0.64013779999999998</v>
      </c>
      <c r="DF267" s="89">
        <v>95</v>
      </c>
      <c r="DG267" s="2">
        <v>41</v>
      </c>
      <c r="DH267" s="2">
        <v>0</v>
      </c>
      <c r="DI267" s="2">
        <v>4.0837490000000001</v>
      </c>
      <c r="DR267" s="89">
        <v>95</v>
      </c>
      <c r="DS267" s="2">
        <v>38</v>
      </c>
      <c r="DT267" s="2">
        <v>0</v>
      </c>
      <c r="DU267" s="2">
        <v>1.436501</v>
      </c>
      <c r="ED267" s="89">
        <v>106</v>
      </c>
      <c r="EE267" s="2">
        <v>40</v>
      </c>
      <c r="EF267" s="2">
        <v>0</v>
      </c>
      <c r="EG267" s="2">
        <v>6.0000000000000001E-3</v>
      </c>
      <c r="ES267">
        <v>106</v>
      </c>
      <c r="ET267">
        <v>40</v>
      </c>
      <c r="EU267">
        <v>0</v>
      </c>
      <c r="EV267">
        <v>6.0000000000000001E-3</v>
      </c>
    </row>
    <row r="268" spans="14:152" x14ac:dyDescent="0.4">
      <c r="N268" s="89">
        <v>87</v>
      </c>
      <c r="O268" s="2">
        <v>39</v>
      </c>
      <c r="P268" s="2">
        <v>1</v>
      </c>
      <c r="Q268" s="2">
        <v>9.0000010000000005E-3</v>
      </c>
      <c r="Z268" s="89">
        <v>90</v>
      </c>
      <c r="AA268" s="2">
        <v>39</v>
      </c>
      <c r="AB268" s="2">
        <v>1</v>
      </c>
      <c r="AC268" s="2">
        <v>0.1938182</v>
      </c>
      <c r="AL268" s="89">
        <v>87</v>
      </c>
      <c r="AM268" s="2">
        <v>39</v>
      </c>
      <c r="AN268" s="2">
        <v>1</v>
      </c>
      <c r="AO268" s="2">
        <v>2.1999999999999999E-2</v>
      </c>
      <c r="AX268" s="89">
        <v>95</v>
      </c>
      <c r="AY268" s="2">
        <v>41</v>
      </c>
      <c r="AZ268" s="2">
        <v>1</v>
      </c>
      <c r="BA268" s="2">
        <v>3.5156109999999997E-2</v>
      </c>
      <c r="BJ268" s="89">
        <v>95</v>
      </c>
      <c r="BK268" s="2">
        <v>41</v>
      </c>
      <c r="BL268" s="2">
        <v>0</v>
      </c>
      <c r="BM268" s="2">
        <v>2.798273</v>
      </c>
      <c r="BV268" s="89">
        <v>107</v>
      </c>
      <c r="BW268" s="2">
        <v>40</v>
      </c>
      <c r="BX268" s="2">
        <v>0</v>
      </c>
      <c r="BY268" s="2">
        <v>1E-3</v>
      </c>
      <c r="CH268" s="89">
        <v>93</v>
      </c>
      <c r="CI268" s="2">
        <v>41</v>
      </c>
      <c r="CJ268" s="2">
        <v>1</v>
      </c>
      <c r="CK268" s="2">
        <v>2E-3</v>
      </c>
      <c r="CT268" s="89">
        <v>101</v>
      </c>
      <c r="CU268" s="2">
        <v>40</v>
      </c>
      <c r="CV268" s="2">
        <v>0</v>
      </c>
      <c r="CW268" s="2">
        <v>0.39068599999999998</v>
      </c>
      <c r="DF268" s="89">
        <v>95</v>
      </c>
      <c r="DG268" s="2">
        <v>41</v>
      </c>
      <c r="DH268" s="2">
        <v>1</v>
      </c>
      <c r="DI268" s="2">
        <v>4.6414120000000003E-2</v>
      </c>
      <c r="DR268" s="89">
        <v>96</v>
      </c>
      <c r="DS268" s="2">
        <v>38</v>
      </c>
      <c r="DT268" s="2">
        <v>0</v>
      </c>
      <c r="DU268" s="2">
        <v>0.88438349999999999</v>
      </c>
      <c r="ED268" s="89">
        <v>107</v>
      </c>
      <c r="EE268" s="2">
        <v>40</v>
      </c>
      <c r="EF268" s="2">
        <v>0</v>
      </c>
      <c r="EG268" s="2">
        <v>2E-3</v>
      </c>
      <c r="ES268">
        <v>107</v>
      </c>
      <c r="ET268">
        <v>40</v>
      </c>
      <c r="EU268">
        <v>0</v>
      </c>
      <c r="EV268">
        <v>2E-3</v>
      </c>
    </row>
    <row r="269" spans="14:152" x14ac:dyDescent="0.4">
      <c r="N269" s="89">
        <v>88</v>
      </c>
      <c r="O269" s="2">
        <v>39</v>
      </c>
      <c r="P269" s="2">
        <v>0</v>
      </c>
      <c r="Q269" s="2">
        <v>4.8000000000000001E-2</v>
      </c>
      <c r="Z269" s="89">
        <v>91</v>
      </c>
      <c r="AA269" s="2">
        <v>39</v>
      </c>
      <c r="AB269" s="2">
        <v>0</v>
      </c>
      <c r="AC269" s="2">
        <v>3.4130180000000001</v>
      </c>
      <c r="AL269" s="89">
        <v>88</v>
      </c>
      <c r="AM269" s="2">
        <v>39</v>
      </c>
      <c r="AN269" s="2">
        <v>0</v>
      </c>
      <c r="AO269" s="2">
        <v>9.2999999999999999E-2</v>
      </c>
      <c r="AX269" s="89">
        <v>96</v>
      </c>
      <c r="AY269" s="2">
        <v>41</v>
      </c>
      <c r="AZ269" s="2">
        <v>0</v>
      </c>
      <c r="BA269" s="2">
        <v>8.5999999999999993E-2</v>
      </c>
      <c r="BJ269" s="89">
        <v>95</v>
      </c>
      <c r="BK269" s="2">
        <v>41</v>
      </c>
      <c r="BL269" s="2">
        <v>1</v>
      </c>
      <c r="BM269" s="2">
        <v>3.6743329999999998E-2</v>
      </c>
      <c r="BV269" s="89">
        <v>94</v>
      </c>
      <c r="BW269" s="2">
        <v>41</v>
      </c>
      <c r="BX269" s="2">
        <v>0</v>
      </c>
      <c r="BY269" s="2">
        <v>2.9949999999999998E-3</v>
      </c>
      <c r="CH269" s="89">
        <v>94</v>
      </c>
      <c r="CI269" s="2">
        <v>41</v>
      </c>
      <c r="CJ269" s="2">
        <v>0</v>
      </c>
      <c r="CK269" s="2">
        <v>2.7972E-2</v>
      </c>
      <c r="CT269" s="89">
        <v>102</v>
      </c>
      <c r="CU269" s="2">
        <v>40</v>
      </c>
      <c r="CV269" s="2">
        <v>0</v>
      </c>
      <c r="CW269" s="2">
        <v>0.21071400000000001</v>
      </c>
      <c r="DF269" s="89">
        <v>96</v>
      </c>
      <c r="DG269" s="2">
        <v>41</v>
      </c>
      <c r="DH269" s="2">
        <v>0</v>
      </c>
      <c r="DI269" s="2">
        <v>2.5999999999999999E-2</v>
      </c>
      <c r="DR269" s="89">
        <v>97</v>
      </c>
      <c r="DS269" s="2">
        <v>38</v>
      </c>
      <c r="DT269" s="2">
        <v>0</v>
      </c>
      <c r="DU269" s="2">
        <v>0.4237939</v>
      </c>
      <c r="ED269" s="89">
        <v>94</v>
      </c>
      <c r="EE269" s="2">
        <v>41</v>
      </c>
      <c r="EF269" s="2">
        <v>0</v>
      </c>
      <c r="EG269" s="2">
        <v>8.9949999999999995E-3</v>
      </c>
      <c r="ES269">
        <v>94</v>
      </c>
      <c r="ET269">
        <v>41</v>
      </c>
      <c r="EU269">
        <v>0</v>
      </c>
      <c r="EV269">
        <v>8.9949999999999995E-3</v>
      </c>
    </row>
    <row r="270" spans="14:152" x14ac:dyDescent="0.4">
      <c r="N270" s="89">
        <v>88</v>
      </c>
      <c r="O270" s="2">
        <v>39</v>
      </c>
      <c r="P270" s="2">
        <v>1</v>
      </c>
      <c r="Q270" s="2">
        <v>2.5999999999999999E-2</v>
      </c>
      <c r="Z270" s="89">
        <v>91</v>
      </c>
      <c r="AA270" s="2">
        <v>39</v>
      </c>
      <c r="AB270" s="2">
        <v>1</v>
      </c>
      <c r="AC270" s="2">
        <v>2.17523</v>
      </c>
      <c r="AL270" s="89">
        <v>88</v>
      </c>
      <c r="AM270" s="2">
        <v>39</v>
      </c>
      <c r="AN270" s="2">
        <v>1</v>
      </c>
      <c r="AO270" s="2">
        <v>5.1999999999999998E-2</v>
      </c>
      <c r="AX270" s="89">
        <v>97</v>
      </c>
      <c r="AY270" s="2">
        <v>41</v>
      </c>
      <c r="AZ270" s="2">
        <v>0</v>
      </c>
      <c r="BA270" s="2">
        <v>3.0211800000000002</v>
      </c>
      <c r="BJ270" s="89">
        <v>96</v>
      </c>
      <c r="BK270" s="2">
        <v>41</v>
      </c>
      <c r="BL270" s="2">
        <v>0</v>
      </c>
      <c r="BM270" s="2">
        <v>0.153</v>
      </c>
      <c r="BV270" s="89">
        <v>94</v>
      </c>
      <c r="BW270" s="2">
        <v>41</v>
      </c>
      <c r="BX270" s="2">
        <v>1</v>
      </c>
      <c r="BY270" s="2">
        <v>1E-3</v>
      </c>
      <c r="CH270" s="89">
        <v>94</v>
      </c>
      <c r="CI270" s="2">
        <v>41</v>
      </c>
      <c r="CJ270" s="2">
        <v>1</v>
      </c>
      <c r="CK270" s="2">
        <v>5.5999999999999999E-3</v>
      </c>
      <c r="CT270" s="89">
        <v>103</v>
      </c>
      <c r="CU270" s="2">
        <v>40</v>
      </c>
      <c r="CV270" s="2">
        <v>0</v>
      </c>
      <c r="CW270" s="2">
        <v>8.7687810000000005E-2</v>
      </c>
      <c r="DF270" s="89">
        <v>97</v>
      </c>
      <c r="DG270" s="2">
        <v>41</v>
      </c>
      <c r="DH270" s="2">
        <v>0</v>
      </c>
      <c r="DI270" s="2">
        <v>4.361237</v>
      </c>
      <c r="DR270" s="89">
        <v>98</v>
      </c>
      <c r="DS270" s="2">
        <v>38</v>
      </c>
      <c r="DT270" s="2">
        <v>0</v>
      </c>
      <c r="DU270" s="2">
        <v>0.204903</v>
      </c>
      <c r="ED270" s="89">
        <v>94</v>
      </c>
      <c r="EE270" s="2">
        <v>41</v>
      </c>
      <c r="EF270" s="2">
        <v>1</v>
      </c>
      <c r="EG270" s="2">
        <v>1E-3</v>
      </c>
      <c r="ES270">
        <v>94</v>
      </c>
      <c r="ET270">
        <v>41</v>
      </c>
      <c r="EU270">
        <v>1</v>
      </c>
      <c r="EV270">
        <v>1E-3</v>
      </c>
    </row>
    <row r="271" spans="14:152" x14ac:dyDescent="0.4">
      <c r="N271" s="89">
        <v>89</v>
      </c>
      <c r="O271" s="2">
        <v>39</v>
      </c>
      <c r="P271" s="2">
        <v>0</v>
      </c>
      <c r="Q271" s="2">
        <v>3.721406</v>
      </c>
      <c r="Z271" s="89">
        <v>92</v>
      </c>
      <c r="AA271" s="2">
        <v>39</v>
      </c>
      <c r="AB271" s="2">
        <v>0</v>
      </c>
      <c r="AC271" s="2">
        <v>3.4598629999999999</v>
      </c>
      <c r="AL271" s="89">
        <v>89</v>
      </c>
      <c r="AM271" s="2">
        <v>39</v>
      </c>
      <c r="AN271" s="2">
        <v>0</v>
      </c>
      <c r="AO271" s="2">
        <v>3.4801630000000001</v>
      </c>
      <c r="AX271" s="89">
        <v>97</v>
      </c>
      <c r="AY271" s="2">
        <v>41</v>
      </c>
      <c r="AZ271" s="2">
        <v>1</v>
      </c>
      <c r="BA271" s="2">
        <v>2.6779769999999998</v>
      </c>
      <c r="BJ271" s="89">
        <v>97</v>
      </c>
      <c r="BK271" s="2">
        <v>41</v>
      </c>
      <c r="BL271" s="2">
        <v>0</v>
      </c>
      <c r="BM271" s="2">
        <v>3.1632899999999999</v>
      </c>
      <c r="BV271" s="89">
        <v>95</v>
      </c>
      <c r="BW271" s="2">
        <v>41</v>
      </c>
      <c r="BX271" s="2">
        <v>0</v>
      </c>
      <c r="BY271" s="2">
        <v>3.132765</v>
      </c>
      <c r="CH271" s="89">
        <v>95</v>
      </c>
      <c r="CI271" s="2">
        <v>41</v>
      </c>
      <c r="CJ271" s="2">
        <v>0</v>
      </c>
      <c r="CK271" s="2">
        <v>2.627151</v>
      </c>
      <c r="CT271" s="89">
        <v>104</v>
      </c>
      <c r="CU271" s="2">
        <v>40</v>
      </c>
      <c r="CV271" s="2">
        <v>0</v>
      </c>
      <c r="CW271" s="2">
        <v>3.6912199999999999E-2</v>
      </c>
      <c r="DF271" s="89">
        <v>97</v>
      </c>
      <c r="DG271" s="2">
        <v>41</v>
      </c>
      <c r="DH271" s="2">
        <v>1</v>
      </c>
      <c r="DI271" s="2">
        <v>4.0000280000000004</v>
      </c>
      <c r="DR271" s="89">
        <v>99</v>
      </c>
      <c r="DS271" s="2">
        <v>38</v>
      </c>
      <c r="DT271" s="2">
        <v>0</v>
      </c>
      <c r="DU271" s="2">
        <v>8.9737010000000006E-2</v>
      </c>
      <c r="ED271" s="89">
        <v>95</v>
      </c>
      <c r="EE271" s="2">
        <v>41</v>
      </c>
      <c r="EF271" s="2">
        <v>0</v>
      </c>
      <c r="EG271" s="2">
        <v>2.7537410000000002</v>
      </c>
      <c r="ES271">
        <v>95</v>
      </c>
      <c r="ET271">
        <v>41</v>
      </c>
      <c r="EU271">
        <v>0</v>
      </c>
      <c r="EV271">
        <v>2.7537410000000002</v>
      </c>
    </row>
    <row r="272" spans="14:152" x14ac:dyDescent="0.4">
      <c r="N272" s="89">
        <v>89</v>
      </c>
      <c r="O272" s="2">
        <v>39</v>
      </c>
      <c r="P272" s="2">
        <v>1</v>
      </c>
      <c r="Q272" s="2">
        <v>0.1954938</v>
      </c>
      <c r="Z272" s="89">
        <v>93</v>
      </c>
      <c r="AA272" s="2">
        <v>39</v>
      </c>
      <c r="AB272" s="2">
        <v>0</v>
      </c>
      <c r="AC272" s="2">
        <v>3.222531</v>
      </c>
      <c r="AL272" s="89">
        <v>89</v>
      </c>
      <c r="AM272" s="2">
        <v>39</v>
      </c>
      <c r="AN272" s="2">
        <v>1</v>
      </c>
      <c r="AO272" s="2">
        <v>0.27600419999999998</v>
      </c>
      <c r="AX272" s="89">
        <v>98</v>
      </c>
      <c r="AY272" s="2">
        <v>41</v>
      </c>
      <c r="AZ272" s="2">
        <v>0</v>
      </c>
      <c r="BA272" s="2">
        <v>2.4232480000000001</v>
      </c>
      <c r="BJ272" s="89">
        <v>97</v>
      </c>
      <c r="BK272" s="2">
        <v>41</v>
      </c>
      <c r="BL272" s="2">
        <v>1</v>
      </c>
      <c r="BM272" s="2">
        <v>2.6344080000000001</v>
      </c>
      <c r="BV272" s="89">
        <v>95</v>
      </c>
      <c r="BW272" s="2">
        <v>41</v>
      </c>
      <c r="BX272" s="2">
        <v>1</v>
      </c>
      <c r="BY272" s="2">
        <v>3.4604049999999997E-2</v>
      </c>
      <c r="CH272" s="89">
        <v>95</v>
      </c>
      <c r="CI272" s="2">
        <v>41</v>
      </c>
      <c r="CJ272" s="2">
        <v>1</v>
      </c>
      <c r="CK272" s="2">
        <v>3.4722650000000001E-2</v>
      </c>
      <c r="CT272" s="89">
        <v>105</v>
      </c>
      <c r="CU272" s="2">
        <v>40</v>
      </c>
      <c r="CV272" s="2">
        <v>0</v>
      </c>
      <c r="CW272" s="2">
        <v>6.0000000000000001E-3</v>
      </c>
      <c r="DF272" s="89">
        <v>98</v>
      </c>
      <c r="DG272" s="2">
        <v>41</v>
      </c>
      <c r="DH272" s="2">
        <v>0</v>
      </c>
      <c r="DI272" s="2">
        <v>4.1373600000000001</v>
      </c>
      <c r="DR272" s="89">
        <v>100</v>
      </c>
      <c r="DS272" s="2">
        <v>38</v>
      </c>
      <c r="DT272" s="2">
        <v>0</v>
      </c>
      <c r="DU272" s="2">
        <v>2.58275E-2</v>
      </c>
      <c r="ED272" s="89">
        <v>95</v>
      </c>
      <c r="EE272" s="2">
        <v>41</v>
      </c>
      <c r="EF272" s="2">
        <v>1</v>
      </c>
      <c r="EG272" s="2">
        <v>3.2188689999999999E-2</v>
      </c>
      <c r="ES272">
        <v>95</v>
      </c>
      <c r="ET272">
        <v>41</v>
      </c>
      <c r="EU272">
        <v>1</v>
      </c>
      <c r="EV272">
        <v>3.2188689999999999E-2</v>
      </c>
    </row>
    <row r="273" spans="14:152" x14ac:dyDescent="0.4">
      <c r="N273" s="89">
        <v>90</v>
      </c>
      <c r="O273" s="2">
        <v>39</v>
      </c>
      <c r="P273" s="2">
        <v>0</v>
      </c>
      <c r="Q273" s="2">
        <v>3.8576540000000001</v>
      </c>
      <c r="Z273" s="89">
        <v>93</v>
      </c>
      <c r="AA273" s="2">
        <v>39</v>
      </c>
      <c r="AB273" s="2">
        <v>1</v>
      </c>
      <c r="AC273" s="2">
        <v>1.638703</v>
      </c>
      <c r="AL273" s="89">
        <v>90</v>
      </c>
      <c r="AM273" s="2">
        <v>39</v>
      </c>
      <c r="AN273" s="2">
        <v>0</v>
      </c>
      <c r="AO273" s="2">
        <v>3.5647820000000001</v>
      </c>
      <c r="AX273" s="89">
        <v>98</v>
      </c>
      <c r="AY273" s="2">
        <v>41</v>
      </c>
      <c r="AZ273" s="2">
        <v>1</v>
      </c>
      <c r="BA273" s="2">
        <v>0.31900000000000001</v>
      </c>
      <c r="BJ273" s="89">
        <v>98</v>
      </c>
      <c r="BK273" s="2">
        <v>41</v>
      </c>
      <c r="BL273" s="2">
        <v>0</v>
      </c>
      <c r="BM273" s="2">
        <v>2.5949689999999999</v>
      </c>
      <c r="BV273" s="89">
        <v>96</v>
      </c>
      <c r="BW273" s="2">
        <v>41</v>
      </c>
      <c r="BX273" s="2">
        <v>0</v>
      </c>
      <c r="BY273" s="2">
        <v>5.7000000000000002E-2</v>
      </c>
      <c r="CH273" s="89">
        <v>96</v>
      </c>
      <c r="CI273" s="2">
        <v>41</v>
      </c>
      <c r="CJ273" s="2">
        <v>0</v>
      </c>
      <c r="CK273" s="2">
        <v>0.29199999999999998</v>
      </c>
      <c r="CT273" s="89">
        <v>106</v>
      </c>
      <c r="CU273" s="2">
        <v>40</v>
      </c>
      <c r="CV273" s="2">
        <v>0</v>
      </c>
      <c r="CW273" s="2">
        <v>4.0000000000000001E-3</v>
      </c>
      <c r="DF273" s="89">
        <v>98</v>
      </c>
      <c r="DG273" s="2">
        <v>41</v>
      </c>
      <c r="DH273" s="2">
        <v>1</v>
      </c>
      <c r="DI273" s="2">
        <v>0.27300000000000002</v>
      </c>
      <c r="DR273" s="89">
        <v>101</v>
      </c>
      <c r="DS273" s="2">
        <v>38</v>
      </c>
      <c r="DT273" s="2">
        <v>0</v>
      </c>
      <c r="DU273" s="2">
        <v>1.0999999999999999E-2</v>
      </c>
      <c r="ED273" s="89">
        <v>96</v>
      </c>
      <c r="EE273" s="2">
        <v>41</v>
      </c>
      <c r="EF273" s="2">
        <v>0</v>
      </c>
      <c r="EG273" s="2">
        <v>0.107</v>
      </c>
      <c r="ES273">
        <v>96</v>
      </c>
      <c r="ET273">
        <v>41</v>
      </c>
      <c r="EU273">
        <v>0</v>
      </c>
      <c r="EV273">
        <v>0.107</v>
      </c>
    </row>
    <row r="274" spans="14:152" x14ac:dyDescent="0.4">
      <c r="N274" s="89">
        <v>90</v>
      </c>
      <c r="O274" s="2">
        <v>39</v>
      </c>
      <c r="P274" s="2">
        <v>1</v>
      </c>
      <c r="Q274" s="2">
        <v>0.31729570000000001</v>
      </c>
      <c r="Z274" s="89">
        <v>94</v>
      </c>
      <c r="AA274" s="2">
        <v>39</v>
      </c>
      <c r="AB274" s="2">
        <v>0</v>
      </c>
      <c r="AC274" s="2">
        <v>2.982208</v>
      </c>
      <c r="AL274" s="89">
        <v>90</v>
      </c>
      <c r="AM274" s="2">
        <v>39</v>
      </c>
      <c r="AN274" s="2">
        <v>1</v>
      </c>
      <c r="AO274" s="2">
        <v>0.40365380000000001</v>
      </c>
      <c r="AX274" s="89">
        <v>99</v>
      </c>
      <c r="AY274" s="2">
        <v>41</v>
      </c>
      <c r="AZ274" s="2">
        <v>0</v>
      </c>
      <c r="BA274" s="2">
        <v>1.9922439999999999</v>
      </c>
      <c r="BJ274" s="89">
        <v>98</v>
      </c>
      <c r="BK274" s="2">
        <v>41</v>
      </c>
      <c r="BL274" s="2">
        <v>1</v>
      </c>
      <c r="BM274" s="2">
        <v>0.626</v>
      </c>
      <c r="BV274" s="89">
        <v>97</v>
      </c>
      <c r="BW274" s="2">
        <v>41</v>
      </c>
      <c r="BX274" s="2">
        <v>0</v>
      </c>
      <c r="BY274" s="2">
        <v>3.4064209999999999</v>
      </c>
      <c r="CH274" s="89">
        <v>97</v>
      </c>
      <c r="CI274" s="2">
        <v>41</v>
      </c>
      <c r="CJ274" s="2">
        <v>0</v>
      </c>
      <c r="CK274" s="2">
        <v>2.9130669999999999</v>
      </c>
      <c r="CT274" s="89">
        <v>107</v>
      </c>
      <c r="CU274" s="2">
        <v>40</v>
      </c>
      <c r="CV274" s="2">
        <v>0</v>
      </c>
      <c r="CW274" s="2">
        <v>1E-3</v>
      </c>
      <c r="DF274" s="89">
        <v>99</v>
      </c>
      <c r="DG274" s="2">
        <v>41</v>
      </c>
      <c r="DH274" s="2">
        <v>0</v>
      </c>
      <c r="DI274" s="2">
        <v>2.7772890000000001</v>
      </c>
      <c r="DR274" s="89">
        <v>102</v>
      </c>
      <c r="DS274" s="2">
        <v>38</v>
      </c>
      <c r="DT274" s="2">
        <v>0</v>
      </c>
      <c r="DU274" s="2">
        <v>4.0000000000000001E-3</v>
      </c>
      <c r="ED274" s="89">
        <v>97</v>
      </c>
      <c r="EE274" s="2">
        <v>41</v>
      </c>
      <c r="EF274" s="2">
        <v>0</v>
      </c>
      <c r="EG274" s="2">
        <v>3.163459</v>
      </c>
      <c r="ES274">
        <v>97</v>
      </c>
      <c r="ET274">
        <v>41</v>
      </c>
      <c r="EU274">
        <v>0</v>
      </c>
      <c r="EV274">
        <v>3.163459</v>
      </c>
    </row>
    <row r="275" spans="14:152" x14ac:dyDescent="0.4">
      <c r="N275" s="89">
        <v>91</v>
      </c>
      <c r="O275" s="2">
        <v>39</v>
      </c>
      <c r="P275" s="2">
        <v>0</v>
      </c>
      <c r="Q275" s="2">
        <v>3.7057929999999999</v>
      </c>
      <c r="Z275" s="89">
        <v>95</v>
      </c>
      <c r="AA275" s="2">
        <v>39</v>
      </c>
      <c r="AB275" s="2">
        <v>0</v>
      </c>
      <c r="AC275" s="2">
        <v>2.3100399999999999</v>
      </c>
      <c r="AL275" s="89">
        <v>91</v>
      </c>
      <c r="AM275" s="2">
        <v>39</v>
      </c>
      <c r="AN275" s="2">
        <v>0</v>
      </c>
      <c r="AO275" s="2">
        <v>3.568025</v>
      </c>
      <c r="AX275" s="89">
        <v>99</v>
      </c>
      <c r="AY275" s="2">
        <v>41</v>
      </c>
      <c r="AZ275" s="2">
        <v>1</v>
      </c>
      <c r="BA275" s="2">
        <v>0.75799970000000005</v>
      </c>
      <c r="BJ275" s="89">
        <v>99</v>
      </c>
      <c r="BK275" s="2">
        <v>41</v>
      </c>
      <c r="BL275" s="2">
        <v>0</v>
      </c>
      <c r="BM275" s="2">
        <v>2.3846419999999999</v>
      </c>
      <c r="BV275" s="89">
        <v>97</v>
      </c>
      <c r="BW275" s="2">
        <v>41</v>
      </c>
      <c r="BX275" s="2">
        <v>1</v>
      </c>
      <c r="BY275" s="2">
        <v>3.0355940000000001</v>
      </c>
      <c r="CH275" s="89">
        <v>97</v>
      </c>
      <c r="CI275" s="2">
        <v>41</v>
      </c>
      <c r="CJ275" s="2">
        <v>1</v>
      </c>
      <c r="CK275" s="2">
        <v>2.1956099999999998</v>
      </c>
      <c r="CT275" s="89">
        <v>92</v>
      </c>
      <c r="CU275" s="2">
        <v>41</v>
      </c>
      <c r="CV275" s="2">
        <v>0</v>
      </c>
      <c r="CW275" s="2">
        <v>1E-3</v>
      </c>
      <c r="DF275" s="89">
        <v>99</v>
      </c>
      <c r="DG275" s="2">
        <v>41</v>
      </c>
      <c r="DH275" s="2">
        <v>1</v>
      </c>
      <c r="DI275" s="2">
        <v>1.2454499999999999</v>
      </c>
      <c r="DR275" s="89">
        <v>103</v>
      </c>
      <c r="DS275" s="2">
        <v>38</v>
      </c>
      <c r="DT275" s="2">
        <v>0</v>
      </c>
      <c r="DU275" s="2">
        <v>2E-3</v>
      </c>
      <c r="ED275" s="89">
        <v>97</v>
      </c>
      <c r="EE275" s="2">
        <v>41</v>
      </c>
      <c r="EF275" s="2">
        <v>1</v>
      </c>
      <c r="EG275" s="2">
        <v>2.7183120000000001</v>
      </c>
      <c r="ES275">
        <v>97</v>
      </c>
      <c r="ET275">
        <v>41</v>
      </c>
      <c r="EU275">
        <v>1</v>
      </c>
      <c r="EV275">
        <v>2.7183120000000001</v>
      </c>
    </row>
    <row r="276" spans="14:152" x14ac:dyDescent="0.4">
      <c r="N276" s="89">
        <v>91</v>
      </c>
      <c r="O276" s="2">
        <v>39</v>
      </c>
      <c r="P276" s="2">
        <v>1</v>
      </c>
      <c r="Q276" s="2">
        <v>2.4449779999999999</v>
      </c>
      <c r="Z276" s="89">
        <v>96</v>
      </c>
      <c r="AA276" s="2">
        <v>39</v>
      </c>
      <c r="AB276" s="2">
        <v>0</v>
      </c>
      <c r="AC276" s="2">
        <v>0.82224209999999998</v>
      </c>
      <c r="AL276" s="89">
        <v>91</v>
      </c>
      <c r="AM276" s="2">
        <v>39</v>
      </c>
      <c r="AN276" s="2">
        <v>1</v>
      </c>
      <c r="AO276" s="2">
        <v>2.418053</v>
      </c>
      <c r="AX276" s="89">
        <v>100</v>
      </c>
      <c r="AY276" s="2">
        <v>41</v>
      </c>
      <c r="AZ276" s="2">
        <v>0</v>
      </c>
      <c r="BA276" s="2">
        <v>1.8266089999999999</v>
      </c>
      <c r="BJ276" s="89">
        <v>99</v>
      </c>
      <c r="BK276" s="2">
        <v>41</v>
      </c>
      <c r="BL276" s="2">
        <v>1</v>
      </c>
      <c r="BM276" s="2">
        <v>0.74407020000000001</v>
      </c>
      <c r="BV276" s="89">
        <v>98</v>
      </c>
      <c r="BW276" s="2">
        <v>41</v>
      </c>
      <c r="BX276" s="2">
        <v>0</v>
      </c>
      <c r="BY276" s="2">
        <v>3.2833730000000001</v>
      </c>
      <c r="CH276" s="89">
        <v>98</v>
      </c>
      <c r="CI276" s="2">
        <v>41</v>
      </c>
      <c r="CJ276" s="2">
        <v>0</v>
      </c>
      <c r="CK276" s="2">
        <v>2.1428280000000002</v>
      </c>
      <c r="CT276" s="89">
        <v>93</v>
      </c>
      <c r="CU276" s="2">
        <v>41</v>
      </c>
      <c r="CV276" s="2">
        <v>0</v>
      </c>
      <c r="CW276" s="2">
        <v>4.0000000000000001E-3</v>
      </c>
      <c r="DF276" s="89">
        <v>100</v>
      </c>
      <c r="DG276" s="2">
        <v>41</v>
      </c>
      <c r="DH276" s="2">
        <v>0</v>
      </c>
      <c r="DI276" s="2">
        <v>2.9378799999999998</v>
      </c>
      <c r="DR276" s="89">
        <v>88</v>
      </c>
      <c r="DS276" s="2">
        <v>39</v>
      </c>
      <c r="DT276" s="2">
        <v>0</v>
      </c>
      <c r="DU276" s="2">
        <v>2E-3</v>
      </c>
      <c r="ED276" s="89">
        <v>98</v>
      </c>
      <c r="EE276" s="2">
        <v>41</v>
      </c>
      <c r="EF276" s="2">
        <v>0</v>
      </c>
      <c r="EG276" s="2">
        <v>2.7488130000000002</v>
      </c>
      <c r="ES276">
        <v>98</v>
      </c>
      <c r="ET276">
        <v>41</v>
      </c>
      <c r="EU276">
        <v>0</v>
      </c>
      <c r="EV276">
        <v>2.7488130000000002</v>
      </c>
    </row>
    <row r="277" spans="14:152" x14ac:dyDescent="0.4">
      <c r="N277" s="89">
        <v>92</v>
      </c>
      <c r="O277" s="2">
        <v>39</v>
      </c>
      <c r="P277" s="2">
        <v>0</v>
      </c>
      <c r="Q277" s="2">
        <v>3.7328450000000002</v>
      </c>
      <c r="Z277" s="89">
        <v>96</v>
      </c>
      <c r="AA277" s="2">
        <v>39</v>
      </c>
      <c r="AB277" s="2">
        <v>1</v>
      </c>
      <c r="AC277" s="2">
        <v>0.85572709999999996</v>
      </c>
      <c r="AL277" s="89">
        <v>92</v>
      </c>
      <c r="AM277" s="2">
        <v>39</v>
      </c>
      <c r="AN277" s="2">
        <v>0</v>
      </c>
      <c r="AO277" s="2">
        <v>3.2830879999999998</v>
      </c>
      <c r="AX277" s="89">
        <v>100</v>
      </c>
      <c r="AY277" s="2">
        <v>41</v>
      </c>
      <c r="AZ277" s="2">
        <v>1</v>
      </c>
      <c r="BA277" s="2">
        <v>0.83</v>
      </c>
      <c r="BJ277" s="89">
        <v>100</v>
      </c>
      <c r="BK277" s="2">
        <v>41</v>
      </c>
      <c r="BL277" s="2">
        <v>0</v>
      </c>
      <c r="BM277" s="2">
        <v>1.5633239999999999</v>
      </c>
      <c r="BV277" s="89">
        <v>98</v>
      </c>
      <c r="BW277" s="2">
        <v>41</v>
      </c>
      <c r="BX277" s="2">
        <v>1</v>
      </c>
      <c r="BY277" s="2">
        <v>0.40400000000000003</v>
      </c>
      <c r="CH277" s="89">
        <v>98</v>
      </c>
      <c r="CI277" s="2">
        <v>41</v>
      </c>
      <c r="CJ277" s="2">
        <v>1</v>
      </c>
      <c r="CK277" s="2">
        <v>0.78100009999999997</v>
      </c>
      <c r="CT277" s="89">
        <v>94</v>
      </c>
      <c r="CU277" s="2">
        <v>41</v>
      </c>
      <c r="CV277" s="2">
        <v>0</v>
      </c>
      <c r="CW277" s="2">
        <v>1.7995000000000001E-2</v>
      </c>
      <c r="DF277" s="89">
        <v>100</v>
      </c>
      <c r="DG277" s="2">
        <v>41</v>
      </c>
      <c r="DH277" s="2">
        <v>1</v>
      </c>
      <c r="DI277" s="2">
        <v>0.82399999999999995</v>
      </c>
      <c r="DR277" s="89">
        <v>88</v>
      </c>
      <c r="DS277" s="2">
        <v>39</v>
      </c>
      <c r="DT277" s="2">
        <v>1</v>
      </c>
      <c r="DU277" s="2">
        <v>2E-3</v>
      </c>
      <c r="ED277" s="89">
        <v>98</v>
      </c>
      <c r="EE277" s="2">
        <v>41</v>
      </c>
      <c r="EF277" s="2">
        <v>1</v>
      </c>
      <c r="EG277" s="2">
        <v>0.46100000000000002</v>
      </c>
      <c r="ES277">
        <v>98</v>
      </c>
      <c r="ET277">
        <v>41</v>
      </c>
      <c r="EU277">
        <v>1</v>
      </c>
      <c r="EV277">
        <v>0.46100000000000002</v>
      </c>
    </row>
    <row r="278" spans="14:152" x14ac:dyDescent="0.4">
      <c r="N278" s="89">
        <v>93</v>
      </c>
      <c r="O278" s="2">
        <v>39</v>
      </c>
      <c r="P278" s="2">
        <v>0</v>
      </c>
      <c r="Q278" s="2">
        <v>3.3037030000000001</v>
      </c>
      <c r="Z278" s="89">
        <v>97</v>
      </c>
      <c r="AA278" s="2">
        <v>39</v>
      </c>
      <c r="AB278" s="2">
        <v>0</v>
      </c>
      <c r="AC278" s="2">
        <v>0.26008609999999999</v>
      </c>
      <c r="AL278" s="89">
        <v>93</v>
      </c>
      <c r="AM278" s="2">
        <v>39</v>
      </c>
      <c r="AN278" s="2">
        <v>0</v>
      </c>
      <c r="AO278" s="2">
        <v>2.968032</v>
      </c>
      <c r="AX278" s="89">
        <v>101</v>
      </c>
      <c r="AY278" s="2">
        <v>41</v>
      </c>
      <c r="AZ278" s="2">
        <v>0</v>
      </c>
      <c r="BA278" s="2">
        <v>2.5106419999999998</v>
      </c>
      <c r="BJ278" s="89">
        <v>100</v>
      </c>
      <c r="BK278" s="2">
        <v>41</v>
      </c>
      <c r="BL278" s="2">
        <v>1</v>
      </c>
      <c r="BM278" s="2">
        <v>1.1859999999999999</v>
      </c>
      <c r="BV278" s="89">
        <v>99</v>
      </c>
      <c r="BW278" s="2">
        <v>41</v>
      </c>
      <c r="BX278" s="2">
        <v>0</v>
      </c>
      <c r="BY278" s="2">
        <v>2.5194969999999999</v>
      </c>
      <c r="CH278" s="89">
        <v>99</v>
      </c>
      <c r="CI278" s="2">
        <v>41</v>
      </c>
      <c r="CJ278" s="2">
        <v>0</v>
      </c>
      <c r="CK278" s="2">
        <v>2.1413859999999998</v>
      </c>
      <c r="CT278" s="89">
        <v>94</v>
      </c>
      <c r="CU278" s="2">
        <v>41</v>
      </c>
      <c r="CV278" s="2">
        <v>1</v>
      </c>
      <c r="CW278" s="2">
        <v>1E-3</v>
      </c>
      <c r="DF278" s="89">
        <v>101</v>
      </c>
      <c r="DG278" s="2">
        <v>41</v>
      </c>
      <c r="DH278" s="2">
        <v>0</v>
      </c>
      <c r="DI278" s="2">
        <v>3.311026</v>
      </c>
      <c r="DR278" s="89">
        <v>89</v>
      </c>
      <c r="DS278" s="2">
        <v>39</v>
      </c>
      <c r="DT278" s="2">
        <v>0</v>
      </c>
      <c r="DU278" s="2">
        <v>3.4028309999999999</v>
      </c>
      <c r="ED278" s="89">
        <v>99</v>
      </c>
      <c r="EE278" s="2">
        <v>41</v>
      </c>
      <c r="EF278" s="2">
        <v>0</v>
      </c>
      <c r="EG278" s="2">
        <v>2.335423</v>
      </c>
      <c r="ES278">
        <v>99</v>
      </c>
      <c r="ET278">
        <v>41</v>
      </c>
      <c r="EU278">
        <v>0</v>
      </c>
      <c r="EV278">
        <v>2.335423</v>
      </c>
    </row>
    <row r="279" spans="14:152" x14ac:dyDescent="0.4">
      <c r="N279" s="89">
        <v>93</v>
      </c>
      <c r="O279" s="2">
        <v>39</v>
      </c>
      <c r="P279" s="2">
        <v>1</v>
      </c>
      <c r="Q279" s="2">
        <v>1.8488519999999999</v>
      </c>
      <c r="Z279" s="89">
        <v>97</v>
      </c>
      <c r="AA279" s="2">
        <v>39</v>
      </c>
      <c r="AB279" s="2">
        <v>1</v>
      </c>
      <c r="AC279" s="2">
        <v>0.75785460000000004</v>
      </c>
      <c r="AL279" s="89">
        <v>93</v>
      </c>
      <c r="AM279" s="2">
        <v>39</v>
      </c>
      <c r="AN279" s="2">
        <v>1</v>
      </c>
      <c r="AO279" s="2">
        <v>1.7544090000000001</v>
      </c>
      <c r="AX279" s="89">
        <v>102</v>
      </c>
      <c r="AY279" s="2">
        <v>41</v>
      </c>
      <c r="AZ279" s="2">
        <v>0</v>
      </c>
      <c r="BA279" s="2">
        <v>2.0161730000000002</v>
      </c>
      <c r="BJ279" s="89">
        <v>101</v>
      </c>
      <c r="BK279" s="2">
        <v>41</v>
      </c>
      <c r="BL279" s="2">
        <v>0</v>
      </c>
      <c r="BM279" s="2">
        <v>2.3438650000000001</v>
      </c>
      <c r="BV279" s="89">
        <v>99</v>
      </c>
      <c r="BW279" s="2">
        <v>41</v>
      </c>
      <c r="BX279" s="2">
        <v>1</v>
      </c>
      <c r="BY279" s="2">
        <v>0.98262870000000002</v>
      </c>
      <c r="CH279" s="89">
        <v>99</v>
      </c>
      <c r="CI279" s="2">
        <v>41</v>
      </c>
      <c r="CJ279" s="2">
        <v>1</v>
      </c>
      <c r="CK279" s="2">
        <v>0.56005360000000004</v>
      </c>
      <c r="CT279" s="89">
        <v>95</v>
      </c>
      <c r="CU279" s="2">
        <v>41</v>
      </c>
      <c r="CV279" s="2">
        <v>0</v>
      </c>
      <c r="CW279" s="2">
        <v>1.594481</v>
      </c>
      <c r="DF279" s="89">
        <v>102</v>
      </c>
      <c r="DG279" s="2">
        <v>41</v>
      </c>
      <c r="DH279" s="2">
        <v>0</v>
      </c>
      <c r="DI279" s="2">
        <v>2.5178569999999998</v>
      </c>
      <c r="DR279" s="89">
        <v>89</v>
      </c>
      <c r="DS279" s="2">
        <v>39</v>
      </c>
      <c r="DT279" s="2">
        <v>1</v>
      </c>
      <c r="DU279" s="2">
        <v>1.1538680000000001E-2</v>
      </c>
      <c r="ED279" s="89">
        <v>99</v>
      </c>
      <c r="EE279" s="2">
        <v>41</v>
      </c>
      <c r="EF279" s="2">
        <v>1</v>
      </c>
      <c r="EG279" s="2">
        <v>0.820496</v>
      </c>
      <c r="ES279">
        <v>99</v>
      </c>
      <c r="ET279">
        <v>41</v>
      </c>
      <c r="EU279">
        <v>1</v>
      </c>
      <c r="EV279">
        <v>0.820496</v>
      </c>
    </row>
    <row r="280" spans="14:152" x14ac:dyDescent="0.4">
      <c r="N280" s="89">
        <v>94</v>
      </c>
      <c r="O280" s="2">
        <v>39</v>
      </c>
      <c r="P280" s="2">
        <v>0</v>
      </c>
      <c r="Q280" s="2">
        <v>2.6395330000000001</v>
      </c>
      <c r="Z280" s="89">
        <v>97</v>
      </c>
      <c r="AA280" s="2">
        <v>39</v>
      </c>
      <c r="AB280" s="2">
        <v>2</v>
      </c>
      <c r="AC280" s="2">
        <v>0.2163178</v>
      </c>
      <c r="AL280" s="89">
        <v>94</v>
      </c>
      <c r="AM280" s="2">
        <v>39</v>
      </c>
      <c r="AN280" s="2">
        <v>0</v>
      </c>
      <c r="AO280" s="2">
        <v>2.3866109999999998</v>
      </c>
      <c r="AX280" s="89">
        <v>102</v>
      </c>
      <c r="AY280" s="2">
        <v>41</v>
      </c>
      <c r="AZ280" s="2">
        <v>1</v>
      </c>
      <c r="BA280" s="2">
        <v>2.4600899999999998E-2</v>
      </c>
      <c r="BJ280" s="89">
        <v>102</v>
      </c>
      <c r="BK280" s="2">
        <v>41</v>
      </c>
      <c r="BL280" s="2">
        <v>0</v>
      </c>
      <c r="BM280" s="2">
        <v>1.528529</v>
      </c>
      <c r="BV280" s="89">
        <v>100</v>
      </c>
      <c r="BW280" s="2">
        <v>41</v>
      </c>
      <c r="BX280" s="2">
        <v>0</v>
      </c>
      <c r="BY280" s="2">
        <v>2.3816160000000002</v>
      </c>
      <c r="CH280" s="89">
        <v>100</v>
      </c>
      <c r="CI280" s="2">
        <v>41</v>
      </c>
      <c r="CJ280" s="2">
        <v>0</v>
      </c>
      <c r="CK280" s="2">
        <v>1.2380789999999999</v>
      </c>
      <c r="CT280" s="89">
        <v>95</v>
      </c>
      <c r="CU280" s="2">
        <v>41</v>
      </c>
      <c r="CV280" s="2">
        <v>1</v>
      </c>
      <c r="CW280" s="2">
        <v>2.1280469999999999E-2</v>
      </c>
      <c r="DF280" s="89">
        <v>102</v>
      </c>
      <c r="DG280" s="2">
        <v>41</v>
      </c>
      <c r="DH280" s="2">
        <v>1</v>
      </c>
      <c r="DI280" s="2">
        <v>3.9969339999999999E-2</v>
      </c>
      <c r="DR280" s="89">
        <v>90</v>
      </c>
      <c r="DS280" s="2">
        <v>39</v>
      </c>
      <c r="DT280" s="2">
        <v>0</v>
      </c>
      <c r="DU280" s="2">
        <v>3.6550379999999998</v>
      </c>
      <c r="ED280" s="89">
        <v>100</v>
      </c>
      <c r="EE280" s="2">
        <v>41</v>
      </c>
      <c r="EF280" s="2">
        <v>0</v>
      </c>
      <c r="EG280" s="2">
        <v>1.8639969999999999</v>
      </c>
      <c r="ES280">
        <v>100</v>
      </c>
      <c r="ET280">
        <v>41</v>
      </c>
      <c r="EU280">
        <v>0</v>
      </c>
      <c r="EV280">
        <v>1.8639969999999999</v>
      </c>
    </row>
    <row r="281" spans="14:152" x14ac:dyDescent="0.4">
      <c r="N281" s="89">
        <v>95</v>
      </c>
      <c r="O281" s="2">
        <v>39</v>
      </c>
      <c r="P281" s="2">
        <v>0</v>
      </c>
      <c r="Q281" s="2">
        <v>2.0864389999999999</v>
      </c>
      <c r="Z281" s="89">
        <v>98</v>
      </c>
      <c r="AA281" s="2">
        <v>39</v>
      </c>
      <c r="AB281" s="2">
        <v>0</v>
      </c>
      <c r="AC281" s="2">
        <v>0.1539073</v>
      </c>
      <c r="AL281" s="89">
        <v>95</v>
      </c>
      <c r="AM281" s="2">
        <v>39</v>
      </c>
      <c r="AN281" s="2">
        <v>0</v>
      </c>
      <c r="AO281" s="2">
        <v>1.8083610000000001</v>
      </c>
      <c r="AX281" s="89">
        <v>103</v>
      </c>
      <c r="AY281" s="2">
        <v>41</v>
      </c>
      <c r="AZ281" s="2">
        <v>0</v>
      </c>
      <c r="BA281" s="2">
        <v>1.3208230000000001</v>
      </c>
      <c r="BJ281" s="89">
        <v>102</v>
      </c>
      <c r="BK281" s="2">
        <v>41</v>
      </c>
      <c r="BL281" s="2">
        <v>1</v>
      </c>
      <c r="BM281" s="2">
        <v>2.0662070000000001E-2</v>
      </c>
      <c r="BV281" s="89">
        <v>100</v>
      </c>
      <c r="BW281" s="2">
        <v>41</v>
      </c>
      <c r="BX281" s="2">
        <v>1</v>
      </c>
      <c r="BY281" s="2">
        <v>0.96299999999999997</v>
      </c>
      <c r="CH281" s="89">
        <v>100</v>
      </c>
      <c r="CI281" s="2">
        <v>41</v>
      </c>
      <c r="CJ281" s="2">
        <v>1</v>
      </c>
      <c r="CK281" s="2">
        <v>1.1719999999999999</v>
      </c>
      <c r="CT281" s="89">
        <v>96</v>
      </c>
      <c r="CU281" s="2">
        <v>41</v>
      </c>
      <c r="CV281" s="2">
        <v>0</v>
      </c>
      <c r="CW281" s="2">
        <v>0.14499999999999999</v>
      </c>
      <c r="DF281" s="89">
        <v>103</v>
      </c>
      <c r="DG281" s="2">
        <v>41</v>
      </c>
      <c r="DH281" s="2">
        <v>0</v>
      </c>
      <c r="DI281" s="2">
        <v>1.897508</v>
      </c>
      <c r="DR281" s="89">
        <v>90</v>
      </c>
      <c r="DS281" s="2">
        <v>39</v>
      </c>
      <c r="DT281" s="2">
        <v>1</v>
      </c>
      <c r="DU281" s="2">
        <v>4.0507250000000002E-2</v>
      </c>
      <c r="ED281" s="89">
        <v>100</v>
      </c>
      <c r="EE281" s="2">
        <v>41</v>
      </c>
      <c r="EF281" s="2">
        <v>1</v>
      </c>
      <c r="EG281" s="2">
        <v>1.0940000000000001</v>
      </c>
      <c r="ES281">
        <v>100</v>
      </c>
      <c r="ET281">
        <v>41</v>
      </c>
      <c r="EU281">
        <v>1</v>
      </c>
      <c r="EV281">
        <v>1.0940000000000001</v>
      </c>
    </row>
    <row r="282" spans="14:152" x14ac:dyDescent="0.4">
      <c r="N282" s="89">
        <v>96</v>
      </c>
      <c r="O282" s="2">
        <v>39</v>
      </c>
      <c r="P282" s="2">
        <v>0</v>
      </c>
      <c r="Q282" s="2">
        <v>0.65391739999999998</v>
      </c>
      <c r="Z282" s="89">
        <v>98</v>
      </c>
      <c r="AA282" s="2">
        <v>39</v>
      </c>
      <c r="AB282" s="2">
        <v>1</v>
      </c>
      <c r="AC282" s="2">
        <v>0.42156070000000001</v>
      </c>
      <c r="AL282" s="89">
        <v>96</v>
      </c>
      <c r="AM282" s="2">
        <v>39</v>
      </c>
      <c r="AN282" s="2">
        <v>0</v>
      </c>
      <c r="AO282" s="2">
        <v>0.52913330000000003</v>
      </c>
      <c r="AX282" s="89">
        <v>104</v>
      </c>
      <c r="AY282" s="2">
        <v>41</v>
      </c>
      <c r="AZ282" s="2">
        <v>0</v>
      </c>
      <c r="BA282" s="2">
        <v>0.74856679999999998</v>
      </c>
      <c r="BJ282" s="89">
        <v>103</v>
      </c>
      <c r="BK282" s="2">
        <v>41</v>
      </c>
      <c r="BL282" s="2">
        <v>0</v>
      </c>
      <c r="BM282" s="2">
        <v>1.016008</v>
      </c>
      <c r="BV282" s="89">
        <v>101</v>
      </c>
      <c r="BW282" s="2">
        <v>41</v>
      </c>
      <c r="BX282" s="2">
        <v>0</v>
      </c>
      <c r="BY282" s="2">
        <v>2.950418</v>
      </c>
      <c r="CH282" s="89">
        <v>101</v>
      </c>
      <c r="CI282" s="2">
        <v>41</v>
      </c>
      <c r="CJ282" s="2">
        <v>0</v>
      </c>
      <c r="CK282" s="2">
        <v>1.816368</v>
      </c>
      <c r="CT282" s="89">
        <v>97</v>
      </c>
      <c r="CU282" s="2">
        <v>41</v>
      </c>
      <c r="CV282" s="2">
        <v>0</v>
      </c>
      <c r="CW282" s="2">
        <v>1.8603289999999999</v>
      </c>
      <c r="DF282" s="89">
        <v>104</v>
      </c>
      <c r="DG282" s="2">
        <v>41</v>
      </c>
      <c r="DH282" s="2">
        <v>0</v>
      </c>
      <c r="DI282" s="2">
        <v>1.2193529999999999</v>
      </c>
      <c r="DR282" s="89">
        <v>91</v>
      </c>
      <c r="DS282" s="2">
        <v>39</v>
      </c>
      <c r="DT282" s="2">
        <v>0</v>
      </c>
      <c r="DU282" s="2">
        <v>3.7699449999999999</v>
      </c>
      <c r="ED282" s="89">
        <v>101</v>
      </c>
      <c r="EE282" s="2">
        <v>41</v>
      </c>
      <c r="EF282" s="2">
        <v>0</v>
      </c>
      <c r="EG282" s="2">
        <v>2.6232280000000001</v>
      </c>
      <c r="ES282">
        <v>101</v>
      </c>
      <c r="ET282">
        <v>41</v>
      </c>
      <c r="EU282">
        <v>0</v>
      </c>
      <c r="EV282">
        <v>2.6232280000000001</v>
      </c>
    </row>
    <row r="283" spans="14:152" x14ac:dyDescent="0.4">
      <c r="N283" s="89">
        <v>96</v>
      </c>
      <c r="O283" s="2">
        <v>39</v>
      </c>
      <c r="P283" s="2">
        <v>1</v>
      </c>
      <c r="Q283" s="2">
        <v>0.71163540000000003</v>
      </c>
      <c r="Z283" s="89">
        <v>99</v>
      </c>
      <c r="AA283" s="2">
        <v>39</v>
      </c>
      <c r="AB283" s="2">
        <v>0</v>
      </c>
      <c r="AC283" s="2">
        <v>0.26493559999999999</v>
      </c>
      <c r="AL283" s="89">
        <v>96</v>
      </c>
      <c r="AM283" s="2">
        <v>39</v>
      </c>
      <c r="AN283" s="2">
        <v>1</v>
      </c>
      <c r="AO283" s="2">
        <v>0.57582949999999999</v>
      </c>
      <c r="AX283" s="89">
        <v>104</v>
      </c>
      <c r="AY283" s="2">
        <v>41</v>
      </c>
      <c r="AZ283" s="2">
        <v>1</v>
      </c>
      <c r="BA283" s="2">
        <v>1.9435819999999999E-2</v>
      </c>
      <c r="BJ283" s="89">
        <v>104</v>
      </c>
      <c r="BK283" s="2">
        <v>41</v>
      </c>
      <c r="BL283" s="2">
        <v>0</v>
      </c>
      <c r="BM283" s="2">
        <v>0.48704599999999998</v>
      </c>
      <c r="BV283" s="89">
        <v>102</v>
      </c>
      <c r="BW283" s="2">
        <v>41</v>
      </c>
      <c r="BX283" s="2">
        <v>0</v>
      </c>
      <c r="BY283" s="2">
        <v>2.235071</v>
      </c>
      <c r="CH283" s="89">
        <v>102</v>
      </c>
      <c r="CI283" s="2">
        <v>41</v>
      </c>
      <c r="CJ283" s="2">
        <v>0</v>
      </c>
      <c r="CK283" s="2">
        <v>1.2219139999999999</v>
      </c>
      <c r="CT283" s="89">
        <v>97</v>
      </c>
      <c r="CU283" s="2">
        <v>41</v>
      </c>
      <c r="CV283" s="2">
        <v>1</v>
      </c>
      <c r="CW283" s="2">
        <v>1.4889939999999999</v>
      </c>
      <c r="DF283" s="89">
        <v>104</v>
      </c>
      <c r="DG283" s="2">
        <v>41</v>
      </c>
      <c r="DH283" s="2">
        <v>1</v>
      </c>
      <c r="DI283" s="2">
        <v>1.7683279999999999E-2</v>
      </c>
      <c r="DR283" s="89">
        <v>91</v>
      </c>
      <c r="DS283" s="2">
        <v>39</v>
      </c>
      <c r="DT283" s="2">
        <v>1</v>
      </c>
      <c r="DU283" s="2">
        <v>2.2764950000000002</v>
      </c>
      <c r="ED283" s="89">
        <v>102</v>
      </c>
      <c r="EE283" s="2">
        <v>41</v>
      </c>
      <c r="EF283" s="2">
        <v>0</v>
      </c>
      <c r="EG283" s="2">
        <v>1.844044</v>
      </c>
      <c r="ES283">
        <v>102</v>
      </c>
      <c r="ET283">
        <v>41</v>
      </c>
      <c r="EU283">
        <v>0</v>
      </c>
      <c r="EV283">
        <v>1.844044</v>
      </c>
    </row>
    <row r="284" spans="14:152" x14ac:dyDescent="0.4">
      <c r="N284" s="89">
        <v>97</v>
      </c>
      <c r="O284" s="2">
        <v>39</v>
      </c>
      <c r="P284" s="2">
        <v>0</v>
      </c>
      <c r="Q284" s="2">
        <v>0.17501130000000001</v>
      </c>
      <c r="Z284" s="89">
        <v>100</v>
      </c>
      <c r="AA284" s="2">
        <v>39</v>
      </c>
      <c r="AB284" s="2">
        <v>0</v>
      </c>
      <c r="AC284" s="2">
        <v>0.1119397</v>
      </c>
      <c r="AL284" s="89">
        <v>97</v>
      </c>
      <c r="AM284" s="2">
        <v>39</v>
      </c>
      <c r="AN284" s="2">
        <v>0</v>
      </c>
      <c r="AO284" s="2">
        <v>0.14744589999999999</v>
      </c>
      <c r="AX284" s="89">
        <v>105</v>
      </c>
      <c r="AY284" s="2">
        <v>41</v>
      </c>
      <c r="AZ284" s="2">
        <v>0</v>
      </c>
      <c r="BA284" s="2">
        <v>0.38580999999999999</v>
      </c>
      <c r="BJ284" s="89">
        <v>104</v>
      </c>
      <c r="BK284" s="2">
        <v>41</v>
      </c>
      <c r="BL284" s="2">
        <v>1</v>
      </c>
      <c r="BM284" s="2">
        <v>3.9642059999999996E-3</v>
      </c>
      <c r="BV284" s="89">
        <v>102</v>
      </c>
      <c r="BW284" s="2">
        <v>41</v>
      </c>
      <c r="BX284" s="2">
        <v>1</v>
      </c>
      <c r="BY284" s="2">
        <v>3.9987349999999998E-2</v>
      </c>
      <c r="CH284" s="89">
        <v>102</v>
      </c>
      <c r="CI284" s="2">
        <v>41</v>
      </c>
      <c r="CJ284" s="2">
        <v>1</v>
      </c>
      <c r="CK284" s="2">
        <v>1.7694339999999999E-2</v>
      </c>
      <c r="CT284" s="89">
        <v>98</v>
      </c>
      <c r="CU284" s="2">
        <v>41</v>
      </c>
      <c r="CV284" s="2">
        <v>0</v>
      </c>
      <c r="CW284" s="2">
        <v>1.450455</v>
      </c>
      <c r="DF284" s="89">
        <v>105</v>
      </c>
      <c r="DG284" s="2">
        <v>41</v>
      </c>
      <c r="DH284" s="2">
        <v>0</v>
      </c>
      <c r="DI284" s="2">
        <v>0.710843</v>
      </c>
      <c r="DR284" s="89">
        <v>92</v>
      </c>
      <c r="DS284" s="2">
        <v>39</v>
      </c>
      <c r="DT284" s="2">
        <v>0</v>
      </c>
      <c r="DU284" s="2">
        <v>3.9200740000000001</v>
      </c>
      <c r="ED284" s="89">
        <v>102</v>
      </c>
      <c r="EE284" s="2">
        <v>41</v>
      </c>
      <c r="EF284" s="2">
        <v>1</v>
      </c>
      <c r="EG284" s="2">
        <v>3.2273030000000001E-2</v>
      </c>
      <c r="ES284">
        <v>102</v>
      </c>
      <c r="ET284">
        <v>41</v>
      </c>
      <c r="EU284">
        <v>1</v>
      </c>
      <c r="EV284">
        <v>3.2273030000000001E-2</v>
      </c>
    </row>
    <row r="285" spans="14:152" x14ac:dyDescent="0.4">
      <c r="N285" s="89">
        <v>97</v>
      </c>
      <c r="O285" s="2">
        <v>39</v>
      </c>
      <c r="P285" s="2">
        <v>1</v>
      </c>
      <c r="Q285" s="4">
        <v>0.55270059999999999</v>
      </c>
      <c r="Z285" s="89">
        <v>100</v>
      </c>
      <c r="AA285" s="2">
        <v>39</v>
      </c>
      <c r="AB285" s="2">
        <v>1</v>
      </c>
      <c r="AC285" s="4">
        <v>3.57E-5</v>
      </c>
      <c r="AL285" s="89">
        <v>97</v>
      </c>
      <c r="AM285" s="2">
        <v>39</v>
      </c>
      <c r="AN285" s="2">
        <v>1</v>
      </c>
      <c r="AO285" s="4">
        <v>0.46511229999999998</v>
      </c>
      <c r="AX285" s="89">
        <v>106</v>
      </c>
      <c r="AY285" s="2">
        <v>41</v>
      </c>
      <c r="AZ285" s="2">
        <v>0</v>
      </c>
      <c r="BA285" s="4">
        <v>0.16003529999999999</v>
      </c>
      <c r="BJ285" s="89">
        <v>105</v>
      </c>
      <c r="BK285" s="2">
        <v>41</v>
      </c>
      <c r="BL285" s="2">
        <v>0</v>
      </c>
      <c r="BM285" s="4">
        <v>0.21794759999999999</v>
      </c>
      <c r="BV285" s="89">
        <v>103</v>
      </c>
      <c r="BW285" s="2">
        <v>41</v>
      </c>
      <c r="BX285" s="2">
        <v>0</v>
      </c>
      <c r="BY285" s="4">
        <v>1.590679</v>
      </c>
      <c r="CH285" s="89">
        <v>103</v>
      </c>
      <c r="CI285" s="2">
        <v>41</v>
      </c>
      <c r="CJ285" s="2">
        <v>0</v>
      </c>
      <c r="CK285" s="4">
        <v>0.66300000000000003</v>
      </c>
      <c r="CT285" s="89">
        <v>98</v>
      </c>
      <c r="CU285" s="2">
        <v>41</v>
      </c>
      <c r="CV285" s="2">
        <v>1</v>
      </c>
      <c r="CW285" s="4">
        <v>0.46899999999999997</v>
      </c>
      <c r="DF285" s="89">
        <v>106</v>
      </c>
      <c r="DG285" s="2">
        <v>41</v>
      </c>
      <c r="DH285" s="2">
        <v>0</v>
      </c>
      <c r="DI285" s="4">
        <v>0.34397220000000001</v>
      </c>
      <c r="DR285" s="89">
        <v>93</v>
      </c>
      <c r="DS285" s="2">
        <v>39</v>
      </c>
      <c r="DT285" s="2">
        <v>0</v>
      </c>
      <c r="DU285" s="4">
        <v>3.8528660000000001</v>
      </c>
      <c r="ED285" s="89">
        <v>103</v>
      </c>
      <c r="EE285" s="2">
        <v>41</v>
      </c>
      <c r="EF285" s="2">
        <v>0</v>
      </c>
      <c r="EG285" s="4">
        <v>1.265711</v>
      </c>
      <c r="ES285">
        <v>103</v>
      </c>
      <c r="ET285">
        <v>41</v>
      </c>
      <c r="EU285">
        <v>0</v>
      </c>
      <c r="EV285">
        <v>1.265711</v>
      </c>
    </row>
    <row r="286" spans="14:152" x14ac:dyDescent="0.4">
      <c r="N286" s="89">
        <v>97</v>
      </c>
      <c r="O286" s="2">
        <v>39</v>
      </c>
      <c r="P286" s="2">
        <v>2</v>
      </c>
      <c r="Q286" s="2">
        <v>0.16541710000000001</v>
      </c>
      <c r="Z286" s="89">
        <v>101</v>
      </c>
      <c r="AA286" s="2">
        <v>39</v>
      </c>
      <c r="AB286" s="2">
        <v>0</v>
      </c>
      <c r="AC286" s="2">
        <v>3.1983900000000003E-2</v>
      </c>
      <c r="AL286" s="89">
        <v>97</v>
      </c>
      <c r="AM286" s="2">
        <v>39</v>
      </c>
      <c r="AN286" s="2">
        <v>2</v>
      </c>
      <c r="AO286" s="2">
        <v>0.12039999999999999</v>
      </c>
      <c r="AX286" s="89">
        <v>107</v>
      </c>
      <c r="AY286" s="2">
        <v>41</v>
      </c>
      <c r="AZ286" s="2">
        <v>0</v>
      </c>
      <c r="BA286" s="2">
        <v>6.7888710000000005E-2</v>
      </c>
      <c r="BJ286" s="89">
        <v>106</v>
      </c>
      <c r="BK286" s="2">
        <v>41</v>
      </c>
      <c r="BL286" s="2">
        <v>0</v>
      </c>
      <c r="BM286" s="2">
        <v>8.1991499999999995E-2</v>
      </c>
      <c r="BV286" s="89">
        <v>104</v>
      </c>
      <c r="BW286" s="2">
        <v>41</v>
      </c>
      <c r="BX286" s="2">
        <v>0</v>
      </c>
      <c r="BY286" s="2">
        <v>0.87957220000000003</v>
      </c>
      <c r="CH286" s="89">
        <v>104</v>
      </c>
      <c r="CI286" s="2">
        <v>41</v>
      </c>
      <c r="CJ286" s="2">
        <v>0</v>
      </c>
      <c r="CK286" s="2">
        <v>0.29417110000000002</v>
      </c>
      <c r="CT286" s="89">
        <v>99</v>
      </c>
      <c r="CU286" s="2">
        <v>41</v>
      </c>
      <c r="CV286" s="2">
        <v>0</v>
      </c>
      <c r="CW286" s="2">
        <v>1.4732350000000001</v>
      </c>
      <c r="DF286" s="89">
        <v>107</v>
      </c>
      <c r="DG286" s="2">
        <v>41</v>
      </c>
      <c r="DH286" s="2">
        <v>0</v>
      </c>
      <c r="DI286" s="2">
        <v>0.18148059999999999</v>
      </c>
      <c r="DR286" s="89">
        <v>93</v>
      </c>
      <c r="DS286" s="2">
        <v>39</v>
      </c>
      <c r="DT286" s="2">
        <v>1</v>
      </c>
      <c r="DU286" s="2">
        <v>1.5893600000000001</v>
      </c>
      <c r="ED286" s="89">
        <v>104</v>
      </c>
      <c r="EE286" s="2">
        <v>41</v>
      </c>
      <c r="EF286" s="2">
        <v>0</v>
      </c>
      <c r="EG286" s="2">
        <v>0.63226110000000002</v>
      </c>
      <c r="ES286">
        <v>104</v>
      </c>
      <c r="ET286">
        <v>41</v>
      </c>
      <c r="EU286">
        <v>0</v>
      </c>
      <c r="EV286">
        <v>0.63226110000000002</v>
      </c>
    </row>
    <row r="287" spans="14:152" x14ac:dyDescent="0.4">
      <c r="N287" s="89">
        <v>98</v>
      </c>
      <c r="O287" s="2">
        <v>39</v>
      </c>
      <c r="P287" s="2">
        <v>0</v>
      </c>
      <c r="Q287" s="2">
        <v>8.4800169999999994E-2</v>
      </c>
      <c r="Z287" s="89">
        <v>102</v>
      </c>
      <c r="AA287" s="2">
        <v>39</v>
      </c>
      <c r="AB287" s="2">
        <v>0</v>
      </c>
      <c r="AC287" s="2">
        <v>9.4725009999999995E-3</v>
      </c>
      <c r="AL287" s="89">
        <v>98</v>
      </c>
      <c r="AM287" s="2">
        <v>39</v>
      </c>
      <c r="AN287" s="2">
        <v>0</v>
      </c>
      <c r="AO287" s="2">
        <v>7.7243919999999994E-2</v>
      </c>
      <c r="AX287" s="89">
        <v>108</v>
      </c>
      <c r="AY287" s="2">
        <v>41</v>
      </c>
      <c r="AZ287" s="2">
        <v>0</v>
      </c>
      <c r="BA287" s="2">
        <v>1.9E-2</v>
      </c>
      <c r="BJ287" s="89">
        <v>107</v>
      </c>
      <c r="BK287" s="2">
        <v>41</v>
      </c>
      <c r="BL287" s="2">
        <v>0</v>
      </c>
      <c r="BM287" s="2">
        <v>2.3962899999999999E-2</v>
      </c>
      <c r="BV287" s="89">
        <v>104</v>
      </c>
      <c r="BW287" s="2">
        <v>41</v>
      </c>
      <c r="BX287" s="2">
        <v>1</v>
      </c>
      <c r="BY287" s="2">
        <v>1.4715550000000001E-2</v>
      </c>
      <c r="CH287" s="89">
        <v>104</v>
      </c>
      <c r="CI287" s="2">
        <v>41</v>
      </c>
      <c r="CJ287" s="2">
        <v>1</v>
      </c>
      <c r="CK287" s="2">
        <v>4.9128920000000003E-3</v>
      </c>
      <c r="CT287" s="89">
        <v>99</v>
      </c>
      <c r="CU287" s="2">
        <v>41</v>
      </c>
      <c r="CV287" s="2">
        <v>1</v>
      </c>
      <c r="CW287" s="2">
        <v>0.40676639999999997</v>
      </c>
      <c r="DF287" s="89">
        <v>108</v>
      </c>
      <c r="DG287" s="2">
        <v>41</v>
      </c>
      <c r="DH287" s="2">
        <v>0</v>
      </c>
      <c r="DI287" s="2">
        <v>7.3000010000000004E-2</v>
      </c>
      <c r="DR287" s="89">
        <v>94</v>
      </c>
      <c r="DS287" s="2">
        <v>39</v>
      </c>
      <c r="DT287" s="2">
        <v>0</v>
      </c>
      <c r="DU287" s="2">
        <v>3.8093300000000001</v>
      </c>
      <c r="ED287" s="89">
        <v>104</v>
      </c>
      <c r="EE287" s="2">
        <v>41</v>
      </c>
      <c r="EF287" s="2">
        <v>1</v>
      </c>
      <c r="EG287" s="2">
        <v>1.175172E-2</v>
      </c>
      <c r="ES287">
        <v>104</v>
      </c>
      <c r="ET287">
        <v>41</v>
      </c>
      <c r="EU287">
        <v>1</v>
      </c>
      <c r="EV287">
        <v>1.175172E-2</v>
      </c>
    </row>
    <row r="288" spans="14:152" x14ac:dyDescent="0.4">
      <c r="N288" s="89">
        <v>98</v>
      </c>
      <c r="O288" s="2">
        <v>39</v>
      </c>
      <c r="P288" s="2">
        <v>1</v>
      </c>
      <c r="Q288" s="2">
        <v>0.30964589999999997</v>
      </c>
      <c r="Z288" s="89">
        <v>102</v>
      </c>
      <c r="AA288" s="2">
        <v>39</v>
      </c>
      <c r="AB288" s="2">
        <v>1</v>
      </c>
      <c r="AC288" s="2">
        <v>4.7249999999999999E-4</v>
      </c>
      <c r="AL288" s="89">
        <v>98</v>
      </c>
      <c r="AM288" s="2">
        <v>39</v>
      </c>
      <c r="AN288" s="2">
        <v>1</v>
      </c>
      <c r="AO288" s="2">
        <v>0.21947910000000001</v>
      </c>
      <c r="AX288" s="89">
        <v>109</v>
      </c>
      <c r="AY288" s="2">
        <v>41</v>
      </c>
      <c r="AZ288" s="2">
        <v>0</v>
      </c>
      <c r="BA288" s="2">
        <v>3.0000000000000001E-3</v>
      </c>
      <c r="BJ288" s="89">
        <v>108</v>
      </c>
      <c r="BK288" s="2">
        <v>41</v>
      </c>
      <c r="BL288" s="2">
        <v>0</v>
      </c>
      <c r="BM288" s="2">
        <v>5.0000000000000001E-3</v>
      </c>
      <c r="BV288" s="89">
        <v>105</v>
      </c>
      <c r="BW288" s="2">
        <v>41</v>
      </c>
      <c r="BX288" s="2">
        <v>0</v>
      </c>
      <c r="BY288" s="2">
        <v>0.49148609999999998</v>
      </c>
      <c r="CH288" s="89">
        <v>105</v>
      </c>
      <c r="CI288" s="2">
        <v>41</v>
      </c>
      <c r="CJ288" s="2">
        <v>0</v>
      </c>
      <c r="CK288" s="2">
        <v>0.114916</v>
      </c>
      <c r="CT288" s="89">
        <v>100</v>
      </c>
      <c r="CU288" s="2">
        <v>41</v>
      </c>
      <c r="CV288" s="2">
        <v>0</v>
      </c>
      <c r="CW288" s="2">
        <v>0.80313780000000001</v>
      </c>
      <c r="DF288" s="89">
        <v>109</v>
      </c>
      <c r="DG288" s="2">
        <v>41</v>
      </c>
      <c r="DH288" s="2">
        <v>0</v>
      </c>
      <c r="DI288" s="2">
        <v>2.1999999999999999E-2</v>
      </c>
      <c r="DR288" s="89">
        <v>95</v>
      </c>
      <c r="DS288" s="2">
        <v>39</v>
      </c>
      <c r="DT288" s="2">
        <v>0</v>
      </c>
      <c r="DU288" s="2">
        <v>3.3605010000000002</v>
      </c>
      <c r="ED288" s="89">
        <v>105</v>
      </c>
      <c r="EE288" s="2">
        <v>41</v>
      </c>
      <c r="EF288" s="2">
        <v>0</v>
      </c>
      <c r="EG288" s="2">
        <v>0.34972720000000002</v>
      </c>
      <c r="ES288">
        <v>105</v>
      </c>
      <c r="ET288">
        <v>41</v>
      </c>
      <c r="EU288">
        <v>0</v>
      </c>
      <c r="EV288">
        <v>0.34972720000000002</v>
      </c>
    </row>
    <row r="289" spans="14:152" x14ac:dyDescent="0.4">
      <c r="N289" s="89">
        <v>99</v>
      </c>
      <c r="O289" s="2">
        <v>39</v>
      </c>
      <c r="P289" s="2">
        <v>0</v>
      </c>
      <c r="Q289" s="2">
        <v>0.1710546</v>
      </c>
      <c r="Z289" s="89">
        <v>103</v>
      </c>
      <c r="AA289" s="2">
        <v>39</v>
      </c>
      <c r="AB289" s="2">
        <v>0</v>
      </c>
      <c r="AC289" s="2">
        <v>3.0000000000000001E-3</v>
      </c>
      <c r="AL289" s="89">
        <v>99</v>
      </c>
      <c r="AM289" s="2">
        <v>39</v>
      </c>
      <c r="AN289" s="2">
        <v>0</v>
      </c>
      <c r="AO289" s="2">
        <v>0.13003120000000001</v>
      </c>
      <c r="AX289" s="89">
        <v>110</v>
      </c>
      <c r="AY289" s="2">
        <v>41</v>
      </c>
      <c r="AZ289" s="2">
        <v>0</v>
      </c>
      <c r="BA289" s="2">
        <v>2E-3</v>
      </c>
      <c r="BJ289" s="89">
        <v>109</v>
      </c>
      <c r="BK289" s="2">
        <v>41</v>
      </c>
      <c r="BL289" s="2">
        <v>0</v>
      </c>
      <c r="BM289" s="2">
        <v>1E-3</v>
      </c>
      <c r="BV289" s="89">
        <v>106</v>
      </c>
      <c r="BW289" s="2">
        <v>41</v>
      </c>
      <c r="BX289" s="2">
        <v>0</v>
      </c>
      <c r="BY289" s="2">
        <v>0.20682429999999999</v>
      </c>
      <c r="CH289" s="89">
        <v>106</v>
      </c>
      <c r="CI289" s="2">
        <v>41</v>
      </c>
      <c r="CJ289" s="2">
        <v>0</v>
      </c>
      <c r="CK289" s="2">
        <v>5.0999999999999997E-2</v>
      </c>
      <c r="CT289" s="89">
        <v>100</v>
      </c>
      <c r="CU289" s="2">
        <v>41</v>
      </c>
      <c r="CV289" s="2">
        <v>1</v>
      </c>
      <c r="CW289" s="2">
        <v>0.79500000000000004</v>
      </c>
      <c r="DF289" s="89">
        <v>110</v>
      </c>
      <c r="DG289" s="2">
        <v>41</v>
      </c>
      <c r="DH289" s="2">
        <v>0</v>
      </c>
      <c r="DI289" s="2">
        <v>1.2E-2</v>
      </c>
      <c r="DR289" s="89">
        <v>96</v>
      </c>
      <c r="DS289" s="2">
        <v>39</v>
      </c>
      <c r="DT289" s="2">
        <v>0</v>
      </c>
      <c r="DU289" s="2">
        <v>1.6158790000000001</v>
      </c>
      <c r="ED289" s="89">
        <v>106</v>
      </c>
      <c r="EE289" s="2">
        <v>41</v>
      </c>
      <c r="EF289" s="2">
        <v>0</v>
      </c>
      <c r="EG289" s="2">
        <v>0.12098299999999999</v>
      </c>
      <c r="ES289">
        <v>106</v>
      </c>
      <c r="ET289">
        <v>41</v>
      </c>
      <c r="EU289">
        <v>0</v>
      </c>
      <c r="EV289">
        <v>0.12098299999999999</v>
      </c>
    </row>
    <row r="290" spans="14:152" x14ac:dyDescent="0.4">
      <c r="N290" s="89">
        <v>100</v>
      </c>
      <c r="O290" s="2">
        <v>39</v>
      </c>
      <c r="P290" s="2">
        <v>0</v>
      </c>
      <c r="Q290" s="2">
        <v>7.1945410000000001E-2</v>
      </c>
      <c r="Z290" s="89">
        <v>104</v>
      </c>
      <c r="AA290" s="2">
        <v>39</v>
      </c>
      <c r="AB290" s="2">
        <v>0</v>
      </c>
      <c r="AC290" s="2">
        <v>2E-3</v>
      </c>
      <c r="AL290" s="89">
        <v>100</v>
      </c>
      <c r="AM290" s="2">
        <v>39</v>
      </c>
      <c r="AN290" s="2">
        <v>0</v>
      </c>
      <c r="AO290" s="2">
        <v>5.6992609999999999E-2</v>
      </c>
      <c r="AX290" s="89">
        <v>94</v>
      </c>
      <c r="AY290" s="2">
        <v>42</v>
      </c>
      <c r="AZ290" s="2">
        <v>0</v>
      </c>
      <c r="BA290" s="2">
        <v>2E-3</v>
      </c>
      <c r="BJ290" s="89">
        <v>94</v>
      </c>
      <c r="BK290" s="2">
        <v>42</v>
      </c>
      <c r="BL290" s="2">
        <v>0</v>
      </c>
      <c r="BM290" s="2">
        <v>1.2E-2</v>
      </c>
      <c r="BV290" s="89">
        <v>107</v>
      </c>
      <c r="BW290" s="2">
        <v>41</v>
      </c>
      <c r="BX290" s="2">
        <v>0</v>
      </c>
      <c r="BY290" s="2">
        <v>8.5962899999999995E-2</v>
      </c>
      <c r="CH290" s="89">
        <v>107</v>
      </c>
      <c r="CI290" s="2">
        <v>41</v>
      </c>
      <c r="CJ290" s="2">
        <v>0</v>
      </c>
      <c r="CK290" s="2">
        <v>8.0000000000000002E-3</v>
      </c>
      <c r="CT290" s="89">
        <v>101</v>
      </c>
      <c r="CU290" s="2">
        <v>41</v>
      </c>
      <c r="CV290" s="2">
        <v>0</v>
      </c>
      <c r="CW290" s="2">
        <v>1.4166859999999999</v>
      </c>
      <c r="DF290" s="89">
        <v>111</v>
      </c>
      <c r="DG290" s="2">
        <v>41</v>
      </c>
      <c r="DH290" s="2">
        <v>0</v>
      </c>
      <c r="DI290" s="2">
        <v>1E-3</v>
      </c>
      <c r="DR290" s="89">
        <v>96</v>
      </c>
      <c r="DS290" s="2">
        <v>39</v>
      </c>
      <c r="DT290" s="2">
        <v>1</v>
      </c>
      <c r="DU290" s="2">
        <v>1.2357590000000001</v>
      </c>
      <c r="ED290" s="89">
        <v>107</v>
      </c>
      <c r="EE290" s="2">
        <v>41</v>
      </c>
      <c r="EF290" s="2">
        <v>0</v>
      </c>
      <c r="EG290" s="2">
        <v>4.4925800000000002E-2</v>
      </c>
      <c r="ES290">
        <v>107</v>
      </c>
      <c r="ET290">
        <v>41</v>
      </c>
      <c r="EU290">
        <v>0</v>
      </c>
      <c r="EV290">
        <v>4.4925800000000002E-2</v>
      </c>
    </row>
    <row r="291" spans="14:152" x14ac:dyDescent="0.4">
      <c r="N291" s="89">
        <v>101</v>
      </c>
      <c r="O291" s="2">
        <v>39</v>
      </c>
      <c r="P291" s="2">
        <v>0</v>
      </c>
      <c r="Q291" s="2">
        <v>0.02</v>
      </c>
      <c r="Z291" s="89">
        <v>105</v>
      </c>
      <c r="AA291" s="2">
        <v>39</v>
      </c>
      <c r="AB291" s="2">
        <v>0</v>
      </c>
      <c r="AC291" s="2">
        <v>1E-3</v>
      </c>
      <c r="AL291" s="89">
        <v>100</v>
      </c>
      <c r="AM291" s="2">
        <v>39</v>
      </c>
      <c r="AN291" s="2">
        <v>1</v>
      </c>
      <c r="AO291" s="2">
        <v>2.3799999999999999E-5</v>
      </c>
      <c r="AX291" s="89">
        <v>95</v>
      </c>
      <c r="AY291" s="2">
        <v>42</v>
      </c>
      <c r="AZ291" s="2">
        <v>0</v>
      </c>
      <c r="BA291" s="2">
        <v>3.1903060000000001</v>
      </c>
      <c r="BJ291" s="89">
        <v>95</v>
      </c>
      <c r="BK291" s="2">
        <v>42</v>
      </c>
      <c r="BL291" s="2">
        <v>0</v>
      </c>
      <c r="BM291" s="2">
        <v>2.8001909999999999</v>
      </c>
      <c r="BV291" s="89">
        <v>108</v>
      </c>
      <c r="BW291" s="2">
        <v>41</v>
      </c>
      <c r="BX291" s="2">
        <v>0</v>
      </c>
      <c r="BY291" s="2">
        <v>2.9000000000000001E-2</v>
      </c>
      <c r="CH291" s="89">
        <v>109</v>
      </c>
      <c r="CI291" s="2">
        <v>41</v>
      </c>
      <c r="CJ291" s="2">
        <v>0</v>
      </c>
      <c r="CK291" s="2">
        <v>1E-3</v>
      </c>
      <c r="CT291" s="89">
        <v>102</v>
      </c>
      <c r="CU291" s="2">
        <v>41</v>
      </c>
      <c r="CV291" s="2">
        <v>0</v>
      </c>
      <c r="CW291" s="2">
        <v>0.99592239999999999</v>
      </c>
      <c r="DF291" s="89">
        <v>94</v>
      </c>
      <c r="DG291" s="2">
        <v>42</v>
      </c>
      <c r="DH291" s="2">
        <v>0</v>
      </c>
      <c r="DI291" s="2">
        <v>1E-3</v>
      </c>
      <c r="DR291" s="89">
        <v>97</v>
      </c>
      <c r="DS291" s="2">
        <v>39</v>
      </c>
      <c r="DT291" s="2">
        <v>0</v>
      </c>
      <c r="DU291" s="2">
        <v>0.65527519999999995</v>
      </c>
      <c r="ED291" s="89">
        <v>108</v>
      </c>
      <c r="EE291" s="2">
        <v>41</v>
      </c>
      <c r="EF291" s="2">
        <v>0</v>
      </c>
      <c r="EG291" s="2">
        <v>1.0999999999999999E-2</v>
      </c>
      <c r="ES291">
        <v>108</v>
      </c>
      <c r="ET291">
        <v>41</v>
      </c>
      <c r="EU291">
        <v>0</v>
      </c>
      <c r="EV291">
        <v>1.0999999999999999E-2</v>
      </c>
    </row>
    <row r="292" spans="14:152" x14ac:dyDescent="0.4">
      <c r="N292" s="89">
        <v>102</v>
      </c>
      <c r="O292" s="2">
        <v>39</v>
      </c>
      <c r="P292" s="2">
        <v>0</v>
      </c>
      <c r="Q292" s="2">
        <v>4.0000000000000001E-3</v>
      </c>
      <c r="Z292" s="89">
        <v>90</v>
      </c>
      <c r="AA292" s="2">
        <v>40</v>
      </c>
      <c r="AB292" s="2">
        <v>0</v>
      </c>
      <c r="AC292" s="2">
        <v>3.3013710000000001</v>
      </c>
      <c r="AL292" s="89">
        <v>101</v>
      </c>
      <c r="AM292" s="2">
        <v>39</v>
      </c>
      <c r="AN292" s="2">
        <v>0</v>
      </c>
      <c r="AO292" s="2">
        <v>1.49526E-2</v>
      </c>
      <c r="AX292" s="89">
        <v>96</v>
      </c>
      <c r="AY292" s="2">
        <v>42</v>
      </c>
      <c r="AZ292" s="2">
        <v>0</v>
      </c>
      <c r="BA292" s="2">
        <v>8.7999999999999995E-2</v>
      </c>
      <c r="BJ292" s="89">
        <v>96</v>
      </c>
      <c r="BK292" s="2">
        <v>42</v>
      </c>
      <c r="BL292" s="2">
        <v>0</v>
      </c>
      <c r="BM292" s="2">
        <v>0.16300000000000001</v>
      </c>
      <c r="BV292" s="89">
        <v>109</v>
      </c>
      <c r="BW292" s="2">
        <v>41</v>
      </c>
      <c r="BX292" s="2">
        <v>0</v>
      </c>
      <c r="BY292" s="2">
        <v>9.0000010000000005E-3</v>
      </c>
      <c r="CH292" s="89">
        <v>94</v>
      </c>
      <c r="CI292" s="2">
        <v>42</v>
      </c>
      <c r="CJ292" s="2">
        <v>0</v>
      </c>
      <c r="CK292" s="2">
        <v>2.8000000000000001E-2</v>
      </c>
      <c r="CT292" s="89">
        <v>102</v>
      </c>
      <c r="CU292" s="2">
        <v>41</v>
      </c>
      <c r="CV292" s="2">
        <v>1</v>
      </c>
      <c r="CW292" s="2">
        <v>1.279162E-2</v>
      </c>
      <c r="DF292" s="89">
        <v>95</v>
      </c>
      <c r="DG292" s="2">
        <v>42</v>
      </c>
      <c r="DH292" s="2">
        <v>0</v>
      </c>
      <c r="DI292" s="2">
        <v>4.0849089999999997</v>
      </c>
      <c r="DR292" s="89">
        <v>97</v>
      </c>
      <c r="DS292" s="2">
        <v>39</v>
      </c>
      <c r="DT292" s="2">
        <v>1</v>
      </c>
      <c r="DU292" s="2">
        <v>1.4542930000000001</v>
      </c>
      <c r="ED292" s="89">
        <v>109</v>
      </c>
      <c r="EE292" s="2">
        <v>41</v>
      </c>
      <c r="EF292" s="2">
        <v>0</v>
      </c>
      <c r="EG292" s="2">
        <v>1E-3</v>
      </c>
      <c r="ES292">
        <v>109</v>
      </c>
      <c r="ET292">
        <v>41</v>
      </c>
      <c r="EU292">
        <v>0</v>
      </c>
      <c r="EV292">
        <v>1E-3</v>
      </c>
    </row>
    <row r="293" spans="14:152" x14ac:dyDescent="0.4">
      <c r="N293" s="89">
        <v>104</v>
      </c>
      <c r="O293" s="2">
        <v>39</v>
      </c>
      <c r="P293" s="2">
        <v>0</v>
      </c>
      <c r="Q293" s="2">
        <v>1E-3</v>
      </c>
      <c r="Z293" s="89">
        <v>90</v>
      </c>
      <c r="AA293" s="2">
        <v>40</v>
      </c>
      <c r="AB293" s="2">
        <v>1</v>
      </c>
      <c r="AC293" s="2">
        <v>4.0000000000000001E-3</v>
      </c>
      <c r="AL293" s="89">
        <v>102</v>
      </c>
      <c r="AM293" s="2">
        <v>39</v>
      </c>
      <c r="AN293" s="2">
        <v>0</v>
      </c>
      <c r="AO293" s="2">
        <v>8.0000000000000002E-3</v>
      </c>
      <c r="AX293" s="89">
        <v>97</v>
      </c>
      <c r="AY293" s="2">
        <v>42</v>
      </c>
      <c r="AZ293" s="2">
        <v>0</v>
      </c>
      <c r="BA293" s="2">
        <v>3.0281799999999999</v>
      </c>
      <c r="BJ293" s="89">
        <v>97</v>
      </c>
      <c r="BK293" s="2">
        <v>42</v>
      </c>
      <c r="BL293" s="2">
        <v>0</v>
      </c>
      <c r="BM293" s="2">
        <v>3.19529</v>
      </c>
      <c r="BV293" s="89">
        <v>110</v>
      </c>
      <c r="BW293" s="2">
        <v>41</v>
      </c>
      <c r="BX293" s="2">
        <v>0</v>
      </c>
      <c r="BY293" s="2">
        <v>3.0000000000000001E-3</v>
      </c>
      <c r="CH293" s="89">
        <v>95</v>
      </c>
      <c r="CI293" s="2">
        <v>42</v>
      </c>
      <c r="CJ293" s="2">
        <v>0</v>
      </c>
      <c r="CK293" s="2">
        <v>2.6310190000000002</v>
      </c>
      <c r="CT293" s="89">
        <v>103</v>
      </c>
      <c r="CU293" s="2">
        <v>41</v>
      </c>
      <c r="CV293" s="2">
        <v>0</v>
      </c>
      <c r="CW293" s="2">
        <v>0.69568779999999997</v>
      </c>
      <c r="DF293" s="89">
        <v>96</v>
      </c>
      <c r="DG293" s="2">
        <v>42</v>
      </c>
      <c r="DH293" s="2">
        <v>0</v>
      </c>
      <c r="DI293" s="2">
        <v>2.5999999999999999E-2</v>
      </c>
      <c r="DR293" s="89">
        <v>97</v>
      </c>
      <c r="DS293" s="2">
        <v>39</v>
      </c>
      <c r="DT293" s="2">
        <v>2</v>
      </c>
      <c r="DU293" s="2">
        <v>0.3844572</v>
      </c>
      <c r="ED293" s="89">
        <v>110</v>
      </c>
      <c r="EE293" s="2">
        <v>41</v>
      </c>
      <c r="EF293" s="2">
        <v>0</v>
      </c>
      <c r="EG293" s="2">
        <v>1E-3</v>
      </c>
      <c r="ES293">
        <v>110</v>
      </c>
      <c r="ET293">
        <v>41</v>
      </c>
      <c r="EU293">
        <v>0</v>
      </c>
      <c r="EV293">
        <v>1E-3</v>
      </c>
    </row>
    <row r="294" spans="14:152" x14ac:dyDescent="0.4">
      <c r="N294" s="89">
        <v>88</v>
      </c>
      <c r="O294" s="2">
        <v>40</v>
      </c>
      <c r="P294" s="2">
        <v>0</v>
      </c>
      <c r="Q294" s="2">
        <v>1E-3</v>
      </c>
      <c r="Z294" s="89">
        <v>91</v>
      </c>
      <c r="AA294" s="2">
        <v>40</v>
      </c>
      <c r="AB294" s="2">
        <v>0</v>
      </c>
      <c r="AC294" s="2">
        <v>3.4880179999999998</v>
      </c>
      <c r="AL294" s="89">
        <v>88</v>
      </c>
      <c r="AM294" s="2">
        <v>40</v>
      </c>
      <c r="AN294" s="2">
        <v>0</v>
      </c>
      <c r="AO294" s="2">
        <v>4.0000000000000001E-3</v>
      </c>
      <c r="AX294" s="89">
        <v>98</v>
      </c>
      <c r="AY294" s="2">
        <v>42</v>
      </c>
      <c r="AZ294" s="2">
        <v>0</v>
      </c>
      <c r="BA294" s="2">
        <v>2.7782480000000001</v>
      </c>
      <c r="BJ294" s="89">
        <v>98</v>
      </c>
      <c r="BK294" s="2">
        <v>42</v>
      </c>
      <c r="BL294" s="2">
        <v>0</v>
      </c>
      <c r="BM294" s="2">
        <v>3.3379690000000002</v>
      </c>
      <c r="BV294" s="89">
        <v>94</v>
      </c>
      <c r="BW294" s="2">
        <v>42</v>
      </c>
      <c r="BX294" s="2">
        <v>0</v>
      </c>
      <c r="BY294" s="2">
        <v>3.0000000000000001E-3</v>
      </c>
      <c r="CH294" s="89">
        <v>96</v>
      </c>
      <c r="CI294" s="2">
        <v>42</v>
      </c>
      <c r="CJ294" s="2">
        <v>0</v>
      </c>
      <c r="CK294" s="2">
        <v>0.314</v>
      </c>
      <c r="CT294" s="89">
        <v>104</v>
      </c>
      <c r="CU294" s="2">
        <v>41</v>
      </c>
      <c r="CV294" s="2">
        <v>0</v>
      </c>
      <c r="CW294" s="2">
        <v>0.38221939999999999</v>
      </c>
      <c r="DF294" s="89">
        <v>97</v>
      </c>
      <c r="DG294" s="2">
        <v>42</v>
      </c>
      <c r="DH294" s="2">
        <v>0</v>
      </c>
      <c r="DI294" s="2">
        <v>4.3632369999999998</v>
      </c>
      <c r="DR294" s="89">
        <v>98</v>
      </c>
      <c r="DS294" s="2">
        <v>39</v>
      </c>
      <c r="DT294" s="2">
        <v>0</v>
      </c>
      <c r="DU294" s="2">
        <v>0.36221819999999999</v>
      </c>
      <c r="ED294" s="89">
        <v>94</v>
      </c>
      <c r="EE294" s="2">
        <v>42</v>
      </c>
      <c r="EF294" s="2">
        <v>0</v>
      </c>
      <c r="EG294" s="2">
        <v>9.0000010000000005E-3</v>
      </c>
      <c r="ES294">
        <v>94</v>
      </c>
      <c r="ET294">
        <v>42</v>
      </c>
      <c r="EU294">
        <v>0</v>
      </c>
      <c r="EV294">
        <v>9.0000010000000005E-3</v>
      </c>
    </row>
    <row r="295" spans="14:152" x14ac:dyDescent="0.4">
      <c r="N295" s="89">
        <v>89</v>
      </c>
      <c r="O295" s="2">
        <v>40</v>
      </c>
      <c r="P295" s="2">
        <v>0</v>
      </c>
      <c r="Q295" s="2">
        <v>9.0000010000000005E-3</v>
      </c>
      <c r="Z295" s="89">
        <v>92</v>
      </c>
      <c r="AA295" s="2">
        <v>40</v>
      </c>
      <c r="AB295" s="2">
        <v>0</v>
      </c>
      <c r="AC295" s="2">
        <v>3.6778629999999999</v>
      </c>
      <c r="AL295" s="89">
        <v>89</v>
      </c>
      <c r="AM295" s="2">
        <v>40</v>
      </c>
      <c r="AN295" s="2">
        <v>0</v>
      </c>
      <c r="AO295" s="2">
        <v>2.5000000000000001E-2</v>
      </c>
      <c r="AX295" s="89">
        <v>99</v>
      </c>
      <c r="AY295" s="2">
        <v>42</v>
      </c>
      <c r="AZ295" s="2">
        <v>0</v>
      </c>
      <c r="BA295" s="2">
        <v>2.820084</v>
      </c>
      <c r="BJ295" s="89">
        <v>99</v>
      </c>
      <c r="BK295" s="2">
        <v>42</v>
      </c>
      <c r="BL295" s="2">
        <v>0</v>
      </c>
      <c r="BM295" s="2">
        <v>3.4328310000000002</v>
      </c>
      <c r="BV295" s="89">
        <v>95</v>
      </c>
      <c r="BW295" s="2">
        <v>42</v>
      </c>
      <c r="BX295" s="2">
        <v>0</v>
      </c>
      <c r="BY295" s="2">
        <v>3.1336300000000001</v>
      </c>
      <c r="CH295" s="89">
        <v>97</v>
      </c>
      <c r="CI295" s="2">
        <v>42</v>
      </c>
      <c r="CJ295" s="2">
        <v>0</v>
      </c>
      <c r="CK295" s="2">
        <v>3.0020669999999998</v>
      </c>
      <c r="CT295" s="89">
        <v>104</v>
      </c>
      <c r="CU295" s="2">
        <v>41</v>
      </c>
      <c r="CV295" s="2">
        <v>1</v>
      </c>
      <c r="CW295" s="2">
        <v>8.7768599999999992E-3</v>
      </c>
      <c r="DF295" s="89">
        <v>98</v>
      </c>
      <c r="DG295" s="2">
        <v>42</v>
      </c>
      <c r="DH295" s="2">
        <v>0</v>
      </c>
      <c r="DI295" s="2">
        <v>4.4293589999999998</v>
      </c>
      <c r="DR295" s="89">
        <v>98</v>
      </c>
      <c r="DS295" s="2">
        <v>39</v>
      </c>
      <c r="DT295" s="2">
        <v>1</v>
      </c>
      <c r="DU295" s="2">
        <v>0.90168479999999995</v>
      </c>
      <c r="ED295" s="89">
        <v>95</v>
      </c>
      <c r="EE295" s="2">
        <v>42</v>
      </c>
      <c r="EF295" s="2">
        <v>0</v>
      </c>
      <c r="EG295" s="2">
        <v>2.7555450000000001</v>
      </c>
      <c r="ES295">
        <v>95</v>
      </c>
      <c r="ET295">
        <v>42</v>
      </c>
      <c r="EU295">
        <v>0</v>
      </c>
      <c r="EV295">
        <v>2.7555450000000001</v>
      </c>
    </row>
    <row r="296" spans="14:152" x14ac:dyDescent="0.4">
      <c r="N296" s="89">
        <v>90</v>
      </c>
      <c r="O296" s="2">
        <v>40</v>
      </c>
      <c r="P296" s="2">
        <v>0</v>
      </c>
      <c r="Q296" s="2">
        <v>3.8936540000000002</v>
      </c>
      <c r="Z296" s="89">
        <v>93</v>
      </c>
      <c r="AA296" s="2">
        <v>40</v>
      </c>
      <c r="AB296" s="2">
        <v>0</v>
      </c>
      <c r="AC296" s="2">
        <v>3.7085309999999998</v>
      </c>
      <c r="AL296" s="89">
        <v>90</v>
      </c>
      <c r="AM296" s="2">
        <v>40</v>
      </c>
      <c r="AN296" s="2">
        <v>0</v>
      </c>
      <c r="AO296" s="2">
        <v>3.6537820000000001</v>
      </c>
      <c r="AX296" s="89">
        <v>100</v>
      </c>
      <c r="AY296" s="2">
        <v>42</v>
      </c>
      <c r="AZ296" s="2">
        <v>0</v>
      </c>
      <c r="BA296" s="2">
        <v>2.942609</v>
      </c>
      <c r="BJ296" s="89">
        <v>100</v>
      </c>
      <c r="BK296" s="2">
        <v>42</v>
      </c>
      <c r="BL296" s="2">
        <v>0</v>
      </c>
      <c r="BM296" s="2">
        <v>3.4593240000000001</v>
      </c>
      <c r="BV296" s="89">
        <v>96</v>
      </c>
      <c r="BW296" s="2">
        <v>42</v>
      </c>
      <c r="BX296" s="2">
        <v>0</v>
      </c>
      <c r="BY296" s="2">
        <v>5.8000000000000003E-2</v>
      </c>
      <c r="CH296" s="89">
        <v>98</v>
      </c>
      <c r="CI296" s="2">
        <v>42</v>
      </c>
      <c r="CJ296" s="2">
        <v>0</v>
      </c>
      <c r="CK296" s="2">
        <v>3.184828</v>
      </c>
      <c r="CT296" s="89">
        <v>105</v>
      </c>
      <c r="CU296" s="2">
        <v>41</v>
      </c>
      <c r="CV296" s="2">
        <v>0</v>
      </c>
      <c r="CW296" s="2">
        <v>0.17997679999999999</v>
      </c>
      <c r="DF296" s="89">
        <v>99</v>
      </c>
      <c r="DG296" s="2">
        <v>42</v>
      </c>
      <c r="DH296" s="2">
        <v>0</v>
      </c>
      <c r="DI296" s="2">
        <v>4.0668309999999996</v>
      </c>
      <c r="DR296" s="89">
        <v>99</v>
      </c>
      <c r="DS296" s="2">
        <v>39</v>
      </c>
      <c r="DT296" s="2">
        <v>0</v>
      </c>
      <c r="DU296" s="2">
        <v>0.81693850000000001</v>
      </c>
      <c r="ED296" s="89">
        <v>96</v>
      </c>
      <c r="EE296" s="2">
        <v>42</v>
      </c>
      <c r="EF296" s="2">
        <v>0</v>
      </c>
      <c r="EG296" s="2">
        <v>0.109</v>
      </c>
      <c r="ES296">
        <v>96</v>
      </c>
      <c r="ET296">
        <v>42</v>
      </c>
      <c r="EU296">
        <v>0</v>
      </c>
      <c r="EV296">
        <v>0.109</v>
      </c>
    </row>
    <row r="297" spans="14:152" x14ac:dyDescent="0.4">
      <c r="N297" s="89">
        <v>90</v>
      </c>
      <c r="O297" s="2">
        <v>40</v>
      </c>
      <c r="P297" s="2">
        <v>1</v>
      </c>
      <c r="Q297" s="2">
        <v>2.4E-2</v>
      </c>
      <c r="Z297" s="89">
        <v>94</v>
      </c>
      <c r="AA297" s="2">
        <v>40</v>
      </c>
      <c r="AB297" s="2">
        <v>0</v>
      </c>
      <c r="AC297" s="2">
        <v>3.986208</v>
      </c>
      <c r="AL297" s="89">
        <v>90</v>
      </c>
      <c r="AM297" s="2">
        <v>40</v>
      </c>
      <c r="AN297" s="2">
        <v>1</v>
      </c>
      <c r="AO297" s="2">
        <v>7.1981009999999998E-2</v>
      </c>
      <c r="AX297" s="89">
        <v>101</v>
      </c>
      <c r="AY297" s="2">
        <v>42</v>
      </c>
      <c r="AZ297" s="2">
        <v>0</v>
      </c>
      <c r="BA297" s="2">
        <v>3.1066419999999999</v>
      </c>
      <c r="BJ297" s="89">
        <v>101</v>
      </c>
      <c r="BK297" s="2">
        <v>42</v>
      </c>
      <c r="BL297" s="2">
        <v>0</v>
      </c>
      <c r="BM297" s="2">
        <v>3.5128650000000001</v>
      </c>
      <c r="BV297" s="89">
        <v>97</v>
      </c>
      <c r="BW297" s="2">
        <v>42</v>
      </c>
      <c r="BX297" s="2">
        <v>0</v>
      </c>
      <c r="BY297" s="2">
        <v>3.4224209999999999</v>
      </c>
      <c r="CH297" s="89">
        <v>99</v>
      </c>
      <c r="CI297" s="2">
        <v>42</v>
      </c>
      <c r="CJ297" s="2">
        <v>0</v>
      </c>
      <c r="CK297" s="2">
        <v>3.1972390000000002</v>
      </c>
      <c r="CT297" s="89">
        <v>106</v>
      </c>
      <c r="CU297" s="2">
        <v>41</v>
      </c>
      <c r="CV297" s="2">
        <v>0</v>
      </c>
      <c r="CW297" s="2">
        <v>6.6976289999999994E-2</v>
      </c>
      <c r="DF297" s="89">
        <v>100</v>
      </c>
      <c r="DG297" s="2">
        <v>42</v>
      </c>
      <c r="DH297" s="2">
        <v>0</v>
      </c>
      <c r="DI297" s="2">
        <v>4.01288</v>
      </c>
      <c r="DR297" s="89">
        <v>100</v>
      </c>
      <c r="DS297" s="2">
        <v>39</v>
      </c>
      <c r="DT297" s="2">
        <v>0</v>
      </c>
      <c r="DU297" s="2">
        <v>0.35575689999999999</v>
      </c>
      <c r="ED297" s="89">
        <v>97</v>
      </c>
      <c r="EE297" s="2">
        <v>42</v>
      </c>
      <c r="EF297" s="2">
        <v>0</v>
      </c>
      <c r="EG297" s="2">
        <v>3.1864590000000002</v>
      </c>
      <c r="ES297">
        <v>97</v>
      </c>
      <c r="ET297">
        <v>42</v>
      </c>
      <c r="EU297">
        <v>0</v>
      </c>
      <c r="EV297">
        <v>3.1864590000000002</v>
      </c>
    </row>
    <row r="298" spans="14:152" x14ac:dyDescent="0.4">
      <c r="N298" s="89">
        <v>91</v>
      </c>
      <c r="O298" s="2">
        <v>40</v>
      </c>
      <c r="P298" s="2">
        <v>0</v>
      </c>
      <c r="Q298" s="2">
        <v>3.817793</v>
      </c>
      <c r="Z298" s="89">
        <v>95</v>
      </c>
      <c r="AA298" s="2">
        <v>40</v>
      </c>
      <c r="AB298" s="2">
        <v>0</v>
      </c>
      <c r="AC298" s="2">
        <v>3.82104</v>
      </c>
      <c r="AL298" s="89">
        <v>91</v>
      </c>
      <c r="AM298" s="2">
        <v>40</v>
      </c>
      <c r="AN298" s="2">
        <v>0</v>
      </c>
      <c r="AO298" s="2">
        <v>3.794025</v>
      </c>
      <c r="AX298" s="89">
        <v>102</v>
      </c>
      <c r="AY298" s="2">
        <v>42</v>
      </c>
      <c r="AZ298" s="2">
        <v>0</v>
      </c>
      <c r="BA298" s="2">
        <v>3.2437740000000002</v>
      </c>
      <c r="BJ298" s="89">
        <v>102</v>
      </c>
      <c r="BK298" s="2">
        <v>42</v>
      </c>
      <c r="BL298" s="2">
        <v>0</v>
      </c>
      <c r="BM298" s="2">
        <v>3.2411910000000002</v>
      </c>
      <c r="BV298" s="89">
        <v>98</v>
      </c>
      <c r="BW298" s="2">
        <v>42</v>
      </c>
      <c r="BX298" s="2">
        <v>0</v>
      </c>
      <c r="BY298" s="2">
        <v>3.7373729999999998</v>
      </c>
      <c r="CH298" s="89">
        <v>100</v>
      </c>
      <c r="CI298" s="2">
        <v>42</v>
      </c>
      <c r="CJ298" s="2">
        <v>0</v>
      </c>
      <c r="CK298" s="2">
        <v>3.4650789999999998</v>
      </c>
      <c r="CT298" s="89">
        <v>107</v>
      </c>
      <c r="CU298" s="2">
        <v>41</v>
      </c>
      <c r="CV298" s="2">
        <v>0</v>
      </c>
      <c r="CW298" s="2">
        <v>2.49629E-2</v>
      </c>
      <c r="DF298" s="89">
        <v>101</v>
      </c>
      <c r="DG298" s="2">
        <v>42</v>
      </c>
      <c r="DH298" s="2">
        <v>0</v>
      </c>
      <c r="DI298" s="2">
        <v>3.7960259999999999</v>
      </c>
      <c r="DR298" s="89">
        <v>100</v>
      </c>
      <c r="DS298" s="2">
        <v>39</v>
      </c>
      <c r="DT298" s="2">
        <v>1</v>
      </c>
      <c r="DU298" s="2">
        <v>1.3090000000000001E-4</v>
      </c>
      <c r="ED298" s="89">
        <v>98</v>
      </c>
      <c r="EE298" s="2">
        <v>42</v>
      </c>
      <c r="EF298" s="2">
        <v>0</v>
      </c>
      <c r="EG298" s="2">
        <v>3.2878129999999999</v>
      </c>
      <c r="ES298">
        <v>98</v>
      </c>
      <c r="ET298">
        <v>42</v>
      </c>
      <c r="EU298">
        <v>0</v>
      </c>
      <c r="EV298">
        <v>3.2878129999999999</v>
      </c>
    </row>
    <row r="299" spans="14:152" x14ac:dyDescent="0.4">
      <c r="N299" s="89">
        <v>92</v>
      </c>
      <c r="O299" s="2">
        <v>40</v>
      </c>
      <c r="P299" s="2">
        <v>0</v>
      </c>
      <c r="Q299" s="2">
        <v>4.1028450000000003</v>
      </c>
      <c r="Z299" s="89">
        <v>96</v>
      </c>
      <c r="AA299" s="2">
        <v>40</v>
      </c>
      <c r="AB299" s="2">
        <v>0</v>
      </c>
      <c r="AC299" s="2">
        <v>3.656504</v>
      </c>
      <c r="AL299" s="89">
        <v>92</v>
      </c>
      <c r="AM299" s="2">
        <v>40</v>
      </c>
      <c r="AN299" s="2">
        <v>0</v>
      </c>
      <c r="AO299" s="2">
        <v>3.8400880000000002</v>
      </c>
      <c r="AX299" s="89">
        <v>103</v>
      </c>
      <c r="AY299" s="2">
        <v>42</v>
      </c>
      <c r="AZ299" s="2">
        <v>0</v>
      </c>
      <c r="BA299" s="2">
        <v>3.0342820000000001</v>
      </c>
      <c r="BJ299" s="89">
        <v>103</v>
      </c>
      <c r="BK299" s="2">
        <v>42</v>
      </c>
      <c r="BL299" s="2">
        <v>0</v>
      </c>
      <c r="BM299" s="2">
        <v>2.7923019999999998</v>
      </c>
      <c r="BV299" s="89">
        <v>99</v>
      </c>
      <c r="BW299" s="2">
        <v>42</v>
      </c>
      <c r="BX299" s="2">
        <v>0</v>
      </c>
      <c r="BY299" s="2">
        <v>3.641473</v>
      </c>
      <c r="CH299" s="89">
        <v>101</v>
      </c>
      <c r="CI299" s="2">
        <v>42</v>
      </c>
      <c r="CJ299" s="2">
        <v>0</v>
      </c>
      <c r="CK299" s="2">
        <v>3.1863679999999999</v>
      </c>
      <c r="CT299" s="89">
        <v>108</v>
      </c>
      <c r="CU299" s="2">
        <v>41</v>
      </c>
      <c r="CV299" s="2">
        <v>0</v>
      </c>
      <c r="CW299" s="2">
        <v>4.0000000000000001E-3</v>
      </c>
      <c r="DF299" s="89">
        <v>102</v>
      </c>
      <c r="DG299" s="2">
        <v>42</v>
      </c>
      <c r="DH299" s="2">
        <v>0</v>
      </c>
      <c r="DI299" s="2">
        <v>3.4408259999999999</v>
      </c>
      <c r="DR299" s="89">
        <v>101</v>
      </c>
      <c r="DS299" s="2">
        <v>39</v>
      </c>
      <c r="DT299" s="2">
        <v>0</v>
      </c>
      <c r="DU299" s="2">
        <v>0.18695929999999999</v>
      </c>
      <c r="ED299" s="89">
        <v>99</v>
      </c>
      <c r="EE299" s="2">
        <v>42</v>
      </c>
      <c r="EF299" s="2">
        <v>0</v>
      </c>
      <c r="EG299" s="2">
        <v>3.384509</v>
      </c>
      <c r="ES299">
        <v>99</v>
      </c>
      <c r="ET299">
        <v>42</v>
      </c>
      <c r="EU299">
        <v>0</v>
      </c>
      <c r="EV299">
        <v>3.384509</v>
      </c>
    </row>
    <row r="300" spans="14:152" x14ac:dyDescent="0.4">
      <c r="N300" s="89">
        <v>93</v>
      </c>
      <c r="O300" s="2">
        <v>40</v>
      </c>
      <c r="P300" s="2">
        <v>0</v>
      </c>
      <c r="Q300" s="2">
        <v>4.0617029999999996</v>
      </c>
      <c r="Z300" s="89">
        <v>97</v>
      </c>
      <c r="AA300" s="2">
        <v>40</v>
      </c>
      <c r="AB300" s="2">
        <v>0</v>
      </c>
      <c r="AC300" s="2">
        <v>2.9904790000000001</v>
      </c>
      <c r="AL300" s="89">
        <v>93</v>
      </c>
      <c r="AM300" s="2">
        <v>40</v>
      </c>
      <c r="AN300" s="2">
        <v>0</v>
      </c>
      <c r="AO300" s="2">
        <v>3.9650319999999999</v>
      </c>
      <c r="AX300" s="89">
        <v>104</v>
      </c>
      <c r="AY300" s="2">
        <v>42</v>
      </c>
      <c r="AZ300" s="2">
        <v>0</v>
      </c>
      <c r="BA300" s="2">
        <v>2.7991030000000001</v>
      </c>
      <c r="BJ300" s="89">
        <v>104</v>
      </c>
      <c r="BK300" s="2">
        <v>42</v>
      </c>
      <c r="BL300" s="2">
        <v>0</v>
      </c>
      <c r="BM300" s="2">
        <v>2.228421</v>
      </c>
      <c r="BV300" s="89">
        <v>100</v>
      </c>
      <c r="BW300" s="2">
        <v>42</v>
      </c>
      <c r="BX300" s="2">
        <v>0</v>
      </c>
      <c r="BY300" s="2">
        <v>3.7816160000000001</v>
      </c>
      <c r="CH300" s="89">
        <v>102</v>
      </c>
      <c r="CI300" s="2">
        <v>42</v>
      </c>
      <c r="CJ300" s="2">
        <v>0</v>
      </c>
      <c r="CK300" s="2">
        <v>3.1206079999999998</v>
      </c>
      <c r="CT300" s="89">
        <v>109</v>
      </c>
      <c r="CU300" s="2">
        <v>41</v>
      </c>
      <c r="CV300" s="2">
        <v>0</v>
      </c>
      <c r="CW300" s="2">
        <v>2E-3</v>
      </c>
      <c r="DF300" s="89">
        <v>103</v>
      </c>
      <c r="DG300" s="2">
        <v>42</v>
      </c>
      <c r="DH300" s="2">
        <v>0</v>
      </c>
      <c r="DI300" s="2">
        <v>3.022249</v>
      </c>
      <c r="DR300" s="89">
        <v>102</v>
      </c>
      <c r="DS300" s="2">
        <v>39</v>
      </c>
      <c r="DT300" s="2">
        <v>0</v>
      </c>
      <c r="DU300" s="2">
        <v>7.1889999999999996E-2</v>
      </c>
      <c r="ED300" s="89">
        <v>100</v>
      </c>
      <c r="EE300" s="2">
        <v>42</v>
      </c>
      <c r="EF300" s="2">
        <v>0</v>
      </c>
      <c r="EG300" s="2">
        <v>3.5739969999999999</v>
      </c>
      <c r="ES300">
        <v>100</v>
      </c>
      <c r="ET300">
        <v>42</v>
      </c>
      <c r="EU300">
        <v>0</v>
      </c>
      <c r="EV300">
        <v>3.5739969999999999</v>
      </c>
    </row>
    <row r="301" spans="14:152" x14ac:dyDescent="0.4">
      <c r="N301" s="89">
        <v>94</v>
      </c>
      <c r="O301" s="2">
        <v>40</v>
      </c>
      <c r="P301" s="2">
        <v>0</v>
      </c>
      <c r="Q301" s="2">
        <v>3.951533</v>
      </c>
      <c r="Z301" s="89">
        <v>98</v>
      </c>
      <c r="AA301" s="2">
        <v>40</v>
      </c>
      <c r="AB301" s="2">
        <v>0</v>
      </c>
      <c r="AC301" s="2">
        <v>2.2050550000000002</v>
      </c>
      <c r="AL301" s="89">
        <v>94</v>
      </c>
      <c r="AM301" s="2">
        <v>40</v>
      </c>
      <c r="AN301" s="2">
        <v>0</v>
      </c>
      <c r="AO301" s="2">
        <v>4.087612</v>
      </c>
      <c r="AX301" s="89">
        <v>105</v>
      </c>
      <c r="AY301" s="2">
        <v>42</v>
      </c>
      <c r="AZ301" s="2">
        <v>0</v>
      </c>
      <c r="BA301" s="2">
        <v>1.940453</v>
      </c>
      <c r="BJ301" s="89">
        <v>105</v>
      </c>
      <c r="BK301" s="2">
        <v>42</v>
      </c>
      <c r="BL301" s="2">
        <v>0</v>
      </c>
      <c r="BM301" s="2">
        <v>1.308932</v>
      </c>
      <c r="BV301" s="89">
        <v>101</v>
      </c>
      <c r="BW301" s="2">
        <v>42</v>
      </c>
      <c r="BX301" s="2">
        <v>0</v>
      </c>
      <c r="BY301" s="2">
        <v>3.7024180000000002</v>
      </c>
      <c r="CH301" s="89">
        <v>103</v>
      </c>
      <c r="CI301" s="2">
        <v>42</v>
      </c>
      <c r="CJ301" s="2">
        <v>0</v>
      </c>
      <c r="CK301" s="2">
        <v>2.2691789999999998</v>
      </c>
      <c r="CT301" s="89">
        <v>110</v>
      </c>
      <c r="CU301" s="2">
        <v>41</v>
      </c>
      <c r="CV301" s="2">
        <v>0</v>
      </c>
      <c r="CW301" s="2">
        <v>1E-3</v>
      </c>
      <c r="DF301" s="89">
        <v>104</v>
      </c>
      <c r="DG301" s="2">
        <v>42</v>
      </c>
      <c r="DH301" s="2">
        <v>0</v>
      </c>
      <c r="DI301" s="2">
        <v>2.5583800000000001</v>
      </c>
      <c r="DR301" s="89">
        <v>102</v>
      </c>
      <c r="DS301" s="2">
        <v>39</v>
      </c>
      <c r="DT301" s="2">
        <v>1</v>
      </c>
      <c r="DU301" s="2">
        <v>1.89E-3</v>
      </c>
      <c r="ED301" s="89">
        <v>101</v>
      </c>
      <c r="EE301" s="2">
        <v>42</v>
      </c>
      <c r="EF301" s="2">
        <v>0</v>
      </c>
      <c r="EG301" s="2">
        <v>3.6542279999999998</v>
      </c>
      <c r="ES301">
        <v>101</v>
      </c>
      <c r="ET301">
        <v>42</v>
      </c>
      <c r="EU301">
        <v>0</v>
      </c>
      <c r="EV301">
        <v>3.6542279999999998</v>
      </c>
    </row>
    <row r="302" spans="14:152" x14ac:dyDescent="0.4">
      <c r="N302" s="89">
        <v>95</v>
      </c>
      <c r="O302" s="2">
        <v>40</v>
      </c>
      <c r="P302" s="2">
        <v>0</v>
      </c>
      <c r="Q302" s="2">
        <v>3.8144390000000001</v>
      </c>
      <c r="Z302" s="89">
        <v>99</v>
      </c>
      <c r="AA302" s="2">
        <v>40</v>
      </c>
      <c r="AB302" s="2">
        <v>0</v>
      </c>
      <c r="AC302" s="2">
        <v>1.3544620000000001</v>
      </c>
      <c r="AL302" s="89">
        <v>95</v>
      </c>
      <c r="AM302" s="2">
        <v>40</v>
      </c>
      <c r="AN302" s="2">
        <v>0</v>
      </c>
      <c r="AO302" s="2">
        <v>3.7703609999999999</v>
      </c>
      <c r="AX302" s="89">
        <v>106</v>
      </c>
      <c r="AY302" s="2">
        <v>42</v>
      </c>
      <c r="AZ302" s="2">
        <v>0</v>
      </c>
      <c r="BA302" s="2">
        <v>1.290907</v>
      </c>
      <c r="BJ302" s="89">
        <v>106</v>
      </c>
      <c r="BK302" s="2">
        <v>42</v>
      </c>
      <c r="BL302" s="2">
        <v>0</v>
      </c>
      <c r="BM302" s="2">
        <v>0.75873970000000002</v>
      </c>
      <c r="BV302" s="89">
        <v>102</v>
      </c>
      <c r="BW302" s="2">
        <v>42</v>
      </c>
      <c r="BX302" s="2">
        <v>0</v>
      </c>
      <c r="BY302" s="2">
        <v>3.6650589999999998</v>
      </c>
      <c r="CH302" s="89">
        <v>104</v>
      </c>
      <c r="CI302" s="2">
        <v>42</v>
      </c>
      <c r="CJ302" s="2">
        <v>0</v>
      </c>
      <c r="CK302" s="2">
        <v>1.6668590000000001</v>
      </c>
      <c r="CT302" s="89">
        <v>94</v>
      </c>
      <c r="CU302" s="2">
        <v>42</v>
      </c>
      <c r="CV302" s="2">
        <v>0</v>
      </c>
      <c r="CW302" s="2">
        <v>1.7999999999999999E-2</v>
      </c>
      <c r="DF302" s="89">
        <v>105</v>
      </c>
      <c r="DG302" s="2">
        <v>42</v>
      </c>
      <c r="DH302" s="2">
        <v>0</v>
      </c>
      <c r="DI302" s="2">
        <v>1.928237</v>
      </c>
      <c r="DR302" s="89">
        <v>103</v>
      </c>
      <c r="DS302" s="2">
        <v>39</v>
      </c>
      <c r="DT302" s="2">
        <v>0</v>
      </c>
      <c r="DU302" s="2">
        <v>2.7E-2</v>
      </c>
      <c r="ED302" s="89">
        <v>102</v>
      </c>
      <c r="EE302" s="2">
        <v>42</v>
      </c>
      <c r="EF302" s="2">
        <v>0</v>
      </c>
      <c r="EG302" s="2">
        <v>3.5293169999999998</v>
      </c>
      <c r="ES302">
        <v>102</v>
      </c>
      <c r="ET302">
        <v>42</v>
      </c>
      <c r="EU302">
        <v>0</v>
      </c>
      <c r="EV302">
        <v>3.5293169999999998</v>
      </c>
    </row>
    <row r="303" spans="14:152" x14ac:dyDescent="0.4">
      <c r="N303" s="89">
        <v>96</v>
      </c>
      <c r="O303" s="2">
        <v>40</v>
      </c>
      <c r="P303" s="2">
        <v>0</v>
      </c>
      <c r="Q303" s="2">
        <v>3.4679340000000001</v>
      </c>
      <c r="Z303" s="89">
        <v>100</v>
      </c>
      <c r="AA303" s="2">
        <v>40</v>
      </c>
      <c r="AB303" s="2">
        <v>0</v>
      </c>
      <c r="AC303" s="2">
        <v>0.79294560000000003</v>
      </c>
      <c r="AL303" s="89">
        <v>96</v>
      </c>
      <c r="AM303" s="2">
        <v>40</v>
      </c>
      <c r="AN303" s="2">
        <v>0</v>
      </c>
      <c r="AO303" s="2">
        <v>3.1942840000000001</v>
      </c>
      <c r="AX303" s="89">
        <v>107</v>
      </c>
      <c r="AY303" s="2">
        <v>42</v>
      </c>
      <c r="AZ303" s="2">
        <v>0</v>
      </c>
      <c r="BA303" s="2">
        <v>0.64199340000000005</v>
      </c>
      <c r="BJ303" s="89">
        <v>107</v>
      </c>
      <c r="BK303" s="2">
        <v>42</v>
      </c>
      <c r="BL303" s="2">
        <v>0</v>
      </c>
      <c r="BM303" s="2">
        <v>0.37683509999999998</v>
      </c>
      <c r="BV303" s="89">
        <v>103</v>
      </c>
      <c r="BW303" s="2">
        <v>42</v>
      </c>
      <c r="BX303" s="2">
        <v>0</v>
      </c>
      <c r="BY303" s="2">
        <v>3.1382140000000001</v>
      </c>
      <c r="CH303" s="89">
        <v>105</v>
      </c>
      <c r="CI303" s="2">
        <v>42</v>
      </c>
      <c r="CJ303" s="2">
        <v>0</v>
      </c>
      <c r="CK303" s="2">
        <v>0.8522575</v>
      </c>
      <c r="CT303" s="89">
        <v>95</v>
      </c>
      <c r="CU303" s="2">
        <v>42</v>
      </c>
      <c r="CV303" s="2">
        <v>0</v>
      </c>
      <c r="CW303" s="2">
        <v>1.597013</v>
      </c>
      <c r="DF303" s="89">
        <v>106</v>
      </c>
      <c r="DG303" s="2">
        <v>42</v>
      </c>
      <c r="DH303" s="2">
        <v>0</v>
      </c>
      <c r="DI303" s="2">
        <v>1.4583820000000001</v>
      </c>
      <c r="DR303" s="89">
        <v>104</v>
      </c>
      <c r="DS303" s="2">
        <v>39</v>
      </c>
      <c r="DT303" s="2">
        <v>0</v>
      </c>
      <c r="DU303" s="2">
        <v>4.0000000000000001E-3</v>
      </c>
      <c r="ED303" s="89">
        <v>103</v>
      </c>
      <c r="EE303" s="2">
        <v>42</v>
      </c>
      <c r="EF303" s="2">
        <v>0</v>
      </c>
      <c r="EG303" s="2">
        <v>2.9980959999999999</v>
      </c>
      <c r="ES303">
        <v>103</v>
      </c>
      <c r="ET303">
        <v>42</v>
      </c>
      <c r="EU303">
        <v>0</v>
      </c>
      <c r="EV303">
        <v>2.9980959999999999</v>
      </c>
    </row>
    <row r="304" spans="14:152" x14ac:dyDescent="0.4">
      <c r="N304" s="89">
        <v>97</v>
      </c>
      <c r="O304" s="2">
        <v>40</v>
      </c>
      <c r="P304" s="2">
        <v>0</v>
      </c>
      <c r="Q304" s="2">
        <v>2.4949889999999999</v>
      </c>
      <c r="Z304" s="89">
        <v>101</v>
      </c>
      <c r="AA304" s="2">
        <v>40</v>
      </c>
      <c r="AB304" s="2">
        <v>0</v>
      </c>
      <c r="AC304" s="2">
        <v>0.35947119999999999</v>
      </c>
      <c r="AL304" s="89">
        <v>97</v>
      </c>
      <c r="AM304" s="2">
        <v>40</v>
      </c>
      <c r="AN304" s="2">
        <v>0</v>
      </c>
      <c r="AO304" s="2">
        <v>2.3326669999999998</v>
      </c>
      <c r="AX304" s="89">
        <v>108</v>
      </c>
      <c r="AY304" s="2">
        <v>42</v>
      </c>
      <c r="AZ304" s="2">
        <v>0</v>
      </c>
      <c r="BA304" s="2">
        <v>0.30020150000000001</v>
      </c>
      <c r="BJ304" s="89">
        <v>108</v>
      </c>
      <c r="BK304" s="2">
        <v>42</v>
      </c>
      <c r="BL304" s="2">
        <v>0</v>
      </c>
      <c r="BM304" s="2">
        <v>0.14381650000000001</v>
      </c>
      <c r="BV304" s="89">
        <v>104</v>
      </c>
      <c r="BW304" s="2">
        <v>42</v>
      </c>
      <c r="BX304" s="2">
        <v>0</v>
      </c>
      <c r="BY304" s="2">
        <v>2.6591079999999998</v>
      </c>
      <c r="CH304" s="89">
        <v>106</v>
      </c>
      <c r="CI304" s="2">
        <v>42</v>
      </c>
      <c r="CJ304" s="2">
        <v>0</v>
      </c>
      <c r="CK304" s="2">
        <v>0.515185</v>
      </c>
      <c r="CT304" s="89">
        <v>96</v>
      </c>
      <c r="CU304" s="2">
        <v>42</v>
      </c>
      <c r="CV304" s="2">
        <v>0</v>
      </c>
      <c r="CW304" s="2">
        <v>0.155</v>
      </c>
      <c r="DF304" s="89">
        <v>107</v>
      </c>
      <c r="DG304" s="2">
        <v>42</v>
      </c>
      <c r="DH304" s="2">
        <v>0</v>
      </c>
      <c r="DI304" s="2">
        <v>0.9371178</v>
      </c>
      <c r="DR304" s="89">
        <v>105</v>
      </c>
      <c r="DS304" s="2">
        <v>39</v>
      </c>
      <c r="DT304" s="2">
        <v>0</v>
      </c>
      <c r="DU304" s="2">
        <v>1E-3</v>
      </c>
      <c r="ED304" s="89">
        <v>104</v>
      </c>
      <c r="EE304" s="2">
        <v>42</v>
      </c>
      <c r="EF304" s="2">
        <v>0</v>
      </c>
      <c r="EG304" s="2">
        <v>2.441573</v>
      </c>
      <c r="ES304">
        <v>104</v>
      </c>
      <c r="ET304">
        <v>42</v>
      </c>
      <c r="EU304">
        <v>0</v>
      </c>
      <c r="EV304">
        <v>2.441573</v>
      </c>
    </row>
    <row r="305" spans="14:152" x14ac:dyDescent="0.4">
      <c r="N305" s="89">
        <v>98</v>
      </c>
      <c r="O305" s="2">
        <v>40</v>
      </c>
      <c r="P305" s="2">
        <v>0</v>
      </c>
      <c r="Q305" s="2">
        <v>1.7044729999999999</v>
      </c>
      <c r="Z305" s="89">
        <v>102</v>
      </c>
      <c r="AA305" s="2">
        <v>40</v>
      </c>
      <c r="AB305" s="2">
        <v>0</v>
      </c>
      <c r="AC305" s="2">
        <v>0.18369769999999999</v>
      </c>
      <c r="AL305" s="89">
        <v>98</v>
      </c>
      <c r="AM305" s="2">
        <v>40</v>
      </c>
      <c r="AN305" s="2">
        <v>0</v>
      </c>
      <c r="AO305" s="2">
        <v>1.5421750000000001</v>
      </c>
      <c r="AX305" s="89">
        <v>109</v>
      </c>
      <c r="AY305" s="2">
        <v>42</v>
      </c>
      <c r="AZ305" s="2">
        <v>0</v>
      </c>
      <c r="BA305" s="2">
        <v>9.6420500000000006E-2</v>
      </c>
      <c r="BJ305" s="89">
        <v>109</v>
      </c>
      <c r="BK305" s="2">
        <v>42</v>
      </c>
      <c r="BL305" s="2">
        <v>0</v>
      </c>
      <c r="BM305" s="2">
        <v>4.2873500000000002E-2</v>
      </c>
      <c r="BV305" s="89">
        <v>105</v>
      </c>
      <c r="BW305" s="2">
        <v>42</v>
      </c>
      <c r="BX305" s="2">
        <v>0</v>
      </c>
      <c r="BY305" s="2">
        <v>1.8834379999999999</v>
      </c>
      <c r="CH305" s="89">
        <v>107</v>
      </c>
      <c r="CI305" s="2">
        <v>42</v>
      </c>
      <c r="CJ305" s="2">
        <v>0</v>
      </c>
      <c r="CK305" s="2">
        <v>0.17552000000000001</v>
      </c>
      <c r="CT305" s="89">
        <v>97</v>
      </c>
      <c r="CU305" s="2">
        <v>42</v>
      </c>
      <c r="CV305" s="2">
        <v>0</v>
      </c>
      <c r="CW305" s="2">
        <v>1.895329</v>
      </c>
      <c r="DF305" s="89">
        <v>108</v>
      </c>
      <c r="DG305" s="2">
        <v>42</v>
      </c>
      <c r="DH305" s="2">
        <v>0</v>
      </c>
      <c r="DI305" s="2">
        <v>0.58825700000000003</v>
      </c>
      <c r="DR305" s="89">
        <v>90</v>
      </c>
      <c r="DS305" s="2">
        <v>40</v>
      </c>
      <c r="DT305" s="2">
        <v>0</v>
      </c>
      <c r="DU305" s="2">
        <v>3.6560380000000001</v>
      </c>
      <c r="ED305" s="89">
        <v>105</v>
      </c>
      <c r="EE305" s="2">
        <v>42</v>
      </c>
      <c r="EF305" s="2">
        <v>0</v>
      </c>
      <c r="EG305" s="2">
        <v>1.6312260000000001</v>
      </c>
      <c r="ES305">
        <v>105</v>
      </c>
      <c r="ET305">
        <v>42</v>
      </c>
      <c r="EU305">
        <v>0</v>
      </c>
      <c r="EV305">
        <v>1.6312260000000001</v>
      </c>
    </row>
    <row r="306" spans="14:152" x14ac:dyDescent="0.4">
      <c r="N306" s="89">
        <v>99</v>
      </c>
      <c r="O306" s="2">
        <v>40</v>
      </c>
      <c r="P306" s="2">
        <v>0</v>
      </c>
      <c r="Q306" s="2">
        <v>0.91980859999999998</v>
      </c>
      <c r="Z306" s="89">
        <v>103</v>
      </c>
      <c r="AA306" s="2">
        <v>40</v>
      </c>
      <c r="AB306" s="2">
        <v>0</v>
      </c>
      <c r="AC306" s="2">
        <v>6.5935599999999997E-2</v>
      </c>
      <c r="AL306" s="89">
        <v>99</v>
      </c>
      <c r="AM306" s="2">
        <v>40</v>
      </c>
      <c r="AN306" s="2">
        <v>0</v>
      </c>
      <c r="AO306" s="2">
        <v>0.80734499999999998</v>
      </c>
      <c r="AX306" s="89">
        <v>110</v>
      </c>
      <c r="AY306" s="2">
        <v>42</v>
      </c>
      <c r="AZ306" s="2">
        <v>0</v>
      </c>
      <c r="BA306" s="2">
        <v>3.2199999999999999E-2</v>
      </c>
      <c r="BJ306" s="89">
        <v>110</v>
      </c>
      <c r="BK306" s="2">
        <v>42</v>
      </c>
      <c r="BL306" s="2">
        <v>0</v>
      </c>
      <c r="BM306" s="2">
        <v>1.2999999999999999E-2</v>
      </c>
      <c r="BV306" s="89">
        <v>106</v>
      </c>
      <c r="BW306" s="2">
        <v>42</v>
      </c>
      <c r="BX306" s="2">
        <v>0</v>
      </c>
      <c r="BY306" s="2">
        <v>1.3016749999999999</v>
      </c>
      <c r="CH306" s="89">
        <v>108</v>
      </c>
      <c r="CI306" s="2">
        <v>42</v>
      </c>
      <c r="CJ306" s="2">
        <v>0</v>
      </c>
      <c r="CK306" s="2">
        <v>7.2126510000000005E-2</v>
      </c>
      <c r="CT306" s="89">
        <v>98</v>
      </c>
      <c r="CU306" s="2">
        <v>42</v>
      </c>
      <c r="CV306" s="2">
        <v>0</v>
      </c>
      <c r="CW306" s="2">
        <v>2.0524550000000001</v>
      </c>
      <c r="DF306" s="89">
        <v>109</v>
      </c>
      <c r="DG306" s="2">
        <v>42</v>
      </c>
      <c r="DH306" s="2">
        <v>0</v>
      </c>
      <c r="DI306" s="2">
        <v>0.27501700000000001</v>
      </c>
      <c r="DR306" s="89">
        <v>90</v>
      </c>
      <c r="DS306" s="2">
        <v>40</v>
      </c>
      <c r="DT306" s="2">
        <v>1</v>
      </c>
      <c r="DU306" s="2">
        <v>1E-3</v>
      </c>
      <c r="ED306" s="89">
        <v>106</v>
      </c>
      <c r="EE306" s="2">
        <v>42</v>
      </c>
      <c r="EF306" s="2">
        <v>0</v>
      </c>
      <c r="EG306" s="2">
        <v>0.96923429999999999</v>
      </c>
      <c r="ES306">
        <v>106</v>
      </c>
      <c r="ET306">
        <v>42</v>
      </c>
      <c r="EU306">
        <v>0</v>
      </c>
      <c r="EV306">
        <v>0.96923429999999999</v>
      </c>
    </row>
    <row r="307" spans="14:152" x14ac:dyDescent="0.4">
      <c r="N307" s="89">
        <v>100</v>
      </c>
      <c r="O307" s="2">
        <v>40</v>
      </c>
      <c r="P307" s="2">
        <v>0</v>
      </c>
      <c r="Q307" s="2">
        <v>0.53628359999999997</v>
      </c>
      <c r="Z307" s="89">
        <v>104</v>
      </c>
      <c r="AA307" s="2">
        <v>40</v>
      </c>
      <c r="AB307" s="2">
        <v>0</v>
      </c>
      <c r="AC307" s="2">
        <v>2.10219E-2</v>
      </c>
      <c r="AL307" s="89">
        <v>100</v>
      </c>
      <c r="AM307" s="2">
        <v>40</v>
      </c>
      <c r="AN307" s="2">
        <v>0</v>
      </c>
      <c r="AO307" s="2">
        <v>0.49149209999999999</v>
      </c>
      <c r="AX307" s="89">
        <v>111</v>
      </c>
      <c r="AY307" s="2">
        <v>42</v>
      </c>
      <c r="AZ307" s="2">
        <v>0</v>
      </c>
      <c r="BA307" s="2">
        <v>9.0000010000000005E-3</v>
      </c>
      <c r="BJ307" s="89">
        <v>111</v>
      </c>
      <c r="BK307" s="2">
        <v>42</v>
      </c>
      <c r="BL307" s="2">
        <v>0</v>
      </c>
      <c r="BM307" s="2">
        <v>3.0000000000000001E-3</v>
      </c>
      <c r="BV307" s="89">
        <v>107</v>
      </c>
      <c r="BW307" s="2">
        <v>42</v>
      </c>
      <c r="BX307" s="2">
        <v>0</v>
      </c>
      <c r="BY307" s="2">
        <v>0.63960309999999998</v>
      </c>
      <c r="CH307" s="89">
        <v>109</v>
      </c>
      <c r="CI307" s="2">
        <v>42</v>
      </c>
      <c r="CJ307" s="2">
        <v>0</v>
      </c>
      <c r="CK307" s="2">
        <v>2.9873500000000001E-2</v>
      </c>
      <c r="CT307" s="89">
        <v>99</v>
      </c>
      <c r="CU307" s="2">
        <v>42</v>
      </c>
      <c r="CV307" s="2">
        <v>0</v>
      </c>
      <c r="CW307" s="2">
        <v>2.1868660000000002</v>
      </c>
      <c r="DF307" s="89">
        <v>110</v>
      </c>
      <c r="DG307" s="2">
        <v>42</v>
      </c>
      <c r="DH307" s="2">
        <v>0</v>
      </c>
      <c r="DI307" s="2">
        <v>0.1182</v>
      </c>
      <c r="DR307" s="89">
        <v>91</v>
      </c>
      <c r="DS307" s="2">
        <v>40</v>
      </c>
      <c r="DT307" s="2">
        <v>0</v>
      </c>
      <c r="DU307" s="2">
        <v>3.7819449999999999</v>
      </c>
      <c r="ED307" s="89">
        <v>107</v>
      </c>
      <c r="EE307" s="2">
        <v>42</v>
      </c>
      <c r="EF307" s="2">
        <v>0</v>
      </c>
      <c r="EG307" s="2">
        <v>0.4699123</v>
      </c>
      <c r="ES307">
        <v>107</v>
      </c>
      <c r="ET307">
        <v>42</v>
      </c>
      <c r="EU307">
        <v>0</v>
      </c>
      <c r="EV307">
        <v>0.4699123</v>
      </c>
    </row>
    <row r="308" spans="14:152" x14ac:dyDescent="0.4">
      <c r="N308" s="89">
        <v>101</v>
      </c>
      <c r="O308" s="2">
        <v>40</v>
      </c>
      <c r="P308" s="2">
        <v>0</v>
      </c>
      <c r="Q308" s="2">
        <v>0.22319600000000001</v>
      </c>
      <c r="Z308" s="89">
        <v>105</v>
      </c>
      <c r="AA308" s="2">
        <v>40</v>
      </c>
      <c r="AB308" s="2">
        <v>0</v>
      </c>
      <c r="AC308" s="2">
        <v>3.8024999999999999E-3</v>
      </c>
      <c r="AL308" s="89">
        <v>101</v>
      </c>
      <c r="AM308" s="2">
        <v>40</v>
      </c>
      <c r="AN308" s="2">
        <v>0</v>
      </c>
      <c r="AO308" s="2">
        <v>0.1833446</v>
      </c>
      <c r="AX308" s="89">
        <v>112</v>
      </c>
      <c r="AY308" s="2">
        <v>42</v>
      </c>
      <c r="AZ308" s="2">
        <v>0</v>
      </c>
      <c r="BA308" s="2">
        <v>2E-3</v>
      </c>
      <c r="BJ308" s="89">
        <v>112</v>
      </c>
      <c r="BK308" s="2">
        <v>42</v>
      </c>
      <c r="BL308" s="2">
        <v>0</v>
      </c>
      <c r="BM308" s="2">
        <v>1E-3</v>
      </c>
      <c r="BV308" s="89">
        <v>108</v>
      </c>
      <c r="BW308" s="2">
        <v>42</v>
      </c>
      <c r="BX308" s="2">
        <v>0</v>
      </c>
      <c r="BY308" s="2">
        <v>0.35934050000000001</v>
      </c>
      <c r="CH308" s="89">
        <v>110</v>
      </c>
      <c r="CI308" s="2">
        <v>42</v>
      </c>
      <c r="CJ308" s="2">
        <v>0</v>
      </c>
      <c r="CK308" s="2">
        <v>9.0000010000000005E-3</v>
      </c>
      <c r="CT308" s="89">
        <v>100</v>
      </c>
      <c r="CU308" s="2">
        <v>42</v>
      </c>
      <c r="CV308" s="2">
        <v>0</v>
      </c>
      <c r="CW308" s="2">
        <v>2.236138</v>
      </c>
      <c r="DF308" s="89">
        <v>111</v>
      </c>
      <c r="DG308" s="2">
        <v>42</v>
      </c>
      <c r="DH308" s="2">
        <v>0</v>
      </c>
      <c r="DI308" s="2">
        <v>3.9E-2</v>
      </c>
      <c r="DR308" s="89">
        <v>92</v>
      </c>
      <c r="DS308" s="2">
        <v>40</v>
      </c>
      <c r="DT308" s="2">
        <v>0</v>
      </c>
      <c r="DU308" s="2">
        <v>3.9650750000000001</v>
      </c>
      <c r="ED308" s="89">
        <v>108</v>
      </c>
      <c r="EE308" s="2">
        <v>42</v>
      </c>
      <c r="EF308" s="2">
        <v>0</v>
      </c>
      <c r="EG308" s="2">
        <v>0.24344450000000001</v>
      </c>
      <c r="ES308">
        <v>108</v>
      </c>
      <c r="ET308">
        <v>42</v>
      </c>
      <c r="EU308">
        <v>0</v>
      </c>
      <c r="EV308">
        <v>0.24344450000000001</v>
      </c>
    </row>
    <row r="309" spans="14:152" x14ac:dyDescent="0.4">
      <c r="N309" s="89">
        <v>102</v>
      </c>
      <c r="O309" s="2">
        <v>40</v>
      </c>
      <c r="P309" s="2">
        <v>0</v>
      </c>
      <c r="Q309" s="2">
        <v>9.2803999999999998E-2</v>
      </c>
      <c r="Z309" s="89">
        <v>91</v>
      </c>
      <c r="AA309" s="2">
        <v>41</v>
      </c>
      <c r="AB309" s="2">
        <v>0</v>
      </c>
      <c r="AC309" s="2">
        <v>1E-3</v>
      </c>
      <c r="AL309" s="89">
        <v>102</v>
      </c>
      <c r="AM309" s="2">
        <v>40</v>
      </c>
      <c r="AN309" s="2">
        <v>0</v>
      </c>
      <c r="AO309" s="2">
        <v>7.4607999999999994E-2</v>
      </c>
      <c r="AX309" s="89">
        <v>113</v>
      </c>
      <c r="AY309" s="2">
        <v>42</v>
      </c>
      <c r="AZ309" s="2">
        <v>0</v>
      </c>
      <c r="BA309" s="2">
        <v>1E-3</v>
      </c>
      <c r="BJ309" s="89">
        <v>97</v>
      </c>
      <c r="BK309" s="2">
        <v>43</v>
      </c>
      <c r="BL309" s="2">
        <v>0</v>
      </c>
      <c r="BM309" s="2">
        <v>1E-3</v>
      </c>
      <c r="BV309" s="89">
        <v>109</v>
      </c>
      <c r="BW309" s="2">
        <v>42</v>
      </c>
      <c r="BX309" s="2">
        <v>0</v>
      </c>
      <c r="BY309" s="2">
        <v>0.15006149999999999</v>
      </c>
      <c r="CH309" s="89">
        <v>111</v>
      </c>
      <c r="CI309" s="2">
        <v>42</v>
      </c>
      <c r="CJ309" s="2">
        <v>0</v>
      </c>
      <c r="CK309" s="2">
        <v>3.0000000000000001E-3</v>
      </c>
      <c r="CT309" s="89">
        <v>101</v>
      </c>
      <c r="CU309" s="2">
        <v>42</v>
      </c>
      <c r="CV309" s="2">
        <v>0</v>
      </c>
      <c r="CW309" s="2">
        <v>2.3156859999999999</v>
      </c>
      <c r="DF309" s="89">
        <v>112</v>
      </c>
      <c r="DG309" s="2">
        <v>42</v>
      </c>
      <c r="DH309" s="2">
        <v>0</v>
      </c>
      <c r="DI309" s="2">
        <v>1.2999999999999999E-2</v>
      </c>
      <c r="DR309" s="89">
        <v>93</v>
      </c>
      <c r="DS309" s="2">
        <v>40</v>
      </c>
      <c r="DT309" s="2">
        <v>0</v>
      </c>
      <c r="DU309" s="2">
        <v>4.0008660000000003</v>
      </c>
      <c r="ED309" s="89">
        <v>109</v>
      </c>
      <c r="EE309" s="2">
        <v>42</v>
      </c>
      <c r="EF309" s="2">
        <v>0</v>
      </c>
      <c r="EG309" s="2">
        <v>6.8273500000000001E-2</v>
      </c>
      <c r="ES309">
        <v>109</v>
      </c>
      <c r="ET309">
        <v>42</v>
      </c>
      <c r="EU309">
        <v>0</v>
      </c>
      <c r="EV309">
        <v>6.8273500000000001E-2</v>
      </c>
    </row>
    <row r="310" spans="14:152" x14ac:dyDescent="0.4">
      <c r="N310" s="89">
        <v>103</v>
      </c>
      <c r="O310" s="2">
        <v>40</v>
      </c>
      <c r="P310" s="2">
        <v>0</v>
      </c>
      <c r="Q310" s="2">
        <v>3.6087800000000003E-2</v>
      </c>
      <c r="Z310" s="89">
        <v>92</v>
      </c>
      <c r="AA310" s="2">
        <v>41</v>
      </c>
      <c r="AB310" s="2">
        <v>0</v>
      </c>
      <c r="AC310" s="2">
        <v>5.0000000000000001E-3</v>
      </c>
      <c r="AL310" s="89">
        <v>103</v>
      </c>
      <c r="AM310" s="2">
        <v>40</v>
      </c>
      <c r="AN310" s="2">
        <v>0</v>
      </c>
      <c r="AO310" s="2">
        <v>1.2E-2</v>
      </c>
      <c r="AX310" s="89">
        <v>99</v>
      </c>
      <c r="AY310" s="2">
        <v>43</v>
      </c>
      <c r="AZ310" s="2">
        <v>0</v>
      </c>
      <c r="BA310" s="2">
        <v>2.824084</v>
      </c>
      <c r="BJ310" s="89">
        <v>98</v>
      </c>
      <c r="BK310" s="2">
        <v>43</v>
      </c>
      <c r="BL310" s="2">
        <v>0</v>
      </c>
      <c r="BM310" s="2">
        <v>1E-3</v>
      </c>
      <c r="BV310" s="89">
        <v>110</v>
      </c>
      <c r="BW310" s="2">
        <v>42</v>
      </c>
      <c r="BX310" s="2">
        <v>0</v>
      </c>
      <c r="BY310" s="2">
        <v>5.1799999999999999E-2</v>
      </c>
      <c r="CH310" s="89">
        <v>97</v>
      </c>
      <c r="CI310" s="2">
        <v>43</v>
      </c>
      <c r="CJ310" s="2">
        <v>0</v>
      </c>
      <c r="CK310" s="2">
        <v>3.0000000000000001E-3</v>
      </c>
      <c r="CT310" s="89">
        <v>102</v>
      </c>
      <c r="CU310" s="2">
        <v>42</v>
      </c>
      <c r="CV310" s="2">
        <v>0</v>
      </c>
      <c r="CW310" s="2">
        <v>2.2627139999999999</v>
      </c>
      <c r="DF310" s="89">
        <v>113</v>
      </c>
      <c r="DG310" s="2">
        <v>42</v>
      </c>
      <c r="DH310" s="2">
        <v>0</v>
      </c>
      <c r="DI310" s="2">
        <v>5.0000000000000001E-3</v>
      </c>
      <c r="DR310" s="89">
        <v>94</v>
      </c>
      <c r="DS310" s="2">
        <v>40</v>
      </c>
      <c r="DT310" s="2">
        <v>0</v>
      </c>
      <c r="DU310" s="2">
        <v>4.2633299999999998</v>
      </c>
      <c r="ED310" s="89">
        <v>110</v>
      </c>
      <c r="EE310" s="2">
        <v>42</v>
      </c>
      <c r="EF310" s="2">
        <v>0</v>
      </c>
      <c r="EG310" s="2">
        <v>3.0599999999999999E-2</v>
      </c>
      <c r="ES310">
        <v>110</v>
      </c>
      <c r="ET310">
        <v>42</v>
      </c>
      <c r="EU310">
        <v>0</v>
      </c>
      <c r="EV310">
        <v>3.0599999999999999E-2</v>
      </c>
    </row>
    <row r="311" spans="14:152" x14ac:dyDescent="0.4">
      <c r="N311" s="89">
        <v>104</v>
      </c>
      <c r="O311" s="2">
        <v>40</v>
      </c>
      <c r="P311" s="2">
        <v>0</v>
      </c>
      <c r="Q311" s="2">
        <v>1.09122E-2</v>
      </c>
      <c r="Z311" s="89">
        <v>93</v>
      </c>
      <c r="AA311" s="2">
        <v>41</v>
      </c>
      <c r="AB311" s="2">
        <v>0</v>
      </c>
      <c r="AC311" s="2">
        <v>2.1000000000000001E-2</v>
      </c>
      <c r="AL311" s="89">
        <v>104</v>
      </c>
      <c r="AM311" s="2">
        <v>40</v>
      </c>
      <c r="AN311" s="2">
        <v>0</v>
      </c>
      <c r="AO311" s="2">
        <v>9.0000010000000005E-3</v>
      </c>
      <c r="AX311" s="89">
        <v>99</v>
      </c>
      <c r="AY311" s="2">
        <v>43</v>
      </c>
      <c r="AZ311" s="2">
        <v>1</v>
      </c>
      <c r="BA311" s="2">
        <v>2.4773149999999999</v>
      </c>
      <c r="BJ311" s="89">
        <v>99</v>
      </c>
      <c r="BK311" s="2">
        <v>43</v>
      </c>
      <c r="BL311" s="2">
        <v>0</v>
      </c>
      <c r="BM311" s="2">
        <v>3.446831</v>
      </c>
      <c r="BV311" s="89">
        <v>111</v>
      </c>
      <c r="BW311" s="2">
        <v>42</v>
      </c>
      <c r="BX311" s="2">
        <v>0</v>
      </c>
      <c r="BY311" s="2">
        <v>1.4999999999999999E-2</v>
      </c>
      <c r="CH311" s="89">
        <v>98</v>
      </c>
      <c r="CI311" s="2">
        <v>43</v>
      </c>
      <c r="CJ311" s="2">
        <v>0</v>
      </c>
      <c r="CK311" s="2">
        <v>1.0999999999999999E-2</v>
      </c>
      <c r="CT311" s="89">
        <v>103</v>
      </c>
      <c r="CU311" s="2">
        <v>42</v>
      </c>
      <c r="CV311" s="2">
        <v>0</v>
      </c>
      <c r="CW311" s="2">
        <v>1.9539219999999999</v>
      </c>
      <c r="DF311" s="89">
        <v>115</v>
      </c>
      <c r="DG311" s="2">
        <v>42</v>
      </c>
      <c r="DH311" s="2">
        <v>0</v>
      </c>
      <c r="DI311" s="2">
        <v>1E-3</v>
      </c>
      <c r="DR311" s="89">
        <v>95</v>
      </c>
      <c r="DS311" s="2">
        <v>40</v>
      </c>
      <c r="DT311" s="2">
        <v>0</v>
      </c>
      <c r="DU311" s="2">
        <v>4.261501</v>
      </c>
      <c r="ED311" s="89">
        <v>111</v>
      </c>
      <c r="EE311" s="2">
        <v>42</v>
      </c>
      <c r="EF311" s="2">
        <v>0</v>
      </c>
      <c r="EG311" s="2">
        <v>5.0000000000000001E-3</v>
      </c>
      <c r="ES311">
        <v>111</v>
      </c>
      <c r="ET311">
        <v>42</v>
      </c>
      <c r="EU311">
        <v>0</v>
      </c>
      <c r="EV311">
        <v>5.0000000000000001E-3</v>
      </c>
    </row>
    <row r="312" spans="14:152" x14ac:dyDescent="0.4">
      <c r="N312" s="89">
        <v>105</v>
      </c>
      <c r="O312" s="2">
        <v>40</v>
      </c>
      <c r="P312" s="2">
        <v>0</v>
      </c>
      <c r="Q312" s="2">
        <v>4.0000000000000001E-3</v>
      </c>
      <c r="Z312" s="89">
        <v>93</v>
      </c>
      <c r="AA312" s="2">
        <v>41</v>
      </c>
      <c r="AB312" s="2">
        <v>1</v>
      </c>
      <c r="AC312" s="2">
        <v>1.8260869999999999E-3</v>
      </c>
      <c r="AL312" s="89">
        <v>90</v>
      </c>
      <c r="AM312" s="2">
        <v>41</v>
      </c>
      <c r="AN312" s="2">
        <v>0</v>
      </c>
      <c r="AO312" s="2">
        <v>1E-3</v>
      </c>
      <c r="AX312" s="89">
        <v>100</v>
      </c>
      <c r="AY312" s="2">
        <v>43</v>
      </c>
      <c r="AZ312" s="2">
        <v>0</v>
      </c>
      <c r="BA312" s="2">
        <v>4.0000000000000001E-3</v>
      </c>
      <c r="BJ312" s="89">
        <v>99</v>
      </c>
      <c r="BK312" s="2">
        <v>43</v>
      </c>
      <c r="BL312" s="2">
        <v>1</v>
      </c>
      <c r="BM312" s="2">
        <v>3.0163690000000001</v>
      </c>
      <c r="BV312" s="89">
        <v>112</v>
      </c>
      <c r="BW312" s="2">
        <v>42</v>
      </c>
      <c r="BX312" s="2">
        <v>0</v>
      </c>
      <c r="BY312" s="2">
        <v>5.0000000000000001E-3</v>
      </c>
      <c r="CH312" s="89">
        <v>99</v>
      </c>
      <c r="CI312" s="2">
        <v>43</v>
      </c>
      <c r="CJ312" s="2">
        <v>0</v>
      </c>
      <c r="CK312" s="2">
        <v>3.2412390000000002</v>
      </c>
      <c r="CT312" s="89">
        <v>104</v>
      </c>
      <c r="CU312" s="2">
        <v>42</v>
      </c>
      <c r="CV312" s="2">
        <v>0</v>
      </c>
      <c r="CW312" s="2">
        <v>1.5628219999999999</v>
      </c>
      <c r="DF312" s="89">
        <v>99</v>
      </c>
      <c r="DG312" s="2">
        <v>43</v>
      </c>
      <c r="DH312" s="2">
        <v>0</v>
      </c>
      <c r="DI312" s="2">
        <v>4.0668309999999996</v>
      </c>
      <c r="DR312" s="89">
        <v>96</v>
      </c>
      <c r="DS312" s="2">
        <v>40</v>
      </c>
      <c r="DT312" s="2">
        <v>0</v>
      </c>
      <c r="DU312" s="2">
        <v>4.406758</v>
      </c>
      <c r="ED312" s="89">
        <v>112</v>
      </c>
      <c r="EE312" s="2">
        <v>42</v>
      </c>
      <c r="EF312" s="2">
        <v>0</v>
      </c>
      <c r="EG312" s="2">
        <v>2E-3</v>
      </c>
      <c r="ES312">
        <v>112</v>
      </c>
      <c r="ET312">
        <v>42</v>
      </c>
      <c r="EU312">
        <v>0</v>
      </c>
      <c r="EV312">
        <v>2E-3</v>
      </c>
    </row>
    <row r="313" spans="14:152" x14ac:dyDescent="0.4">
      <c r="N313" s="89">
        <v>92</v>
      </c>
      <c r="O313" s="2">
        <v>41</v>
      </c>
      <c r="P313" s="2">
        <v>0</v>
      </c>
      <c r="Q313" s="2">
        <v>8.0000000000000002E-3</v>
      </c>
      <c r="Z313" s="89">
        <v>94</v>
      </c>
      <c r="AA313" s="2">
        <v>41</v>
      </c>
      <c r="AB313" s="2">
        <v>0</v>
      </c>
      <c r="AC313" s="2">
        <v>9.9906549999999997E-2</v>
      </c>
      <c r="AL313" s="89">
        <v>91</v>
      </c>
      <c r="AM313" s="2">
        <v>41</v>
      </c>
      <c r="AN313" s="2">
        <v>0</v>
      </c>
      <c r="AO313" s="2">
        <v>2E-3</v>
      </c>
      <c r="AX313" s="89">
        <v>101</v>
      </c>
      <c r="AY313" s="2">
        <v>43</v>
      </c>
      <c r="AZ313" s="2">
        <v>0</v>
      </c>
      <c r="BA313" s="2">
        <v>3.1506419999999999</v>
      </c>
      <c r="BJ313" s="89">
        <v>100</v>
      </c>
      <c r="BK313" s="2">
        <v>43</v>
      </c>
      <c r="BL313" s="2">
        <v>0</v>
      </c>
      <c r="BM313" s="2">
        <v>4.9000000000000002E-2</v>
      </c>
      <c r="BV313" s="89">
        <v>99</v>
      </c>
      <c r="BW313" s="2">
        <v>43</v>
      </c>
      <c r="BX313" s="2">
        <v>0</v>
      </c>
      <c r="BY313" s="2">
        <v>3.6444730000000001</v>
      </c>
      <c r="CH313" s="89">
        <v>99</v>
      </c>
      <c r="CI313" s="2">
        <v>43</v>
      </c>
      <c r="CJ313" s="2">
        <v>1</v>
      </c>
      <c r="CK313" s="2">
        <v>2.8094950000000001</v>
      </c>
      <c r="CT313" s="89">
        <v>105</v>
      </c>
      <c r="CU313" s="2">
        <v>42</v>
      </c>
      <c r="CV313" s="2">
        <v>0</v>
      </c>
      <c r="CW313" s="2">
        <v>1.0019309999999999</v>
      </c>
      <c r="DF313" s="89">
        <v>99</v>
      </c>
      <c r="DG313" s="2">
        <v>43</v>
      </c>
      <c r="DH313" s="2">
        <v>1</v>
      </c>
      <c r="DI313" s="2">
        <v>3.5710839999999999</v>
      </c>
      <c r="DR313" s="89">
        <v>97</v>
      </c>
      <c r="DS313" s="2">
        <v>40</v>
      </c>
      <c r="DT313" s="2">
        <v>0</v>
      </c>
      <c r="DU313" s="2">
        <v>4.0234160000000001</v>
      </c>
      <c r="ED313" s="89">
        <v>114</v>
      </c>
      <c r="EE313" s="2">
        <v>42</v>
      </c>
      <c r="EF313" s="2">
        <v>0</v>
      </c>
      <c r="EG313" s="2">
        <v>1E-3</v>
      </c>
      <c r="ES313">
        <v>114</v>
      </c>
      <c r="ET313">
        <v>42</v>
      </c>
      <c r="EU313">
        <v>0</v>
      </c>
      <c r="EV313">
        <v>1E-3</v>
      </c>
    </row>
    <row r="314" spans="14:152" x14ac:dyDescent="0.4">
      <c r="N314" s="89">
        <v>93</v>
      </c>
      <c r="O314" s="2">
        <v>41</v>
      </c>
      <c r="P314" s="2">
        <v>0</v>
      </c>
      <c r="Q314" s="2">
        <v>4.7E-2</v>
      </c>
      <c r="Z314" s="89">
        <v>94</v>
      </c>
      <c r="AA314" s="2">
        <v>41</v>
      </c>
      <c r="AB314" s="2">
        <v>1</v>
      </c>
      <c r="AC314" s="2">
        <v>1.8691590000000001E-2</v>
      </c>
      <c r="AL314" s="89">
        <v>92</v>
      </c>
      <c r="AM314" s="2">
        <v>41</v>
      </c>
      <c r="AN314" s="2">
        <v>0</v>
      </c>
      <c r="AO314" s="2">
        <v>3.5000000000000003E-2</v>
      </c>
      <c r="AX314" s="89">
        <v>102</v>
      </c>
      <c r="AY314" s="2">
        <v>43</v>
      </c>
      <c r="AZ314" s="2">
        <v>0</v>
      </c>
      <c r="BA314" s="2">
        <v>3.421907</v>
      </c>
      <c r="BJ314" s="89">
        <v>101</v>
      </c>
      <c r="BK314" s="2">
        <v>43</v>
      </c>
      <c r="BL314" s="2">
        <v>0</v>
      </c>
      <c r="BM314" s="2">
        <v>3.6928649999999998</v>
      </c>
      <c r="BV314" s="89">
        <v>99</v>
      </c>
      <c r="BW314" s="2">
        <v>43</v>
      </c>
      <c r="BX314" s="2">
        <v>1</v>
      </c>
      <c r="BY314" s="2">
        <v>3.1975769999999999</v>
      </c>
      <c r="CH314" s="89">
        <v>100</v>
      </c>
      <c r="CI314" s="2">
        <v>43</v>
      </c>
      <c r="CJ314" s="2">
        <v>0</v>
      </c>
      <c r="CK314" s="2">
        <v>0.129</v>
      </c>
      <c r="CT314" s="89">
        <v>106</v>
      </c>
      <c r="CU314" s="2">
        <v>42</v>
      </c>
      <c r="CV314" s="2">
        <v>0</v>
      </c>
      <c r="CW314" s="2">
        <v>0.59846010000000005</v>
      </c>
      <c r="DF314" s="89">
        <v>100</v>
      </c>
      <c r="DG314" s="2">
        <v>43</v>
      </c>
      <c r="DH314" s="2">
        <v>0</v>
      </c>
      <c r="DI314" s="2">
        <v>9.0000010000000005E-3</v>
      </c>
      <c r="DR314" s="89">
        <v>98</v>
      </c>
      <c r="DS314" s="2">
        <v>40</v>
      </c>
      <c r="DT314" s="2">
        <v>0</v>
      </c>
      <c r="DU314" s="2">
        <v>3.4467949999999998</v>
      </c>
      <c r="ED314" s="89">
        <v>97</v>
      </c>
      <c r="EE314" s="2">
        <v>43</v>
      </c>
      <c r="EF314" s="2">
        <v>0</v>
      </c>
      <c r="EG314" s="2">
        <v>1E-3</v>
      </c>
      <c r="ES314">
        <v>97</v>
      </c>
      <c r="ET314">
        <v>43</v>
      </c>
      <c r="EU314">
        <v>0</v>
      </c>
      <c r="EV314">
        <v>1E-3</v>
      </c>
    </row>
    <row r="315" spans="14:152" x14ac:dyDescent="0.4">
      <c r="N315" s="89">
        <v>93</v>
      </c>
      <c r="O315" s="2">
        <v>41</v>
      </c>
      <c r="P315" s="2">
        <v>1</v>
      </c>
      <c r="Q315" s="2">
        <v>1.958333E-3</v>
      </c>
      <c r="Z315" s="89">
        <v>95</v>
      </c>
      <c r="AA315" s="2">
        <v>41</v>
      </c>
      <c r="AB315" s="2">
        <v>0</v>
      </c>
      <c r="AC315" s="2">
        <v>4.104813</v>
      </c>
      <c r="AL315" s="89">
        <v>92</v>
      </c>
      <c r="AM315" s="2">
        <v>41</v>
      </c>
      <c r="AN315" s="2">
        <v>1</v>
      </c>
      <c r="AO315" s="2">
        <v>2E-3</v>
      </c>
      <c r="AX315" s="89">
        <v>102</v>
      </c>
      <c r="AY315" s="2">
        <v>43</v>
      </c>
      <c r="AZ315" s="2">
        <v>1</v>
      </c>
      <c r="BA315" s="2">
        <v>4.867021E-3</v>
      </c>
      <c r="BJ315" s="89">
        <v>102</v>
      </c>
      <c r="BK315" s="2">
        <v>43</v>
      </c>
      <c r="BL315" s="2">
        <v>0</v>
      </c>
      <c r="BM315" s="2">
        <v>3.6493069999999999</v>
      </c>
      <c r="BV315" s="89">
        <v>100</v>
      </c>
      <c r="BW315" s="2">
        <v>43</v>
      </c>
      <c r="BX315" s="2">
        <v>0</v>
      </c>
      <c r="BY315" s="2">
        <v>2.3E-2</v>
      </c>
      <c r="CH315" s="89">
        <v>101</v>
      </c>
      <c r="CI315" s="2">
        <v>43</v>
      </c>
      <c r="CJ315" s="2">
        <v>0</v>
      </c>
      <c r="CK315" s="2">
        <v>3.5583680000000002</v>
      </c>
      <c r="CT315" s="89">
        <v>107</v>
      </c>
      <c r="CU315" s="2">
        <v>42</v>
      </c>
      <c r="CV315" s="2">
        <v>0</v>
      </c>
      <c r="CW315" s="2">
        <v>0.27871309999999999</v>
      </c>
      <c r="DF315" s="89">
        <v>101</v>
      </c>
      <c r="DG315" s="2">
        <v>43</v>
      </c>
      <c r="DH315" s="2">
        <v>0</v>
      </c>
      <c r="DI315" s="2">
        <v>3.827026</v>
      </c>
      <c r="DR315" s="89">
        <v>99</v>
      </c>
      <c r="DS315" s="2">
        <v>40</v>
      </c>
      <c r="DT315" s="2">
        <v>0</v>
      </c>
      <c r="DU315" s="2">
        <v>2.5393240000000001</v>
      </c>
      <c r="ED315" s="89">
        <v>98</v>
      </c>
      <c r="EE315" s="2">
        <v>43</v>
      </c>
      <c r="EF315" s="2">
        <v>0</v>
      </c>
      <c r="EG315" s="2">
        <v>2E-3</v>
      </c>
      <c r="ES315">
        <v>98</v>
      </c>
      <c r="ET315">
        <v>43</v>
      </c>
      <c r="EU315">
        <v>0</v>
      </c>
      <c r="EV315">
        <v>2E-3</v>
      </c>
    </row>
    <row r="316" spans="14:152" x14ac:dyDescent="0.4">
      <c r="N316" s="89">
        <v>94</v>
      </c>
      <c r="O316" s="2">
        <v>41</v>
      </c>
      <c r="P316" s="2">
        <v>0</v>
      </c>
      <c r="Q316" s="2">
        <v>0.16986780000000001</v>
      </c>
      <c r="Z316" s="89">
        <v>95</v>
      </c>
      <c r="AA316" s="2">
        <v>41</v>
      </c>
      <c r="AB316" s="2">
        <v>1</v>
      </c>
      <c r="AC316" s="2">
        <v>4.9102279999999998E-2</v>
      </c>
      <c r="AL316" s="89">
        <v>93</v>
      </c>
      <c r="AM316" s="2">
        <v>41</v>
      </c>
      <c r="AN316" s="2">
        <v>0</v>
      </c>
      <c r="AO316" s="2">
        <v>0.13</v>
      </c>
      <c r="AX316" s="89">
        <v>103</v>
      </c>
      <c r="AY316" s="2">
        <v>43</v>
      </c>
      <c r="AZ316" s="2">
        <v>0</v>
      </c>
      <c r="BA316" s="2">
        <v>3.539282</v>
      </c>
      <c r="BJ316" s="89">
        <v>102</v>
      </c>
      <c r="BK316" s="2">
        <v>43</v>
      </c>
      <c r="BL316" s="2">
        <v>1</v>
      </c>
      <c r="BM316" s="2">
        <v>6.883887E-3</v>
      </c>
      <c r="BV316" s="89">
        <v>101</v>
      </c>
      <c r="BW316" s="2">
        <v>43</v>
      </c>
      <c r="BX316" s="2">
        <v>0</v>
      </c>
      <c r="BY316" s="2">
        <v>3.7764180000000001</v>
      </c>
      <c r="CH316" s="89">
        <v>102</v>
      </c>
      <c r="CI316" s="2">
        <v>43</v>
      </c>
      <c r="CJ316" s="2">
        <v>0</v>
      </c>
      <c r="CK316" s="2">
        <v>3.836643</v>
      </c>
      <c r="CT316" s="89">
        <v>108</v>
      </c>
      <c r="CU316" s="2">
        <v>42</v>
      </c>
      <c r="CV316" s="2">
        <v>0</v>
      </c>
      <c r="CW316" s="2">
        <v>0.13100500000000001</v>
      </c>
      <c r="DF316" s="89">
        <v>102</v>
      </c>
      <c r="DG316" s="2">
        <v>43</v>
      </c>
      <c r="DH316" s="2">
        <v>0</v>
      </c>
      <c r="DI316" s="2">
        <v>3.5088819999999998</v>
      </c>
      <c r="DR316" s="89">
        <v>100</v>
      </c>
      <c r="DS316" s="2">
        <v>40</v>
      </c>
      <c r="DT316" s="2">
        <v>0</v>
      </c>
      <c r="DU316" s="2">
        <v>1.8446149999999999</v>
      </c>
      <c r="ED316" s="89">
        <v>99</v>
      </c>
      <c r="EE316" s="2">
        <v>43</v>
      </c>
      <c r="EF316" s="2">
        <v>0</v>
      </c>
      <c r="EG316" s="2">
        <v>3.396509</v>
      </c>
      <c r="ES316">
        <v>99</v>
      </c>
      <c r="ET316">
        <v>43</v>
      </c>
      <c r="EU316">
        <v>0</v>
      </c>
      <c r="EV316">
        <v>3.396509</v>
      </c>
    </row>
    <row r="317" spans="14:152" x14ac:dyDescent="0.4">
      <c r="N317" s="89">
        <v>94</v>
      </c>
      <c r="O317" s="2">
        <v>41</v>
      </c>
      <c r="P317" s="2">
        <v>1</v>
      </c>
      <c r="Q317" s="2">
        <v>2.6444450000000001E-2</v>
      </c>
      <c r="Z317" s="89">
        <v>96</v>
      </c>
      <c r="AA317" s="2">
        <v>41</v>
      </c>
      <c r="AB317" s="2">
        <v>0</v>
      </c>
      <c r="AC317" s="2">
        <v>0.59099999999999997</v>
      </c>
      <c r="AL317" s="89">
        <v>93</v>
      </c>
      <c r="AM317" s="2">
        <v>41</v>
      </c>
      <c r="AN317" s="2">
        <v>1</v>
      </c>
      <c r="AO317" s="2">
        <v>1.05951E-2</v>
      </c>
      <c r="AX317" s="89">
        <v>104</v>
      </c>
      <c r="AY317" s="2">
        <v>43</v>
      </c>
      <c r="AZ317" s="2">
        <v>0</v>
      </c>
      <c r="BA317" s="2">
        <v>3.824103</v>
      </c>
      <c r="BJ317" s="89">
        <v>103</v>
      </c>
      <c r="BK317" s="2">
        <v>43</v>
      </c>
      <c r="BL317" s="2">
        <v>0</v>
      </c>
      <c r="BM317" s="2">
        <v>3.7313019999999999</v>
      </c>
      <c r="BV317" s="89">
        <v>102</v>
      </c>
      <c r="BW317" s="2">
        <v>43</v>
      </c>
      <c r="BX317" s="2">
        <v>0</v>
      </c>
      <c r="BY317" s="2">
        <v>3.8641030000000001</v>
      </c>
      <c r="CH317" s="89">
        <v>102</v>
      </c>
      <c r="CI317" s="2">
        <v>43</v>
      </c>
      <c r="CJ317" s="2">
        <v>1</v>
      </c>
      <c r="CK317" s="2">
        <v>4.9655649999999999E-3</v>
      </c>
      <c r="CT317" s="89">
        <v>109</v>
      </c>
      <c r="CU317" s="2">
        <v>42</v>
      </c>
      <c r="CV317" s="2">
        <v>0</v>
      </c>
      <c r="CW317" s="2">
        <v>3.2147000000000002E-2</v>
      </c>
      <c r="DF317" s="89">
        <v>102</v>
      </c>
      <c r="DG317" s="2">
        <v>43</v>
      </c>
      <c r="DH317" s="2">
        <v>1</v>
      </c>
      <c r="DI317" s="2">
        <v>1.9444449999999999E-3</v>
      </c>
      <c r="DR317" s="89">
        <v>101</v>
      </c>
      <c r="DS317" s="2">
        <v>40</v>
      </c>
      <c r="DT317" s="2">
        <v>0</v>
      </c>
      <c r="DU317" s="2">
        <v>1.0235749999999999</v>
      </c>
      <c r="ED317" s="89">
        <v>99</v>
      </c>
      <c r="EE317" s="2">
        <v>43</v>
      </c>
      <c r="EF317" s="2">
        <v>1</v>
      </c>
      <c r="EG317" s="2">
        <v>2.9729380000000001</v>
      </c>
      <c r="ES317">
        <v>99</v>
      </c>
      <c r="ET317">
        <v>43</v>
      </c>
      <c r="EU317">
        <v>1</v>
      </c>
      <c r="EV317">
        <v>2.9729380000000001</v>
      </c>
    </row>
    <row r="318" spans="14:152" x14ac:dyDescent="0.4">
      <c r="N318" s="89">
        <v>95</v>
      </c>
      <c r="O318" s="2">
        <v>41</v>
      </c>
      <c r="P318" s="2">
        <v>0</v>
      </c>
      <c r="Q318" s="2">
        <v>4.2620909999999999</v>
      </c>
      <c r="Z318" s="89">
        <v>97</v>
      </c>
      <c r="AA318" s="2">
        <v>41</v>
      </c>
      <c r="AB318" s="2">
        <v>0</v>
      </c>
      <c r="AC318" s="2">
        <v>4.2534789999999996</v>
      </c>
      <c r="AL318" s="89">
        <v>94</v>
      </c>
      <c r="AM318" s="2">
        <v>41</v>
      </c>
      <c r="AN318" s="2">
        <v>0</v>
      </c>
      <c r="AO318" s="2">
        <v>0.3546357</v>
      </c>
      <c r="AX318" s="89">
        <v>105</v>
      </c>
      <c r="AY318" s="2">
        <v>43</v>
      </c>
      <c r="AZ318" s="2">
        <v>0</v>
      </c>
      <c r="BA318" s="2">
        <v>3.7514530000000001</v>
      </c>
      <c r="BJ318" s="89">
        <v>104</v>
      </c>
      <c r="BK318" s="2">
        <v>43</v>
      </c>
      <c r="BL318" s="2">
        <v>0</v>
      </c>
      <c r="BM318" s="2">
        <v>3.6624210000000001</v>
      </c>
      <c r="BV318" s="89">
        <v>102</v>
      </c>
      <c r="BW318" s="2">
        <v>43</v>
      </c>
      <c r="BX318" s="2">
        <v>1</v>
      </c>
      <c r="BY318" s="2">
        <v>2.9560979999999999E-3</v>
      </c>
      <c r="CH318" s="89">
        <v>103</v>
      </c>
      <c r="CI318" s="2">
        <v>43</v>
      </c>
      <c r="CJ318" s="2">
        <v>0</v>
      </c>
      <c r="CK318" s="2">
        <v>3.5931790000000001</v>
      </c>
      <c r="CT318" s="89">
        <v>110</v>
      </c>
      <c r="CU318" s="2">
        <v>42</v>
      </c>
      <c r="CV318" s="2">
        <v>0</v>
      </c>
      <c r="CW318" s="2">
        <v>2.06E-2</v>
      </c>
      <c r="DF318" s="89">
        <v>103</v>
      </c>
      <c r="DG318" s="2">
        <v>43</v>
      </c>
      <c r="DH318" s="2">
        <v>0</v>
      </c>
      <c r="DI318" s="2">
        <v>3.2052489999999998</v>
      </c>
      <c r="DR318" s="89">
        <v>102</v>
      </c>
      <c r="DS318" s="2">
        <v>40</v>
      </c>
      <c r="DT318" s="2">
        <v>0</v>
      </c>
      <c r="DU318" s="2">
        <v>0.55632479999999995</v>
      </c>
      <c r="ED318" s="89">
        <v>100</v>
      </c>
      <c r="EE318" s="2">
        <v>43</v>
      </c>
      <c r="EF318" s="2">
        <v>0</v>
      </c>
      <c r="EG318" s="2">
        <v>2.5999999999999999E-2</v>
      </c>
      <c r="ES318">
        <v>100</v>
      </c>
      <c r="ET318">
        <v>43</v>
      </c>
      <c r="EU318">
        <v>0</v>
      </c>
      <c r="EV318">
        <v>2.5999999999999999E-2</v>
      </c>
    </row>
    <row r="319" spans="14:152" x14ac:dyDescent="0.4">
      <c r="N319" s="89">
        <v>95</v>
      </c>
      <c r="O319" s="2">
        <v>41</v>
      </c>
      <c r="P319" s="2">
        <v>1</v>
      </c>
      <c r="Q319" s="2">
        <v>5.3940490000000001E-2</v>
      </c>
      <c r="Z319" s="89">
        <v>97</v>
      </c>
      <c r="AA319" s="2">
        <v>41</v>
      </c>
      <c r="AB319" s="2">
        <v>1</v>
      </c>
      <c r="AC319" s="2">
        <v>2.8494510000000002</v>
      </c>
      <c r="AL319" s="89">
        <v>94</v>
      </c>
      <c r="AM319" s="2">
        <v>41</v>
      </c>
      <c r="AN319" s="2">
        <v>1</v>
      </c>
      <c r="AO319" s="2">
        <v>7.2868420000000003E-2</v>
      </c>
      <c r="AX319" s="89">
        <v>106</v>
      </c>
      <c r="AY319" s="2">
        <v>43</v>
      </c>
      <c r="AZ319" s="2">
        <v>0</v>
      </c>
      <c r="BA319" s="2">
        <v>3.2139069999999998</v>
      </c>
      <c r="BJ319" s="89">
        <v>105</v>
      </c>
      <c r="BK319" s="2">
        <v>43</v>
      </c>
      <c r="BL319" s="2">
        <v>0</v>
      </c>
      <c r="BM319" s="2">
        <v>3.2469320000000002</v>
      </c>
      <c r="BV319" s="89">
        <v>103</v>
      </c>
      <c r="BW319" s="2">
        <v>43</v>
      </c>
      <c r="BX319" s="2">
        <v>0</v>
      </c>
      <c r="BY319" s="2">
        <v>3.6282139999999998</v>
      </c>
      <c r="CH319" s="89">
        <v>104</v>
      </c>
      <c r="CI319" s="2">
        <v>43</v>
      </c>
      <c r="CJ319" s="2">
        <v>0</v>
      </c>
      <c r="CK319" s="2">
        <v>3.2288589999999999</v>
      </c>
      <c r="CT319" s="89">
        <v>112</v>
      </c>
      <c r="CU319" s="2">
        <v>42</v>
      </c>
      <c r="CV319" s="2">
        <v>0</v>
      </c>
      <c r="CW319" s="2">
        <v>1E-3</v>
      </c>
      <c r="DF319" s="89">
        <v>104</v>
      </c>
      <c r="DG319" s="2">
        <v>43</v>
      </c>
      <c r="DH319" s="2">
        <v>0</v>
      </c>
      <c r="DI319" s="2">
        <v>2.8823799999999999</v>
      </c>
      <c r="DR319" s="89">
        <v>103</v>
      </c>
      <c r="DS319" s="2">
        <v>40</v>
      </c>
      <c r="DT319" s="2">
        <v>0</v>
      </c>
      <c r="DU319" s="2">
        <v>0.22619120000000001</v>
      </c>
      <c r="ED319" s="89">
        <v>101</v>
      </c>
      <c r="EE319" s="2">
        <v>43</v>
      </c>
      <c r="EF319" s="2">
        <v>0</v>
      </c>
      <c r="EG319" s="2">
        <v>3.7952279999999998</v>
      </c>
      <c r="ES319">
        <v>101</v>
      </c>
      <c r="ET319">
        <v>43</v>
      </c>
      <c r="EU319">
        <v>0</v>
      </c>
      <c r="EV319">
        <v>3.7952279999999998</v>
      </c>
    </row>
    <row r="320" spans="14:152" x14ac:dyDescent="0.4">
      <c r="N320" s="89">
        <v>96</v>
      </c>
      <c r="O320" s="2">
        <v>41</v>
      </c>
      <c r="P320" s="2">
        <v>0</v>
      </c>
      <c r="Q320" s="2">
        <v>0.91300000000000003</v>
      </c>
      <c r="Z320" s="89">
        <v>98</v>
      </c>
      <c r="AA320" s="2">
        <v>41</v>
      </c>
      <c r="AB320" s="2">
        <v>0</v>
      </c>
      <c r="AC320" s="2">
        <v>2.4010549999999999</v>
      </c>
      <c r="AL320" s="89">
        <v>95</v>
      </c>
      <c r="AM320" s="2">
        <v>41</v>
      </c>
      <c r="AN320" s="2">
        <v>0</v>
      </c>
      <c r="AO320" s="2">
        <v>4.536829</v>
      </c>
      <c r="AX320" s="89">
        <v>107</v>
      </c>
      <c r="AY320" s="2">
        <v>43</v>
      </c>
      <c r="AZ320" s="2">
        <v>0</v>
      </c>
      <c r="BA320" s="2">
        <v>2.7359930000000001</v>
      </c>
      <c r="BJ320" s="89">
        <v>106</v>
      </c>
      <c r="BK320" s="2">
        <v>43</v>
      </c>
      <c r="BL320" s="2">
        <v>0</v>
      </c>
      <c r="BM320" s="2">
        <v>2.65774</v>
      </c>
      <c r="BV320" s="89">
        <v>104</v>
      </c>
      <c r="BW320" s="2">
        <v>43</v>
      </c>
      <c r="BX320" s="2">
        <v>0</v>
      </c>
      <c r="BY320" s="2">
        <v>3.4731079999999999</v>
      </c>
      <c r="CH320" s="89">
        <v>105</v>
      </c>
      <c r="CI320" s="2">
        <v>43</v>
      </c>
      <c r="CJ320" s="2">
        <v>0</v>
      </c>
      <c r="CK320" s="2">
        <v>2.6402580000000002</v>
      </c>
      <c r="CT320" s="89">
        <v>97</v>
      </c>
      <c r="CU320" s="2">
        <v>43</v>
      </c>
      <c r="CV320" s="2">
        <v>0</v>
      </c>
      <c r="CW320" s="2">
        <v>1E-3</v>
      </c>
      <c r="DF320" s="89">
        <v>105</v>
      </c>
      <c r="DG320" s="2">
        <v>43</v>
      </c>
      <c r="DH320" s="2">
        <v>0</v>
      </c>
      <c r="DI320" s="2">
        <v>2.5702370000000001</v>
      </c>
      <c r="DR320" s="89">
        <v>104</v>
      </c>
      <c r="DS320" s="2">
        <v>40</v>
      </c>
      <c r="DT320" s="2">
        <v>0</v>
      </c>
      <c r="DU320" s="2">
        <v>8.0846310000000005E-2</v>
      </c>
      <c r="ED320" s="89">
        <v>102</v>
      </c>
      <c r="EE320" s="2">
        <v>43</v>
      </c>
      <c r="EF320" s="2">
        <v>0</v>
      </c>
      <c r="EG320" s="2">
        <v>3.8553920000000002</v>
      </c>
      <c r="ES320">
        <v>102</v>
      </c>
      <c r="ET320">
        <v>43</v>
      </c>
      <c r="EU320">
        <v>0</v>
      </c>
      <c r="EV320">
        <v>3.8553920000000002</v>
      </c>
    </row>
    <row r="321" spans="14:152" x14ac:dyDescent="0.4">
      <c r="N321" s="89">
        <v>97</v>
      </c>
      <c r="O321" s="2">
        <v>41</v>
      </c>
      <c r="P321" s="2">
        <v>0</v>
      </c>
      <c r="Q321" s="2">
        <v>4.0709900000000001</v>
      </c>
      <c r="Z321" s="89">
        <v>98</v>
      </c>
      <c r="AA321" s="2">
        <v>41</v>
      </c>
      <c r="AB321" s="2">
        <v>1</v>
      </c>
      <c r="AC321" s="2">
        <v>1.5109999999999999</v>
      </c>
      <c r="AL321" s="89">
        <v>95</v>
      </c>
      <c r="AM321" s="2">
        <v>41</v>
      </c>
      <c r="AN321" s="2">
        <v>1</v>
      </c>
      <c r="AO321" s="2">
        <v>6.1317610000000002E-2</v>
      </c>
      <c r="AX321" s="89">
        <v>108</v>
      </c>
      <c r="AY321" s="2">
        <v>43</v>
      </c>
      <c r="AZ321" s="2">
        <v>0</v>
      </c>
      <c r="BA321" s="2">
        <v>1.695713</v>
      </c>
      <c r="BJ321" s="89">
        <v>107</v>
      </c>
      <c r="BK321" s="2">
        <v>43</v>
      </c>
      <c r="BL321" s="2">
        <v>0</v>
      </c>
      <c r="BM321" s="2">
        <v>1.9948349999999999</v>
      </c>
      <c r="BV321" s="89">
        <v>105</v>
      </c>
      <c r="BW321" s="2">
        <v>43</v>
      </c>
      <c r="BX321" s="2">
        <v>0</v>
      </c>
      <c r="BY321" s="2">
        <v>3.1904379999999999</v>
      </c>
      <c r="CH321" s="89">
        <v>106</v>
      </c>
      <c r="CI321" s="2">
        <v>43</v>
      </c>
      <c r="CJ321" s="2">
        <v>0</v>
      </c>
      <c r="CK321" s="2">
        <v>1.9981850000000001</v>
      </c>
      <c r="CT321" s="89">
        <v>98</v>
      </c>
      <c r="CU321" s="2">
        <v>43</v>
      </c>
      <c r="CV321" s="2">
        <v>0</v>
      </c>
      <c r="CW321" s="2">
        <v>4.0000000000000001E-3</v>
      </c>
      <c r="DF321" s="89">
        <v>106</v>
      </c>
      <c r="DG321" s="2">
        <v>43</v>
      </c>
      <c r="DH321" s="2">
        <v>0</v>
      </c>
      <c r="DI321" s="2">
        <v>2.364382</v>
      </c>
      <c r="DR321" s="89">
        <v>105</v>
      </c>
      <c r="DS321" s="2">
        <v>40</v>
      </c>
      <c r="DT321" s="2">
        <v>0</v>
      </c>
      <c r="DU321" s="2">
        <v>3.48025E-2</v>
      </c>
      <c r="ED321" s="89">
        <v>102</v>
      </c>
      <c r="EE321" s="2">
        <v>43</v>
      </c>
      <c r="EF321" s="2">
        <v>1</v>
      </c>
      <c r="EG321" s="2">
        <v>4.925596E-3</v>
      </c>
      <c r="ES321">
        <v>102</v>
      </c>
      <c r="ET321">
        <v>43</v>
      </c>
      <c r="EU321">
        <v>1</v>
      </c>
      <c r="EV321">
        <v>4.925596E-3</v>
      </c>
    </row>
    <row r="322" spans="14:152" x14ac:dyDescent="0.4">
      <c r="N322" s="89">
        <v>97</v>
      </c>
      <c r="O322" s="2">
        <v>41</v>
      </c>
      <c r="P322" s="2">
        <v>1</v>
      </c>
      <c r="Q322" s="2">
        <v>2.3874870000000001</v>
      </c>
      <c r="Z322" s="89">
        <v>99</v>
      </c>
      <c r="AA322" s="2">
        <v>41</v>
      </c>
      <c r="AB322" s="2">
        <v>0</v>
      </c>
      <c r="AC322" s="2">
        <v>2.8770989999999999</v>
      </c>
      <c r="AL322" s="89">
        <v>96</v>
      </c>
      <c r="AM322" s="2">
        <v>41</v>
      </c>
      <c r="AN322" s="2">
        <v>0</v>
      </c>
      <c r="AO322" s="2">
        <v>1.304</v>
      </c>
      <c r="AX322" s="89">
        <v>109</v>
      </c>
      <c r="AY322" s="2">
        <v>43</v>
      </c>
      <c r="AZ322" s="2">
        <v>0</v>
      </c>
      <c r="BA322" s="2">
        <v>0.9879095</v>
      </c>
      <c r="BJ322" s="89">
        <v>108</v>
      </c>
      <c r="BK322" s="2">
        <v>43</v>
      </c>
      <c r="BL322" s="2">
        <v>0</v>
      </c>
      <c r="BM322" s="2">
        <v>1.1800440000000001</v>
      </c>
      <c r="BV322" s="89">
        <v>106</v>
      </c>
      <c r="BW322" s="2">
        <v>43</v>
      </c>
      <c r="BX322" s="2">
        <v>0</v>
      </c>
      <c r="BY322" s="2">
        <v>2.8666749999999999</v>
      </c>
      <c r="CH322" s="89">
        <v>107</v>
      </c>
      <c r="CI322" s="2">
        <v>43</v>
      </c>
      <c r="CJ322" s="2">
        <v>0</v>
      </c>
      <c r="CK322" s="2">
        <v>1.31352</v>
      </c>
      <c r="CT322" s="89">
        <v>99</v>
      </c>
      <c r="CU322" s="2">
        <v>43</v>
      </c>
      <c r="CV322" s="2">
        <v>0</v>
      </c>
      <c r="CW322" s="2">
        <v>2.212866</v>
      </c>
      <c r="DF322" s="89">
        <v>107</v>
      </c>
      <c r="DG322" s="2">
        <v>43</v>
      </c>
      <c r="DH322" s="2">
        <v>0</v>
      </c>
      <c r="DI322" s="2">
        <v>2.1561180000000002</v>
      </c>
      <c r="DR322" s="89">
        <v>106</v>
      </c>
      <c r="DS322" s="2">
        <v>40</v>
      </c>
      <c r="DT322" s="2">
        <v>0</v>
      </c>
      <c r="DU322" s="2">
        <v>1.2999999999999999E-2</v>
      </c>
      <c r="ED322" s="89">
        <v>103</v>
      </c>
      <c r="EE322" s="2">
        <v>43</v>
      </c>
      <c r="EF322" s="2">
        <v>0</v>
      </c>
      <c r="EG322" s="2">
        <v>3.7360959999999999</v>
      </c>
      <c r="ES322">
        <v>103</v>
      </c>
      <c r="ET322">
        <v>43</v>
      </c>
      <c r="EU322">
        <v>0</v>
      </c>
      <c r="EV322">
        <v>3.7360959999999999</v>
      </c>
    </row>
    <row r="323" spans="14:152" x14ac:dyDescent="0.4">
      <c r="N323" s="89">
        <v>98</v>
      </c>
      <c r="O323" s="2">
        <v>41</v>
      </c>
      <c r="P323" s="2">
        <v>0</v>
      </c>
      <c r="Q323" s="2">
        <v>1.921473</v>
      </c>
      <c r="Z323" s="89">
        <v>99</v>
      </c>
      <c r="AA323" s="2">
        <v>41</v>
      </c>
      <c r="AB323" s="2">
        <v>1</v>
      </c>
      <c r="AC323" s="2">
        <v>0.56465569999999998</v>
      </c>
      <c r="AL323" s="89">
        <v>97</v>
      </c>
      <c r="AM323" s="2">
        <v>41</v>
      </c>
      <c r="AN323" s="2">
        <v>0</v>
      </c>
      <c r="AO323" s="2">
        <v>4.2436670000000003</v>
      </c>
      <c r="AX323" s="89">
        <v>110</v>
      </c>
      <c r="AY323" s="2">
        <v>43</v>
      </c>
      <c r="AZ323" s="2">
        <v>0</v>
      </c>
      <c r="BA323" s="2">
        <v>0.45029269999999999</v>
      </c>
      <c r="BJ323" s="89">
        <v>109</v>
      </c>
      <c r="BK323" s="2">
        <v>43</v>
      </c>
      <c r="BL323" s="2">
        <v>0</v>
      </c>
      <c r="BM323" s="2">
        <v>0.57464630000000005</v>
      </c>
      <c r="BV323" s="89">
        <v>107</v>
      </c>
      <c r="BW323" s="2">
        <v>43</v>
      </c>
      <c r="BX323" s="2">
        <v>0</v>
      </c>
      <c r="BY323" s="2">
        <v>2.366603</v>
      </c>
      <c r="CH323" s="89">
        <v>108</v>
      </c>
      <c r="CI323" s="2">
        <v>43</v>
      </c>
      <c r="CJ323" s="2">
        <v>0</v>
      </c>
      <c r="CK323" s="2">
        <v>0.76028479999999998</v>
      </c>
      <c r="CT323" s="89">
        <v>99</v>
      </c>
      <c r="CU323" s="2">
        <v>43</v>
      </c>
      <c r="CV323" s="2">
        <v>1</v>
      </c>
      <c r="CW323" s="2">
        <v>1.921287</v>
      </c>
      <c r="DF323" s="89">
        <v>108</v>
      </c>
      <c r="DG323" s="2">
        <v>43</v>
      </c>
      <c r="DH323" s="2">
        <v>0</v>
      </c>
      <c r="DI323" s="2">
        <v>1.7357149999999999</v>
      </c>
      <c r="DR323" s="89">
        <v>107</v>
      </c>
      <c r="DS323" s="2">
        <v>40</v>
      </c>
      <c r="DT323" s="2">
        <v>0</v>
      </c>
      <c r="DU323" s="2">
        <v>5.0000000000000001E-3</v>
      </c>
      <c r="ED323" s="89">
        <v>104</v>
      </c>
      <c r="EE323" s="2">
        <v>43</v>
      </c>
      <c r="EF323" s="2">
        <v>0</v>
      </c>
      <c r="EG323" s="2">
        <v>3.598573</v>
      </c>
      <c r="ES323">
        <v>104</v>
      </c>
      <c r="ET323">
        <v>43</v>
      </c>
      <c r="EU323">
        <v>0</v>
      </c>
      <c r="EV323">
        <v>3.598573</v>
      </c>
    </row>
    <row r="324" spans="14:152" x14ac:dyDescent="0.4">
      <c r="N324" s="89">
        <v>98</v>
      </c>
      <c r="O324" s="2">
        <v>41</v>
      </c>
      <c r="P324" s="2">
        <v>1</v>
      </c>
      <c r="Q324" s="2">
        <v>1.742</v>
      </c>
      <c r="Z324" s="89">
        <v>100</v>
      </c>
      <c r="AA324" s="2">
        <v>41</v>
      </c>
      <c r="AB324" s="2">
        <v>0</v>
      </c>
      <c r="AC324" s="2">
        <v>1.0229459999999999</v>
      </c>
      <c r="AL324" s="89">
        <v>97</v>
      </c>
      <c r="AM324" s="2">
        <v>41</v>
      </c>
      <c r="AN324" s="2">
        <v>1</v>
      </c>
      <c r="AO324" s="2">
        <v>2.2351990000000002</v>
      </c>
      <c r="AX324" s="89">
        <v>111</v>
      </c>
      <c r="AY324" s="2">
        <v>43</v>
      </c>
      <c r="AZ324" s="2">
        <v>0</v>
      </c>
      <c r="BA324" s="2">
        <v>0.22794890000000001</v>
      </c>
      <c r="BJ324" s="89">
        <v>110</v>
      </c>
      <c r="BK324" s="2">
        <v>43</v>
      </c>
      <c r="BL324" s="2">
        <v>0</v>
      </c>
      <c r="BM324" s="2">
        <v>0.28203089999999997</v>
      </c>
      <c r="BV324" s="89">
        <v>108</v>
      </c>
      <c r="BW324" s="2">
        <v>43</v>
      </c>
      <c r="BX324" s="2">
        <v>0</v>
      </c>
      <c r="BY324" s="2">
        <v>1.7321359999999999</v>
      </c>
      <c r="CH324" s="89">
        <v>109</v>
      </c>
      <c r="CI324" s="2">
        <v>43</v>
      </c>
      <c r="CJ324" s="2">
        <v>0</v>
      </c>
      <c r="CK324" s="2">
        <v>0.36571520000000002</v>
      </c>
      <c r="CT324" s="89">
        <v>100</v>
      </c>
      <c r="CU324" s="2">
        <v>43</v>
      </c>
      <c r="CV324" s="2">
        <v>0</v>
      </c>
      <c r="CW324" s="2">
        <v>8.8999999999999996E-2</v>
      </c>
      <c r="DF324" s="89">
        <v>109</v>
      </c>
      <c r="DG324" s="2">
        <v>43</v>
      </c>
      <c r="DH324" s="2">
        <v>0</v>
      </c>
      <c r="DI324" s="2">
        <v>1.2995589999999999</v>
      </c>
      <c r="DR324" s="89">
        <v>109</v>
      </c>
      <c r="DS324" s="2">
        <v>40</v>
      </c>
      <c r="DT324" s="2">
        <v>0</v>
      </c>
      <c r="DU324" s="2">
        <v>1E-3</v>
      </c>
      <c r="ED324" s="89">
        <v>105</v>
      </c>
      <c r="EE324" s="2">
        <v>43</v>
      </c>
      <c r="EF324" s="2">
        <v>0</v>
      </c>
      <c r="EG324" s="2">
        <v>3.4272260000000001</v>
      </c>
      <c r="ES324">
        <v>105</v>
      </c>
      <c r="ET324">
        <v>43</v>
      </c>
      <c r="EU324">
        <v>0</v>
      </c>
      <c r="EV324">
        <v>3.4272260000000001</v>
      </c>
    </row>
    <row r="325" spans="14:152" x14ac:dyDescent="0.4">
      <c r="N325" s="89">
        <v>99</v>
      </c>
      <c r="O325" s="2">
        <v>41</v>
      </c>
      <c r="P325" s="2">
        <v>0</v>
      </c>
      <c r="Q325" s="2">
        <v>2.5405600000000002</v>
      </c>
      <c r="Z325" s="89">
        <v>100</v>
      </c>
      <c r="AA325" s="2">
        <v>41</v>
      </c>
      <c r="AB325" s="2">
        <v>1</v>
      </c>
      <c r="AC325" s="2">
        <v>1.6419999999999999</v>
      </c>
      <c r="AL325" s="89">
        <v>98</v>
      </c>
      <c r="AM325" s="2">
        <v>41</v>
      </c>
      <c r="AN325" s="2">
        <v>0</v>
      </c>
      <c r="AO325" s="2">
        <v>1.7761750000000001</v>
      </c>
      <c r="AX325" s="89">
        <v>112</v>
      </c>
      <c r="AY325" s="2">
        <v>43</v>
      </c>
      <c r="AZ325" s="2">
        <v>0</v>
      </c>
      <c r="BA325" s="2">
        <v>5.8958400000000001E-2</v>
      </c>
      <c r="BJ325" s="89">
        <v>111</v>
      </c>
      <c r="BK325" s="2">
        <v>43</v>
      </c>
      <c r="BL325" s="2">
        <v>0</v>
      </c>
      <c r="BM325" s="2">
        <v>0.1189899</v>
      </c>
      <c r="BV325" s="89">
        <v>109</v>
      </c>
      <c r="BW325" s="2">
        <v>43</v>
      </c>
      <c r="BX325" s="2">
        <v>0</v>
      </c>
      <c r="BY325" s="2">
        <v>1.0912660000000001</v>
      </c>
      <c r="CH325" s="89">
        <v>110</v>
      </c>
      <c r="CI325" s="2">
        <v>43</v>
      </c>
      <c r="CJ325" s="2">
        <v>0</v>
      </c>
      <c r="CK325" s="2">
        <v>0.16703090000000001</v>
      </c>
      <c r="CT325" s="89">
        <v>101</v>
      </c>
      <c r="CU325" s="2">
        <v>43</v>
      </c>
      <c r="CV325" s="2">
        <v>0</v>
      </c>
      <c r="CW325" s="2">
        <v>2.5296859999999999</v>
      </c>
      <c r="DF325" s="89">
        <v>110</v>
      </c>
      <c r="DG325" s="2">
        <v>43</v>
      </c>
      <c r="DH325" s="2">
        <v>0</v>
      </c>
      <c r="DI325" s="2">
        <v>0.81960169999999999</v>
      </c>
      <c r="DR325" s="89">
        <v>93</v>
      </c>
      <c r="DS325" s="2">
        <v>41</v>
      </c>
      <c r="DT325" s="2">
        <v>0</v>
      </c>
      <c r="DU325" s="2">
        <v>4.0000000000000001E-3</v>
      </c>
      <c r="ED325" s="89">
        <v>106</v>
      </c>
      <c r="EE325" s="2">
        <v>43</v>
      </c>
      <c r="EF325" s="2">
        <v>0</v>
      </c>
      <c r="EG325" s="2">
        <v>2.7302339999999998</v>
      </c>
      <c r="ES325">
        <v>106</v>
      </c>
      <c r="ET325">
        <v>43</v>
      </c>
      <c r="EU325">
        <v>0</v>
      </c>
      <c r="EV325">
        <v>2.7302339999999998</v>
      </c>
    </row>
    <row r="326" spans="14:152" x14ac:dyDescent="0.4">
      <c r="N326" s="89">
        <v>99</v>
      </c>
      <c r="O326" s="2">
        <v>41</v>
      </c>
      <c r="P326" s="2">
        <v>1</v>
      </c>
      <c r="Q326" s="2">
        <v>0.39821260000000003</v>
      </c>
      <c r="Z326" s="89">
        <v>101</v>
      </c>
      <c r="AA326" s="2">
        <v>41</v>
      </c>
      <c r="AB326" s="2">
        <v>0</v>
      </c>
      <c r="AC326" s="2">
        <v>1.882471</v>
      </c>
      <c r="AL326" s="89">
        <v>98</v>
      </c>
      <c r="AM326" s="2">
        <v>41</v>
      </c>
      <c r="AN326" s="2">
        <v>1</v>
      </c>
      <c r="AO326" s="2">
        <v>1.9119999999999999</v>
      </c>
      <c r="AX326" s="89">
        <v>113</v>
      </c>
      <c r="AY326" s="2">
        <v>43</v>
      </c>
      <c r="AZ326" s="2">
        <v>0</v>
      </c>
      <c r="BA326" s="2">
        <v>2.1999999999999999E-2</v>
      </c>
      <c r="BJ326" s="89">
        <v>112</v>
      </c>
      <c r="BK326" s="2">
        <v>43</v>
      </c>
      <c r="BL326" s="2">
        <v>0</v>
      </c>
      <c r="BM326" s="2">
        <v>3.9979199999999999E-2</v>
      </c>
      <c r="BV326" s="89">
        <v>110</v>
      </c>
      <c r="BW326" s="2">
        <v>43</v>
      </c>
      <c r="BX326" s="2">
        <v>0</v>
      </c>
      <c r="BY326" s="2">
        <v>0.60595449999999995</v>
      </c>
      <c r="CH326" s="89">
        <v>111</v>
      </c>
      <c r="CI326" s="2">
        <v>43</v>
      </c>
      <c r="CJ326" s="2">
        <v>0</v>
      </c>
      <c r="CK326" s="2">
        <v>6.6969100000000004E-2</v>
      </c>
      <c r="CT326" s="89">
        <v>102</v>
      </c>
      <c r="CU326" s="2">
        <v>43</v>
      </c>
      <c r="CV326" s="2">
        <v>0</v>
      </c>
      <c r="CW326" s="2">
        <v>2.7227329999999998</v>
      </c>
      <c r="DF326" s="89">
        <v>111</v>
      </c>
      <c r="DG326" s="2">
        <v>43</v>
      </c>
      <c r="DH326" s="2">
        <v>0</v>
      </c>
      <c r="DI326" s="2">
        <v>0.46386870000000002</v>
      </c>
      <c r="DR326" s="89">
        <v>93</v>
      </c>
      <c r="DS326" s="2">
        <v>41</v>
      </c>
      <c r="DT326" s="2">
        <v>1</v>
      </c>
      <c r="DU326" s="2">
        <v>8.0000000000000004E-4</v>
      </c>
      <c r="ED326" s="89">
        <v>107</v>
      </c>
      <c r="EE326" s="2">
        <v>43</v>
      </c>
      <c r="EF326" s="2">
        <v>0</v>
      </c>
      <c r="EG326" s="2">
        <v>2.0599120000000002</v>
      </c>
      <c r="ES326">
        <v>107</v>
      </c>
      <c r="ET326">
        <v>43</v>
      </c>
      <c r="EU326">
        <v>0</v>
      </c>
      <c r="EV326">
        <v>2.0599120000000002</v>
      </c>
    </row>
    <row r="327" spans="14:152" x14ac:dyDescent="0.4">
      <c r="N327" s="89">
        <v>100</v>
      </c>
      <c r="O327" s="2">
        <v>41</v>
      </c>
      <c r="P327" s="2">
        <v>0</v>
      </c>
      <c r="Q327" s="2">
        <v>0.6922836</v>
      </c>
      <c r="Z327" s="89">
        <v>102</v>
      </c>
      <c r="AA327" s="2">
        <v>41</v>
      </c>
      <c r="AB327" s="2">
        <v>0</v>
      </c>
      <c r="AC327" s="2">
        <v>1.05477</v>
      </c>
      <c r="AL327" s="89">
        <v>99</v>
      </c>
      <c r="AM327" s="2">
        <v>41</v>
      </c>
      <c r="AN327" s="2">
        <v>0</v>
      </c>
      <c r="AO327" s="2">
        <v>2.5194019999999999</v>
      </c>
      <c r="AX327" s="89">
        <v>114</v>
      </c>
      <c r="AY327" s="2">
        <v>43</v>
      </c>
      <c r="AZ327" s="2">
        <v>0</v>
      </c>
      <c r="BA327" s="2">
        <v>7.0000000000000001E-3</v>
      </c>
      <c r="BJ327" s="89">
        <v>113</v>
      </c>
      <c r="BK327" s="2">
        <v>43</v>
      </c>
      <c r="BL327" s="2">
        <v>0</v>
      </c>
      <c r="BM327" s="2">
        <v>1.9E-2</v>
      </c>
      <c r="BV327" s="89">
        <v>111</v>
      </c>
      <c r="BW327" s="2">
        <v>43</v>
      </c>
      <c r="BX327" s="2">
        <v>0</v>
      </c>
      <c r="BY327" s="2">
        <v>0.31194949999999999</v>
      </c>
      <c r="CH327" s="89">
        <v>112</v>
      </c>
      <c r="CI327" s="2">
        <v>43</v>
      </c>
      <c r="CJ327" s="2">
        <v>0</v>
      </c>
      <c r="CK327" s="2">
        <v>1.0999999999999999E-2</v>
      </c>
      <c r="CT327" s="89">
        <v>102</v>
      </c>
      <c r="CU327" s="2">
        <v>43</v>
      </c>
      <c r="CV327" s="2">
        <v>1</v>
      </c>
      <c r="CW327" s="2">
        <v>2.9806870000000001E-3</v>
      </c>
      <c r="DF327" s="89">
        <v>112</v>
      </c>
      <c r="DG327" s="2">
        <v>43</v>
      </c>
      <c r="DH327" s="2">
        <v>0</v>
      </c>
      <c r="DI327" s="2">
        <v>0.2227296</v>
      </c>
      <c r="DR327" s="89">
        <v>94</v>
      </c>
      <c r="DS327" s="2">
        <v>41</v>
      </c>
      <c r="DT327" s="2">
        <v>0</v>
      </c>
      <c r="DU327" s="2">
        <v>7.9911119999999999E-3</v>
      </c>
      <c r="ED327" s="89">
        <v>108</v>
      </c>
      <c r="EE327" s="2">
        <v>43</v>
      </c>
      <c r="EF327" s="2">
        <v>0</v>
      </c>
      <c r="EG327" s="2">
        <v>1.3698060000000001</v>
      </c>
      <c r="ES327">
        <v>108</v>
      </c>
      <c r="ET327">
        <v>43</v>
      </c>
      <c r="EU327">
        <v>0</v>
      </c>
      <c r="EV327">
        <v>1.3698060000000001</v>
      </c>
    </row>
    <row r="328" spans="14:152" x14ac:dyDescent="0.4">
      <c r="N328" s="89">
        <v>100</v>
      </c>
      <c r="O328" s="2">
        <v>41</v>
      </c>
      <c r="P328" s="2">
        <v>1</v>
      </c>
      <c r="Q328" s="2">
        <v>1.4350000000000001</v>
      </c>
      <c r="Z328" s="89">
        <v>102</v>
      </c>
      <c r="AA328" s="2">
        <v>41</v>
      </c>
      <c r="AB328" s="2">
        <v>1</v>
      </c>
      <c r="AC328" s="2">
        <v>7.927847E-3</v>
      </c>
      <c r="AL328" s="89">
        <v>99</v>
      </c>
      <c r="AM328" s="2">
        <v>41</v>
      </c>
      <c r="AN328" s="2">
        <v>1</v>
      </c>
      <c r="AO328" s="2">
        <v>0.35198239999999997</v>
      </c>
      <c r="AX328" s="89">
        <v>115</v>
      </c>
      <c r="AY328" s="2">
        <v>43</v>
      </c>
      <c r="AZ328" s="2">
        <v>0</v>
      </c>
      <c r="BA328" s="2">
        <v>1E-3</v>
      </c>
      <c r="BJ328" s="89">
        <v>114</v>
      </c>
      <c r="BK328" s="2">
        <v>43</v>
      </c>
      <c r="BL328" s="2">
        <v>0</v>
      </c>
      <c r="BM328" s="2">
        <v>3.0000000000000001E-3</v>
      </c>
      <c r="BV328" s="89">
        <v>112</v>
      </c>
      <c r="BW328" s="2">
        <v>43</v>
      </c>
      <c r="BX328" s="2">
        <v>0</v>
      </c>
      <c r="BY328" s="2">
        <v>0.11089599999999999</v>
      </c>
      <c r="CH328" s="89">
        <v>113</v>
      </c>
      <c r="CI328" s="2">
        <v>43</v>
      </c>
      <c r="CJ328" s="2">
        <v>0</v>
      </c>
      <c r="CK328" s="2">
        <v>5.0000000000000001E-3</v>
      </c>
      <c r="CT328" s="89">
        <v>103</v>
      </c>
      <c r="CU328" s="2">
        <v>43</v>
      </c>
      <c r="CV328" s="2">
        <v>0</v>
      </c>
      <c r="CW328" s="2">
        <v>2.8709220000000002</v>
      </c>
      <c r="DF328" s="89">
        <v>113</v>
      </c>
      <c r="DG328" s="2">
        <v>43</v>
      </c>
      <c r="DH328" s="2">
        <v>0</v>
      </c>
      <c r="DI328" s="2">
        <v>0.104</v>
      </c>
      <c r="DR328" s="89">
        <v>94</v>
      </c>
      <c r="DS328" s="2">
        <v>41</v>
      </c>
      <c r="DT328" s="2">
        <v>1</v>
      </c>
      <c r="DU328" s="2">
        <v>1.777778E-3</v>
      </c>
      <c r="ED328" s="89">
        <v>109</v>
      </c>
      <c r="EE328" s="2">
        <v>43</v>
      </c>
      <c r="EF328" s="2">
        <v>0</v>
      </c>
      <c r="EG328" s="2">
        <v>0.82591159999999997</v>
      </c>
      <c r="ES328">
        <v>109</v>
      </c>
      <c r="ET328">
        <v>43</v>
      </c>
      <c r="EU328">
        <v>0</v>
      </c>
      <c r="EV328">
        <v>0.82591159999999997</v>
      </c>
    </row>
    <row r="329" spans="14:152" x14ac:dyDescent="0.4">
      <c r="N329" s="89">
        <v>101</v>
      </c>
      <c r="O329" s="2">
        <v>41</v>
      </c>
      <c r="P329" s="2">
        <v>0</v>
      </c>
      <c r="Q329" s="2">
        <v>1.3631960000000001</v>
      </c>
      <c r="Z329" s="89">
        <v>103</v>
      </c>
      <c r="AA329" s="2">
        <v>41</v>
      </c>
      <c r="AB329" s="2">
        <v>0</v>
      </c>
      <c r="AC329" s="2">
        <v>0.59793560000000001</v>
      </c>
      <c r="AL329" s="89">
        <v>100</v>
      </c>
      <c r="AM329" s="2">
        <v>41</v>
      </c>
      <c r="AN329" s="2">
        <v>0</v>
      </c>
      <c r="AO329" s="2">
        <v>0.64549210000000001</v>
      </c>
      <c r="AX329" s="89">
        <v>99</v>
      </c>
      <c r="AY329" s="2">
        <v>44</v>
      </c>
      <c r="AZ329" s="2">
        <v>0</v>
      </c>
      <c r="BA329" s="2">
        <v>2.824084</v>
      </c>
      <c r="BJ329" s="89">
        <v>99</v>
      </c>
      <c r="BK329" s="2">
        <v>44</v>
      </c>
      <c r="BL329" s="2">
        <v>0</v>
      </c>
      <c r="BM329" s="2">
        <v>3.446831</v>
      </c>
      <c r="BV329" s="89">
        <v>113</v>
      </c>
      <c r="BW329" s="2">
        <v>43</v>
      </c>
      <c r="BX329" s="2">
        <v>0</v>
      </c>
      <c r="BY329" s="2">
        <v>3.3000000000000002E-2</v>
      </c>
      <c r="CH329" s="89">
        <v>114</v>
      </c>
      <c r="CI329" s="2">
        <v>43</v>
      </c>
      <c r="CJ329" s="2">
        <v>0</v>
      </c>
      <c r="CK329" s="2">
        <v>2E-3</v>
      </c>
      <c r="CT329" s="89">
        <v>104</v>
      </c>
      <c r="CU329" s="2">
        <v>43</v>
      </c>
      <c r="CV329" s="2">
        <v>0</v>
      </c>
      <c r="CW329" s="2">
        <v>2.6898219999999999</v>
      </c>
      <c r="DF329" s="89">
        <v>114</v>
      </c>
      <c r="DG329" s="2">
        <v>43</v>
      </c>
      <c r="DH329" s="2">
        <v>0</v>
      </c>
      <c r="DI329" s="2">
        <v>3.3000000000000002E-2</v>
      </c>
      <c r="DR329" s="89">
        <v>95</v>
      </c>
      <c r="DS329" s="2">
        <v>41</v>
      </c>
      <c r="DT329" s="2">
        <v>0</v>
      </c>
      <c r="DU329" s="2">
        <v>4.3052780000000004</v>
      </c>
      <c r="ED329" s="89">
        <v>110</v>
      </c>
      <c r="EE329" s="2">
        <v>43</v>
      </c>
      <c r="EF329" s="2">
        <v>0</v>
      </c>
      <c r="EG329" s="2">
        <v>0.38865149999999998</v>
      </c>
      <c r="ES329">
        <v>110</v>
      </c>
      <c r="ET329">
        <v>43</v>
      </c>
      <c r="EU329">
        <v>0</v>
      </c>
      <c r="EV329">
        <v>0.38865149999999998</v>
      </c>
    </row>
    <row r="330" spans="14:152" x14ac:dyDescent="0.4">
      <c r="N330" s="89">
        <v>102</v>
      </c>
      <c r="O330" s="2">
        <v>41</v>
      </c>
      <c r="P330" s="2">
        <v>0</v>
      </c>
      <c r="Q330" s="2">
        <v>0.69584480000000004</v>
      </c>
      <c r="Z330" s="89">
        <v>104</v>
      </c>
      <c r="AA330" s="2">
        <v>41</v>
      </c>
      <c r="AB330" s="2">
        <v>0</v>
      </c>
      <c r="AC330" s="2">
        <v>0.24607519999999999</v>
      </c>
      <c r="AL330" s="89">
        <v>100</v>
      </c>
      <c r="AM330" s="2">
        <v>41</v>
      </c>
      <c r="AN330" s="2">
        <v>1</v>
      </c>
      <c r="AO330" s="2">
        <v>1.42</v>
      </c>
      <c r="AX330" s="89">
        <v>100</v>
      </c>
      <c r="AY330" s="2">
        <v>44</v>
      </c>
      <c r="AZ330" s="2">
        <v>0</v>
      </c>
      <c r="BA330" s="2">
        <v>4.0000000000000001E-3</v>
      </c>
      <c r="BJ330" s="89">
        <v>100</v>
      </c>
      <c r="BK330" s="2">
        <v>44</v>
      </c>
      <c r="BL330" s="2">
        <v>0</v>
      </c>
      <c r="BM330" s="2">
        <v>4.9000000000000002E-2</v>
      </c>
      <c r="BV330" s="89">
        <v>114</v>
      </c>
      <c r="BW330" s="2">
        <v>43</v>
      </c>
      <c r="BX330" s="2">
        <v>0</v>
      </c>
      <c r="BY330" s="2">
        <v>1.4E-2</v>
      </c>
      <c r="CH330" s="89">
        <v>99</v>
      </c>
      <c r="CI330" s="2">
        <v>44</v>
      </c>
      <c r="CJ330" s="2">
        <v>0</v>
      </c>
      <c r="CK330" s="2">
        <v>3.2422390000000001</v>
      </c>
      <c r="CT330" s="89">
        <v>105</v>
      </c>
      <c r="CU330" s="2">
        <v>43</v>
      </c>
      <c r="CV330" s="2">
        <v>0</v>
      </c>
      <c r="CW330" s="2">
        <v>2.5349309999999998</v>
      </c>
      <c r="DF330" s="89">
        <v>115</v>
      </c>
      <c r="DG330" s="2">
        <v>43</v>
      </c>
      <c r="DH330" s="2">
        <v>0</v>
      </c>
      <c r="DI330" s="2">
        <v>8.0000000000000002E-3</v>
      </c>
      <c r="DR330" s="89">
        <v>95</v>
      </c>
      <c r="DS330" s="2">
        <v>41</v>
      </c>
      <c r="DT330" s="2">
        <v>1</v>
      </c>
      <c r="DU330" s="2">
        <v>4.8896549999999997E-2</v>
      </c>
      <c r="ED330" s="89">
        <v>111</v>
      </c>
      <c r="EE330" s="2">
        <v>43</v>
      </c>
      <c r="EF330" s="2">
        <v>0</v>
      </c>
      <c r="EG330" s="2">
        <v>0.1679901</v>
      </c>
      <c r="ES330">
        <v>111</v>
      </c>
      <c r="ET330">
        <v>43</v>
      </c>
      <c r="EU330">
        <v>0</v>
      </c>
      <c r="EV330">
        <v>0.1679901</v>
      </c>
    </row>
    <row r="331" spans="14:152" x14ac:dyDescent="0.4">
      <c r="N331" s="89">
        <v>102</v>
      </c>
      <c r="O331" s="2">
        <v>41</v>
      </c>
      <c r="P331" s="2">
        <v>1</v>
      </c>
      <c r="Q331" s="2">
        <v>4.9592170000000001E-3</v>
      </c>
      <c r="Z331" s="89">
        <v>105</v>
      </c>
      <c r="AA331" s="2">
        <v>41</v>
      </c>
      <c r="AB331" s="2">
        <v>0</v>
      </c>
      <c r="AC331" s="2">
        <v>9.874927E-2</v>
      </c>
      <c r="AL331" s="89">
        <v>101</v>
      </c>
      <c r="AM331" s="2">
        <v>41</v>
      </c>
      <c r="AN331" s="2">
        <v>0</v>
      </c>
      <c r="AO331" s="2">
        <v>1.309345</v>
      </c>
      <c r="AX331" s="89">
        <v>101</v>
      </c>
      <c r="AY331" s="2">
        <v>44</v>
      </c>
      <c r="AZ331" s="2">
        <v>0</v>
      </c>
      <c r="BA331" s="2">
        <v>3.1506419999999999</v>
      </c>
      <c r="BJ331" s="89">
        <v>101</v>
      </c>
      <c r="BK331" s="2">
        <v>44</v>
      </c>
      <c r="BL331" s="2">
        <v>0</v>
      </c>
      <c r="BM331" s="2">
        <v>3.6988650000000001</v>
      </c>
      <c r="BV331" s="89">
        <v>115</v>
      </c>
      <c r="BW331" s="2">
        <v>43</v>
      </c>
      <c r="BX331" s="2">
        <v>0</v>
      </c>
      <c r="BY331" s="2">
        <v>3.0000000000000001E-3</v>
      </c>
      <c r="CH331" s="89">
        <v>100</v>
      </c>
      <c r="CI331" s="2">
        <v>44</v>
      </c>
      <c r="CJ331" s="2">
        <v>0</v>
      </c>
      <c r="CK331" s="2">
        <v>0.13600000000000001</v>
      </c>
      <c r="CT331" s="89">
        <v>106</v>
      </c>
      <c r="CU331" s="2">
        <v>43</v>
      </c>
      <c r="CV331" s="2">
        <v>0</v>
      </c>
      <c r="CW331" s="2">
        <v>1.9034599999999999</v>
      </c>
      <c r="DF331" s="89">
        <v>116</v>
      </c>
      <c r="DG331" s="2">
        <v>43</v>
      </c>
      <c r="DH331" s="2">
        <v>0</v>
      </c>
      <c r="DI331" s="2">
        <v>7.0000000000000001E-3</v>
      </c>
      <c r="DR331" s="89">
        <v>96</v>
      </c>
      <c r="DS331" s="2">
        <v>41</v>
      </c>
      <c r="DT331" s="2">
        <v>0</v>
      </c>
      <c r="DU331" s="2">
        <v>0.216</v>
      </c>
      <c r="ED331" s="89">
        <v>112</v>
      </c>
      <c r="EE331" s="2">
        <v>43</v>
      </c>
      <c r="EF331" s="2">
        <v>0</v>
      </c>
      <c r="EG331" s="2">
        <v>6.7958400000000002E-2</v>
      </c>
      <c r="ES331">
        <v>112</v>
      </c>
      <c r="ET331">
        <v>43</v>
      </c>
      <c r="EU331">
        <v>0</v>
      </c>
      <c r="EV331">
        <v>6.7958400000000002E-2</v>
      </c>
    </row>
    <row r="332" spans="14:152" x14ac:dyDescent="0.4">
      <c r="N332" s="89">
        <v>103</v>
      </c>
      <c r="O332" s="2">
        <v>41</v>
      </c>
      <c r="P332" s="2">
        <v>0</v>
      </c>
      <c r="Q332" s="2">
        <v>0.37308780000000002</v>
      </c>
      <c r="Z332" s="89">
        <v>106</v>
      </c>
      <c r="AA332" s="2">
        <v>41</v>
      </c>
      <c r="AB332" s="2">
        <v>0</v>
      </c>
      <c r="AC332" s="2">
        <v>3.1E-2</v>
      </c>
      <c r="AL332" s="89">
        <v>102</v>
      </c>
      <c r="AM332" s="2">
        <v>41</v>
      </c>
      <c r="AN332" s="2">
        <v>0</v>
      </c>
      <c r="AO332" s="2">
        <v>0.61260990000000004</v>
      </c>
      <c r="AX332" s="89">
        <v>102</v>
      </c>
      <c r="AY332" s="2">
        <v>44</v>
      </c>
      <c r="AZ332" s="2">
        <v>0</v>
      </c>
      <c r="BA332" s="2">
        <v>3.4327740000000002</v>
      </c>
      <c r="BJ332" s="89">
        <v>102</v>
      </c>
      <c r="BK332" s="2">
        <v>44</v>
      </c>
      <c r="BL332" s="2">
        <v>0</v>
      </c>
      <c r="BM332" s="2">
        <v>3.690191</v>
      </c>
      <c r="BV332" s="89">
        <v>99</v>
      </c>
      <c r="BW332" s="2">
        <v>44</v>
      </c>
      <c r="BX332" s="2">
        <v>0</v>
      </c>
      <c r="BY332" s="2">
        <v>3.6444730000000001</v>
      </c>
      <c r="CH332" s="89">
        <v>101</v>
      </c>
      <c r="CI332" s="2">
        <v>44</v>
      </c>
      <c r="CJ332" s="2">
        <v>0</v>
      </c>
      <c r="CK332" s="2">
        <v>3.5873680000000001</v>
      </c>
      <c r="CT332" s="89">
        <v>107</v>
      </c>
      <c r="CU332" s="2">
        <v>43</v>
      </c>
      <c r="CV332" s="2">
        <v>0</v>
      </c>
      <c r="CW332" s="2">
        <v>1.445713</v>
      </c>
      <c r="DF332" s="89">
        <v>117</v>
      </c>
      <c r="DG332" s="2">
        <v>43</v>
      </c>
      <c r="DH332" s="2">
        <v>0</v>
      </c>
      <c r="DI332" s="2">
        <v>2E-3</v>
      </c>
      <c r="DR332" s="89">
        <v>97</v>
      </c>
      <c r="DS332" s="2">
        <v>41</v>
      </c>
      <c r="DT332" s="2">
        <v>0</v>
      </c>
      <c r="DU332" s="2">
        <v>4.5954160000000002</v>
      </c>
      <c r="ED332" s="89">
        <v>113</v>
      </c>
      <c r="EE332" s="2">
        <v>43</v>
      </c>
      <c r="EF332" s="2">
        <v>0</v>
      </c>
      <c r="EG332" s="2">
        <v>1.2999999999999999E-2</v>
      </c>
      <c r="ES332">
        <v>113</v>
      </c>
      <c r="ET332">
        <v>43</v>
      </c>
      <c r="EU332">
        <v>0</v>
      </c>
      <c r="EV332">
        <v>1.2999999999999999E-2</v>
      </c>
    </row>
    <row r="333" spans="14:152" x14ac:dyDescent="0.4">
      <c r="N333" s="89">
        <v>104</v>
      </c>
      <c r="O333" s="2">
        <v>41</v>
      </c>
      <c r="P333" s="2">
        <v>0</v>
      </c>
      <c r="Q333" s="2">
        <v>0.13697599999999999</v>
      </c>
      <c r="Z333" s="89">
        <v>107</v>
      </c>
      <c r="AA333" s="2">
        <v>41</v>
      </c>
      <c r="AB333" s="2">
        <v>0</v>
      </c>
      <c r="AC333" s="2">
        <v>1.7999999999999999E-2</v>
      </c>
      <c r="AL333" s="89">
        <v>102</v>
      </c>
      <c r="AM333" s="2">
        <v>41</v>
      </c>
      <c r="AN333" s="2">
        <v>1</v>
      </c>
      <c r="AO333" s="2">
        <v>9.9814819999999999E-4</v>
      </c>
      <c r="AX333" s="89">
        <v>103</v>
      </c>
      <c r="AY333" s="2">
        <v>44</v>
      </c>
      <c r="AZ333" s="2">
        <v>0</v>
      </c>
      <c r="BA333" s="2">
        <v>3.5662829999999999</v>
      </c>
      <c r="BJ333" s="89">
        <v>103</v>
      </c>
      <c r="BK333" s="2">
        <v>44</v>
      </c>
      <c r="BL333" s="2">
        <v>0</v>
      </c>
      <c r="BM333" s="2">
        <v>3.8263020000000001</v>
      </c>
      <c r="BV333" s="89">
        <v>100</v>
      </c>
      <c r="BW333" s="2">
        <v>44</v>
      </c>
      <c r="BX333" s="2">
        <v>0</v>
      </c>
      <c r="BY333" s="2">
        <v>2.5000000000000001E-2</v>
      </c>
      <c r="CH333" s="89">
        <v>102</v>
      </c>
      <c r="CI333" s="2">
        <v>44</v>
      </c>
      <c r="CJ333" s="2">
        <v>0</v>
      </c>
      <c r="CK333" s="2">
        <v>3.945608</v>
      </c>
      <c r="CT333" s="89">
        <v>108</v>
      </c>
      <c r="CU333" s="2">
        <v>43</v>
      </c>
      <c r="CV333" s="2">
        <v>0</v>
      </c>
      <c r="CW333" s="2">
        <v>0.87317540000000005</v>
      </c>
      <c r="DF333" s="89">
        <v>118</v>
      </c>
      <c r="DG333" s="2">
        <v>43</v>
      </c>
      <c r="DH333" s="2">
        <v>0</v>
      </c>
      <c r="DI333" s="2">
        <v>1E-3</v>
      </c>
      <c r="DR333" s="89">
        <v>97</v>
      </c>
      <c r="DS333" s="2">
        <v>41</v>
      </c>
      <c r="DT333" s="2">
        <v>1</v>
      </c>
      <c r="DU333" s="2">
        <v>3.830257</v>
      </c>
      <c r="ED333" s="89">
        <v>114</v>
      </c>
      <c r="EE333" s="2">
        <v>43</v>
      </c>
      <c r="EF333" s="2">
        <v>0</v>
      </c>
      <c r="EG333" s="2">
        <v>6.0000009999999996E-3</v>
      </c>
      <c r="ES333">
        <v>114</v>
      </c>
      <c r="ET333">
        <v>43</v>
      </c>
      <c r="EU333">
        <v>0</v>
      </c>
      <c r="EV333">
        <v>6.0000009999999996E-3</v>
      </c>
    </row>
    <row r="334" spans="14:152" x14ac:dyDescent="0.4">
      <c r="N334" s="89">
        <v>104</v>
      </c>
      <c r="O334" s="2">
        <v>41</v>
      </c>
      <c r="P334" s="2">
        <v>1</v>
      </c>
      <c r="Q334" s="2">
        <v>9.9218750000000001E-4</v>
      </c>
      <c r="Z334" s="89">
        <v>108</v>
      </c>
      <c r="AA334" s="2">
        <v>41</v>
      </c>
      <c r="AB334" s="2">
        <v>0</v>
      </c>
      <c r="AC334" s="2">
        <v>6.0000000000000001E-3</v>
      </c>
      <c r="AL334" s="89">
        <v>103</v>
      </c>
      <c r="AM334" s="2">
        <v>41</v>
      </c>
      <c r="AN334" s="2">
        <v>0</v>
      </c>
      <c r="AO334" s="2">
        <v>0.308</v>
      </c>
      <c r="AX334" s="89">
        <v>103</v>
      </c>
      <c r="AY334" s="2">
        <v>44</v>
      </c>
      <c r="AZ334" s="2">
        <v>1</v>
      </c>
      <c r="BA334" s="2">
        <v>1.4999999999999999E-2</v>
      </c>
      <c r="BJ334" s="89">
        <v>103</v>
      </c>
      <c r="BK334" s="2">
        <v>44</v>
      </c>
      <c r="BL334" s="2">
        <v>1</v>
      </c>
      <c r="BM334" s="2">
        <v>6.7000000000000004E-2</v>
      </c>
      <c r="BV334" s="89">
        <v>101</v>
      </c>
      <c r="BW334" s="2">
        <v>44</v>
      </c>
      <c r="BX334" s="2">
        <v>0</v>
      </c>
      <c r="BY334" s="2">
        <v>3.7784179999999998</v>
      </c>
      <c r="CH334" s="89">
        <v>103</v>
      </c>
      <c r="CI334" s="2">
        <v>44</v>
      </c>
      <c r="CJ334" s="2">
        <v>0</v>
      </c>
      <c r="CK334" s="2">
        <v>3.8131789999999999</v>
      </c>
      <c r="CT334" s="89">
        <v>109</v>
      </c>
      <c r="CU334" s="2">
        <v>43</v>
      </c>
      <c r="CV334" s="2">
        <v>0</v>
      </c>
      <c r="CW334" s="2">
        <v>0.50597669999999995</v>
      </c>
      <c r="DF334" s="89">
        <v>99</v>
      </c>
      <c r="DG334" s="2">
        <v>44</v>
      </c>
      <c r="DH334" s="2">
        <v>0</v>
      </c>
      <c r="DI334" s="2">
        <v>4.0668309999999996</v>
      </c>
      <c r="DR334" s="89">
        <v>98</v>
      </c>
      <c r="DS334" s="2">
        <v>41</v>
      </c>
      <c r="DT334" s="2">
        <v>0</v>
      </c>
      <c r="DU334" s="2">
        <v>3.5837949999999998</v>
      </c>
      <c r="ED334" s="89">
        <v>115</v>
      </c>
      <c r="EE334" s="2">
        <v>43</v>
      </c>
      <c r="EF334" s="2">
        <v>0</v>
      </c>
      <c r="EG334" s="2">
        <v>1E-3</v>
      </c>
      <c r="ES334">
        <v>115</v>
      </c>
      <c r="ET334">
        <v>43</v>
      </c>
      <c r="EU334">
        <v>0</v>
      </c>
      <c r="EV334">
        <v>1E-3</v>
      </c>
    </row>
    <row r="335" spans="14:152" x14ac:dyDescent="0.4">
      <c r="N335" s="89">
        <v>105</v>
      </c>
      <c r="O335" s="2">
        <v>41</v>
      </c>
      <c r="P335" s="2">
        <v>0</v>
      </c>
      <c r="Q335" s="2">
        <v>6.1943999999999999E-2</v>
      </c>
      <c r="Z335" s="89">
        <v>109</v>
      </c>
      <c r="AA335" s="2">
        <v>41</v>
      </c>
      <c r="AB335" s="2">
        <v>0</v>
      </c>
      <c r="AC335" s="2">
        <v>1E-3</v>
      </c>
      <c r="AL335" s="89">
        <v>104</v>
      </c>
      <c r="AM335" s="2">
        <v>41</v>
      </c>
      <c r="AN335" s="2">
        <v>0</v>
      </c>
      <c r="AO335" s="2">
        <v>0.13800000000000001</v>
      </c>
      <c r="AX335" s="89">
        <v>104</v>
      </c>
      <c r="AY335" s="2">
        <v>44</v>
      </c>
      <c r="AZ335" s="2">
        <v>0</v>
      </c>
      <c r="BA335" s="2">
        <v>3.9481030000000001</v>
      </c>
      <c r="BJ335" s="89">
        <v>104</v>
      </c>
      <c r="BK335" s="2">
        <v>44</v>
      </c>
      <c r="BL335" s="2">
        <v>0</v>
      </c>
      <c r="BM335" s="2">
        <v>3.9794700000000001</v>
      </c>
      <c r="BV335" s="89">
        <v>102</v>
      </c>
      <c r="BW335" s="2">
        <v>44</v>
      </c>
      <c r="BX335" s="2">
        <v>0</v>
      </c>
      <c r="BY335" s="2">
        <v>3.885059</v>
      </c>
      <c r="CH335" s="89">
        <v>103</v>
      </c>
      <c r="CI335" s="2">
        <v>44</v>
      </c>
      <c r="CJ335" s="2">
        <v>1</v>
      </c>
      <c r="CK335" s="2">
        <v>0.16200000000000001</v>
      </c>
      <c r="CT335" s="89">
        <v>110</v>
      </c>
      <c r="CU335" s="2">
        <v>43</v>
      </c>
      <c r="CV335" s="2">
        <v>0</v>
      </c>
      <c r="CW335" s="2">
        <v>0.25259999999999999</v>
      </c>
      <c r="DF335" s="89">
        <v>100</v>
      </c>
      <c r="DG335" s="2">
        <v>44</v>
      </c>
      <c r="DH335" s="2">
        <v>0</v>
      </c>
      <c r="DI335" s="2">
        <v>9.0000010000000005E-3</v>
      </c>
      <c r="DR335" s="89">
        <v>98</v>
      </c>
      <c r="DS335" s="2">
        <v>41</v>
      </c>
      <c r="DT335" s="2">
        <v>1</v>
      </c>
      <c r="DU335" s="2">
        <v>0.97600010000000004</v>
      </c>
      <c r="ED335" s="89">
        <v>99</v>
      </c>
      <c r="EE335" s="2">
        <v>44</v>
      </c>
      <c r="EF335" s="2">
        <v>0</v>
      </c>
      <c r="EG335" s="2">
        <v>3.396509</v>
      </c>
      <c r="ES335">
        <v>99</v>
      </c>
      <c r="ET335">
        <v>44</v>
      </c>
      <c r="EU335">
        <v>0</v>
      </c>
      <c r="EV335">
        <v>3.396509</v>
      </c>
    </row>
    <row r="336" spans="14:152" x14ac:dyDescent="0.4">
      <c r="N336" s="89">
        <v>106</v>
      </c>
      <c r="O336" s="2">
        <v>41</v>
      </c>
      <c r="P336" s="2">
        <v>0</v>
      </c>
      <c r="Q336" s="2">
        <v>2.3E-2</v>
      </c>
      <c r="Z336" s="89">
        <v>94</v>
      </c>
      <c r="AA336" s="2">
        <v>42</v>
      </c>
      <c r="AB336" s="2">
        <v>0</v>
      </c>
      <c r="AC336" s="2">
        <v>0.10299999999999999</v>
      </c>
      <c r="AL336" s="89">
        <v>105</v>
      </c>
      <c r="AM336" s="2">
        <v>41</v>
      </c>
      <c r="AN336" s="2">
        <v>0</v>
      </c>
      <c r="AO336" s="2">
        <v>4.1000000000000002E-2</v>
      </c>
      <c r="AX336" s="89">
        <v>105</v>
      </c>
      <c r="AY336" s="2">
        <v>44</v>
      </c>
      <c r="AZ336" s="2">
        <v>0</v>
      </c>
      <c r="BA336" s="2">
        <v>4.0884530000000003</v>
      </c>
      <c r="BJ336" s="89">
        <v>105</v>
      </c>
      <c r="BK336" s="2">
        <v>44</v>
      </c>
      <c r="BL336" s="2">
        <v>0</v>
      </c>
      <c r="BM336" s="2">
        <v>3.9549319999999999</v>
      </c>
      <c r="BV336" s="89">
        <v>103</v>
      </c>
      <c r="BW336" s="2">
        <v>44</v>
      </c>
      <c r="BX336" s="2">
        <v>0</v>
      </c>
      <c r="BY336" s="2">
        <v>3.6642139999999999</v>
      </c>
      <c r="CH336" s="89">
        <v>104</v>
      </c>
      <c r="CI336" s="2">
        <v>44</v>
      </c>
      <c r="CJ336" s="2">
        <v>0</v>
      </c>
      <c r="CK336" s="2">
        <v>3.8430300000000002</v>
      </c>
      <c r="CT336" s="89">
        <v>111</v>
      </c>
      <c r="CU336" s="2">
        <v>43</v>
      </c>
      <c r="CV336" s="2">
        <v>0</v>
      </c>
      <c r="CW336" s="2">
        <v>0.10202079999999999</v>
      </c>
      <c r="DF336" s="89">
        <v>101</v>
      </c>
      <c r="DG336" s="2">
        <v>44</v>
      </c>
      <c r="DH336" s="2">
        <v>0</v>
      </c>
      <c r="DI336" s="2">
        <v>3.827026</v>
      </c>
      <c r="DR336" s="89">
        <v>99</v>
      </c>
      <c r="DS336" s="2">
        <v>41</v>
      </c>
      <c r="DT336" s="2">
        <v>0</v>
      </c>
      <c r="DU336" s="2">
        <v>3.3225159999999998</v>
      </c>
      <c r="ED336" s="89">
        <v>100</v>
      </c>
      <c r="EE336" s="2">
        <v>44</v>
      </c>
      <c r="EF336" s="2">
        <v>0</v>
      </c>
      <c r="EG336" s="2">
        <v>2.7E-2</v>
      </c>
      <c r="ES336">
        <v>100</v>
      </c>
      <c r="ET336">
        <v>44</v>
      </c>
      <c r="EU336">
        <v>0</v>
      </c>
      <c r="EV336">
        <v>2.7E-2</v>
      </c>
    </row>
    <row r="337" spans="14:152" x14ac:dyDescent="0.4">
      <c r="N337" s="89">
        <v>107</v>
      </c>
      <c r="O337" s="2">
        <v>41</v>
      </c>
      <c r="P337" s="2">
        <v>0</v>
      </c>
      <c r="Q337" s="2">
        <v>1.0999999999999999E-2</v>
      </c>
      <c r="Z337" s="89">
        <v>95</v>
      </c>
      <c r="AA337" s="2">
        <v>42</v>
      </c>
      <c r="AB337" s="2">
        <v>0</v>
      </c>
      <c r="AC337" s="2">
        <v>4.1230399999999996</v>
      </c>
      <c r="AL337" s="89">
        <v>106</v>
      </c>
      <c r="AM337" s="2">
        <v>41</v>
      </c>
      <c r="AN337" s="2">
        <v>0</v>
      </c>
      <c r="AO337" s="2">
        <v>1.2E-2</v>
      </c>
      <c r="AX337" s="89">
        <v>106</v>
      </c>
      <c r="AY337" s="2">
        <v>44</v>
      </c>
      <c r="AZ337" s="2">
        <v>0</v>
      </c>
      <c r="BA337" s="2">
        <v>4.1839079999999997</v>
      </c>
      <c r="BJ337" s="89">
        <v>106</v>
      </c>
      <c r="BK337" s="2">
        <v>44</v>
      </c>
      <c r="BL337" s="2">
        <v>0</v>
      </c>
      <c r="BM337" s="2">
        <v>3.9797400000000001</v>
      </c>
      <c r="BV337" s="89">
        <v>103</v>
      </c>
      <c r="BW337" s="2">
        <v>44</v>
      </c>
      <c r="BX337" s="2">
        <v>1</v>
      </c>
      <c r="BY337" s="2">
        <v>2.5999999999999999E-2</v>
      </c>
      <c r="CH337" s="89">
        <v>105</v>
      </c>
      <c r="CI337" s="2">
        <v>44</v>
      </c>
      <c r="CJ337" s="2">
        <v>0</v>
      </c>
      <c r="CK337" s="2">
        <v>3.6152579999999999</v>
      </c>
      <c r="CT337" s="89">
        <v>112</v>
      </c>
      <c r="CU337" s="2">
        <v>43</v>
      </c>
      <c r="CV337" s="2">
        <v>0</v>
      </c>
      <c r="CW337" s="2">
        <v>3.1979199999999999E-2</v>
      </c>
      <c r="DF337" s="89">
        <v>102</v>
      </c>
      <c r="DG337" s="2">
        <v>44</v>
      </c>
      <c r="DH337" s="2">
        <v>0</v>
      </c>
      <c r="DI337" s="2">
        <v>3.5108259999999998</v>
      </c>
      <c r="DR337" s="89">
        <v>99</v>
      </c>
      <c r="DS337" s="2">
        <v>41</v>
      </c>
      <c r="DT337" s="2">
        <v>1</v>
      </c>
      <c r="DU337" s="2">
        <v>0.98449799999999998</v>
      </c>
      <c r="ED337" s="89">
        <v>101</v>
      </c>
      <c r="EE337" s="2">
        <v>44</v>
      </c>
      <c r="EF337" s="2">
        <v>0</v>
      </c>
      <c r="EG337" s="2">
        <v>3.8002280000000002</v>
      </c>
      <c r="ES337">
        <v>101</v>
      </c>
      <c r="ET337">
        <v>44</v>
      </c>
      <c r="EU337">
        <v>0</v>
      </c>
      <c r="EV337">
        <v>3.8002280000000002</v>
      </c>
    </row>
    <row r="338" spans="14:152" x14ac:dyDescent="0.4">
      <c r="N338" s="89">
        <v>108</v>
      </c>
      <c r="O338" s="2">
        <v>41</v>
      </c>
      <c r="P338" s="2">
        <v>0</v>
      </c>
      <c r="Q338" s="2">
        <v>3.0000000000000001E-3</v>
      </c>
      <c r="Z338" s="89">
        <v>96</v>
      </c>
      <c r="AA338" s="2">
        <v>42</v>
      </c>
      <c r="AB338" s="2">
        <v>0</v>
      </c>
      <c r="AC338" s="2">
        <v>0.63600000000000001</v>
      </c>
      <c r="AL338" s="89">
        <v>107</v>
      </c>
      <c r="AM338" s="2">
        <v>41</v>
      </c>
      <c r="AN338" s="2">
        <v>0</v>
      </c>
      <c r="AO338" s="2">
        <v>6.0000000000000001E-3</v>
      </c>
      <c r="AX338" s="89">
        <v>107</v>
      </c>
      <c r="AY338" s="2">
        <v>44</v>
      </c>
      <c r="AZ338" s="2">
        <v>0</v>
      </c>
      <c r="BA338" s="2">
        <v>4.3759940000000004</v>
      </c>
      <c r="BJ338" s="89">
        <v>107</v>
      </c>
      <c r="BK338" s="2">
        <v>44</v>
      </c>
      <c r="BL338" s="2">
        <v>0</v>
      </c>
      <c r="BM338" s="2">
        <v>3.826835</v>
      </c>
      <c r="BV338" s="89">
        <v>104</v>
      </c>
      <c r="BW338" s="2">
        <v>44</v>
      </c>
      <c r="BX338" s="2">
        <v>0</v>
      </c>
      <c r="BY338" s="2">
        <v>3.5721210000000001</v>
      </c>
      <c r="CH338" s="89">
        <v>106</v>
      </c>
      <c r="CI338" s="2">
        <v>44</v>
      </c>
      <c r="CJ338" s="2">
        <v>0</v>
      </c>
      <c r="CK338" s="2">
        <v>3.630185</v>
      </c>
      <c r="CT338" s="89">
        <v>113</v>
      </c>
      <c r="CU338" s="2">
        <v>43</v>
      </c>
      <c r="CV338" s="2">
        <v>0</v>
      </c>
      <c r="CW338" s="2">
        <v>1.6E-2</v>
      </c>
      <c r="DF338" s="89">
        <v>103</v>
      </c>
      <c r="DG338" s="2">
        <v>44</v>
      </c>
      <c r="DH338" s="2">
        <v>0</v>
      </c>
      <c r="DI338" s="2">
        <v>3.211249</v>
      </c>
      <c r="DR338" s="89">
        <v>100</v>
      </c>
      <c r="DS338" s="2">
        <v>41</v>
      </c>
      <c r="DT338" s="2">
        <v>0</v>
      </c>
      <c r="DU338" s="2">
        <v>2.0646149999999999</v>
      </c>
      <c r="ED338" s="89">
        <v>102</v>
      </c>
      <c r="EE338" s="2">
        <v>44</v>
      </c>
      <c r="EF338" s="2">
        <v>0</v>
      </c>
      <c r="EG338" s="2">
        <v>3.8803169999999998</v>
      </c>
      <c r="ES338">
        <v>102</v>
      </c>
      <c r="ET338">
        <v>44</v>
      </c>
      <c r="EU338">
        <v>0</v>
      </c>
      <c r="EV338">
        <v>3.8803169999999998</v>
      </c>
    </row>
    <row r="339" spans="14:152" x14ac:dyDescent="0.4">
      <c r="N339" s="89">
        <v>109</v>
      </c>
      <c r="O339" s="2">
        <v>41</v>
      </c>
      <c r="P339" s="2">
        <v>0</v>
      </c>
      <c r="Q339" s="2">
        <v>1E-3</v>
      </c>
      <c r="Z339" s="89">
        <v>97</v>
      </c>
      <c r="AA339" s="2">
        <v>42</v>
      </c>
      <c r="AB339" s="2">
        <v>0</v>
      </c>
      <c r="AC339" s="2">
        <v>4.4394790000000004</v>
      </c>
      <c r="AL339" s="89">
        <v>108</v>
      </c>
      <c r="AM339" s="2">
        <v>41</v>
      </c>
      <c r="AN339" s="2">
        <v>0</v>
      </c>
      <c r="AO339" s="2">
        <v>4.0000000000000001E-3</v>
      </c>
      <c r="AX339" s="89">
        <v>108</v>
      </c>
      <c r="AY339" s="2">
        <v>44</v>
      </c>
      <c r="AZ339" s="2">
        <v>0</v>
      </c>
      <c r="BA339" s="2">
        <v>4.0975029999999997</v>
      </c>
      <c r="BJ339" s="89">
        <v>108</v>
      </c>
      <c r="BK339" s="2">
        <v>44</v>
      </c>
      <c r="BL339" s="2">
        <v>0</v>
      </c>
      <c r="BM339" s="2">
        <v>3.3835030000000001</v>
      </c>
      <c r="BV339" s="89">
        <v>105</v>
      </c>
      <c r="BW339" s="2">
        <v>44</v>
      </c>
      <c r="BX339" s="2">
        <v>0</v>
      </c>
      <c r="BY339" s="2">
        <v>3.411438</v>
      </c>
      <c r="CH339" s="89">
        <v>107</v>
      </c>
      <c r="CI339" s="2">
        <v>44</v>
      </c>
      <c r="CJ339" s="2">
        <v>0</v>
      </c>
      <c r="CK339" s="2">
        <v>3.0365199999999999</v>
      </c>
      <c r="CT339" s="89">
        <v>114</v>
      </c>
      <c r="CU339" s="2">
        <v>43</v>
      </c>
      <c r="CV339" s="2">
        <v>0</v>
      </c>
      <c r="CW339" s="2">
        <v>4.0000000000000001E-3</v>
      </c>
      <c r="DF339" s="89">
        <v>103</v>
      </c>
      <c r="DG339" s="2">
        <v>44</v>
      </c>
      <c r="DH339" s="2">
        <v>1</v>
      </c>
      <c r="DI339" s="2">
        <v>2E-3</v>
      </c>
      <c r="DR339" s="89">
        <v>100</v>
      </c>
      <c r="DS339" s="2">
        <v>41</v>
      </c>
      <c r="DT339" s="2">
        <v>1</v>
      </c>
      <c r="DU339" s="2">
        <v>1.8440000000000001</v>
      </c>
      <c r="ED339" s="89">
        <v>103</v>
      </c>
      <c r="EE339" s="2">
        <v>44</v>
      </c>
      <c r="EF339" s="2">
        <v>0</v>
      </c>
      <c r="EG339" s="2">
        <v>3.8120959999999999</v>
      </c>
      <c r="ES339">
        <v>103</v>
      </c>
      <c r="ET339">
        <v>44</v>
      </c>
      <c r="EU339">
        <v>0</v>
      </c>
      <c r="EV339">
        <v>3.8120959999999999</v>
      </c>
    </row>
    <row r="340" spans="14:152" x14ac:dyDescent="0.4">
      <c r="N340" s="89">
        <v>94</v>
      </c>
      <c r="O340" s="2">
        <v>42</v>
      </c>
      <c r="P340" s="2">
        <v>0</v>
      </c>
      <c r="Q340" s="2">
        <v>0.17100000000000001</v>
      </c>
      <c r="Z340" s="89">
        <v>98</v>
      </c>
      <c r="AA340" s="2">
        <v>42</v>
      </c>
      <c r="AB340" s="2">
        <v>0</v>
      </c>
      <c r="AC340" s="2">
        <v>4.3990549999999997</v>
      </c>
      <c r="AL340" s="89">
        <v>92</v>
      </c>
      <c r="AM340" s="2">
        <v>42</v>
      </c>
      <c r="AN340" s="2">
        <v>0</v>
      </c>
      <c r="AO340" s="2">
        <v>2E-3</v>
      </c>
      <c r="AX340" s="89">
        <v>109</v>
      </c>
      <c r="AY340" s="2">
        <v>44</v>
      </c>
      <c r="AZ340" s="2">
        <v>0</v>
      </c>
      <c r="BA340" s="2">
        <v>3.2922989999999999</v>
      </c>
      <c r="BJ340" s="89">
        <v>109</v>
      </c>
      <c r="BK340" s="2">
        <v>44</v>
      </c>
      <c r="BL340" s="2">
        <v>0</v>
      </c>
      <c r="BM340" s="2">
        <v>2.4062999999999999</v>
      </c>
      <c r="BV340" s="89">
        <v>106</v>
      </c>
      <c r="BW340" s="2">
        <v>44</v>
      </c>
      <c r="BX340" s="2">
        <v>0</v>
      </c>
      <c r="BY340" s="2">
        <v>3.4516749999999998</v>
      </c>
      <c r="CH340" s="89">
        <v>108</v>
      </c>
      <c r="CI340" s="2">
        <v>44</v>
      </c>
      <c r="CJ340" s="2">
        <v>0</v>
      </c>
      <c r="CK340" s="2">
        <v>2.6775769999999999</v>
      </c>
      <c r="CT340" s="89">
        <v>115</v>
      </c>
      <c r="CU340" s="2">
        <v>43</v>
      </c>
      <c r="CV340" s="2">
        <v>0</v>
      </c>
      <c r="CW340" s="2">
        <v>1E-3</v>
      </c>
      <c r="DF340" s="89">
        <v>104</v>
      </c>
      <c r="DG340" s="2">
        <v>44</v>
      </c>
      <c r="DH340" s="2">
        <v>0</v>
      </c>
      <c r="DI340" s="2">
        <v>2.912385</v>
      </c>
      <c r="DR340" s="89">
        <v>101</v>
      </c>
      <c r="DS340" s="2">
        <v>41</v>
      </c>
      <c r="DT340" s="2">
        <v>0</v>
      </c>
      <c r="DU340" s="2">
        <v>3.2025749999999999</v>
      </c>
      <c r="ED340" s="89">
        <v>103</v>
      </c>
      <c r="EE340" s="2">
        <v>44</v>
      </c>
      <c r="EF340" s="2">
        <v>1</v>
      </c>
      <c r="EG340" s="2">
        <v>5.1999999999999998E-2</v>
      </c>
      <c r="ES340">
        <v>103</v>
      </c>
      <c r="ET340">
        <v>44</v>
      </c>
      <c r="EU340">
        <v>1</v>
      </c>
      <c r="EV340">
        <v>5.1999999999999998E-2</v>
      </c>
    </row>
    <row r="341" spans="14:152" x14ac:dyDescent="0.4">
      <c r="N341" s="89">
        <v>95</v>
      </c>
      <c r="O341" s="2">
        <v>42</v>
      </c>
      <c r="P341" s="2">
        <v>0</v>
      </c>
      <c r="Q341" s="2">
        <v>4.2934390000000002</v>
      </c>
      <c r="Z341" s="89">
        <v>99</v>
      </c>
      <c r="AA341" s="2">
        <v>42</v>
      </c>
      <c r="AB341" s="2">
        <v>0</v>
      </c>
      <c r="AC341" s="2">
        <v>4.4124619999999997</v>
      </c>
      <c r="AL341" s="89">
        <v>93</v>
      </c>
      <c r="AM341" s="2">
        <v>42</v>
      </c>
      <c r="AN341" s="2">
        <v>0</v>
      </c>
      <c r="AO341" s="2">
        <v>8.9928000000000004E-3</v>
      </c>
      <c r="AX341" s="89">
        <v>110</v>
      </c>
      <c r="AY341" s="2">
        <v>44</v>
      </c>
      <c r="AZ341" s="2">
        <v>0</v>
      </c>
      <c r="BA341" s="2">
        <v>2.4361130000000002</v>
      </c>
      <c r="BJ341" s="89">
        <v>110</v>
      </c>
      <c r="BK341" s="2">
        <v>44</v>
      </c>
      <c r="BL341" s="2">
        <v>0</v>
      </c>
      <c r="BM341" s="2">
        <v>1.7239180000000001</v>
      </c>
      <c r="BV341" s="89">
        <v>107</v>
      </c>
      <c r="BW341" s="2">
        <v>44</v>
      </c>
      <c r="BX341" s="2">
        <v>0</v>
      </c>
      <c r="BY341" s="2">
        <v>3.4196029999999999</v>
      </c>
      <c r="CH341" s="89">
        <v>109</v>
      </c>
      <c r="CI341" s="2">
        <v>44</v>
      </c>
      <c r="CJ341" s="2">
        <v>0</v>
      </c>
      <c r="CK341" s="2">
        <v>1.667489</v>
      </c>
      <c r="CT341" s="89">
        <v>116</v>
      </c>
      <c r="CU341" s="2">
        <v>43</v>
      </c>
      <c r="CV341" s="2">
        <v>0</v>
      </c>
      <c r="CW341" s="2">
        <v>1E-3</v>
      </c>
      <c r="DF341" s="89">
        <v>105</v>
      </c>
      <c r="DG341" s="2">
        <v>44</v>
      </c>
      <c r="DH341" s="2">
        <v>0</v>
      </c>
      <c r="DI341" s="2">
        <v>2.6382370000000002</v>
      </c>
      <c r="DR341" s="89">
        <v>102</v>
      </c>
      <c r="DS341" s="2">
        <v>41</v>
      </c>
      <c r="DT341" s="2">
        <v>0</v>
      </c>
      <c r="DU341" s="2">
        <v>2.2184249999999999</v>
      </c>
      <c r="ED341" s="89">
        <v>104</v>
      </c>
      <c r="EE341" s="2">
        <v>44</v>
      </c>
      <c r="EF341" s="2">
        <v>0</v>
      </c>
      <c r="EG341" s="2">
        <v>3.8436270000000001</v>
      </c>
      <c r="ES341">
        <v>104</v>
      </c>
      <c r="ET341">
        <v>44</v>
      </c>
      <c r="EU341">
        <v>0</v>
      </c>
      <c r="EV341">
        <v>3.8436270000000001</v>
      </c>
    </row>
    <row r="342" spans="14:152" x14ac:dyDescent="0.4">
      <c r="N342" s="89">
        <v>96</v>
      </c>
      <c r="O342" s="2">
        <v>42</v>
      </c>
      <c r="P342" s="2">
        <v>0</v>
      </c>
      <c r="Q342" s="2">
        <v>1.0509999999999999</v>
      </c>
      <c r="Z342" s="89">
        <v>100</v>
      </c>
      <c r="AA342" s="2">
        <v>42</v>
      </c>
      <c r="AB342" s="2">
        <v>0</v>
      </c>
      <c r="AC342" s="2">
        <v>4.346946</v>
      </c>
      <c r="AL342" s="89">
        <v>93</v>
      </c>
      <c r="AM342" s="2">
        <v>42</v>
      </c>
      <c r="AN342" s="2">
        <v>1</v>
      </c>
      <c r="AO342" s="2">
        <v>6.0000009999999996E-3</v>
      </c>
      <c r="AX342" s="89">
        <v>111</v>
      </c>
      <c r="AY342" s="2">
        <v>44</v>
      </c>
      <c r="AZ342" s="2">
        <v>0</v>
      </c>
      <c r="BA342" s="2">
        <v>1.362833</v>
      </c>
      <c r="BJ342" s="89">
        <v>111</v>
      </c>
      <c r="BK342" s="2">
        <v>44</v>
      </c>
      <c r="BL342" s="2">
        <v>0</v>
      </c>
      <c r="BM342" s="2">
        <v>0.88258959999999997</v>
      </c>
      <c r="BV342" s="89">
        <v>108</v>
      </c>
      <c r="BW342" s="2">
        <v>44</v>
      </c>
      <c r="BX342" s="2">
        <v>0</v>
      </c>
      <c r="BY342" s="2">
        <v>3.3450090000000001</v>
      </c>
      <c r="CH342" s="89">
        <v>110</v>
      </c>
      <c r="CI342" s="2">
        <v>44</v>
      </c>
      <c r="CJ342" s="2">
        <v>0</v>
      </c>
      <c r="CK342" s="2">
        <v>1.1079639999999999</v>
      </c>
      <c r="CT342" s="89">
        <v>99</v>
      </c>
      <c r="CU342" s="2">
        <v>44</v>
      </c>
      <c r="CV342" s="2">
        <v>0</v>
      </c>
      <c r="CW342" s="2">
        <v>2.2138659999999999</v>
      </c>
      <c r="DF342" s="89">
        <v>106</v>
      </c>
      <c r="DG342" s="2">
        <v>44</v>
      </c>
      <c r="DH342" s="2">
        <v>0</v>
      </c>
      <c r="DI342" s="2">
        <v>2.5433819999999998</v>
      </c>
      <c r="DR342" s="89">
        <v>102</v>
      </c>
      <c r="DS342" s="2">
        <v>41</v>
      </c>
      <c r="DT342" s="2">
        <v>1</v>
      </c>
      <c r="DU342" s="2">
        <v>1.2899880000000001E-2</v>
      </c>
      <c r="ED342" s="89">
        <v>105</v>
      </c>
      <c r="EE342" s="2">
        <v>44</v>
      </c>
      <c r="EF342" s="2">
        <v>0</v>
      </c>
      <c r="EG342" s="2">
        <v>3.9292259999999999</v>
      </c>
      <c r="ES342">
        <v>105</v>
      </c>
      <c r="ET342">
        <v>44</v>
      </c>
      <c r="EU342">
        <v>0</v>
      </c>
      <c r="EV342">
        <v>3.9292259999999999</v>
      </c>
    </row>
    <row r="343" spans="14:152" x14ac:dyDescent="0.4">
      <c r="N343" s="89">
        <v>97</v>
      </c>
      <c r="O343" s="2">
        <v>42</v>
      </c>
      <c r="P343" s="2">
        <v>0</v>
      </c>
      <c r="Q343" s="2">
        <v>4.3749900000000004</v>
      </c>
      <c r="Z343" s="89">
        <v>101</v>
      </c>
      <c r="AA343" s="2">
        <v>42</v>
      </c>
      <c r="AB343" s="2">
        <v>0</v>
      </c>
      <c r="AC343" s="2">
        <v>3.8114710000000001</v>
      </c>
      <c r="AL343" s="89">
        <v>94</v>
      </c>
      <c r="AM343" s="2">
        <v>42</v>
      </c>
      <c r="AN343" s="2">
        <v>0</v>
      </c>
      <c r="AO343" s="2">
        <v>0.376</v>
      </c>
      <c r="AX343" s="89">
        <v>112</v>
      </c>
      <c r="AY343" s="2">
        <v>44</v>
      </c>
      <c r="AZ343" s="2">
        <v>0</v>
      </c>
      <c r="BA343" s="2">
        <v>0.72265590000000002</v>
      </c>
      <c r="BJ343" s="89">
        <v>112</v>
      </c>
      <c r="BK343" s="2">
        <v>44</v>
      </c>
      <c r="BL343" s="2">
        <v>0</v>
      </c>
      <c r="BM343" s="2">
        <v>0.45574559999999997</v>
      </c>
      <c r="BV343" s="89">
        <v>109</v>
      </c>
      <c r="BW343" s="2">
        <v>44</v>
      </c>
      <c r="BX343" s="2">
        <v>0</v>
      </c>
      <c r="BY343" s="2">
        <v>2.767636</v>
      </c>
      <c r="CH343" s="89">
        <v>111</v>
      </c>
      <c r="CI343" s="2">
        <v>44</v>
      </c>
      <c r="CJ343" s="2">
        <v>0</v>
      </c>
      <c r="CK343" s="2">
        <v>0.52513410000000005</v>
      </c>
      <c r="CT343" s="89">
        <v>100</v>
      </c>
      <c r="CU343" s="2">
        <v>44</v>
      </c>
      <c r="CV343" s="2">
        <v>0</v>
      </c>
      <c r="CW343" s="2">
        <v>9.6000000000000002E-2</v>
      </c>
      <c r="DF343" s="89">
        <v>107</v>
      </c>
      <c r="DG343" s="2">
        <v>44</v>
      </c>
      <c r="DH343" s="2">
        <v>0</v>
      </c>
      <c r="DI343" s="2">
        <v>2.5281180000000001</v>
      </c>
      <c r="DR343" s="89">
        <v>103</v>
      </c>
      <c r="DS343" s="2">
        <v>41</v>
      </c>
      <c r="DT343" s="2">
        <v>0</v>
      </c>
      <c r="DU343" s="2">
        <v>1.4371910000000001</v>
      </c>
      <c r="ED343" s="89">
        <v>106</v>
      </c>
      <c r="EE343" s="2">
        <v>44</v>
      </c>
      <c r="EF343" s="2">
        <v>0</v>
      </c>
      <c r="EG343" s="2">
        <v>3.7392340000000002</v>
      </c>
      <c r="ES343">
        <v>106</v>
      </c>
      <c r="ET343">
        <v>44</v>
      </c>
      <c r="EU343">
        <v>0</v>
      </c>
      <c r="EV343">
        <v>3.7392340000000002</v>
      </c>
    </row>
    <row r="344" spans="14:152" x14ac:dyDescent="0.4">
      <c r="N344" s="89">
        <v>98</v>
      </c>
      <c r="O344" s="2">
        <v>42</v>
      </c>
      <c r="P344" s="2">
        <v>0</v>
      </c>
      <c r="Q344" s="2">
        <v>4.4964729999999999</v>
      </c>
      <c r="Z344" s="89">
        <v>102</v>
      </c>
      <c r="AA344" s="2">
        <v>42</v>
      </c>
      <c r="AB344" s="2">
        <v>0</v>
      </c>
      <c r="AC344" s="2">
        <v>3.249698</v>
      </c>
      <c r="AL344" s="89">
        <v>95</v>
      </c>
      <c r="AM344" s="2">
        <v>42</v>
      </c>
      <c r="AN344" s="2">
        <v>0</v>
      </c>
      <c r="AO344" s="2">
        <v>4.6253609999999998</v>
      </c>
      <c r="AX344" s="89">
        <v>113</v>
      </c>
      <c r="AY344" s="2">
        <v>44</v>
      </c>
      <c r="AZ344" s="2">
        <v>0</v>
      </c>
      <c r="BA344" s="2">
        <v>0.202876</v>
      </c>
      <c r="BJ344" s="89">
        <v>113</v>
      </c>
      <c r="BK344" s="2">
        <v>44</v>
      </c>
      <c r="BL344" s="2">
        <v>0</v>
      </c>
      <c r="BM344" s="2">
        <v>0.10383009999999999</v>
      </c>
      <c r="BV344" s="89">
        <v>110</v>
      </c>
      <c r="BW344" s="2">
        <v>44</v>
      </c>
      <c r="BX344" s="2">
        <v>0</v>
      </c>
      <c r="BY344" s="2">
        <v>2.3307120000000001</v>
      </c>
      <c r="CH344" s="89">
        <v>112</v>
      </c>
      <c r="CI344" s="2">
        <v>44</v>
      </c>
      <c r="CJ344" s="2">
        <v>0</v>
      </c>
      <c r="CK344" s="2">
        <v>0.21919449999999999</v>
      </c>
      <c r="CT344" s="89">
        <v>101</v>
      </c>
      <c r="CU344" s="2">
        <v>44</v>
      </c>
      <c r="CV344" s="2">
        <v>0</v>
      </c>
      <c r="CW344" s="2">
        <v>2.5436860000000001</v>
      </c>
      <c r="DF344" s="89">
        <v>108</v>
      </c>
      <c r="DG344" s="2">
        <v>44</v>
      </c>
      <c r="DH344" s="2">
        <v>0</v>
      </c>
      <c r="DI344" s="2">
        <v>2.4527540000000001</v>
      </c>
      <c r="DR344" s="89">
        <v>104</v>
      </c>
      <c r="DS344" s="2">
        <v>41</v>
      </c>
      <c r="DT344" s="2">
        <v>0</v>
      </c>
      <c r="DU344" s="2">
        <v>0.73934710000000003</v>
      </c>
      <c r="ED344" s="89">
        <v>107</v>
      </c>
      <c r="EE344" s="2">
        <v>44</v>
      </c>
      <c r="EF344" s="2">
        <v>0</v>
      </c>
      <c r="EG344" s="2">
        <v>3.4919120000000001</v>
      </c>
      <c r="ES344">
        <v>107</v>
      </c>
      <c r="ET344">
        <v>44</v>
      </c>
      <c r="EU344">
        <v>0</v>
      </c>
      <c r="EV344">
        <v>3.4919120000000001</v>
      </c>
    </row>
    <row r="345" spans="14:152" x14ac:dyDescent="0.4">
      <c r="N345" s="89">
        <v>99</v>
      </c>
      <c r="O345" s="2">
        <v>42</v>
      </c>
      <c r="P345" s="2">
        <v>0</v>
      </c>
      <c r="Q345" s="2">
        <v>4.1708090000000002</v>
      </c>
      <c r="Z345" s="89">
        <v>103</v>
      </c>
      <c r="AA345" s="2">
        <v>42</v>
      </c>
      <c r="AB345" s="2">
        <v>0</v>
      </c>
      <c r="AC345" s="2">
        <v>2.2230829999999999</v>
      </c>
      <c r="AL345" s="89">
        <v>96</v>
      </c>
      <c r="AM345" s="2">
        <v>42</v>
      </c>
      <c r="AN345" s="2">
        <v>0</v>
      </c>
      <c r="AO345" s="2">
        <v>1.5469999999999999</v>
      </c>
      <c r="AX345" s="89">
        <v>113</v>
      </c>
      <c r="AY345" s="2">
        <v>44</v>
      </c>
      <c r="AZ345" s="2">
        <v>1</v>
      </c>
      <c r="BA345" s="2">
        <v>0.21</v>
      </c>
      <c r="BJ345" s="89">
        <v>113</v>
      </c>
      <c r="BK345" s="2">
        <v>44</v>
      </c>
      <c r="BL345" s="2">
        <v>1</v>
      </c>
      <c r="BM345" s="2">
        <v>0.108</v>
      </c>
      <c r="BV345" s="89">
        <v>111</v>
      </c>
      <c r="BW345" s="2">
        <v>44</v>
      </c>
      <c r="BX345" s="2">
        <v>0</v>
      </c>
      <c r="BY345" s="2">
        <v>1.4976130000000001</v>
      </c>
      <c r="CH345" s="89">
        <v>113</v>
      </c>
      <c r="CI345" s="2">
        <v>44</v>
      </c>
      <c r="CJ345" s="2">
        <v>0</v>
      </c>
      <c r="CK345" s="2">
        <v>5.1271299999999999E-2</v>
      </c>
      <c r="CT345" s="89">
        <v>102</v>
      </c>
      <c r="CU345" s="2">
        <v>44</v>
      </c>
      <c r="CV345" s="2">
        <v>0</v>
      </c>
      <c r="CW345" s="2">
        <v>2.789514</v>
      </c>
      <c r="DF345" s="89">
        <v>109</v>
      </c>
      <c r="DG345" s="2">
        <v>44</v>
      </c>
      <c r="DH345" s="2">
        <v>0</v>
      </c>
      <c r="DI345" s="2">
        <v>2.3138480000000001</v>
      </c>
      <c r="DR345" s="89">
        <v>104</v>
      </c>
      <c r="DS345" s="2">
        <v>41</v>
      </c>
      <c r="DT345" s="2">
        <v>1</v>
      </c>
      <c r="DU345" s="2">
        <v>2.9864459999999998E-3</v>
      </c>
      <c r="ED345" s="89">
        <v>108</v>
      </c>
      <c r="EE345" s="2">
        <v>44</v>
      </c>
      <c r="EF345" s="2">
        <v>0</v>
      </c>
      <c r="EG345" s="2">
        <v>3.1164670000000001</v>
      </c>
      <c r="ES345">
        <v>108</v>
      </c>
      <c r="ET345">
        <v>44</v>
      </c>
      <c r="EU345">
        <v>0</v>
      </c>
      <c r="EV345">
        <v>3.1164670000000001</v>
      </c>
    </row>
    <row r="346" spans="14:152" x14ac:dyDescent="0.4">
      <c r="N346" s="89">
        <v>100</v>
      </c>
      <c r="O346" s="2">
        <v>42</v>
      </c>
      <c r="P346" s="2">
        <v>0</v>
      </c>
      <c r="Q346" s="2">
        <v>4.0452839999999997</v>
      </c>
      <c r="Z346" s="89">
        <v>104</v>
      </c>
      <c r="AA346" s="2">
        <v>42</v>
      </c>
      <c r="AB346" s="2">
        <v>0</v>
      </c>
      <c r="AC346" s="2">
        <v>1.2806059999999999</v>
      </c>
      <c r="AL346" s="89">
        <v>97</v>
      </c>
      <c r="AM346" s="2">
        <v>42</v>
      </c>
      <c r="AN346" s="2">
        <v>0</v>
      </c>
      <c r="AO346" s="2">
        <v>4.7886670000000002</v>
      </c>
      <c r="AX346" s="89">
        <v>114</v>
      </c>
      <c r="AY346" s="2">
        <v>44</v>
      </c>
      <c r="AZ346" s="2">
        <v>0</v>
      </c>
      <c r="BA346" s="2">
        <v>0.10668560000000001</v>
      </c>
      <c r="BJ346" s="89">
        <v>114</v>
      </c>
      <c r="BK346" s="2">
        <v>44</v>
      </c>
      <c r="BL346" s="2">
        <v>0</v>
      </c>
      <c r="BM346" s="2">
        <v>5.1803799999999997E-2</v>
      </c>
      <c r="BV346" s="89">
        <v>112</v>
      </c>
      <c r="BW346" s="2">
        <v>44</v>
      </c>
      <c r="BX346" s="2">
        <v>0</v>
      </c>
      <c r="BY346" s="2">
        <v>0.90760529999999995</v>
      </c>
      <c r="CH346" s="89">
        <v>113</v>
      </c>
      <c r="CI346" s="2">
        <v>44</v>
      </c>
      <c r="CJ346" s="2">
        <v>1</v>
      </c>
      <c r="CK346" s="2">
        <v>6.9000010000000001E-2</v>
      </c>
      <c r="CT346" s="89">
        <v>103</v>
      </c>
      <c r="CU346" s="2">
        <v>44</v>
      </c>
      <c r="CV346" s="2">
        <v>0</v>
      </c>
      <c r="CW346" s="2">
        <v>3.0669209999999998</v>
      </c>
      <c r="DF346" s="89">
        <v>110</v>
      </c>
      <c r="DG346" s="2">
        <v>44</v>
      </c>
      <c r="DH346" s="2">
        <v>0</v>
      </c>
      <c r="DI346" s="2">
        <v>2.203274</v>
      </c>
      <c r="DR346" s="89">
        <v>105</v>
      </c>
      <c r="DS346" s="2">
        <v>41</v>
      </c>
      <c r="DT346" s="2">
        <v>0</v>
      </c>
      <c r="DU346" s="2">
        <v>0.3995129</v>
      </c>
      <c r="ED346" s="89">
        <v>109</v>
      </c>
      <c r="EE346" s="2">
        <v>44</v>
      </c>
      <c r="EF346" s="2">
        <v>0</v>
      </c>
      <c r="EG346" s="2">
        <v>2.515406</v>
      </c>
      <c r="ES346">
        <v>109</v>
      </c>
      <c r="ET346">
        <v>44</v>
      </c>
      <c r="EU346">
        <v>0</v>
      </c>
      <c r="EV346">
        <v>2.515406</v>
      </c>
    </row>
    <row r="347" spans="14:152" x14ac:dyDescent="0.4">
      <c r="N347" s="89">
        <v>101</v>
      </c>
      <c r="O347" s="2">
        <v>42</v>
      </c>
      <c r="P347" s="2">
        <v>0</v>
      </c>
      <c r="Q347" s="2">
        <v>3.2521960000000001</v>
      </c>
      <c r="Z347" s="89">
        <v>105</v>
      </c>
      <c r="AA347" s="2">
        <v>42</v>
      </c>
      <c r="AB347" s="2">
        <v>0</v>
      </c>
      <c r="AC347" s="2">
        <v>0.68946549999999995</v>
      </c>
      <c r="AL347" s="89">
        <v>98</v>
      </c>
      <c r="AM347" s="2">
        <v>42</v>
      </c>
      <c r="AN347" s="2">
        <v>0</v>
      </c>
      <c r="AO347" s="2">
        <v>4.8051750000000002</v>
      </c>
      <c r="AX347" s="89">
        <v>115</v>
      </c>
      <c r="AY347" s="2">
        <v>44</v>
      </c>
      <c r="AZ347" s="2">
        <v>0</v>
      </c>
      <c r="BA347" s="2">
        <v>3.3856600000000001E-2</v>
      </c>
      <c r="BJ347" s="89">
        <v>115</v>
      </c>
      <c r="BK347" s="2">
        <v>44</v>
      </c>
      <c r="BL347" s="2">
        <v>0</v>
      </c>
      <c r="BM347" s="2">
        <v>0.01</v>
      </c>
      <c r="BV347" s="89">
        <v>113</v>
      </c>
      <c r="BW347" s="2">
        <v>44</v>
      </c>
      <c r="BX347" s="2">
        <v>0</v>
      </c>
      <c r="BY347" s="2">
        <v>0.26004290000000002</v>
      </c>
      <c r="CH347" s="89">
        <v>114</v>
      </c>
      <c r="CI347" s="2">
        <v>44</v>
      </c>
      <c r="CJ347" s="2">
        <v>0</v>
      </c>
      <c r="CK347" s="2">
        <v>2.8869200000000001E-2</v>
      </c>
      <c r="CT347" s="89">
        <v>103</v>
      </c>
      <c r="CU347" s="2">
        <v>44</v>
      </c>
      <c r="CV347" s="2">
        <v>1</v>
      </c>
      <c r="CW347" s="2">
        <v>0.13900000000000001</v>
      </c>
      <c r="DF347" s="89">
        <v>111</v>
      </c>
      <c r="DG347" s="2">
        <v>44</v>
      </c>
      <c r="DH347" s="2">
        <v>0</v>
      </c>
      <c r="DI347" s="2">
        <v>1.58721</v>
      </c>
      <c r="DR347" s="89">
        <v>106</v>
      </c>
      <c r="DS347" s="2">
        <v>41</v>
      </c>
      <c r="DT347" s="2">
        <v>0</v>
      </c>
      <c r="DU347" s="2">
        <v>0.1709879</v>
      </c>
      <c r="ED347" s="89">
        <v>110</v>
      </c>
      <c r="EE347" s="2">
        <v>44</v>
      </c>
      <c r="EF347" s="2">
        <v>0</v>
      </c>
      <c r="EG347" s="2">
        <v>1.8934960000000001</v>
      </c>
      <c r="ES347">
        <v>110</v>
      </c>
      <c r="ET347">
        <v>44</v>
      </c>
      <c r="EU347">
        <v>0</v>
      </c>
      <c r="EV347">
        <v>1.8934960000000001</v>
      </c>
    </row>
    <row r="348" spans="14:152" x14ac:dyDescent="0.4">
      <c r="N348" s="89">
        <v>102</v>
      </c>
      <c r="O348" s="2">
        <v>42</v>
      </c>
      <c r="P348" s="2">
        <v>0</v>
      </c>
      <c r="Q348" s="2">
        <v>2.4718040000000001</v>
      </c>
      <c r="Z348" s="89">
        <v>106</v>
      </c>
      <c r="AA348" s="2">
        <v>42</v>
      </c>
      <c r="AB348" s="2">
        <v>0</v>
      </c>
      <c r="AC348" s="2">
        <v>0.34868500000000002</v>
      </c>
      <c r="AL348" s="89">
        <v>99</v>
      </c>
      <c r="AM348" s="2">
        <v>42</v>
      </c>
      <c r="AN348" s="2">
        <v>0</v>
      </c>
      <c r="AO348" s="2">
        <v>4.6373449999999998</v>
      </c>
      <c r="AX348" s="89">
        <v>116</v>
      </c>
      <c r="AY348" s="2">
        <v>44</v>
      </c>
      <c r="AZ348" s="2">
        <v>0</v>
      </c>
      <c r="BA348" s="2">
        <v>7.0000000000000001E-3</v>
      </c>
      <c r="BJ348" s="89">
        <v>116</v>
      </c>
      <c r="BK348" s="2">
        <v>44</v>
      </c>
      <c r="BL348" s="2">
        <v>0</v>
      </c>
      <c r="BM348" s="2">
        <v>3.0000000000000001E-3</v>
      </c>
      <c r="BV348" s="89">
        <v>113</v>
      </c>
      <c r="BW348" s="2">
        <v>44</v>
      </c>
      <c r="BX348" s="2">
        <v>1</v>
      </c>
      <c r="BY348" s="2">
        <v>0.26700000000000002</v>
      </c>
      <c r="CH348" s="89">
        <v>115</v>
      </c>
      <c r="CI348" s="2">
        <v>44</v>
      </c>
      <c r="CJ348" s="2">
        <v>0</v>
      </c>
      <c r="CK348" s="2">
        <v>7.0000000000000001E-3</v>
      </c>
      <c r="CT348" s="89">
        <v>104</v>
      </c>
      <c r="CU348" s="2">
        <v>44</v>
      </c>
      <c r="CV348" s="2">
        <v>0</v>
      </c>
      <c r="CW348" s="2">
        <v>3.1300430000000001</v>
      </c>
      <c r="DF348" s="89">
        <v>112</v>
      </c>
      <c r="DG348" s="2">
        <v>44</v>
      </c>
      <c r="DH348" s="2">
        <v>0</v>
      </c>
      <c r="DI348" s="2">
        <v>1.1558660000000001</v>
      </c>
      <c r="DR348" s="89">
        <v>107</v>
      </c>
      <c r="DS348" s="2">
        <v>41</v>
      </c>
      <c r="DT348" s="2">
        <v>0</v>
      </c>
      <c r="DU348" s="2">
        <v>7.1814500000000003E-2</v>
      </c>
      <c r="ED348" s="89">
        <v>111</v>
      </c>
      <c r="EE348" s="2">
        <v>44</v>
      </c>
      <c r="EF348" s="2">
        <v>0</v>
      </c>
      <c r="EG348" s="2">
        <v>1.1020099999999999</v>
      </c>
      <c r="ES348">
        <v>111</v>
      </c>
      <c r="ET348">
        <v>44</v>
      </c>
      <c r="EU348">
        <v>0</v>
      </c>
      <c r="EV348">
        <v>1.1020099999999999</v>
      </c>
    </row>
    <row r="349" spans="14:152" x14ac:dyDescent="0.4">
      <c r="N349" s="89">
        <v>103</v>
      </c>
      <c r="O349" s="2">
        <v>42</v>
      </c>
      <c r="P349" s="2">
        <v>0</v>
      </c>
      <c r="Q349" s="2">
        <v>1.5471699999999999</v>
      </c>
      <c r="Z349" s="89">
        <v>107</v>
      </c>
      <c r="AA349" s="2">
        <v>42</v>
      </c>
      <c r="AB349" s="2">
        <v>0</v>
      </c>
      <c r="AC349" s="2">
        <v>0.143292</v>
      </c>
      <c r="AL349" s="89">
        <v>100</v>
      </c>
      <c r="AM349" s="2">
        <v>42</v>
      </c>
      <c r="AN349" s="2">
        <v>0</v>
      </c>
      <c r="AO349" s="2">
        <v>4.3594920000000004</v>
      </c>
      <c r="AX349" s="89">
        <v>117</v>
      </c>
      <c r="AY349" s="2">
        <v>44</v>
      </c>
      <c r="AZ349" s="2">
        <v>0</v>
      </c>
      <c r="BA349" s="2">
        <v>2E-3</v>
      </c>
      <c r="BJ349" s="89">
        <v>117</v>
      </c>
      <c r="BK349" s="2">
        <v>44</v>
      </c>
      <c r="BL349" s="2">
        <v>0</v>
      </c>
      <c r="BM349" s="2">
        <v>1E-3</v>
      </c>
      <c r="BV349" s="89">
        <v>114</v>
      </c>
      <c r="BW349" s="2">
        <v>44</v>
      </c>
      <c r="BX349" s="2">
        <v>0</v>
      </c>
      <c r="BY349" s="2">
        <v>0.1855146</v>
      </c>
      <c r="CH349" s="89">
        <v>116</v>
      </c>
      <c r="CI349" s="2">
        <v>44</v>
      </c>
      <c r="CJ349" s="2">
        <v>0</v>
      </c>
      <c r="CK349" s="2">
        <v>2E-3</v>
      </c>
      <c r="CT349" s="89">
        <v>105</v>
      </c>
      <c r="CU349" s="2">
        <v>44</v>
      </c>
      <c r="CV349" s="2">
        <v>0</v>
      </c>
      <c r="CW349" s="2">
        <v>3.347931</v>
      </c>
      <c r="DF349" s="89">
        <v>113</v>
      </c>
      <c r="DG349" s="2">
        <v>44</v>
      </c>
      <c r="DH349" s="2">
        <v>0</v>
      </c>
      <c r="DI349" s="2">
        <v>0.47218060000000001</v>
      </c>
      <c r="DR349" s="89">
        <v>108</v>
      </c>
      <c r="DS349" s="2">
        <v>41</v>
      </c>
      <c r="DT349" s="2">
        <v>0</v>
      </c>
      <c r="DU349" s="2">
        <v>2.1000000000000001E-2</v>
      </c>
      <c r="ED349" s="89">
        <v>112</v>
      </c>
      <c r="EE349" s="2">
        <v>44</v>
      </c>
      <c r="EF349" s="2">
        <v>0</v>
      </c>
      <c r="EG349" s="2">
        <v>0.65587379999999995</v>
      </c>
      <c r="ES349">
        <v>112</v>
      </c>
      <c r="ET349">
        <v>44</v>
      </c>
      <c r="EU349">
        <v>0</v>
      </c>
      <c r="EV349">
        <v>0.65587379999999995</v>
      </c>
    </row>
    <row r="350" spans="14:152" x14ac:dyDescent="0.4">
      <c r="N350" s="89">
        <v>104</v>
      </c>
      <c r="O350" s="2">
        <v>42</v>
      </c>
      <c r="P350" s="2">
        <v>0</v>
      </c>
      <c r="Q350" s="2">
        <v>0.94093859999999996</v>
      </c>
      <c r="Z350" s="89">
        <v>108</v>
      </c>
      <c r="AA350" s="2">
        <v>42</v>
      </c>
      <c r="AB350" s="2">
        <v>0</v>
      </c>
      <c r="AC350" s="2">
        <v>5.2754500000000003E-2</v>
      </c>
      <c r="AL350" s="89">
        <v>101</v>
      </c>
      <c r="AM350" s="2">
        <v>42</v>
      </c>
      <c r="AN350" s="2">
        <v>0</v>
      </c>
      <c r="AO350" s="2">
        <v>3.4163450000000002</v>
      </c>
      <c r="AX350" s="89">
        <v>103</v>
      </c>
      <c r="AY350" s="2">
        <v>45</v>
      </c>
      <c r="AZ350" s="2">
        <v>0</v>
      </c>
      <c r="BA350" s="2">
        <v>3.5662829999999999</v>
      </c>
      <c r="BJ350" s="89">
        <v>118</v>
      </c>
      <c r="BK350" s="2">
        <v>44</v>
      </c>
      <c r="BL350" s="2">
        <v>0</v>
      </c>
      <c r="BM350" s="2">
        <v>1E-3</v>
      </c>
      <c r="BV350" s="89">
        <v>115</v>
      </c>
      <c r="BW350" s="2">
        <v>44</v>
      </c>
      <c r="BX350" s="2">
        <v>0</v>
      </c>
      <c r="BY350" s="2">
        <v>7.7569810000000003E-2</v>
      </c>
      <c r="CH350" s="89">
        <v>117</v>
      </c>
      <c r="CI350" s="2">
        <v>44</v>
      </c>
      <c r="CJ350" s="2">
        <v>0</v>
      </c>
      <c r="CK350" s="2">
        <v>1E-3</v>
      </c>
      <c r="CT350" s="89">
        <v>106</v>
      </c>
      <c r="CU350" s="2">
        <v>44</v>
      </c>
      <c r="CV350" s="2">
        <v>0</v>
      </c>
      <c r="CW350" s="2">
        <v>3.1494599999999999</v>
      </c>
      <c r="DF350" s="89">
        <v>113</v>
      </c>
      <c r="DG350" s="2">
        <v>44</v>
      </c>
      <c r="DH350" s="2">
        <v>1</v>
      </c>
      <c r="DI350" s="2">
        <v>0.43099999999999999</v>
      </c>
      <c r="DR350" s="89">
        <v>109</v>
      </c>
      <c r="DS350" s="2">
        <v>41</v>
      </c>
      <c r="DT350" s="2">
        <v>0</v>
      </c>
      <c r="DU350" s="2">
        <v>6.0000009999999996E-3</v>
      </c>
      <c r="ED350" s="89">
        <v>113</v>
      </c>
      <c r="EE350" s="2">
        <v>44</v>
      </c>
      <c r="EF350" s="2">
        <v>0</v>
      </c>
      <c r="EG350" s="2">
        <v>0.13195770000000001</v>
      </c>
      <c r="ES350">
        <v>113</v>
      </c>
      <c r="ET350">
        <v>44</v>
      </c>
      <c r="EU350">
        <v>0</v>
      </c>
      <c r="EV350">
        <v>0.13195770000000001</v>
      </c>
    </row>
    <row r="351" spans="14:152" x14ac:dyDescent="0.4">
      <c r="N351" s="89">
        <v>105</v>
      </c>
      <c r="O351" s="2">
        <v>42</v>
      </c>
      <c r="P351" s="2">
        <v>0</v>
      </c>
      <c r="Q351" s="2">
        <v>0.43392599999999998</v>
      </c>
      <c r="Z351" s="89">
        <v>109</v>
      </c>
      <c r="AA351" s="2">
        <v>42</v>
      </c>
      <c r="AB351" s="2">
        <v>0</v>
      </c>
      <c r="AC351" s="2">
        <v>1.5873499999999999E-2</v>
      </c>
      <c r="AL351" s="89">
        <v>102</v>
      </c>
      <c r="AM351" s="2">
        <v>42</v>
      </c>
      <c r="AN351" s="2">
        <v>0</v>
      </c>
      <c r="AO351" s="2">
        <v>2.522608</v>
      </c>
      <c r="AX351" s="89">
        <v>103</v>
      </c>
      <c r="AY351" s="2">
        <v>45</v>
      </c>
      <c r="AZ351" s="2">
        <v>1</v>
      </c>
      <c r="BA351" s="2">
        <v>3.5234869999999998</v>
      </c>
      <c r="BJ351" s="89">
        <v>103</v>
      </c>
      <c r="BK351" s="2">
        <v>45</v>
      </c>
      <c r="BL351" s="2">
        <v>0</v>
      </c>
      <c r="BM351" s="2">
        <v>3.8283019999999999</v>
      </c>
      <c r="BV351" s="89">
        <v>116</v>
      </c>
      <c r="BW351" s="2">
        <v>44</v>
      </c>
      <c r="BX351" s="2">
        <v>0</v>
      </c>
      <c r="BY351" s="2">
        <v>2.3E-2</v>
      </c>
      <c r="CH351" s="89">
        <v>101</v>
      </c>
      <c r="CI351" s="2">
        <v>45</v>
      </c>
      <c r="CJ351" s="2">
        <v>0</v>
      </c>
      <c r="CK351" s="2">
        <v>7.4400010000000007E-5</v>
      </c>
      <c r="CT351" s="89">
        <v>107</v>
      </c>
      <c r="CU351" s="2">
        <v>44</v>
      </c>
      <c r="CV351" s="2">
        <v>0</v>
      </c>
      <c r="CW351" s="2">
        <v>2.8747129999999999</v>
      </c>
      <c r="DF351" s="89">
        <v>114</v>
      </c>
      <c r="DG351" s="2">
        <v>44</v>
      </c>
      <c r="DH351" s="2">
        <v>0</v>
      </c>
      <c r="DI351" s="2">
        <v>0.33598899999999998</v>
      </c>
      <c r="DR351" s="89">
        <v>110</v>
      </c>
      <c r="DS351" s="2">
        <v>41</v>
      </c>
      <c r="DT351" s="2">
        <v>0</v>
      </c>
      <c r="DU351" s="2">
        <v>3.0000000000000001E-3</v>
      </c>
      <c r="ED351" s="89">
        <v>113</v>
      </c>
      <c r="EE351" s="2">
        <v>44</v>
      </c>
      <c r="EF351" s="2">
        <v>1</v>
      </c>
      <c r="EG351" s="2">
        <v>0.14499999999999999</v>
      </c>
      <c r="ES351">
        <v>113</v>
      </c>
      <c r="ET351">
        <v>44</v>
      </c>
      <c r="EU351">
        <v>1</v>
      </c>
      <c r="EV351">
        <v>0.14499999999999999</v>
      </c>
    </row>
    <row r="352" spans="14:152" x14ac:dyDescent="0.4">
      <c r="N352" s="89">
        <v>106</v>
      </c>
      <c r="O352" s="2">
        <v>42</v>
      </c>
      <c r="P352" s="2">
        <v>0</v>
      </c>
      <c r="Q352" s="2">
        <v>0.21262500000000001</v>
      </c>
      <c r="Z352" s="89">
        <v>110</v>
      </c>
      <c r="AA352" s="2">
        <v>42</v>
      </c>
      <c r="AB352" s="2">
        <v>0</v>
      </c>
      <c r="AC352" s="2">
        <v>7.0000000000000001E-3</v>
      </c>
      <c r="AL352" s="89">
        <v>103</v>
      </c>
      <c r="AM352" s="2">
        <v>42</v>
      </c>
      <c r="AN352" s="2">
        <v>0</v>
      </c>
      <c r="AO352" s="2">
        <v>1.521083</v>
      </c>
      <c r="AX352" s="89">
        <v>105</v>
      </c>
      <c r="AY352" s="2">
        <v>45</v>
      </c>
      <c r="AZ352" s="2">
        <v>0</v>
      </c>
      <c r="BA352" s="2">
        <v>4.1004529999999999</v>
      </c>
      <c r="BJ352" s="89">
        <v>103</v>
      </c>
      <c r="BK352" s="2">
        <v>45</v>
      </c>
      <c r="BL352" s="2">
        <v>1</v>
      </c>
      <c r="BM352" s="2">
        <v>3.7823869999999999</v>
      </c>
      <c r="BV352" s="89">
        <v>117</v>
      </c>
      <c r="BW352" s="2">
        <v>44</v>
      </c>
      <c r="BX352" s="2">
        <v>0</v>
      </c>
      <c r="BY352" s="2">
        <v>4.0000000000000001E-3</v>
      </c>
      <c r="CH352" s="89">
        <v>101</v>
      </c>
      <c r="CI352" s="2">
        <v>45</v>
      </c>
      <c r="CJ352" s="2">
        <v>1</v>
      </c>
      <c r="CK352" s="2">
        <v>1E-3</v>
      </c>
      <c r="CT352" s="89">
        <v>108</v>
      </c>
      <c r="CU352" s="2">
        <v>44</v>
      </c>
      <c r="CV352" s="2">
        <v>0</v>
      </c>
      <c r="CW352" s="2">
        <v>2.46258</v>
      </c>
      <c r="DF352" s="89">
        <v>115</v>
      </c>
      <c r="DG352" s="2">
        <v>44</v>
      </c>
      <c r="DH352" s="2">
        <v>0</v>
      </c>
      <c r="DI352" s="2">
        <v>0.1357082</v>
      </c>
      <c r="DR352" s="89">
        <v>111</v>
      </c>
      <c r="DS352" s="2">
        <v>41</v>
      </c>
      <c r="DT352" s="2">
        <v>0</v>
      </c>
      <c r="DU352" s="2">
        <v>1E-3</v>
      </c>
      <c r="ED352" s="89">
        <v>114</v>
      </c>
      <c r="EE352" s="2">
        <v>44</v>
      </c>
      <c r="EF352" s="2">
        <v>0</v>
      </c>
      <c r="EG352" s="2">
        <v>0.113751</v>
      </c>
      <c r="ES352">
        <v>114</v>
      </c>
      <c r="ET352">
        <v>44</v>
      </c>
      <c r="EU352">
        <v>0</v>
      </c>
      <c r="EV352">
        <v>0.113751</v>
      </c>
    </row>
    <row r="353" spans="14:152" x14ac:dyDescent="0.4">
      <c r="N353" s="89">
        <v>107</v>
      </c>
      <c r="O353" s="2">
        <v>42</v>
      </c>
      <c r="P353" s="2">
        <v>0</v>
      </c>
      <c r="Q353" s="2">
        <v>7.6525990000000002E-2</v>
      </c>
      <c r="Z353" s="89">
        <v>97</v>
      </c>
      <c r="AA353" s="2">
        <v>43</v>
      </c>
      <c r="AB353" s="2">
        <v>0</v>
      </c>
      <c r="AC353" s="2">
        <v>6.0000000000000001E-3</v>
      </c>
      <c r="AL353" s="89">
        <v>104</v>
      </c>
      <c r="AM353" s="2">
        <v>42</v>
      </c>
      <c r="AN353" s="2">
        <v>0</v>
      </c>
      <c r="AO353" s="2">
        <v>0.87461429999999996</v>
      </c>
      <c r="AX353" s="89">
        <v>105</v>
      </c>
      <c r="AY353" s="2">
        <v>45</v>
      </c>
      <c r="AZ353" s="2">
        <v>1</v>
      </c>
      <c r="BA353" s="2">
        <v>1.1594850000000001</v>
      </c>
      <c r="BJ353" s="89">
        <v>104</v>
      </c>
      <c r="BK353" s="2">
        <v>45</v>
      </c>
      <c r="BL353" s="2">
        <v>0</v>
      </c>
      <c r="BM353" s="2">
        <v>1.0987E-2</v>
      </c>
      <c r="BV353" s="89">
        <v>118</v>
      </c>
      <c r="BW353" s="2">
        <v>44</v>
      </c>
      <c r="BX353" s="2">
        <v>0</v>
      </c>
      <c r="BY353" s="2">
        <v>1E-3</v>
      </c>
      <c r="CH353" s="89">
        <v>102</v>
      </c>
      <c r="CI353" s="2">
        <v>45</v>
      </c>
      <c r="CJ353" s="2">
        <v>0</v>
      </c>
      <c r="CK353" s="2">
        <v>4.0000000000000001E-3</v>
      </c>
      <c r="CT353" s="89">
        <v>109</v>
      </c>
      <c r="CU353" s="2">
        <v>44</v>
      </c>
      <c r="CV353" s="2">
        <v>0</v>
      </c>
      <c r="CW353" s="2">
        <v>1.810673</v>
      </c>
      <c r="DF353" s="89">
        <v>116</v>
      </c>
      <c r="DG353" s="2">
        <v>44</v>
      </c>
      <c r="DH353" s="2">
        <v>0</v>
      </c>
      <c r="DI353" s="2">
        <v>5.31446E-2</v>
      </c>
      <c r="DR353" s="89">
        <v>94</v>
      </c>
      <c r="DS353" s="2">
        <v>42</v>
      </c>
      <c r="DT353" s="2">
        <v>0</v>
      </c>
      <c r="DU353" s="2">
        <v>8.0000000000000002E-3</v>
      </c>
      <c r="ED353" s="89">
        <v>115</v>
      </c>
      <c r="EE353" s="2">
        <v>44</v>
      </c>
      <c r="EF353" s="2">
        <v>0</v>
      </c>
      <c r="EG353" s="2">
        <v>3.0856600000000001E-2</v>
      </c>
      <c r="ES353">
        <v>115</v>
      </c>
      <c r="ET353">
        <v>44</v>
      </c>
      <c r="EU353">
        <v>0</v>
      </c>
      <c r="EV353">
        <v>3.0856600000000001E-2</v>
      </c>
    </row>
    <row r="354" spans="14:152" x14ac:dyDescent="0.4">
      <c r="N354" s="89">
        <v>108</v>
      </c>
      <c r="O354" s="2">
        <v>42</v>
      </c>
      <c r="P354" s="2">
        <v>0</v>
      </c>
      <c r="Q354" s="2">
        <v>2.0940500000000001E-2</v>
      </c>
      <c r="Z354" s="89">
        <v>98</v>
      </c>
      <c r="AA354" s="2">
        <v>43</v>
      </c>
      <c r="AB354" s="2">
        <v>0</v>
      </c>
      <c r="AC354" s="2">
        <v>1.7999999999999999E-2</v>
      </c>
      <c r="AL354" s="89">
        <v>105</v>
      </c>
      <c r="AM354" s="2">
        <v>42</v>
      </c>
      <c r="AN354" s="2">
        <v>0</v>
      </c>
      <c r="AO354" s="2">
        <v>0.37084299999999998</v>
      </c>
      <c r="AX354" s="89">
        <v>106</v>
      </c>
      <c r="AY354" s="2">
        <v>45</v>
      </c>
      <c r="AZ354" s="2">
        <v>0</v>
      </c>
      <c r="BA354" s="2">
        <v>4.206531</v>
      </c>
      <c r="BJ354" s="89">
        <v>104</v>
      </c>
      <c r="BK354" s="2">
        <v>45</v>
      </c>
      <c r="BL354" s="2">
        <v>1</v>
      </c>
      <c r="BM354" s="2">
        <v>0.01</v>
      </c>
      <c r="BV354" s="89">
        <v>103</v>
      </c>
      <c r="BW354" s="2">
        <v>45</v>
      </c>
      <c r="BX354" s="2">
        <v>0</v>
      </c>
      <c r="BY354" s="2">
        <v>3.6642139999999999</v>
      </c>
      <c r="CH354" s="89">
        <v>103</v>
      </c>
      <c r="CI354" s="2">
        <v>45</v>
      </c>
      <c r="CJ354" s="2">
        <v>0</v>
      </c>
      <c r="CK354" s="2">
        <v>3.8221790000000002</v>
      </c>
      <c r="CT354" s="89">
        <v>110</v>
      </c>
      <c r="CU354" s="2">
        <v>44</v>
      </c>
      <c r="CV354" s="2">
        <v>0</v>
      </c>
      <c r="CW354" s="2">
        <v>1.238499</v>
      </c>
      <c r="DF354" s="89">
        <v>117</v>
      </c>
      <c r="DG354" s="2">
        <v>44</v>
      </c>
      <c r="DH354" s="2">
        <v>0</v>
      </c>
      <c r="DI354" s="2">
        <v>1.7999999999999999E-2</v>
      </c>
      <c r="DR354" s="89">
        <v>95</v>
      </c>
      <c r="DS354" s="2">
        <v>42</v>
      </c>
      <c r="DT354" s="2">
        <v>0</v>
      </c>
      <c r="DU354" s="2">
        <v>4.3065009999999999</v>
      </c>
      <c r="ED354" s="89">
        <v>116</v>
      </c>
      <c r="EE354" s="2">
        <v>44</v>
      </c>
      <c r="EF354" s="2">
        <v>0</v>
      </c>
      <c r="EG354" s="2">
        <v>1.0999999999999999E-2</v>
      </c>
      <c r="ES354">
        <v>116</v>
      </c>
      <c r="ET354">
        <v>44</v>
      </c>
      <c r="EU354">
        <v>0</v>
      </c>
      <c r="EV354">
        <v>1.0999999999999999E-2</v>
      </c>
    </row>
    <row r="355" spans="14:152" x14ac:dyDescent="0.4">
      <c r="N355" s="89">
        <v>109</v>
      </c>
      <c r="O355" s="2">
        <v>42</v>
      </c>
      <c r="P355" s="2">
        <v>0</v>
      </c>
      <c r="Q355" s="2">
        <v>8.8734999999999994E-3</v>
      </c>
      <c r="Z355" s="89">
        <v>99</v>
      </c>
      <c r="AA355" s="2">
        <v>43</v>
      </c>
      <c r="AB355" s="2">
        <v>0</v>
      </c>
      <c r="AC355" s="2">
        <v>4.5094620000000001</v>
      </c>
      <c r="AL355" s="89">
        <v>106</v>
      </c>
      <c r="AM355" s="2">
        <v>42</v>
      </c>
      <c r="AN355" s="2">
        <v>0</v>
      </c>
      <c r="AO355" s="2">
        <v>0.17382</v>
      </c>
      <c r="AX355" s="89">
        <v>106</v>
      </c>
      <c r="AY355" s="2">
        <v>45</v>
      </c>
      <c r="AZ355" s="2">
        <v>1</v>
      </c>
      <c r="BA355" s="2">
        <v>4.437663E-2</v>
      </c>
      <c r="BJ355" s="89">
        <v>105</v>
      </c>
      <c r="BK355" s="2">
        <v>45</v>
      </c>
      <c r="BL355" s="2">
        <v>0</v>
      </c>
      <c r="BM355" s="2">
        <v>3.9919319999999998</v>
      </c>
      <c r="BV355" s="89">
        <v>103</v>
      </c>
      <c r="BW355" s="2">
        <v>45</v>
      </c>
      <c r="BX355" s="2">
        <v>1</v>
      </c>
      <c r="BY355" s="2">
        <v>3.620244</v>
      </c>
      <c r="CH355" s="89">
        <v>103</v>
      </c>
      <c r="CI355" s="2">
        <v>45</v>
      </c>
      <c r="CJ355" s="2">
        <v>1</v>
      </c>
      <c r="CK355" s="2">
        <v>3.7746209999999998</v>
      </c>
      <c r="CT355" s="89">
        <v>111</v>
      </c>
      <c r="CU355" s="2">
        <v>44</v>
      </c>
      <c r="CV355" s="2">
        <v>0</v>
      </c>
      <c r="CW355" s="2">
        <v>0.66650050000000005</v>
      </c>
      <c r="DF355" s="89">
        <v>118</v>
      </c>
      <c r="DG355" s="2">
        <v>44</v>
      </c>
      <c r="DH355" s="2">
        <v>0</v>
      </c>
      <c r="DI355" s="2">
        <v>7.0000000000000001E-3</v>
      </c>
      <c r="DR355" s="89">
        <v>96</v>
      </c>
      <c r="DS355" s="2">
        <v>42</v>
      </c>
      <c r="DT355" s="2">
        <v>0</v>
      </c>
      <c r="DU355" s="2">
        <v>0.219</v>
      </c>
      <c r="ED355" s="89">
        <v>117</v>
      </c>
      <c r="EE355" s="2">
        <v>44</v>
      </c>
      <c r="EF355" s="2">
        <v>0</v>
      </c>
      <c r="EG355" s="2">
        <v>1E-3</v>
      </c>
      <c r="ES355">
        <v>117</v>
      </c>
      <c r="ET355">
        <v>44</v>
      </c>
      <c r="EU355">
        <v>0</v>
      </c>
      <c r="EV355">
        <v>1E-3</v>
      </c>
    </row>
    <row r="356" spans="14:152" x14ac:dyDescent="0.4">
      <c r="N356" s="89">
        <v>110</v>
      </c>
      <c r="O356" s="2">
        <v>42</v>
      </c>
      <c r="P356" s="2">
        <v>0</v>
      </c>
      <c r="Q356" s="2">
        <v>3.0000000000000001E-3</v>
      </c>
      <c r="Z356" s="89">
        <v>99</v>
      </c>
      <c r="AA356" s="2">
        <v>43</v>
      </c>
      <c r="AB356" s="2">
        <v>1</v>
      </c>
      <c r="AC356" s="2">
        <v>3.8765830000000001</v>
      </c>
      <c r="AL356" s="89">
        <v>107</v>
      </c>
      <c r="AM356" s="2">
        <v>42</v>
      </c>
      <c r="AN356" s="2">
        <v>0</v>
      </c>
      <c r="AO356" s="2">
        <v>7.1887999999999994E-2</v>
      </c>
      <c r="AX356" s="89">
        <v>107</v>
      </c>
      <c r="AY356" s="2">
        <v>45</v>
      </c>
      <c r="AZ356" s="2">
        <v>0</v>
      </c>
      <c r="BA356" s="2">
        <v>4.624994</v>
      </c>
      <c r="BJ356" s="89">
        <v>105</v>
      </c>
      <c r="BK356" s="2">
        <v>45</v>
      </c>
      <c r="BL356" s="2">
        <v>1</v>
      </c>
      <c r="BM356" s="2">
        <v>1.123516</v>
      </c>
      <c r="BV356" s="89">
        <v>104</v>
      </c>
      <c r="BW356" s="2">
        <v>45</v>
      </c>
      <c r="BX356" s="2">
        <v>0</v>
      </c>
      <c r="BY356" s="2">
        <v>2.9960999999999998E-3</v>
      </c>
      <c r="CH356" s="89">
        <v>104</v>
      </c>
      <c r="CI356" s="2">
        <v>45</v>
      </c>
      <c r="CJ356" s="2">
        <v>0</v>
      </c>
      <c r="CK356" s="2">
        <v>3.7958400000000003E-2</v>
      </c>
      <c r="CT356" s="89">
        <v>112</v>
      </c>
      <c r="CU356" s="2">
        <v>44</v>
      </c>
      <c r="CV356" s="2">
        <v>0</v>
      </c>
      <c r="CW356" s="2">
        <v>0.37464989999999998</v>
      </c>
      <c r="DF356" s="89">
        <v>119</v>
      </c>
      <c r="DG356" s="2">
        <v>44</v>
      </c>
      <c r="DH356" s="2">
        <v>0</v>
      </c>
      <c r="DI356" s="2">
        <v>2E-3</v>
      </c>
      <c r="DR356" s="89">
        <v>97</v>
      </c>
      <c r="DS356" s="2">
        <v>42</v>
      </c>
      <c r="DT356" s="2">
        <v>0</v>
      </c>
      <c r="DU356" s="2">
        <v>4.6284159999999996</v>
      </c>
      <c r="ED356" s="89">
        <v>103</v>
      </c>
      <c r="EE356" s="2">
        <v>45</v>
      </c>
      <c r="EF356" s="2">
        <v>0</v>
      </c>
      <c r="EG356" s="2">
        <v>3.8140960000000002</v>
      </c>
      <c r="ES356">
        <v>103</v>
      </c>
      <c r="ET356">
        <v>45</v>
      </c>
      <c r="EU356">
        <v>0</v>
      </c>
      <c r="EV356">
        <v>3.8140960000000002</v>
      </c>
    </row>
    <row r="357" spans="14:152" x14ac:dyDescent="0.4">
      <c r="N357" s="89">
        <v>111</v>
      </c>
      <c r="O357" s="2">
        <v>42</v>
      </c>
      <c r="P357" s="2">
        <v>0</v>
      </c>
      <c r="Q357" s="2">
        <v>1E-3</v>
      </c>
      <c r="Z357" s="89">
        <v>100</v>
      </c>
      <c r="AA357" s="2">
        <v>43</v>
      </c>
      <c r="AB357" s="2">
        <v>0</v>
      </c>
      <c r="AC357" s="2">
        <v>0.30499999999999999</v>
      </c>
      <c r="AL357" s="89">
        <v>108</v>
      </c>
      <c r="AM357" s="2">
        <v>42</v>
      </c>
      <c r="AN357" s="2">
        <v>0</v>
      </c>
      <c r="AO357" s="2">
        <v>2.9752000000000001E-2</v>
      </c>
      <c r="AX357" s="89">
        <v>108</v>
      </c>
      <c r="AY357" s="2">
        <v>45</v>
      </c>
      <c r="AZ357" s="2">
        <v>0</v>
      </c>
      <c r="BA357" s="2">
        <v>4.2321559999999998</v>
      </c>
      <c r="BJ357" s="89">
        <v>106</v>
      </c>
      <c r="BK357" s="2">
        <v>45</v>
      </c>
      <c r="BL357" s="2">
        <v>0</v>
      </c>
      <c r="BM357" s="2">
        <v>4.0086849999999998</v>
      </c>
      <c r="BV357" s="89">
        <v>104</v>
      </c>
      <c r="BW357" s="2">
        <v>45</v>
      </c>
      <c r="BX357" s="2">
        <v>1</v>
      </c>
      <c r="BY357" s="2">
        <v>3.0000000000000001E-3</v>
      </c>
      <c r="CH357" s="89">
        <v>104</v>
      </c>
      <c r="CI357" s="2">
        <v>45</v>
      </c>
      <c r="CJ357" s="2">
        <v>1</v>
      </c>
      <c r="CK357" s="2">
        <v>3.2000000000000001E-2</v>
      </c>
      <c r="CT357" s="89">
        <v>113</v>
      </c>
      <c r="CU357" s="2">
        <v>44</v>
      </c>
      <c r="CV357" s="2">
        <v>0</v>
      </c>
      <c r="CW357" s="2">
        <v>9.2111200000000004E-2</v>
      </c>
      <c r="DF357" s="89">
        <v>120</v>
      </c>
      <c r="DG357" s="2">
        <v>44</v>
      </c>
      <c r="DH357" s="2">
        <v>0</v>
      </c>
      <c r="DI357" s="2">
        <v>1E-3</v>
      </c>
      <c r="DR357" s="89">
        <v>98</v>
      </c>
      <c r="DS357" s="2">
        <v>42</v>
      </c>
      <c r="DT357" s="2">
        <v>0</v>
      </c>
      <c r="DU357" s="2">
        <v>4.720796</v>
      </c>
      <c r="ED357" s="89">
        <v>103</v>
      </c>
      <c r="EE357" s="2">
        <v>45</v>
      </c>
      <c r="EF357" s="2">
        <v>1</v>
      </c>
      <c r="EG357" s="2">
        <v>3.768351</v>
      </c>
      <c r="ES357">
        <v>103</v>
      </c>
      <c r="ET357">
        <v>45</v>
      </c>
      <c r="EU357">
        <v>1</v>
      </c>
      <c r="EV357">
        <v>3.768351</v>
      </c>
    </row>
    <row r="358" spans="14:152" x14ac:dyDescent="0.4">
      <c r="N358" s="89">
        <v>114</v>
      </c>
      <c r="O358" s="2">
        <v>42</v>
      </c>
      <c r="P358" s="2">
        <v>0</v>
      </c>
      <c r="Q358" s="2">
        <v>1E-3</v>
      </c>
      <c r="Z358" s="89">
        <v>101</v>
      </c>
      <c r="AA358" s="2">
        <v>43</v>
      </c>
      <c r="AB358" s="2">
        <v>0</v>
      </c>
      <c r="AC358" s="2">
        <v>4.518472</v>
      </c>
      <c r="AL358" s="89">
        <v>109</v>
      </c>
      <c r="AM358" s="2">
        <v>42</v>
      </c>
      <c r="AN358" s="2">
        <v>0</v>
      </c>
      <c r="AO358" s="2">
        <v>7.0000000000000001E-3</v>
      </c>
      <c r="AX358" s="89">
        <v>108</v>
      </c>
      <c r="AY358" s="2">
        <v>45</v>
      </c>
      <c r="AZ358" s="2">
        <v>1</v>
      </c>
      <c r="BA358" s="2">
        <v>0.55134749999999999</v>
      </c>
      <c r="BJ358" s="89">
        <v>106</v>
      </c>
      <c r="BK358" s="2">
        <v>45</v>
      </c>
      <c r="BL358" s="2">
        <v>1</v>
      </c>
      <c r="BM358" s="2">
        <v>0.14005529999999999</v>
      </c>
      <c r="BV358" s="89">
        <v>105</v>
      </c>
      <c r="BW358" s="2">
        <v>45</v>
      </c>
      <c r="BX358" s="2">
        <v>0</v>
      </c>
      <c r="BY358" s="2">
        <v>3.4214380000000002</v>
      </c>
      <c r="CH358" s="89">
        <v>105</v>
      </c>
      <c r="CI358" s="2">
        <v>45</v>
      </c>
      <c r="CJ358" s="2">
        <v>0</v>
      </c>
      <c r="CK358" s="2">
        <v>3.7612580000000002</v>
      </c>
      <c r="CT358" s="89">
        <v>113</v>
      </c>
      <c r="CU358" s="2">
        <v>44</v>
      </c>
      <c r="CV358" s="2">
        <v>1</v>
      </c>
      <c r="CW358" s="2">
        <v>9.2000009999999993E-2</v>
      </c>
      <c r="DF358" s="89">
        <v>103</v>
      </c>
      <c r="DG358" s="2">
        <v>45</v>
      </c>
      <c r="DH358" s="2">
        <v>0</v>
      </c>
      <c r="DI358" s="2">
        <v>3.211249</v>
      </c>
      <c r="DR358" s="89">
        <v>99</v>
      </c>
      <c r="DS358" s="2">
        <v>42</v>
      </c>
      <c r="DT358" s="2">
        <v>0</v>
      </c>
      <c r="DU358" s="2">
        <v>4.7023239999999999</v>
      </c>
      <c r="ED358" s="89">
        <v>104</v>
      </c>
      <c r="EE358" s="2">
        <v>45</v>
      </c>
      <c r="EF358" s="2">
        <v>0</v>
      </c>
      <c r="EG358" s="2">
        <v>1.19857E-2</v>
      </c>
      <c r="ES358">
        <v>104</v>
      </c>
      <c r="ET358">
        <v>45</v>
      </c>
      <c r="EU358">
        <v>0</v>
      </c>
      <c r="EV358">
        <v>1.19857E-2</v>
      </c>
    </row>
    <row r="359" spans="14:152" x14ac:dyDescent="0.4">
      <c r="N359" s="89">
        <v>96</v>
      </c>
      <c r="O359" s="2">
        <v>43</v>
      </c>
      <c r="P359" s="2">
        <v>0</v>
      </c>
      <c r="Q359" s="2">
        <v>9.7999999999999997E-4</v>
      </c>
      <c r="Z359" s="89">
        <v>102</v>
      </c>
      <c r="AA359" s="2">
        <v>43</v>
      </c>
      <c r="AB359" s="2">
        <v>0</v>
      </c>
      <c r="AC359" s="2">
        <v>4.5068099999999998</v>
      </c>
      <c r="AL359" s="89">
        <v>111</v>
      </c>
      <c r="AM359" s="2">
        <v>42</v>
      </c>
      <c r="AN359" s="2">
        <v>0</v>
      </c>
      <c r="AO359" s="2">
        <v>1E-3</v>
      </c>
      <c r="AX359" s="89">
        <v>109</v>
      </c>
      <c r="AY359" s="2">
        <v>45</v>
      </c>
      <c r="AZ359" s="2">
        <v>0</v>
      </c>
      <c r="BA359" s="2">
        <v>4.7902990000000001</v>
      </c>
      <c r="BJ359" s="89">
        <v>107</v>
      </c>
      <c r="BK359" s="2">
        <v>45</v>
      </c>
      <c r="BL359" s="2">
        <v>0</v>
      </c>
      <c r="BM359" s="2">
        <v>4.3618350000000001</v>
      </c>
      <c r="BV359" s="89">
        <v>105</v>
      </c>
      <c r="BW359" s="2">
        <v>45</v>
      </c>
      <c r="BX359" s="2">
        <v>1</v>
      </c>
      <c r="BY359" s="2">
        <v>0.96848380000000001</v>
      </c>
      <c r="CH359" s="89">
        <v>105</v>
      </c>
      <c r="CI359" s="2">
        <v>45</v>
      </c>
      <c r="CJ359" s="2">
        <v>1</v>
      </c>
      <c r="CK359" s="2">
        <v>1.032011</v>
      </c>
      <c r="CT359" s="89">
        <v>114</v>
      </c>
      <c r="CU359" s="2">
        <v>44</v>
      </c>
      <c r="CV359" s="2">
        <v>0</v>
      </c>
      <c r="CW359" s="2">
        <v>5.28818E-2</v>
      </c>
      <c r="DF359" s="89">
        <v>103</v>
      </c>
      <c r="DG359" s="2">
        <v>45</v>
      </c>
      <c r="DH359" s="2">
        <v>1</v>
      </c>
      <c r="DI359" s="2">
        <v>3.172714</v>
      </c>
      <c r="DR359" s="89">
        <v>100</v>
      </c>
      <c r="DS359" s="2">
        <v>42</v>
      </c>
      <c r="DT359" s="2">
        <v>0</v>
      </c>
      <c r="DU359" s="2">
        <v>4.9246150000000002</v>
      </c>
      <c r="ED359" s="89">
        <v>104</v>
      </c>
      <c r="EE359" s="2">
        <v>45</v>
      </c>
      <c r="EF359" s="2">
        <v>1</v>
      </c>
      <c r="EG359" s="2">
        <v>1.0999999999999999E-2</v>
      </c>
      <c r="ES359">
        <v>104</v>
      </c>
      <c r="ET359">
        <v>45</v>
      </c>
      <c r="EU359">
        <v>1</v>
      </c>
      <c r="EV359">
        <v>1.0999999999999999E-2</v>
      </c>
    </row>
    <row r="360" spans="14:152" x14ac:dyDescent="0.4">
      <c r="N360" s="89">
        <v>96</v>
      </c>
      <c r="O360" s="2">
        <v>43</v>
      </c>
      <c r="P360" s="2">
        <v>1</v>
      </c>
      <c r="Q360" s="2">
        <v>1E-3</v>
      </c>
      <c r="Z360" s="89">
        <v>102</v>
      </c>
      <c r="AA360" s="2">
        <v>43</v>
      </c>
      <c r="AB360" s="2">
        <v>1</v>
      </c>
      <c r="AC360" s="2">
        <v>1.188759E-2</v>
      </c>
      <c r="AL360" s="89">
        <v>95</v>
      </c>
      <c r="AM360" s="2">
        <v>43</v>
      </c>
      <c r="AN360" s="2">
        <v>0</v>
      </c>
      <c r="AO360" s="2">
        <v>2E-3</v>
      </c>
      <c r="AX360" s="89">
        <v>110</v>
      </c>
      <c r="AY360" s="2">
        <v>45</v>
      </c>
      <c r="AZ360" s="2">
        <v>0</v>
      </c>
      <c r="BA360" s="2">
        <v>4.381113</v>
      </c>
      <c r="BJ360" s="89">
        <v>108</v>
      </c>
      <c r="BK360" s="2">
        <v>45</v>
      </c>
      <c r="BL360" s="2">
        <v>0</v>
      </c>
      <c r="BM360" s="2">
        <v>3.5305209999999998</v>
      </c>
      <c r="BV360" s="89">
        <v>106</v>
      </c>
      <c r="BW360" s="2">
        <v>45</v>
      </c>
      <c r="BX360" s="2">
        <v>0</v>
      </c>
      <c r="BY360" s="2">
        <v>3.4599829999999998</v>
      </c>
      <c r="CH360" s="89">
        <v>106</v>
      </c>
      <c r="CI360" s="2">
        <v>45</v>
      </c>
      <c r="CJ360" s="2">
        <v>0</v>
      </c>
      <c r="CK360" s="2">
        <v>3.6963720000000002</v>
      </c>
      <c r="CT360" s="89">
        <v>115</v>
      </c>
      <c r="CU360" s="2">
        <v>44</v>
      </c>
      <c r="CV360" s="2">
        <v>0</v>
      </c>
      <c r="CW360" s="2">
        <v>1.6978799999999999E-2</v>
      </c>
      <c r="DF360" s="89">
        <v>104</v>
      </c>
      <c r="DG360" s="2">
        <v>45</v>
      </c>
      <c r="DH360" s="2">
        <v>0</v>
      </c>
      <c r="DI360" s="2">
        <v>9.9869999999999994E-4</v>
      </c>
      <c r="DR360" s="89">
        <v>101</v>
      </c>
      <c r="DS360" s="2">
        <v>42</v>
      </c>
      <c r="DT360" s="2">
        <v>0</v>
      </c>
      <c r="DU360" s="2">
        <v>4.6945750000000004</v>
      </c>
      <c r="ED360" s="89">
        <v>105</v>
      </c>
      <c r="EE360" s="2">
        <v>45</v>
      </c>
      <c r="EF360" s="2">
        <v>0</v>
      </c>
      <c r="EG360" s="2">
        <v>3.964226</v>
      </c>
      <c r="ES360">
        <v>105</v>
      </c>
      <c r="ET360">
        <v>45</v>
      </c>
      <c r="EU360">
        <v>0</v>
      </c>
      <c r="EV360">
        <v>3.964226</v>
      </c>
    </row>
    <row r="361" spans="14:152" x14ac:dyDescent="0.4">
      <c r="N361" s="89">
        <v>97</v>
      </c>
      <c r="O361" s="2">
        <v>43</v>
      </c>
      <c r="P361" s="2">
        <v>0</v>
      </c>
      <c r="Q361" s="2">
        <v>0.01</v>
      </c>
      <c r="Z361" s="89">
        <v>103</v>
      </c>
      <c r="AA361" s="2">
        <v>43</v>
      </c>
      <c r="AB361" s="2">
        <v>0</v>
      </c>
      <c r="AC361" s="2">
        <v>4.0890839999999997</v>
      </c>
      <c r="AL361" s="89">
        <v>96</v>
      </c>
      <c r="AM361" s="2">
        <v>43</v>
      </c>
      <c r="AN361" s="2">
        <v>0</v>
      </c>
      <c r="AO361" s="2">
        <v>3.0000000000000001E-3</v>
      </c>
      <c r="AX361" s="89">
        <v>110</v>
      </c>
      <c r="AY361" s="2">
        <v>45</v>
      </c>
      <c r="AZ361" s="2">
        <v>1</v>
      </c>
      <c r="BA361" s="2">
        <v>0.124</v>
      </c>
      <c r="BJ361" s="89">
        <v>108</v>
      </c>
      <c r="BK361" s="2">
        <v>45</v>
      </c>
      <c r="BL361" s="2">
        <v>1</v>
      </c>
      <c r="BM361" s="2">
        <v>0.83498280000000002</v>
      </c>
      <c r="BV361" s="89">
        <v>106</v>
      </c>
      <c r="BW361" s="2">
        <v>45</v>
      </c>
      <c r="BX361" s="2">
        <v>1</v>
      </c>
      <c r="BY361" s="2">
        <v>2.7692310000000001E-2</v>
      </c>
      <c r="CH361" s="89">
        <v>106</v>
      </c>
      <c r="CI361" s="2">
        <v>45</v>
      </c>
      <c r="CJ361" s="2">
        <v>1</v>
      </c>
      <c r="CK361" s="2">
        <v>0.26381359999999998</v>
      </c>
      <c r="CT361" s="89">
        <v>116</v>
      </c>
      <c r="CU361" s="2">
        <v>44</v>
      </c>
      <c r="CV361" s="2">
        <v>0</v>
      </c>
      <c r="CW361" s="2">
        <v>5.8777999999999999E-3</v>
      </c>
      <c r="DF361" s="89">
        <v>104</v>
      </c>
      <c r="DG361" s="2">
        <v>45</v>
      </c>
      <c r="DH361" s="2">
        <v>1</v>
      </c>
      <c r="DI361" s="2">
        <v>1E-3</v>
      </c>
      <c r="DR361" s="89">
        <v>102</v>
      </c>
      <c r="DS361" s="2">
        <v>42</v>
      </c>
      <c r="DT361" s="2">
        <v>0</v>
      </c>
      <c r="DU361" s="2">
        <v>4.3673250000000001</v>
      </c>
      <c r="ED361" s="89">
        <v>105</v>
      </c>
      <c r="EE361" s="2">
        <v>45</v>
      </c>
      <c r="EF361" s="2">
        <v>1</v>
      </c>
      <c r="EG361" s="2">
        <v>1.1162730000000001</v>
      </c>
      <c r="ES361">
        <v>105</v>
      </c>
      <c r="ET361">
        <v>45</v>
      </c>
      <c r="EU361">
        <v>1</v>
      </c>
      <c r="EV361">
        <v>1.1162730000000001</v>
      </c>
    </row>
    <row r="362" spans="14:152" x14ac:dyDescent="0.4">
      <c r="N362" s="89">
        <v>98</v>
      </c>
      <c r="O362" s="2">
        <v>43</v>
      </c>
      <c r="P362" s="2">
        <v>0</v>
      </c>
      <c r="Q362" s="2">
        <v>0.05</v>
      </c>
      <c r="Z362" s="89">
        <v>104</v>
      </c>
      <c r="AA362" s="2">
        <v>43</v>
      </c>
      <c r="AB362" s="2">
        <v>0</v>
      </c>
      <c r="AC362" s="2">
        <v>3.2746059999999999</v>
      </c>
      <c r="AL362" s="89">
        <v>97</v>
      </c>
      <c r="AM362" s="2">
        <v>43</v>
      </c>
      <c r="AN362" s="2">
        <v>0</v>
      </c>
      <c r="AO362" s="2">
        <v>4.3999999999999997E-2</v>
      </c>
      <c r="AX362" s="89">
        <v>111</v>
      </c>
      <c r="AY362" s="2">
        <v>45</v>
      </c>
      <c r="AZ362" s="2">
        <v>0</v>
      </c>
      <c r="BA362" s="2">
        <v>4.0128339999999998</v>
      </c>
      <c r="BJ362" s="89">
        <v>109</v>
      </c>
      <c r="BK362" s="2">
        <v>45</v>
      </c>
      <c r="BL362" s="2">
        <v>0</v>
      </c>
      <c r="BM362" s="2">
        <v>4.2603</v>
      </c>
      <c r="BV362" s="89">
        <v>107</v>
      </c>
      <c r="BW362" s="2">
        <v>45</v>
      </c>
      <c r="BX362" s="2">
        <v>0</v>
      </c>
      <c r="BY362" s="2">
        <v>3.556603</v>
      </c>
      <c r="CH362" s="89">
        <v>107</v>
      </c>
      <c r="CI362" s="2">
        <v>45</v>
      </c>
      <c r="CJ362" s="2">
        <v>0</v>
      </c>
      <c r="CK362" s="2">
        <v>3.8385199999999999</v>
      </c>
      <c r="CT362" s="89">
        <v>117</v>
      </c>
      <c r="CU362" s="2">
        <v>44</v>
      </c>
      <c r="CV362" s="2">
        <v>0</v>
      </c>
      <c r="CW362" s="2">
        <v>2E-3</v>
      </c>
      <c r="DF362" s="89">
        <v>105</v>
      </c>
      <c r="DG362" s="2">
        <v>45</v>
      </c>
      <c r="DH362" s="2">
        <v>0</v>
      </c>
      <c r="DI362" s="2">
        <v>2.6402369999999999</v>
      </c>
      <c r="DR362" s="89">
        <v>103</v>
      </c>
      <c r="DS362" s="2">
        <v>42</v>
      </c>
      <c r="DT362" s="2">
        <v>0</v>
      </c>
      <c r="DU362" s="2">
        <v>3.5526360000000001</v>
      </c>
      <c r="ED362" s="89">
        <v>106</v>
      </c>
      <c r="EE362" s="2">
        <v>45</v>
      </c>
      <c r="EF362" s="2">
        <v>0</v>
      </c>
      <c r="EG362" s="2">
        <v>3.7617340000000001</v>
      </c>
      <c r="ES362">
        <v>106</v>
      </c>
      <c r="ET362">
        <v>45</v>
      </c>
      <c r="EU362">
        <v>0</v>
      </c>
      <c r="EV362">
        <v>3.7617340000000001</v>
      </c>
    </row>
    <row r="363" spans="14:152" x14ac:dyDescent="0.4">
      <c r="N363" s="89">
        <v>99</v>
      </c>
      <c r="O363" s="2">
        <v>43</v>
      </c>
      <c r="P363" s="2">
        <v>0</v>
      </c>
      <c r="Q363" s="2">
        <v>4.3278080000000001</v>
      </c>
      <c r="Z363" s="89">
        <v>105</v>
      </c>
      <c r="AA363" s="2">
        <v>43</v>
      </c>
      <c r="AB363" s="2">
        <v>0</v>
      </c>
      <c r="AC363" s="2">
        <v>2.598465</v>
      </c>
      <c r="AL363" s="89">
        <v>97</v>
      </c>
      <c r="AM363" s="2">
        <v>43</v>
      </c>
      <c r="AN363" s="2">
        <v>1</v>
      </c>
      <c r="AO363" s="2">
        <v>1E-3</v>
      </c>
      <c r="AX363" s="89">
        <v>112</v>
      </c>
      <c r="AY363" s="2">
        <v>45</v>
      </c>
      <c r="AZ363" s="2">
        <v>0</v>
      </c>
      <c r="BA363" s="2">
        <v>2.770003</v>
      </c>
      <c r="BJ363" s="89">
        <v>110</v>
      </c>
      <c r="BK363" s="2">
        <v>45</v>
      </c>
      <c r="BL363" s="2">
        <v>0</v>
      </c>
      <c r="BM363" s="2">
        <v>3.7659180000000001</v>
      </c>
      <c r="BV363" s="89">
        <v>108</v>
      </c>
      <c r="BW363" s="2">
        <v>45</v>
      </c>
      <c r="BX363" s="2">
        <v>0</v>
      </c>
      <c r="BY363" s="2">
        <v>3.4099550000000001</v>
      </c>
      <c r="CH363" s="89">
        <v>108</v>
      </c>
      <c r="CI363" s="2">
        <v>45</v>
      </c>
      <c r="CJ363" s="2">
        <v>0</v>
      </c>
      <c r="CK363" s="2">
        <v>2.8614199999999999</v>
      </c>
      <c r="CT363" s="89">
        <v>118</v>
      </c>
      <c r="CU363" s="2">
        <v>44</v>
      </c>
      <c r="CV363" s="2">
        <v>0</v>
      </c>
      <c r="CW363" s="2">
        <v>2E-3</v>
      </c>
      <c r="DF363" s="89">
        <v>105</v>
      </c>
      <c r="DG363" s="2">
        <v>45</v>
      </c>
      <c r="DH363" s="2">
        <v>1</v>
      </c>
      <c r="DI363" s="2">
        <v>0.74820419999999999</v>
      </c>
      <c r="DR363" s="89">
        <v>104</v>
      </c>
      <c r="DS363" s="2">
        <v>42</v>
      </c>
      <c r="DT363" s="2">
        <v>0</v>
      </c>
      <c r="DU363" s="2">
        <v>2.62168</v>
      </c>
      <c r="ED363" s="89">
        <v>106</v>
      </c>
      <c r="EE363" s="2">
        <v>45</v>
      </c>
      <c r="EF363" s="2">
        <v>1</v>
      </c>
      <c r="EG363" s="2">
        <v>8.2500000000000004E-2</v>
      </c>
      <c r="ES363">
        <v>106</v>
      </c>
      <c r="ET363">
        <v>45</v>
      </c>
      <c r="EU363">
        <v>1</v>
      </c>
      <c r="EV363">
        <v>8.2500000000000004E-2</v>
      </c>
    </row>
    <row r="364" spans="14:152" x14ac:dyDescent="0.4">
      <c r="N364" s="89">
        <v>99</v>
      </c>
      <c r="O364" s="2">
        <v>43</v>
      </c>
      <c r="P364" s="2">
        <v>1</v>
      </c>
      <c r="Q364" s="2">
        <v>3.6703869999999998</v>
      </c>
      <c r="Z364" s="89">
        <v>106</v>
      </c>
      <c r="AA364" s="2">
        <v>43</v>
      </c>
      <c r="AB364" s="2">
        <v>0</v>
      </c>
      <c r="AC364" s="2">
        <v>1.6696850000000001</v>
      </c>
      <c r="AL364" s="89">
        <v>98</v>
      </c>
      <c r="AM364" s="2">
        <v>43</v>
      </c>
      <c r="AN364" s="2">
        <v>0</v>
      </c>
      <c r="AO364" s="2">
        <v>0.106</v>
      </c>
      <c r="AX364" s="89">
        <v>112</v>
      </c>
      <c r="AY364" s="2">
        <v>45</v>
      </c>
      <c r="AZ364" s="2">
        <v>1</v>
      </c>
      <c r="BA364" s="2">
        <v>2.6653019999999999E-2</v>
      </c>
      <c r="BJ364" s="89">
        <v>110</v>
      </c>
      <c r="BK364" s="2">
        <v>45</v>
      </c>
      <c r="BL364" s="2">
        <v>1</v>
      </c>
      <c r="BM364" s="2">
        <v>0.10199999999999999</v>
      </c>
      <c r="BV364" s="89">
        <v>108</v>
      </c>
      <c r="BW364" s="2">
        <v>45</v>
      </c>
      <c r="BX364" s="2">
        <v>1</v>
      </c>
      <c r="BY364" s="2">
        <v>0.28905429999999999</v>
      </c>
      <c r="CH364" s="89">
        <v>108</v>
      </c>
      <c r="CI364" s="2">
        <v>45</v>
      </c>
      <c r="CJ364" s="2">
        <v>1</v>
      </c>
      <c r="CK364" s="2">
        <v>1.056157</v>
      </c>
      <c r="CT364" s="89">
        <v>102</v>
      </c>
      <c r="CU364" s="2">
        <v>45</v>
      </c>
      <c r="CV364" s="2">
        <v>0</v>
      </c>
      <c r="CW364" s="2">
        <v>1.0499999999999999E-3</v>
      </c>
      <c r="DF364" s="89">
        <v>106</v>
      </c>
      <c r="DG364" s="2">
        <v>45</v>
      </c>
      <c r="DH364" s="2">
        <v>0</v>
      </c>
      <c r="DI364" s="2">
        <v>2.5443820000000001</v>
      </c>
      <c r="DR364" s="89">
        <v>105</v>
      </c>
      <c r="DS364" s="2">
        <v>42</v>
      </c>
      <c r="DT364" s="2">
        <v>0</v>
      </c>
      <c r="DU364" s="2">
        <v>1.689416</v>
      </c>
      <c r="ED364" s="89">
        <v>107</v>
      </c>
      <c r="EE364" s="2">
        <v>45</v>
      </c>
      <c r="EF364" s="2">
        <v>0</v>
      </c>
      <c r="EG364" s="2">
        <v>3.7829120000000001</v>
      </c>
      <c r="ES364">
        <v>107</v>
      </c>
      <c r="ET364">
        <v>45</v>
      </c>
      <c r="EU364">
        <v>0</v>
      </c>
      <c r="EV364">
        <v>3.7829120000000001</v>
      </c>
    </row>
    <row r="365" spans="14:152" x14ac:dyDescent="0.4">
      <c r="N365" s="89">
        <v>100</v>
      </c>
      <c r="O365" s="2">
        <v>43</v>
      </c>
      <c r="P365" s="2">
        <v>0</v>
      </c>
      <c r="Q365" s="2">
        <v>0.42499999999999999</v>
      </c>
      <c r="Z365" s="89">
        <v>107</v>
      </c>
      <c r="AA365" s="2">
        <v>43</v>
      </c>
      <c r="AB365" s="2">
        <v>0</v>
      </c>
      <c r="AC365" s="2">
        <v>1.014292</v>
      </c>
      <c r="AL365" s="89">
        <v>99</v>
      </c>
      <c r="AM365" s="2">
        <v>43</v>
      </c>
      <c r="AN365" s="2">
        <v>0</v>
      </c>
      <c r="AO365" s="2">
        <v>4.9933449999999997</v>
      </c>
      <c r="AX365" s="89">
        <v>113</v>
      </c>
      <c r="AY365" s="2">
        <v>45</v>
      </c>
      <c r="AZ365" s="2">
        <v>0</v>
      </c>
      <c r="BA365" s="2">
        <v>1.969876</v>
      </c>
      <c r="BJ365" s="89">
        <v>111</v>
      </c>
      <c r="BK365" s="2">
        <v>45</v>
      </c>
      <c r="BL365" s="2">
        <v>0</v>
      </c>
      <c r="BM365" s="2">
        <v>3.18459</v>
      </c>
      <c r="BV365" s="89">
        <v>109</v>
      </c>
      <c r="BW365" s="2">
        <v>45</v>
      </c>
      <c r="BX365" s="2">
        <v>0</v>
      </c>
      <c r="BY365" s="2">
        <v>3.5826359999999999</v>
      </c>
      <c r="CH365" s="89">
        <v>109</v>
      </c>
      <c r="CI365" s="2">
        <v>45</v>
      </c>
      <c r="CJ365" s="2">
        <v>0</v>
      </c>
      <c r="CK365" s="2">
        <v>3.459489</v>
      </c>
      <c r="CT365" s="89">
        <v>102</v>
      </c>
      <c r="CU365" s="2">
        <v>45</v>
      </c>
      <c r="CV365" s="2">
        <v>1</v>
      </c>
      <c r="CW365" s="2">
        <v>1E-3</v>
      </c>
      <c r="DF365" s="89">
        <v>106</v>
      </c>
      <c r="DG365" s="2">
        <v>45</v>
      </c>
      <c r="DH365" s="2">
        <v>1</v>
      </c>
      <c r="DI365" s="2">
        <v>4.0000000000000001E-3</v>
      </c>
      <c r="DR365" s="89">
        <v>106</v>
      </c>
      <c r="DS365" s="2">
        <v>42</v>
      </c>
      <c r="DT365" s="2">
        <v>0</v>
      </c>
      <c r="DU365" s="2">
        <v>0.99160239999999999</v>
      </c>
      <c r="ED365" s="89">
        <v>108</v>
      </c>
      <c r="EE365" s="2">
        <v>45</v>
      </c>
      <c r="EF365" s="2">
        <v>0</v>
      </c>
      <c r="EG365" s="2">
        <v>3.1970079999999998</v>
      </c>
      <c r="ES365">
        <v>108</v>
      </c>
      <c r="ET365">
        <v>45</v>
      </c>
      <c r="EU365">
        <v>0</v>
      </c>
      <c r="EV365">
        <v>3.1970079999999998</v>
      </c>
    </row>
    <row r="366" spans="14:152" x14ac:dyDescent="0.4">
      <c r="N366" s="89">
        <v>101</v>
      </c>
      <c r="O366" s="2">
        <v>43</v>
      </c>
      <c r="P366" s="2">
        <v>0</v>
      </c>
      <c r="Q366" s="2">
        <v>4.261196</v>
      </c>
      <c r="Z366" s="89">
        <v>108</v>
      </c>
      <c r="AA366" s="2">
        <v>43</v>
      </c>
      <c r="AB366" s="2">
        <v>0</v>
      </c>
      <c r="AC366" s="2">
        <v>0.51483860000000004</v>
      </c>
      <c r="AL366" s="89">
        <v>99</v>
      </c>
      <c r="AM366" s="2">
        <v>43</v>
      </c>
      <c r="AN366" s="2">
        <v>1</v>
      </c>
      <c r="AO366" s="2">
        <v>4.0850520000000001</v>
      </c>
      <c r="AX366" s="89">
        <v>114</v>
      </c>
      <c r="AY366" s="2">
        <v>45</v>
      </c>
      <c r="AZ366" s="2">
        <v>0</v>
      </c>
      <c r="BA366" s="2">
        <v>0.93682149999999997</v>
      </c>
      <c r="BJ366" s="89">
        <v>112</v>
      </c>
      <c r="BK366" s="2">
        <v>45</v>
      </c>
      <c r="BL366" s="2">
        <v>0</v>
      </c>
      <c r="BM366" s="2">
        <v>2.2148400000000001</v>
      </c>
      <c r="BV366" s="89">
        <v>110</v>
      </c>
      <c r="BW366" s="2">
        <v>45</v>
      </c>
      <c r="BX366" s="2">
        <v>0</v>
      </c>
      <c r="BY366" s="2">
        <v>3.5797119999999998</v>
      </c>
      <c r="CH366" s="89">
        <v>110</v>
      </c>
      <c r="CI366" s="2">
        <v>45</v>
      </c>
      <c r="CJ366" s="2">
        <v>0</v>
      </c>
      <c r="CK366" s="2">
        <v>2.9149639999999999</v>
      </c>
      <c r="CT366" s="89">
        <v>103</v>
      </c>
      <c r="CU366" s="2">
        <v>45</v>
      </c>
      <c r="CV366" s="2">
        <v>0</v>
      </c>
      <c r="CW366" s="2">
        <v>3.0739209999999999</v>
      </c>
      <c r="DF366" s="89">
        <v>107</v>
      </c>
      <c r="DG366" s="2">
        <v>45</v>
      </c>
      <c r="DH366" s="2">
        <v>0</v>
      </c>
      <c r="DI366" s="2">
        <v>2.5461179999999999</v>
      </c>
      <c r="DR366" s="89">
        <v>107</v>
      </c>
      <c r="DS366" s="2">
        <v>42</v>
      </c>
      <c r="DT366" s="2">
        <v>0</v>
      </c>
      <c r="DU366" s="2">
        <v>0.45980769999999999</v>
      </c>
      <c r="ED366" s="89">
        <v>108</v>
      </c>
      <c r="EE366" s="2">
        <v>45</v>
      </c>
      <c r="EF366" s="2">
        <v>1</v>
      </c>
      <c r="EG366" s="2">
        <v>0.57145880000000004</v>
      </c>
      <c r="ES366">
        <v>108</v>
      </c>
      <c r="ET366">
        <v>45</v>
      </c>
      <c r="EU366">
        <v>1</v>
      </c>
      <c r="EV366">
        <v>0.57145880000000004</v>
      </c>
    </row>
    <row r="367" spans="14:152" x14ac:dyDescent="0.4">
      <c r="N367" s="89">
        <v>102</v>
      </c>
      <c r="O367" s="2">
        <v>43</v>
      </c>
      <c r="P367" s="2">
        <v>0</v>
      </c>
      <c r="Q367" s="2">
        <v>3.8918740000000001</v>
      </c>
      <c r="Z367" s="89">
        <v>109</v>
      </c>
      <c r="AA367" s="2">
        <v>43</v>
      </c>
      <c r="AB367" s="2">
        <v>0</v>
      </c>
      <c r="AC367" s="2">
        <v>0.2277894</v>
      </c>
      <c r="AL367" s="89">
        <v>100</v>
      </c>
      <c r="AM367" s="2">
        <v>43</v>
      </c>
      <c r="AN367" s="2">
        <v>0</v>
      </c>
      <c r="AO367" s="2">
        <v>0.79600009999999999</v>
      </c>
      <c r="AX367" s="89">
        <v>114</v>
      </c>
      <c r="AY367" s="2">
        <v>45</v>
      </c>
      <c r="AZ367" s="2">
        <v>1</v>
      </c>
      <c r="BA367" s="2">
        <v>6.9419440000000002E-3</v>
      </c>
      <c r="BJ367" s="89">
        <v>112</v>
      </c>
      <c r="BK367" s="2">
        <v>45</v>
      </c>
      <c r="BL367" s="2">
        <v>1</v>
      </c>
      <c r="BM367" s="2">
        <v>1.290532E-2</v>
      </c>
      <c r="BV367" s="89">
        <v>110</v>
      </c>
      <c r="BW367" s="2">
        <v>45</v>
      </c>
      <c r="BX367" s="2">
        <v>1</v>
      </c>
      <c r="BY367" s="2">
        <v>6.5000009999999997E-2</v>
      </c>
      <c r="CH367" s="89">
        <v>110</v>
      </c>
      <c r="CI367" s="2">
        <v>45</v>
      </c>
      <c r="CJ367" s="2">
        <v>1</v>
      </c>
      <c r="CK367" s="2">
        <v>7.3000010000000004E-2</v>
      </c>
      <c r="CT367" s="89">
        <v>103</v>
      </c>
      <c r="CU367" s="2">
        <v>45</v>
      </c>
      <c r="CV367" s="2">
        <v>1</v>
      </c>
      <c r="CW367" s="2">
        <v>3.037118</v>
      </c>
      <c r="DF367" s="89">
        <v>108</v>
      </c>
      <c r="DG367" s="2">
        <v>45</v>
      </c>
      <c r="DH367" s="2">
        <v>0</v>
      </c>
      <c r="DI367" s="2">
        <v>2.4615010000000002</v>
      </c>
      <c r="DR367" s="89">
        <v>108</v>
      </c>
      <c r="DS367" s="2">
        <v>42</v>
      </c>
      <c r="DT367" s="2">
        <v>0</v>
      </c>
      <c r="DU367" s="2">
        <v>0.21545700000000001</v>
      </c>
      <c r="ED367" s="89">
        <v>109</v>
      </c>
      <c r="EE367" s="2">
        <v>45</v>
      </c>
      <c r="EF367" s="2">
        <v>0</v>
      </c>
      <c r="EG367" s="2">
        <v>3.8014060000000001</v>
      </c>
      <c r="ES367">
        <v>109</v>
      </c>
      <c r="ET367">
        <v>45</v>
      </c>
      <c r="EU367">
        <v>0</v>
      </c>
      <c r="EV367">
        <v>3.8014060000000001</v>
      </c>
    </row>
    <row r="368" spans="14:152" x14ac:dyDescent="0.4">
      <c r="N368" s="89">
        <v>102</v>
      </c>
      <c r="O368" s="2">
        <v>43</v>
      </c>
      <c r="P368" s="2">
        <v>1</v>
      </c>
      <c r="Q368" s="2">
        <v>9.9305560000000001E-3</v>
      </c>
      <c r="Z368" s="89">
        <v>110</v>
      </c>
      <c r="AA368" s="2">
        <v>43</v>
      </c>
      <c r="AB368" s="2">
        <v>0</v>
      </c>
      <c r="AC368" s="2">
        <v>0.109</v>
      </c>
      <c r="AL368" s="89">
        <v>101</v>
      </c>
      <c r="AM368" s="2">
        <v>43</v>
      </c>
      <c r="AN368" s="2">
        <v>0</v>
      </c>
      <c r="AO368" s="2">
        <v>4.8033450000000002</v>
      </c>
      <c r="AX368" s="89">
        <v>115</v>
      </c>
      <c r="AY368" s="2">
        <v>45</v>
      </c>
      <c r="AZ368" s="2">
        <v>0</v>
      </c>
      <c r="BA368" s="2">
        <v>0.4618544</v>
      </c>
      <c r="BJ368" s="89">
        <v>113</v>
      </c>
      <c r="BK368" s="2">
        <v>45</v>
      </c>
      <c r="BL368" s="2">
        <v>0</v>
      </c>
      <c r="BM368" s="2">
        <v>1.3458300000000001</v>
      </c>
      <c r="BV368" s="89">
        <v>111</v>
      </c>
      <c r="BW368" s="2">
        <v>45</v>
      </c>
      <c r="BX368" s="2">
        <v>0</v>
      </c>
      <c r="BY368" s="2">
        <v>3.318613</v>
      </c>
      <c r="CH368" s="89">
        <v>111</v>
      </c>
      <c r="CI368" s="2">
        <v>45</v>
      </c>
      <c r="CJ368" s="2">
        <v>0</v>
      </c>
      <c r="CK368" s="2">
        <v>2.3041339999999999</v>
      </c>
      <c r="CT368" s="89">
        <v>104</v>
      </c>
      <c r="CU368" s="2">
        <v>45</v>
      </c>
      <c r="CV368" s="2">
        <v>0</v>
      </c>
      <c r="CW368" s="2">
        <v>4.89454E-2</v>
      </c>
      <c r="DF368" s="89">
        <v>108</v>
      </c>
      <c r="DG368" s="2">
        <v>45</v>
      </c>
      <c r="DH368" s="2">
        <v>1</v>
      </c>
      <c r="DI368" s="2">
        <v>6.025353E-2</v>
      </c>
      <c r="DR368" s="89">
        <v>109</v>
      </c>
      <c r="DS368" s="2">
        <v>42</v>
      </c>
      <c r="DT368" s="2">
        <v>0</v>
      </c>
      <c r="DU368" s="2">
        <v>8.2441E-2</v>
      </c>
      <c r="ED368" s="89">
        <v>110</v>
      </c>
      <c r="EE368" s="2">
        <v>45</v>
      </c>
      <c r="EF368" s="2">
        <v>0</v>
      </c>
      <c r="EG368" s="2">
        <v>3.5404960000000001</v>
      </c>
      <c r="ES368">
        <v>110</v>
      </c>
      <c r="ET368">
        <v>45</v>
      </c>
      <c r="EU368">
        <v>0</v>
      </c>
      <c r="EV368">
        <v>3.5404960000000001</v>
      </c>
    </row>
    <row r="369" spans="14:152" x14ac:dyDescent="0.4">
      <c r="N369" s="89">
        <v>103</v>
      </c>
      <c r="O369" s="2">
        <v>43</v>
      </c>
      <c r="P369" s="2">
        <v>0</v>
      </c>
      <c r="Q369" s="2">
        <v>3.3821699999999999</v>
      </c>
      <c r="Z369" s="89">
        <v>111</v>
      </c>
      <c r="AA369" s="2">
        <v>43</v>
      </c>
      <c r="AB369" s="2">
        <v>0</v>
      </c>
      <c r="AC369" s="2">
        <v>3.2000000000000001E-2</v>
      </c>
      <c r="AL369" s="89">
        <v>102</v>
      </c>
      <c r="AM369" s="2">
        <v>43</v>
      </c>
      <c r="AN369" s="2">
        <v>0</v>
      </c>
      <c r="AO369" s="2">
        <v>4.451708</v>
      </c>
      <c r="AX369" s="89">
        <v>116</v>
      </c>
      <c r="AY369" s="2">
        <v>45</v>
      </c>
      <c r="AZ369" s="2">
        <v>0</v>
      </c>
      <c r="BA369" s="2">
        <v>4.2827469999999999E-2</v>
      </c>
      <c r="BJ369" s="89">
        <v>114</v>
      </c>
      <c r="BK369" s="2">
        <v>45</v>
      </c>
      <c r="BL369" s="2">
        <v>0</v>
      </c>
      <c r="BM369" s="2">
        <v>0.63790849999999999</v>
      </c>
      <c r="BV369" s="89">
        <v>112</v>
      </c>
      <c r="BW369" s="2">
        <v>45</v>
      </c>
      <c r="BX369" s="2">
        <v>0</v>
      </c>
      <c r="BY369" s="2">
        <v>2.7077279999999999</v>
      </c>
      <c r="CH369" s="89">
        <v>112</v>
      </c>
      <c r="CI369" s="2">
        <v>45</v>
      </c>
      <c r="CJ369" s="2">
        <v>0</v>
      </c>
      <c r="CK369" s="2">
        <v>1.4313530000000001</v>
      </c>
      <c r="CT369" s="89">
        <v>104</v>
      </c>
      <c r="CU369" s="2">
        <v>45</v>
      </c>
      <c r="CV369" s="2">
        <v>1</v>
      </c>
      <c r="CW369" s="2">
        <v>4.2000000000000003E-2</v>
      </c>
      <c r="DF369" s="89">
        <v>109</v>
      </c>
      <c r="DG369" s="2">
        <v>45</v>
      </c>
      <c r="DH369" s="2">
        <v>0</v>
      </c>
      <c r="DI369" s="2">
        <v>2.5858479999999999</v>
      </c>
      <c r="DR369" s="89">
        <v>110</v>
      </c>
      <c r="DS369" s="2">
        <v>42</v>
      </c>
      <c r="DT369" s="2">
        <v>0</v>
      </c>
      <c r="DU369" s="2">
        <v>3.0800000000000001E-2</v>
      </c>
      <c r="ED369" s="89">
        <v>110</v>
      </c>
      <c r="EE369" s="2">
        <v>45</v>
      </c>
      <c r="EF369" s="2">
        <v>1</v>
      </c>
      <c r="EG369" s="2">
        <v>5.8000009999999998E-2</v>
      </c>
      <c r="ES369">
        <v>110</v>
      </c>
      <c r="ET369">
        <v>45</v>
      </c>
      <c r="EU369">
        <v>1</v>
      </c>
      <c r="EV369">
        <v>5.8000009999999998E-2</v>
      </c>
    </row>
    <row r="370" spans="14:152" x14ac:dyDescent="0.4">
      <c r="N370" s="89">
        <v>104</v>
      </c>
      <c r="O370" s="2">
        <v>43</v>
      </c>
      <c r="P370" s="2">
        <v>0</v>
      </c>
      <c r="Q370" s="2">
        <v>2.6979389999999999</v>
      </c>
      <c r="Z370" s="89">
        <v>112</v>
      </c>
      <c r="AA370" s="2">
        <v>43</v>
      </c>
      <c r="AB370" s="2">
        <v>0</v>
      </c>
      <c r="AC370" s="2">
        <v>1.4E-2</v>
      </c>
      <c r="AL370" s="89">
        <v>102</v>
      </c>
      <c r="AM370" s="2">
        <v>43</v>
      </c>
      <c r="AN370" s="2">
        <v>1</v>
      </c>
      <c r="AO370" s="2">
        <v>1.389985E-2</v>
      </c>
      <c r="AX370" s="89">
        <v>116</v>
      </c>
      <c r="AY370" s="2">
        <v>45</v>
      </c>
      <c r="AZ370" s="2">
        <v>1</v>
      </c>
      <c r="BA370" s="2">
        <v>0.12013790000000001</v>
      </c>
      <c r="BJ370" s="89">
        <v>114</v>
      </c>
      <c r="BK370" s="2">
        <v>45</v>
      </c>
      <c r="BL370" s="2">
        <v>1</v>
      </c>
      <c r="BM370" s="2">
        <v>6.9183329999999996E-3</v>
      </c>
      <c r="BV370" s="89">
        <v>112</v>
      </c>
      <c r="BW370" s="2">
        <v>45</v>
      </c>
      <c r="BX370" s="2">
        <v>1</v>
      </c>
      <c r="BY370" s="2">
        <v>1.4877049999999999E-2</v>
      </c>
      <c r="CH370" s="89">
        <v>112</v>
      </c>
      <c r="CI370" s="2">
        <v>45</v>
      </c>
      <c r="CJ370" s="2">
        <v>1</v>
      </c>
      <c r="CK370" s="2">
        <v>1.384194E-2</v>
      </c>
      <c r="CT370" s="89">
        <v>105</v>
      </c>
      <c r="CU370" s="2">
        <v>45</v>
      </c>
      <c r="CV370" s="2">
        <v>0</v>
      </c>
      <c r="CW370" s="2">
        <v>3.4679310000000001</v>
      </c>
      <c r="DF370" s="89">
        <v>110</v>
      </c>
      <c r="DG370" s="2">
        <v>45</v>
      </c>
      <c r="DH370" s="2">
        <v>0</v>
      </c>
      <c r="DI370" s="2">
        <v>2.7012740000000002</v>
      </c>
      <c r="DR370" s="89">
        <v>111</v>
      </c>
      <c r="DS370" s="2">
        <v>42</v>
      </c>
      <c r="DT370" s="2">
        <v>0</v>
      </c>
      <c r="DU370" s="2">
        <v>1.7000000000000001E-2</v>
      </c>
      <c r="ED370" s="89">
        <v>111</v>
      </c>
      <c r="EE370" s="2">
        <v>45</v>
      </c>
      <c r="EF370" s="2">
        <v>0</v>
      </c>
      <c r="EG370" s="2">
        <v>3.0860099999999999</v>
      </c>
      <c r="ES370">
        <v>111</v>
      </c>
      <c r="ET370">
        <v>45</v>
      </c>
      <c r="EU370">
        <v>0</v>
      </c>
      <c r="EV370">
        <v>3.0860099999999999</v>
      </c>
    </row>
    <row r="371" spans="14:152" x14ac:dyDescent="0.4">
      <c r="N371" s="89">
        <v>105</v>
      </c>
      <c r="O371" s="2">
        <v>43</v>
      </c>
      <c r="P371" s="2">
        <v>0</v>
      </c>
      <c r="Q371" s="2">
        <v>1.905926</v>
      </c>
      <c r="Z371" s="89">
        <v>113</v>
      </c>
      <c r="AA371" s="2">
        <v>43</v>
      </c>
      <c r="AB371" s="2">
        <v>0</v>
      </c>
      <c r="AC371" s="2">
        <v>1E-3</v>
      </c>
      <c r="AL371" s="89">
        <v>103</v>
      </c>
      <c r="AM371" s="2">
        <v>43</v>
      </c>
      <c r="AN371" s="2">
        <v>0</v>
      </c>
      <c r="AO371" s="2">
        <v>3.7970830000000002</v>
      </c>
      <c r="AX371" s="89">
        <v>117</v>
      </c>
      <c r="AY371" s="2">
        <v>45</v>
      </c>
      <c r="AZ371" s="2">
        <v>0</v>
      </c>
      <c r="BA371" s="2">
        <v>4.2958999999999997E-2</v>
      </c>
      <c r="BJ371" s="89">
        <v>115</v>
      </c>
      <c r="BK371" s="2">
        <v>45</v>
      </c>
      <c r="BL371" s="2">
        <v>0</v>
      </c>
      <c r="BM371" s="2">
        <v>0.3190094</v>
      </c>
      <c r="BV371" s="89">
        <v>113</v>
      </c>
      <c r="BW371" s="2">
        <v>45</v>
      </c>
      <c r="BX371" s="2">
        <v>0</v>
      </c>
      <c r="BY371" s="2">
        <v>2.0235430000000001</v>
      </c>
      <c r="CH371" s="89">
        <v>113</v>
      </c>
      <c r="CI371" s="2">
        <v>45</v>
      </c>
      <c r="CJ371" s="2">
        <v>0</v>
      </c>
      <c r="CK371" s="2">
        <v>0.84677139999999995</v>
      </c>
      <c r="CT371" s="89">
        <v>105</v>
      </c>
      <c r="CU371" s="2">
        <v>45</v>
      </c>
      <c r="CV371" s="2">
        <v>1</v>
      </c>
      <c r="CW371" s="2">
        <v>0.95144050000000002</v>
      </c>
      <c r="DF371" s="89">
        <v>110</v>
      </c>
      <c r="DG371" s="2">
        <v>45</v>
      </c>
      <c r="DH371" s="2">
        <v>1</v>
      </c>
      <c r="DI371" s="2">
        <v>2.7E-2</v>
      </c>
      <c r="DR371" s="89">
        <v>112</v>
      </c>
      <c r="DS371" s="2">
        <v>42</v>
      </c>
      <c r="DT371" s="2">
        <v>0</v>
      </c>
      <c r="DU371" s="2">
        <v>4.0000000000000001E-3</v>
      </c>
      <c r="ED371" s="89">
        <v>112</v>
      </c>
      <c r="EE371" s="2">
        <v>45</v>
      </c>
      <c r="EF371" s="2">
        <v>0</v>
      </c>
      <c r="EG371" s="2">
        <v>2.3430049999999998</v>
      </c>
      <c r="ES371">
        <v>112</v>
      </c>
      <c r="ET371">
        <v>45</v>
      </c>
      <c r="EU371">
        <v>0</v>
      </c>
      <c r="EV371">
        <v>2.3430049999999998</v>
      </c>
    </row>
    <row r="372" spans="14:152" x14ac:dyDescent="0.4">
      <c r="N372" s="89">
        <v>106</v>
      </c>
      <c r="O372" s="2">
        <v>43</v>
      </c>
      <c r="P372" s="2">
        <v>0</v>
      </c>
      <c r="Q372" s="2">
        <v>1.130625</v>
      </c>
      <c r="Z372" s="89">
        <v>99</v>
      </c>
      <c r="AA372" s="2">
        <v>44</v>
      </c>
      <c r="AB372" s="2">
        <v>0</v>
      </c>
      <c r="AC372" s="2">
        <v>4.5104620000000004</v>
      </c>
      <c r="AL372" s="89">
        <v>104</v>
      </c>
      <c r="AM372" s="2">
        <v>43</v>
      </c>
      <c r="AN372" s="2">
        <v>0</v>
      </c>
      <c r="AO372" s="2">
        <v>2.8906139999999998</v>
      </c>
      <c r="AX372" s="89">
        <v>118</v>
      </c>
      <c r="AY372" s="2">
        <v>45</v>
      </c>
      <c r="AZ372" s="2">
        <v>0</v>
      </c>
      <c r="BA372" s="2">
        <v>2.8000000000000001E-2</v>
      </c>
      <c r="BJ372" s="89">
        <v>116</v>
      </c>
      <c r="BK372" s="2">
        <v>45</v>
      </c>
      <c r="BL372" s="2">
        <v>0</v>
      </c>
      <c r="BM372" s="2">
        <v>2.332772E-2</v>
      </c>
      <c r="BV372" s="89">
        <v>114</v>
      </c>
      <c r="BW372" s="2">
        <v>45</v>
      </c>
      <c r="BX372" s="2">
        <v>0</v>
      </c>
      <c r="BY372" s="2">
        <v>1.214853</v>
      </c>
      <c r="CH372" s="89">
        <v>114</v>
      </c>
      <c r="CI372" s="2">
        <v>45</v>
      </c>
      <c r="CJ372" s="2">
        <v>0</v>
      </c>
      <c r="CK372" s="2">
        <v>0.40692679999999998</v>
      </c>
      <c r="CT372" s="89">
        <v>106</v>
      </c>
      <c r="CU372" s="2">
        <v>45</v>
      </c>
      <c r="CV372" s="2">
        <v>0</v>
      </c>
      <c r="CW372" s="2">
        <v>3.2103630000000001</v>
      </c>
      <c r="DF372" s="89">
        <v>111</v>
      </c>
      <c r="DG372" s="2">
        <v>45</v>
      </c>
      <c r="DH372" s="2">
        <v>0</v>
      </c>
      <c r="DI372" s="2">
        <v>2.49221</v>
      </c>
      <c r="DR372" s="89">
        <v>99</v>
      </c>
      <c r="DS372" s="2">
        <v>43</v>
      </c>
      <c r="DT372" s="2">
        <v>0</v>
      </c>
      <c r="DU372" s="2">
        <v>4.7153229999999997</v>
      </c>
      <c r="ED372" s="89">
        <v>112</v>
      </c>
      <c r="EE372" s="2">
        <v>45</v>
      </c>
      <c r="EF372" s="2">
        <v>1</v>
      </c>
      <c r="EG372" s="2">
        <v>1.4868960000000001E-2</v>
      </c>
      <c r="ES372">
        <v>112</v>
      </c>
      <c r="ET372">
        <v>45</v>
      </c>
      <c r="EU372">
        <v>1</v>
      </c>
      <c r="EV372">
        <v>1.4868960000000001E-2</v>
      </c>
    </row>
    <row r="373" spans="14:152" x14ac:dyDescent="0.4">
      <c r="N373" s="89">
        <v>107</v>
      </c>
      <c r="O373" s="2">
        <v>43</v>
      </c>
      <c r="P373" s="2">
        <v>0</v>
      </c>
      <c r="Q373" s="2">
        <v>0.60752600000000001</v>
      </c>
      <c r="Z373" s="89">
        <v>100</v>
      </c>
      <c r="AA373" s="2">
        <v>44</v>
      </c>
      <c r="AB373" s="2">
        <v>0</v>
      </c>
      <c r="AC373" s="2">
        <v>0.32200000000000001</v>
      </c>
      <c r="AL373" s="89">
        <v>105</v>
      </c>
      <c r="AM373" s="2">
        <v>43</v>
      </c>
      <c r="AN373" s="2">
        <v>0</v>
      </c>
      <c r="AO373" s="2">
        <v>1.973843</v>
      </c>
      <c r="AX373" s="89">
        <v>119</v>
      </c>
      <c r="AY373" s="2">
        <v>45</v>
      </c>
      <c r="AZ373" s="2">
        <v>0</v>
      </c>
      <c r="BA373" s="2">
        <v>3.0000000000000001E-3</v>
      </c>
      <c r="BJ373" s="89">
        <v>116</v>
      </c>
      <c r="BK373" s="2">
        <v>45</v>
      </c>
      <c r="BL373" s="2">
        <v>1</v>
      </c>
      <c r="BM373" s="2">
        <v>7.7660380000000001E-2</v>
      </c>
      <c r="BV373" s="89">
        <v>114</v>
      </c>
      <c r="BW373" s="2">
        <v>45</v>
      </c>
      <c r="BX373" s="2">
        <v>1</v>
      </c>
      <c r="BY373" s="2">
        <v>1.283981E-2</v>
      </c>
      <c r="CH373" s="89">
        <v>114</v>
      </c>
      <c r="CI373" s="2">
        <v>45</v>
      </c>
      <c r="CJ373" s="2">
        <v>1</v>
      </c>
      <c r="CK373" s="2">
        <v>3.9585489999999996E-3</v>
      </c>
      <c r="CT373" s="89">
        <v>106</v>
      </c>
      <c r="CU373" s="2">
        <v>45</v>
      </c>
      <c r="CV373" s="2">
        <v>1</v>
      </c>
      <c r="CW373" s="2">
        <v>0.26609749999999999</v>
      </c>
      <c r="DF373" s="89">
        <v>112</v>
      </c>
      <c r="DG373" s="2">
        <v>45</v>
      </c>
      <c r="DH373" s="2">
        <v>0</v>
      </c>
      <c r="DI373" s="2">
        <v>2.2969900000000001</v>
      </c>
      <c r="DR373" s="89">
        <v>99</v>
      </c>
      <c r="DS373" s="2">
        <v>43</v>
      </c>
      <c r="DT373" s="2">
        <v>1</v>
      </c>
      <c r="DU373" s="2">
        <v>4.1291099999999998</v>
      </c>
      <c r="ED373" s="89">
        <v>113</v>
      </c>
      <c r="EE373" s="2">
        <v>45</v>
      </c>
      <c r="EF373" s="2">
        <v>0</v>
      </c>
      <c r="EG373" s="2">
        <v>1.5864579999999999</v>
      </c>
      <c r="ES373">
        <v>113</v>
      </c>
      <c r="ET373">
        <v>45</v>
      </c>
      <c r="EU373">
        <v>0</v>
      </c>
      <c r="EV373">
        <v>1.5864579999999999</v>
      </c>
    </row>
    <row r="374" spans="14:152" x14ac:dyDescent="0.4">
      <c r="N374" s="89">
        <v>108</v>
      </c>
      <c r="O374" s="2">
        <v>43</v>
      </c>
      <c r="P374" s="2">
        <v>0</v>
      </c>
      <c r="Q374" s="2">
        <v>0.29898760000000002</v>
      </c>
      <c r="Z374" s="89">
        <v>101</v>
      </c>
      <c r="AA374" s="2">
        <v>44</v>
      </c>
      <c r="AB374" s="2">
        <v>0</v>
      </c>
      <c r="AC374" s="2">
        <v>4.5804720000000003</v>
      </c>
      <c r="AL374" s="89">
        <v>106</v>
      </c>
      <c r="AM374" s="2">
        <v>43</v>
      </c>
      <c r="AN374" s="2">
        <v>0</v>
      </c>
      <c r="AO374" s="2">
        <v>1.1168199999999999</v>
      </c>
      <c r="AX374" s="89">
        <v>120</v>
      </c>
      <c r="AY374" s="2">
        <v>45</v>
      </c>
      <c r="AZ374" s="2">
        <v>0</v>
      </c>
      <c r="BA374" s="2">
        <v>3.0000000000000001E-3</v>
      </c>
      <c r="BJ374" s="89">
        <v>117</v>
      </c>
      <c r="BK374" s="2">
        <v>45</v>
      </c>
      <c r="BL374" s="2">
        <v>0</v>
      </c>
      <c r="BM374" s="2">
        <v>3.0020600000000001E-2</v>
      </c>
      <c r="BV374" s="89">
        <v>115</v>
      </c>
      <c r="BW374" s="2">
        <v>45</v>
      </c>
      <c r="BX374" s="2">
        <v>0</v>
      </c>
      <c r="BY374" s="2">
        <v>0.65563979999999999</v>
      </c>
      <c r="CH374" s="89">
        <v>115</v>
      </c>
      <c r="CI374" s="2">
        <v>45</v>
      </c>
      <c r="CJ374" s="2">
        <v>0</v>
      </c>
      <c r="CK374" s="2">
        <v>0.17600550000000001</v>
      </c>
      <c r="CT374" s="89">
        <v>107</v>
      </c>
      <c r="CU374" s="2">
        <v>45</v>
      </c>
      <c r="CV374" s="2">
        <v>0</v>
      </c>
      <c r="CW374" s="2">
        <v>3.5137130000000001</v>
      </c>
      <c r="DF374" s="89">
        <v>112</v>
      </c>
      <c r="DG374" s="2">
        <v>45</v>
      </c>
      <c r="DH374" s="2">
        <v>1</v>
      </c>
      <c r="DI374" s="2">
        <v>1.18764E-2</v>
      </c>
      <c r="DR374" s="89">
        <v>100</v>
      </c>
      <c r="DS374" s="2">
        <v>43</v>
      </c>
      <c r="DT374" s="2">
        <v>0</v>
      </c>
      <c r="DU374" s="2">
        <v>5.8999999999999997E-2</v>
      </c>
      <c r="ED374" s="89">
        <v>114</v>
      </c>
      <c r="EE374" s="2">
        <v>45</v>
      </c>
      <c r="EF374" s="2">
        <v>0</v>
      </c>
      <c r="EG374" s="2">
        <v>0.88788420000000001</v>
      </c>
      <c r="ES374">
        <v>114</v>
      </c>
      <c r="ET374">
        <v>45</v>
      </c>
      <c r="EU374">
        <v>0</v>
      </c>
      <c r="EV374">
        <v>0.88788420000000001</v>
      </c>
    </row>
    <row r="375" spans="14:152" x14ac:dyDescent="0.4">
      <c r="N375" s="89">
        <v>109</v>
      </c>
      <c r="O375" s="2">
        <v>43</v>
      </c>
      <c r="P375" s="2">
        <v>0</v>
      </c>
      <c r="Q375" s="2">
        <v>0.1188265</v>
      </c>
      <c r="Z375" s="89">
        <v>102</v>
      </c>
      <c r="AA375" s="2">
        <v>44</v>
      </c>
      <c r="AB375" s="2">
        <v>0</v>
      </c>
      <c r="AC375" s="2">
        <v>4.7286979999999996</v>
      </c>
      <c r="AL375" s="89">
        <v>107</v>
      </c>
      <c r="AM375" s="2">
        <v>43</v>
      </c>
      <c r="AN375" s="2">
        <v>0</v>
      </c>
      <c r="AO375" s="2">
        <v>0.57488799999999995</v>
      </c>
      <c r="AX375" s="89">
        <v>105</v>
      </c>
      <c r="AY375" s="2">
        <v>46</v>
      </c>
      <c r="AZ375" s="2">
        <v>0</v>
      </c>
      <c r="BA375" s="2">
        <v>4.1004529999999999</v>
      </c>
      <c r="BJ375" s="89">
        <v>118</v>
      </c>
      <c r="BK375" s="2">
        <v>45</v>
      </c>
      <c r="BL375" s="2">
        <v>0</v>
      </c>
      <c r="BM375" s="2">
        <v>1.0958900000000001E-2</v>
      </c>
      <c r="BV375" s="89">
        <v>116</v>
      </c>
      <c r="BW375" s="2">
        <v>45</v>
      </c>
      <c r="BX375" s="2">
        <v>0</v>
      </c>
      <c r="BY375" s="2">
        <v>6.2675499999999995E-2</v>
      </c>
      <c r="CH375" s="89">
        <v>116</v>
      </c>
      <c r="CI375" s="2">
        <v>45</v>
      </c>
      <c r="CJ375" s="2">
        <v>0</v>
      </c>
      <c r="CK375" s="2">
        <v>1.023834E-2</v>
      </c>
      <c r="CT375" s="89">
        <v>108</v>
      </c>
      <c r="CU375" s="2">
        <v>45</v>
      </c>
      <c r="CV375" s="2">
        <v>0</v>
      </c>
      <c r="CW375" s="2">
        <v>2.5841799999999999</v>
      </c>
      <c r="DF375" s="89">
        <v>113</v>
      </c>
      <c r="DG375" s="2">
        <v>45</v>
      </c>
      <c r="DH375" s="2">
        <v>0</v>
      </c>
      <c r="DI375" s="2">
        <v>2.0396809999999999</v>
      </c>
      <c r="DR375" s="89">
        <v>101</v>
      </c>
      <c r="DS375" s="2">
        <v>43</v>
      </c>
      <c r="DT375" s="2">
        <v>0</v>
      </c>
      <c r="DU375" s="2">
        <v>4.9245749999999999</v>
      </c>
      <c r="ED375" s="89">
        <v>114</v>
      </c>
      <c r="EE375" s="2">
        <v>45</v>
      </c>
      <c r="EF375" s="2">
        <v>1</v>
      </c>
      <c r="EG375" s="2">
        <v>6.9378180000000001E-3</v>
      </c>
      <c r="ES375">
        <v>114</v>
      </c>
      <c r="ET375">
        <v>45</v>
      </c>
      <c r="EU375">
        <v>1</v>
      </c>
      <c r="EV375">
        <v>6.9378180000000001E-3</v>
      </c>
    </row>
    <row r="376" spans="14:152" x14ac:dyDescent="0.4">
      <c r="N376" s="89">
        <v>110</v>
      </c>
      <c r="O376" s="2">
        <v>43</v>
      </c>
      <c r="P376" s="2">
        <v>0</v>
      </c>
      <c r="Q376" s="2">
        <v>6.2010299999999997E-2</v>
      </c>
      <c r="Z376" s="89">
        <v>103</v>
      </c>
      <c r="AA376" s="2">
        <v>44</v>
      </c>
      <c r="AB376" s="2">
        <v>0</v>
      </c>
      <c r="AC376" s="2">
        <v>4.6580830000000004</v>
      </c>
      <c r="AL376" s="89">
        <v>108</v>
      </c>
      <c r="AM376" s="2">
        <v>43</v>
      </c>
      <c r="AN376" s="2">
        <v>0</v>
      </c>
      <c r="AO376" s="2">
        <v>0.27378910000000001</v>
      </c>
      <c r="AX376" s="89">
        <v>106</v>
      </c>
      <c r="AY376" s="2">
        <v>46</v>
      </c>
      <c r="AZ376" s="2">
        <v>0</v>
      </c>
      <c r="BA376" s="2">
        <v>4.2509079999999999</v>
      </c>
      <c r="BJ376" s="89">
        <v>119</v>
      </c>
      <c r="BK376" s="2">
        <v>45</v>
      </c>
      <c r="BL376" s="2">
        <v>0</v>
      </c>
      <c r="BM376" s="2">
        <v>2E-3</v>
      </c>
      <c r="BV376" s="89">
        <v>116</v>
      </c>
      <c r="BW376" s="2">
        <v>45</v>
      </c>
      <c r="BX376" s="2">
        <v>1</v>
      </c>
      <c r="BY376" s="2">
        <v>0.20015810000000001</v>
      </c>
      <c r="CH376" s="89">
        <v>116</v>
      </c>
      <c r="CI376" s="2">
        <v>45</v>
      </c>
      <c r="CJ376" s="2">
        <v>1</v>
      </c>
      <c r="CK376" s="2">
        <v>5.6760570000000003E-2</v>
      </c>
      <c r="CT376" s="89">
        <v>108</v>
      </c>
      <c r="CU376" s="2">
        <v>45</v>
      </c>
      <c r="CV376" s="2">
        <v>1</v>
      </c>
      <c r="CW376" s="2">
        <v>0.90440010000000004</v>
      </c>
      <c r="DF376" s="89">
        <v>114</v>
      </c>
      <c r="DG376" s="2">
        <v>45</v>
      </c>
      <c r="DH376" s="2">
        <v>0</v>
      </c>
      <c r="DI376" s="2">
        <v>1.4743710000000001</v>
      </c>
      <c r="DR376" s="89">
        <v>102</v>
      </c>
      <c r="DS376" s="2">
        <v>43</v>
      </c>
      <c r="DT376" s="2">
        <v>0</v>
      </c>
      <c r="DU376" s="2">
        <v>4.9923390000000003</v>
      </c>
      <c r="ED376" s="89">
        <v>115</v>
      </c>
      <c r="EE376" s="2">
        <v>45</v>
      </c>
      <c r="EF376" s="2">
        <v>0</v>
      </c>
      <c r="EG376" s="2">
        <v>0.43390440000000002</v>
      </c>
      <c r="ES376">
        <v>115</v>
      </c>
      <c r="ET376">
        <v>45</v>
      </c>
      <c r="EU376">
        <v>0</v>
      </c>
      <c r="EV376">
        <v>0.43390440000000002</v>
      </c>
    </row>
    <row r="377" spans="14:152" x14ac:dyDescent="0.4">
      <c r="N377" s="89">
        <v>111</v>
      </c>
      <c r="O377" s="2">
        <v>43</v>
      </c>
      <c r="P377" s="2">
        <v>0</v>
      </c>
      <c r="Q377" s="2">
        <v>1.7989700000000001E-2</v>
      </c>
      <c r="Z377" s="89">
        <v>103</v>
      </c>
      <c r="AA377" s="2">
        <v>44</v>
      </c>
      <c r="AB377" s="2">
        <v>1</v>
      </c>
      <c r="AC377" s="2">
        <v>0.48299999999999998</v>
      </c>
      <c r="AL377" s="89">
        <v>109</v>
      </c>
      <c r="AM377" s="2">
        <v>43</v>
      </c>
      <c r="AN377" s="2">
        <v>0</v>
      </c>
      <c r="AO377" s="2">
        <v>0.12796289999999999</v>
      </c>
      <c r="AX377" s="89">
        <v>107</v>
      </c>
      <c r="AY377" s="2">
        <v>46</v>
      </c>
      <c r="AZ377" s="2">
        <v>0</v>
      </c>
      <c r="BA377" s="2">
        <v>4.6299939999999999</v>
      </c>
      <c r="BJ377" s="89">
        <v>104</v>
      </c>
      <c r="BK377" s="2">
        <v>46</v>
      </c>
      <c r="BL377" s="2">
        <v>0</v>
      </c>
      <c r="BM377" s="2">
        <v>1.095056E-2</v>
      </c>
      <c r="BV377" s="89">
        <v>117</v>
      </c>
      <c r="BW377" s="2">
        <v>45</v>
      </c>
      <c r="BX377" s="2">
        <v>0</v>
      </c>
      <c r="BY377" s="2">
        <v>0.11295910000000001</v>
      </c>
      <c r="CH377" s="89">
        <v>117</v>
      </c>
      <c r="CI377" s="2">
        <v>45</v>
      </c>
      <c r="CJ377" s="2">
        <v>0</v>
      </c>
      <c r="CK377" s="2">
        <v>2.4979500000000002E-2</v>
      </c>
      <c r="CT377" s="89">
        <v>109</v>
      </c>
      <c r="CU377" s="2">
        <v>45</v>
      </c>
      <c r="CV377" s="2">
        <v>0</v>
      </c>
      <c r="CW377" s="2">
        <v>3.2326730000000001</v>
      </c>
      <c r="DF377" s="89">
        <v>114</v>
      </c>
      <c r="DG377" s="2">
        <v>45</v>
      </c>
      <c r="DH377" s="2">
        <v>1</v>
      </c>
      <c r="DI377" s="2">
        <v>8.9299310000000003E-3</v>
      </c>
      <c r="DR377" s="89">
        <v>102</v>
      </c>
      <c r="DS377" s="2">
        <v>43</v>
      </c>
      <c r="DT377" s="2">
        <v>1</v>
      </c>
      <c r="DU377" s="2">
        <v>2.985737E-3</v>
      </c>
      <c r="ED377" s="89">
        <v>116</v>
      </c>
      <c r="EE377" s="2">
        <v>45</v>
      </c>
      <c r="EF377" s="2">
        <v>0</v>
      </c>
      <c r="EG377" s="2">
        <v>4.2880080000000001E-2</v>
      </c>
      <c r="ES377">
        <v>116</v>
      </c>
      <c r="ET377">
        <v>45</v>
      </c>
      <c r="EU377">
        <v>0</v>
      </c>
      <c r="EV377">
        <v>4.2880080000000001E-2</v>
      </c>
    </row>
    <row r="378" spans="14:152" x14ac:dyDescent="0.4">
      <c r="N378" s="89">
        <v>112</v>
      </c>
      <c r="O378" s="2">
        <v>43</v>
      </c>
      <c r="P378" s="2">
        <v>0</v>
      </c>
      <c r="Q378" s="2">
        <v>5.0000000000000001E-3</v>
      </c>
      <c r="Z378" s="89">
        <v>104</v>
      </c>
      <c r="AA378" s="2">
        <v>44</v>
      </c>
      <c r="AB378" s="2">
        <v>0</v>
      </c>
      <c r="AC378" s="2">
        <v>4.3280919999999998</v>
      </c>
      <c r="AL378" s="89">
        <v>110</v>
      </c>
      <c r="AM378" s="2">
        <v>43</v>
      </c>
      <c r="AN378" s="2">
        <v>0</v>
      </c>
      <c r="AO378" s="2">
        <v>4.20103E-2</v>
      </c>
      <c r="AX378" s="89">
        <v>107</v>
      </c>
      <c r="AY378" s="2">
        <v>46</v>
      </c>
      <c r="AZ378" s="2">
        <v>1</v>
      </c>
      <c r="BA378" s="2">
        <v>4.0000000000000001E-3</v>
      </c>
      <c r="BJ378" s="89">
        <v>105</v>
      </c>
      <c r="BK378" s="2">
        <v>46</v>
      </c>
      <c r="BL378" s="2">
        <v>0</v>
      </c>
      <c r="BM378" s="2">
        <v>3.9929320000000001</v>
      </c>
      <c r="BV378" s="89">
        <v>118</v>
      </c>
      <c r="BW378" s="2">
        <v>45</v>
      </c>
      <c r="BX378" s="2">
        <v>0</v>
      </c>
      <c r="BY378" s="2">
        <v>3.8958899999999998E-2</v>
      </c>
      <c r="CH378" s="89">
        <v>118</v>
      </c>
      <c r="CI378" s="2">
        <v>45</v>
      </c>
      <c r="CJ378" s="2">
        <v>0</v>
      </c>
      <c r="CK378" s="2">
        <v>5.0000000000000001E-3</v>
      </c>
      <c r="CT378" s="89">
        <v>110</v>
      </c>
      <c r="CU378" s="2">
        <v>45</v>
      </c>
      <c r="CV378" s="2">
        <v>0</v>
      </c>
      <c r="CW378" s="2">
        <v>2.8184990000000001</v>
      </c>
      <c r="DF378" s="89">
        <v>115</v>
      </c>
      <c r="DG378" s="2">
        <v>45</v>
      </c>
      <c r="DH378" s="2">
        <v>0</v>
      </c>
      <c r="DI378" s="2">
        <v>0.92696999999999996</v>
      </c>
      <c r="DR378" s="89">
        <v>103</v>
      </c>
      <c r="DS378" s="2">
        <v>43</v>
      </c>
      <c r="DT378" s="2">
        <v>0</v>
      </c>
      <c r="DU378" s="2">
        <v>4.6576370000000002</v>
      </c>
      <c r="ED378" s="89">
        <v>116</v>
      </c>
      <c r="EE378" s="2">
        <v>45</v>
      </c>
      <c r="EF378" s="2">
        <v>1</v>
      </c>
      <c r="EG378" s="2">
        <v>0.1420216</v>
      </c>
      <c r="ES378">
        <v>116</v>
      </c>
      <c r="ET378">
        <v>45</v>
      </c>
      <c r="EU378">
        <v>1</v>
      </c>
      <c r="EV378">
        <v>0.1420216</v>
      </c>
    </row>
    <row r="379" spans="14:152" x14ac:dyDescent="0.4">
      <c r="N379" s="89">
        <v>113</v>
      </c>
      <c r="O379" s="2">
        <v>43</v>
      </c>
      <c r="P379" s="2">
        <v>0</v>
      </c>
      <c r="Q379" s="2">
        <v>2E-3</v>
      </c>
      <c r="Z379" s="89">
        <v>105</v>
      </c>
      <c r="AA379" s="2">
        <v>44</v>
      </c>
      <c r="AB379" s="2">
        <v>0</v>
      </c>
      <c r="AC379" s="2">
        <v>4.1234659999999996</v>
      </c>
      <c r="AL379" s="89">
        <v>111</v>
      </c>
      <c r="AM379" s="2">
        <v>43</v>
      </c>
      <c r="AN379" s="2">
        <v>0</v>
      </c>
      <c r="AO379" s="2">
        <v>7.9897000000000006E-3</v>
      </c>
      <c r="AX379" s="89">
        <v>108</v>
      </c>
      <c r="AY379" s="2">
        <v>46</v>
      </c>
      <c r="AZ379" s="2">
        <v>0</v>
      </c>
      <c r="BA379" s="2">
        <v>4.824503</v>
      </c>
      <c r="BJ379" s="89">
        <v>106</v>
      </c>
      <c r="BK379" s="2">
        <v>46</v>
      </c>
      <c r="BL379" s="2">
        <v>0</v>
      </c>
      <c r="BM379" s="2">
        <v>4.1547400000000003</v>
      </c>
      <c r="BV379" s="89">
        <v>119</v>
      </c>
      <c r="BW379" s="2">
        <v>45</v>
      </c>
      <c r="BX379" s="2">
        <v>0</v>
      </c>
      <c r="BY379" s="2">
        <v>1.0999999999999999E-2</v>
      </c>
      <c r="CH379" s="89">
        <v>104</v>
      </c>
      <c r="CI379" s="2">
        <v>46</v>
      </c>
      <c r="CJ379" s="2">
        <v>0</v>
      </c>
      <c r="CK379" s="2">
        <v>3.7829189999999999E-2</v>
      </c>
      <c r="CT379" s="89">
        <v>110</v>
      </c>
      <c r="CU379" s="2">
        <v>45</v>
      </c>
      <c r="CV379" s="2">
        <v>1</v>
      </c>
      <c r="CW379" s="2">
        <v>4.9000000000000002E-2</v>
      </c>
      <c r="DF379" s="89">
        <v>116</v>
      </c>
      <c r="DG379" s="2">
        <v>45</v>
      </c>
      <c r="DH379" s="2">
        <v>0</v>
      </c>
      <c r="DI379" s="2">
        <v>0.12518589999999999</v>
      </c>
      <c r="DR379" s="89">
        <v>104</v>
      </c>
      <c r="DS379" s="2">
        <v>43</v>
      </c>
      <c r="DT379" s="2">
        <v>0</v>
      </c>
      <c r="DU379" s="2">
        <v>4.2756809999999996</v>
      </c>
      <c r="ED379" s="89">
        <v>117</v>
      </c>
      <c r="EE379" s="2">
        <v>45</v>
      </c>
      <c r="EF379" s="2">
        <v>0</v>
      </c>
      <c r="EG379" s="2">
        <v>6.8979499999999999E-2</v>
      </c>
      <c r="ES379">
        <v>117</v>
      </c>
      <c r="ET379">
        <v>45</v>
      </c>
      <c r="EU379">
        <v>0</v>
      </c>
      <c r="EV379">
        <v>6.8979499999999999E-2</v>
      </c>
    </row>
    <row r="380" spans="14:152" x14ac:dyDescent="0.4">
      <c r="N380" s="89">
        <v>114</v>
      </c>
      <c r="O380" s="2">
        <v>43</v>
      </c>
      <c r="P380" s="2">
        <v>0</v>
      </c>
      <c r="Q380" s="2">
        <v>1E-3</v>
      </c>
      <c r="Z380" s="89">
        <v>106</v>
      </c>
      <c r="AA380" s="2">
        <v>44</v>
      </c>
      <c r="AB380" s="2">
        <v>0</v>
      </c>
      <c r="AC380" s="2">
        <v>3.5866850000000001</v>
      </c>
      <c r="AL380" s="89">
        <v>113</v>
      </c>
      <c r="AM380" s="2">
        <v>43</v>
      </c>
      <c r="AN380" s="2">
        <v>0</v>
      </c>
      <c r="AO380" s="2">
        <v>2E-3</v>
      </c>
      <c r="AX380" s="89">
        <v>109</v>
      </c>
      <c r="AY380" s="2">
        <v>46</v>
      </c>
      <c r="AZ380" s="2">
        <v>0</v>
      </c>
      <c r="BA380" s="2">
        <v>4.9412989999999999</v>
      </c>
      <c r="BJ380" s="89">
        <v>107</v>
      </c>
      <c r="BK380" s="2">
        <v>46</v>
      </c>
      <c r="BL380" s="2">
        <v>0</v>
      </c>
      <c r="BM380" s="2">
        <v>4.3888350000000003</v>
      </c>
      <c r="BV380" s="89">
        <v>120</v>
      </c>
      <c r="BW380" s="2">
        <v>45</v>
      </c>
      <c r="BX380" s="2">
        <v>0</v>
      </c>
      <c r="BY380" s="2">
        <v>3.0000000000000001E-3</v>
      </c>
      <c r="CH380" s="89">
        <v>105</v>
      </c>
      <c r="CI380" s="2">
        <v>46</v>
      </c>
      <c r="CJ380" s="2">
        <v>0</v>
      </c>
      <c r="CK380" s="2">
        <v>3.7642579999999999</v>
      </c>
      <c r="CT380" s="89">
        <v>111</v>
      </c>
      <c r="CU380" s="2">
        <v>45</v>
      </c>
      <c r="CV380" s="2">
        <v>0</v>
      </c>
      <c r="CW380" s="2">
        <v>2.2645010000000001</v>
      </c>
      <c r="DF380" s="89">
        <v>116</v>
      </c>
      <c r="DG380" s="2">
        <v>45</v>
      </c>
      <c r="DH380" s="2">
        <v>1</v>
      </c>
      <c r="DI380" s="2">
        <v>0.37375380000000002</v>
      </c>
      <c r="DR380" s="89">
        <v>105</v>
      </c>
      <c r="DS380" s="2">
        <v>43</v>
      </c>
      <c r="DT380" s="2">
        <v>0</v>
      </c>
      <c r="DU380" s="2">
        <v>3.7554159999999999</v>
      </c>
      <c r="ED380" s="89">
        <v>118</v>
      </c>
      <c r="EE380" s="2">
        <v>45</v>
      </c>
      <c r="EF380" s="2">
        <v>0</v>
      </c>
      <c r="EG380" s="2">
        <v>9.0000010000000005E-3</v>
      </c>
      <c r="ES380">
        <v>118</v>
      </c>
      <c r="ET380">
        <v>45</v>
      </c>
      <c r="EU380">
        <v>0</v>
      </c>
      <c r="EV380">
        <v>9.0000010000000005E-3</v>
      </c>
    </row>
    <row r="381" spans="14:152" x14ac:dyDescent="0.4">
      <c r="N381" s="89">
        <v>99</v>
      </c>
      <c r="O381" s="2">
        <v>44</v>
      </c>
      <c r="P381" s="2">
        <v>0</v>
      </c>
      <c r="Q381" s="2">
        <v>4.3388090000000004</v>
      </c>
      <c r="Z381" s="89">
        <v>107</v>
      </c>
      <c r="AA381" s="2">
        <v>44</v>
      </c>
      <c r="AB381" s="2">
        <v>0</v>
      </c>
      <c r="AC381" s="2">
        <v>2.7432919999999998</v>
      </c>
      <c r="AL381" s="89">
        <v>114</v>
      </c>
      <c r="AM381" s="2">
        <v>43</v>
      </c>
      <c r="AN381" s="2">
        <v>0</v>
      </c>
      <c r="AO381" s="2">
        <v>1E-3</v>
      </c>
      <c r="AX381" s="89">
        <v>109</v>
      </c>
      <c r="AY381" s="2">
        <v>46</v>
      </c>
      <c r="AZ381" s="2">
        <v>1</v>
      </c>
      <c r="BA381" s="2">
        <v>2.4981499999999999</v>
      </c>
      <c r="BJ381" s="89">
        <v>107</v>
      </c>
      <c r="BK381" s="2">
        <v>46</v>
      </c>
      <c r="BL381" s="2">
        <v>1</v>
      </c>
      <c r="BM381" s="2">
        <v>2.1000000000000001E-2</v>
      </c>
      <c r="BV381" s="89">
        <v>121</v>
      </c>
      <c r="BW381" s="2">
        <v>45</v>
      </c>
      <c r="BX381" s="2">
        <v>0</v>
      </c>
      <c r="BY381" s="2">
        <v>1E-3</v>
      </c>
      <c r="CH381" s="89">
        <v>106</v>
      </c>
      <c r="CI381" s="2">
        <v>46</v>
      </c>
      <c r="CJ381" s="2">
        <v>0</v>
      </c>
      <c r="CK381" s="2">
        <v>3.9841850000000001</v>
      </c>
      <c r="CT381" s="89">
        <v>112</v>
      </c>
      <c r="CU381" s="2">
        <v>45</v>
      </c>
      <c r="CV381" s="2">
        <v>0</v>
      </c>
      <c r="CW381" s="2">
        <v>1.564811</v>
      </c>
      <c r="DF381" s="89">
        <v>117</v>
      </c>
      <c r="DG381" s="2">
        <v>45</v>
      </c>
      <c r="DH381" s="2">
        <v>0</v>
      </c>
      <c r="DI381" s="2">
        <v>0.26891870000000001</v>
      </c>
      <c r="DR381" s="89">
        <v>106</v>
      </c>
      <c r="DS381" s="2">
        <v>43</v>
      </c>
      <c r="DT381" s="2">
        <v>0</v>
      </c>
      <c r="DU381" s="2">
        <v>2.865602</v>
      </c>
      <c r="ED381" s="89">
        <v>119</v>
      </c>
      <c r="EE381" s="2">
        <v>45</v>
      </c>
      <c r="EF381" s="2">
        <v>0</v>
      </c>
      <c r="EG381" s="2">
        <v>4.0000000000000001E-3</v>
      </c>
      <c r="ES381">
        <v>119</v>
      </c>
      <c r="ET381">
        <v>45</v>
      </c>
      <c r="EU381">
        <v>0</v>
      </c>
      <c r="EV381">
        <v>4.0000000000000001E-3</v>
      </c>
    </row>
    <row r="382" spans="14:152" x14ac:dyDescent="0.4">
      <c r="N382" s="89">
        <v>100</v>
      </c>
      <c r="O382" s="2">
        <v>44</v>
      </c>
      <c r="P382" s="2">
        <v>0</v>
      </c>
      <c r="Q382" s="2">
        <v>0.44900000000000001</v>
      </c>
      <c r="Z382" s="89">
        <v>108</v>
      </c>
      <c r="AA382" s="2">
        <v>44</v>
      </c>
      <c r="AB382" s="2">
        <v>0</v>
      </c>
      <c r="AC382" s="2">
        <v>1.8910210000000001</v>
      </c>
      <c r="AL382" s="89">
        <v>96</v>
      </c>
      <c r="AM382" s="2">
        <v>44</v>
      </c>
      <c r="AN382" s="2">
        <v>0</v>
      </c>
      <c r="AO382" s="2">
        <v>1E-3</v>
      </c>
      <c r="AX382" s="89">
        <v>110</v>
      </c>
      <c r="AY382" s="2">
        <v>46</v>
      </c>
      <c r="AZ382" s="2">
        <v>0</v>
      </c>
      <c r="BA382" s="2">
        <v>5.0681380000000003</v>
      </c>
      <c r="BJ382" s="89">
        <v>108</v>
      </c>
      <c r="BK382" s="2">
        <v>46</v>
      </c>
      <c r="BL382" s="2">
        <v>0</v>
      </c>
      <c r="BM382" s="2">
        <v>4.4883259999999998</v>
      </c>
      <c r="BV382" s="89">
        <v>122</v>
      </c>
      <c r="BW382" s="2">
        <v>45</v>
      </c>
      <c r="BX382" s="2">
        <v>0</v>
      </c>
      <c r="BY382" s="2">
        <v>1E-3</v>
      </c>
      <c r="CH382" s="89">
        <v>107</v>
      </c>
      <c r="CI382" s="2">
        <v>46</v>
      </c>
      <c r="CJ382" s="2">
        <v>0</v>
      </c>
      <c r="CK382" s="2">
        <v>3.92252</v>
      </c>
      <c r="CT382" s="89">
        <v>112</v>
      </c>
      <c r="CU382" s="2">
        <v>45</v>
      </c>
      <c r="CV382" s="2">
        <v>1</v>
      </c>
      <c r="CW382" s="2">
        <v>1.383908E-2</v>
      </c>
      <c r="DF382" s="89">
        <v>118</v>
      </c>
      <c r="DG382" s="2">
        <v>45</v>
      </c>
      <c r="DH382" s="2">
        <v>0</v>
      </c>
      <c r="DI382" s="2">
        <v>8.3799509999999994E-2</v>
      </c>
      <c r="DR382" s="89">
        <v>107</v>
      </c>
      <c r="DS382" s="2">
        <v>43</v>
      </c>
      <c r="DT382" s="2">
        <v>0</v>
      </c>
      <c r="DU382" s="2">
        <v>2.1208079999999998</v>
      </c>
      <c r="ED382" s="89">
        <v>104</v>
      </c>
      <c r="EE382" s="2">
        <v>46</v>
      </c>
      <c r="EF382" s="2">
        <v>0</v>
      </c>
      <c r="EG382" s="2">
        <v>1.194607E-2</v>
      </c>
      <c r="ES382">
        <v>104</v>
      </c>
      <c r="ET382">
        <v>46</v>
      </c>
      <c r="EU382">
        <v>0</v>
      </c>
      <c r="EV382">
        <v>1.194607E-2</v>
      </c>
    </row>
    <row r="383" spans="14:152" x14ac:dyDescent="0.4">
      <c r="N383" s="89">
        <v>101</v>
      </c>
      <c r="O383" s="2">
        <v>44</v>
      </c>
      <c r="P383" s="2">
        <v>0</v>
      </c>
      <c r="Q383" s="2">
        <v>4.3801959999999998</v>
      </c>
      <c r="Z383" s="89">
        <v>109</v>
      </c>
      <c r="AA383" s="2">
        <v>44</v>
      </c>
      <c r="AB383" s="2">
        <v>0</v>
      </c>
      <c r="AC383" s="2">
        <v>1.1066510000000001</v>
      </c>
      <c r="AL383" s="89">
        <v>98</v>
      </c>
      <c r="AM383" s="2">
        <v>44</v>
      </c>
      <c r="AN383" s="2">
        <v>0</v>
      </c>
      <c r="AO383" s="2">
        <v>3.0000000000000001E-3</v>
      </c>
      <c r="AX383" s="89">
        <v>111</v>
      </c>
      <c r="AY383" s="2">
        <v>46</v>
      </c>
      <c r="AZ383" s="2">
        <v>0</v>
      </c>
      <c r="BA383" s="2">
        <v>4.9452030000000002</v>
      </c>
      <c r="BJ383" s="89">
        <v>109</v>
      </c>
      <c r="BK383" s="2">
        <v>46</v>
      </c>
      <c r="BL383" s="2">
        <v>0</v>
      </c>
      <c r="BM383" s="2">
        <v>4.6113</v>
      </c>
      <c r="BV383" s="89">
        <v>104</v>
      </c>
      <c r="BW383" s="2">
        <v>46</v>
      </c>
      <c r="BX383" s="2">
        <v>0</v>
      </c>
      <c r="BY383" s="2">
        <v>2.9865180000000001E-3</v>
      </c>
      <c r="CH383" s="89">
        <v>107</v>
      </c>
      <c r="CI383" s="2">
        <v>46</v>
      </c>
      <c r="CJ383" s="2">
        <v>1</v>
      </c>
      <c r="CK383" s="2">
        <v>7.1999999999999995E-2</v>
      </c>
      <c r="CT383" s="89">
        <v>113</v>
      </c>
      <c r="CU383" s="2">
        <v>45</v>
      </c>
      <c r="CV383" s="2">
        <v>0</v>
      </c>
      <c r="CW383" s="2">
        <v>1.050111</v>
      </c>
      <c r="DF383" s="89">
        <v>119</v>
      </c>
      <c r="DG383" s="2">
        <v>45</v>
      </c>
      <c r="DH383" s="2">
        <v>0</v>
      </c>
      <c r="DI383" s="2">
        <v>3.8912799999999997E-2</v>
      </c>
      <c r="DR383" s="89">
        <v>108</v>
      </c>
      <c r="DS383" s="2">
        <v>43</v>
      </c>
      <c r="DT383" s="2">
        <v>0</v>
      </c>
      <c r="DU383" s="2">
        <v>1.304894</v>
      </c>
      <c r="ED383" s="89">
        <v>105</v>
      </c>
      <c r="EE383" s="2">
        <v>46</v>
      </c>
      <c r="EF383" s="2">
        <v>0</v>
      </c>
      <c r="EG383" s="2">
        <v>3.9652259999999999</v>
      </c>
      <c r="ES383">
        <v>105</v>
      </c>
      <c r="ET383">
        <v>46</v>
      </c>
      <c r="EU383">
        <v>0</v>
      </c>
      <c r="EV383">
        <v>3.9652259999999999</v>
      </c>
    </row>
    <row r="384" spans="14:152" x14ac:dyDescent="0.4">
      <c r="N384" s="89">
        <v>102</v>
      </c>
      <c r="O384" s="2">
        <v>44</v>
      </c>
      <c r="P384" s="2">
        <v>0</v>
      </c>
      <c r="Q384" s="2">
        <v>4.2636050000000001</v>
      </c>
      <c r="Z384" s="89">
        <v>110</v>
      </c>
      <c r="AA384" s="2">
        <v>44</v>
      </c>
      <c r="AB384" s="2">
        <v>0</v>
      </c>
      <c r="AC384" s="2">
        <v>0.61895639999999996</v>
      </c>
      <c r="AL384" s="89">
        <v>99</v>
      </c>
      <c r="AM384" s="2">
        <v>44</v>
      </c>
      <c r="AN384" s="2">
        <v>0</v>
      </c>
      <c r="AO384" s="2">
        <v>5.0173449999999997</v>
      </c>
      <c r="AX384" s="89">
        <v>111</v>
      </c>
      <c r="AY384" s="2">
        <v>46</v>
      </c>
      <c r="AZ384" s="2">
        <v>1</v>
      </c>
      <c r="BA384" s="2">
        <v>0.76900000000000002</v>
      </c>
      <c r="BJ384" s="89">
        <v>109</v>
      </c>
      <c r="BK384" s="2">
        <v>46</v>
      </c>
      <c r="BL384" s="2">
        <v>1</v>
      </c>
      <c r="BM384" s="2">
        <v>2.3891499999999999</v>
      </c>
      <c r="BV384" s="89">
        <v>105</v>
      </c>
      <c r="BW384" s="2">
        <v>46</v>
      </c>
      <c r="BX384" s="2">
        <v>0</v>
      </c>
      <c r="BY384" s="2">
        <v>3.4214380000000002</v>
      </c>
      <c r="CH384" s="89">
        <v>108</v>
      </c>
      <c r="CI384" s="2">
        <v>46</v>
      </c>
      <c r="CJ384" s="2">
        <v>0</v>
      </c>
      <c r="CK384" s="2">
        <v>4.1550450000000003</v>
      </c>
      <c r="CT384" s="89">
        <v>114</v>
      </c>
      <c r="CU384" s="2">
        <v>45</v>
      </c>
      <c r="CV384" s="2">
        <v>0</v>
      </c>
      <c r="CW384" s="2">
        <v>0.55097010000000002</v>
      </c>
      <c r="DF384" s="89">
        <v>120</v>
      </c>
      <c r="DG384" s="2">
        <v>45</v>
      </c>
      <c r="DH384" s="2">
        <v>0</v>
      </c>
      <c r="DI384" s="2">
        <v>8.0000000000000002E-3</v>
      </c>
      <c r="DR384" s="89">
        <v>109</v>
      </c>
      <c r="DS384" s="2">
        <v>43</v>
      </c>
      <c r="DT384" s="2">
        <v>0</v>
      </c>
      <c r="DU384" s="2">
        <v>0.69300410000000001</v>
      </c>
      <c r="ED384" s="89">
        <v>106</v>
      </c>
      <c r="EE384" s="2">
        <v>46</v>
      </c>
      <c r="EF384" s="2">
        <v>0</v>
      </c>
      <c r="EG384" s="2">
        <v>3.8442340000000002</v>
      </c>
      <c r="ES384">
        <v>106</v>
      </c>
      <c r="ET384">
        <v>46</v>
      </c>
      <c r="EU384">
        <v>0</v>
      </c>
      <c r="EV384">
        <v>3.8442340000000002</v>
      </c>
    </row>
    <row r="385" spans="14:152" x14ac:dyDescent="0.4">
      <c r="N385" s="89">
        <v>103</v>
      </c>
      <c r="O385" s="2">
        <v>44</v>
      </c>
      <c r="P385" s="2">
        <v>0</v>
      </c>
      <c r="Q385" s="2">
        <v>4.0691699999999997</v>
      </c>
      <c r="Z385" s="89">
        <v>111</v>
      </c>
      <c r="AA385" s="2">
        <v>44</v>
      </c>
      <c r="AB385" s="2">
        <v>0</v>
      </c>
      <c r="AC385" s="2">
        <v>0.27621000000000001</v>
      </c>
      <c r="AL385" s="89">
        <v>100</v>
      </c>
      <c r="AM385" s="2">
        <v>44</v>
      </c>
      <c r="AN385" s="2">
        <v>0</v>
      </c>
      <c r="AO385" s="2">
        <v>0.89200000000000002</v>
      </c>
      <c r="AX385" s="89">
        <v>112</v>
      </c>
      <c r="AY385" s="2">
        <v>46</v>
      </c>
      <c r="AZ385" s="2">
        <v>0</v>
      </c>
      <c r="BA385" s="2">
        <v>4.8766559999999997</v>
      </c>
      <c r="BJ385" s="89">
        <v>110</v>
      </c>
      <c r="BK385" s="2">
        <v>46</v>
      </c>
      <c r="BL385" s="2">
        <v>0</v>
      </c>
      <c r="BM385" s="2">
        <v>4.8159609999999997</v>
      </c>
      <c r="BV385" s="89">
        <v>106</v>
      </c>
      <c r="BW385" s="2">
        <v>46</v>
      </c>
      <c r="BX385" s="2">
        <v>0</v>
      </c>
      <c r="BY385" s="2">
        <v>3.4886750000000002</v>
      </c>
      <c r="CH385" s="89">
        <v>109</v>
      </c>
      <c r="CI385" s="2">
        <v>46</v>
      </c>
      <c r="CJ385" s="2">
        <v>0</v>
      </c>
      <c r="CK385" s="2">
        <v>4.0124890000000004</v>
      </c>
      <c r="CT385" s="89">
        <v>114</v>
      </c>
      <c r="CU385" s="2">
        <v>45</v>
      </c>
      <c r="CV385" s="2">
        <v>1</v>
      </c>
      <c r="CW385" s="2">
        <v>4.9507869999999999E-3</v>
      </c>
      <c r="DF385" s="89">
        <v>121</v>
      </c>
      <c r="DG385" s="2">
        <v>45</v>
      </c>
      <c r="DH385" s="2">
        <v>0</v>
      </c>
      <c r="DI385" s="2">
        <v>1E-3</v>
      </c>
      <c r="DR385" s="89">
        <v>110</v>
      </c>
      <c r="DS385" s="2">
        <v>43</v>
      </c>
      <c r="DT385" s="2">
        <v>0</v>
      </c>
      <c r="DU385" s="2">
        <v>0.3079751</v>
      </c>
      <c r="ED385" s="89">
        <v>107</v>
      </c>
      <c r="EE385" s="2">
        <v>46</v>
      </c>
      <c r="EF385" s="2">
        <v>0</v>
      </c>
      <c r="EG385" s="2">
        <v>3.7969119999999998</v>
      </c>
      <c r="ES385">
        <v>107</v>
      </c>
      <c r="ET385">
        <v>46</v>
      </c>
      <c r="EU385">
        <v>0</v>
      </c>
      <c r="EV385">
        <v>3.7969119999999998</v>
      </c>
    </row>
    <row r="386" spans="14:152" x14ac:dyDescent="0.4">
      <c r="N386" s="89">
        <v>103</v>
      </c>
      <c r="O386" s="2">
        <v>44</v>
      </c>
      <c r="P386" s="2">
        <v>1</v>
      </c>
      <c r="Q386" s="2">
        <v>0.59099999999999997</v>
      </c>
      <c r="Z386" s="89">
        <v>112</v>
      </c>
      <c r="AA386" s="2">
        <v>44</v>
      </c>
      <c r="AB386" s="2">
        <v>0</v>
      </c>
      <c r="AC386" s="2">
        <v>0.10386189999999999</v>
      </c>
      <c r="AL386" s="89">
        <v>101</v>
      </c>
      <c r="AM386" s="2">
        <v>44</v>
      </c>
      <c r="AN386" s="2">
        <v>0</v>
      </c>
      <c r="AO386" s="2">
        <v>5.0883450000000003</v>
      </c>
      <c r="AX386" s="89">
        <v>113</v>
      </c>
      <c r="AY386" s="2">
        <v>46</v>
      </c>
      <c r="AZ386" s="2">
        <v>0</v>
      </c>
      <c r="BA386" s="2">
        <v>4.362876</v>
      </c>
      <c r="BJ386" s="89">
        <v>111</v>
      </c>
      <c r="BK386" s="2">
        <v>46</v>
      </c>
      <c r="BL386" s="2">
        <v>0</v>
      </c>
      <c r="BM386" s="2">
        <v>4.3429500000000001</v>
      </c>
      <c r="BV386" s="89">
        <v>107</v>
      </c>
      <c r="BW386" s="2">
        <v>46</v>
      </c>
      <c r="BX386" s="2">
        <v>0</v>
      </c>
      <c r="BY386" s="2">
        <v>3.5586039999999999</v>
      </c>
      <c r="CH386" s="89">
        <v>109</v>
      </c>
      <c r="CI386" s="2">
        <v>46</v>
      </c>
      <c r="CJ386" s="2">
        <v>1</v>
      </c>
      <c r="CK386" s="2">
        <v>2.167745</v>
      </c>
      <c r="CT386" s="89">
        <v>115</v>
      </c>
      <c r="CU386" s="2">
        <v>45</v>
      </c>
      <c r="CV386" s="2">
        <v>0</v>
      </c>
      <c r="CW386" s="2">
        <v>0.29200320000000002</v>
      </c>
      <c r="DF386" s="89">
        <v>122</v>
      </c>
      <c r="DG386" s="2">
        <v>45</v>
      </c>
      <c r="DH386" s="2">
        <v>0</v>
      </c>
      <c r="DI386" s="2">
        <v>1E-3</v>
      </c>
      <c r="DR386" s="89">
        <v>111</v>
      </c>
      <c r="DS386" s="2">
        <v>43</v>
      </c>
      <c r="DT386" s="2">
        <v>0</v>
      </c>
      <c r="DU386" s="2">
        <v>0.15090809999999999</v>
      </c>
      <c r="ED386" s="89">
        <v>107</v>
      </c>
      <c r="EE386" s="2">
        <v>46</v>
      </c>
      <c r="EF386" s="2">
        <v>1</v>
      </c>
      <c r="EG386" s="2">
        <v>1.0999999999999999E-2</v>
      </c>
      <c r="ES386">
        <v>107</v>
      </c>
      <c r="ET386">
        <v>46</v>
      </c>
      <c r="EU386">
        <v>1</v>
      </c>
      <c r="EV386">
        <v>1.0999999999999999E-2</v>
      </c>
    </row>
    <row r="387" spans="14:152" x14ac:dyDescent="0.4">
      <c r="N387" s="89">
        <v>104</v>
      </c>
      <c r="O387" s="2">
        <v>44</v>
      </c>
      <c r="P387" s="2">
        <v>0</v>
      </c>
      <c r="Q387" s="2">
        <v>3.9575499999999999</v>
      </c>
      <c r="Z387" s="89">
        <v>113</v>
      </c>
      <c r="AA387" s="2">
        <v>44</v>
      </c>
      <c r="AB387" s="2">
        <v>0</v>
      </c>
      <c r="AC387" s="2">
        <v>2.3928100000000001E-2</v>
      </c>
      <c r="AL387" s="89">
        <v>102</v>
      </c>
      <c r="AM387" s="2">
        <v>44</v>
      </c>
      <c r="AN387" s="2">
        <v>0</v>
      </c>
      <c r="AO387" s="2">
        <v>5.1605249999999998</v>
      </c>
      <c r="AX387" s="89">
        <v>113</v>
      </c>
      <c r="AY387" s="2">
        <v>46</v>
      </c>
      <c r="AZ387" s="2">
        <v>1</v>
      </c>
      <c r="BA387" s="2">
        <v>1.9139999999999999</v>
      </c>
      <c r="BJ387" s="89">
        <v>111</v>
      </c>
      <c r="BK387" s="2">
        <v>46</v>
      </c>
      <c r="BL387" s="2">
        <v>1</v>
      </c>
      <c r="BM387" s="2">
        <v>1.1319999999999999</v>
      </c>
      <c r="BV387" s="89">
        <v>107</v>
      </c>
      <c r="BW387" s="2">
        <v>46</v>
      </c>
      <c r="BX387" s="2">
        <v>1</v>
      </c>
      <c r="BY387" s="2">
        <v>2E-3</v>
      </c>
      <c r="CH387" s="89">
        <v>110</v>
      </c>
      <c r="CI387" s="2">
        <v>46</v>
      </c>
      <c r="CJ387" s="2">
        <v>0</v>
      </c>
      <c r="CK387" s="2">
        <v>4.0860580000000004</v>
      </c>
      <c r="CT387" s="89">
        <v>116</v>
      </c>
      <c r="CU387" s="2">
        <v>45</v>
      </c>
      <c r="CV387" s="2">
        <v>0</v>
      </c>
      <c r="CW387" s="2">
        <v>2.718259E-2</v>
      </c>
      <c r="DF387" s="89">
        <v>104</v>
      </c>
      <c r="DG387" s="2">
        <v>46</v>
      </c>
      <c r="DH387" s="2">
        <v>0</v>
      </c>
      <c r="DI387" s="2">
        <v>9.9550599999999995E-4</v>
      </c>
      <c r="DR387" s="89">
        <v>112</v>
      </c>
      <c r="DS387" s="2">
        <v>43</v>
      </c>
      <c r="DT387" s="2">
        <v>0</v>
      </c>
      <c r="DU387" s="2">
        <v>5.5916800000000003E-2</v>
      </c>
      <c r="ED387" s="89">
        <v>108</v>
      </c>
      <c r="EE387" s="2">
        <v>46</v>
      </c>
      <c r="EF387" s="2">
        <v>0</v>
      </c>
      <c r="EG387" s="2">
        <v>3.8482889999999998</v>
      </c>
      <c r="ES387">
        <v>108</v>
      </c>
      <c r="ET387">
        <v>46</v>
      </c>
      <c r="EU387">
        <v>0</v>
      </c>
      <c r="EV387">
        <v>3.8482889999999998</v>
      </c>
    </row>
    <row r="388" spans="14:152" x14ac:dyDescent="0.4">
      <c r="N388" s="89">
        <v>105</v>
      </c>
      <c r="O388" s="2">
        <v>44</v>
      </c>
      <c r="P388" s="2">
        <v>0</v>
      </c>
      <c r="Q388" s="2">
        <v>3.3999259999999998</v>
      </c>
      <c r="Z388" s="89">
        <v>113</v>
      </c>
      <c r="AA388" s="2">
        <v>44</v>
      </c>
      <c r="AB388" s="2">
        <v>1</v>
      </c>
      <c r="AC388" s="2">
        <v>3.5999999999999997E-2</v>
      </c>
      <c r="AL388" s="89">
        <v>103</v>
      </c>
      <c r="AM388" s="2">
        <v>44</v>
      </c>
      <c r="AN388" s="2">
        <v>0</v>
      </c>
      <c r="AO388" s="2">
        <v>5.0260829999999999</v>
      </c>
      <c r="AX388" s="89">
        <v>114</v>
      </c>
      <c r="AY388" s="2">
        <v>46</v>
      </c>
      <c r="AZ388" s="2">
        <v>0</v>
      </c>
      <c r="BA388" s="2">
        <v>3.3987639999999999</v>
      </c>
      <c r="BJ388" s="89">
        <v>112</v>
      </c>
      <c r="BK388" s="2">
        <v>46</v>
      </c>
      <c r="BL388" s="2">
        <v>0</v>
      </c>
      <c r="BM388" s="2">
        <v>4.5997459999999997</v>
      </c>
      <c r="BV388" s="89">
        <v>108</v>
      </c>
      <c r="BW388" s="2">
        <v>46</v>
      </c>
      <c r="BX388" s="2">
        <v>0</v>
      </c>
      <c r="BY388" s="2">
        <v>3.7150089999999998</v>
      </c>
      <c r="CH388" s="89">
        <v>111</v>
      </c>
      <c r="CI388" s="2">
        <v>46</v>
      </c>
      <c r="CJ388" s="2">
        <v>0</v>
      </c>
      <c r="CK388" s="2">
        <v>3.4683639999999998</v>
      </c>
      <c r="CT388" s="89">
        <v>116</v>
      </c>
      <c r="CU388" s="2">
        <v>45</v>
      </c>
      <c r="CV388" s="2">
        <v>1</v>
      </c>
      <c r="CW388" s="2">
        <v>8.0672729999999998E-2</v>
      </c>
      <c r="DF388" s="89">
        <v>105</v>
      </c>
      <c r="DG388" s="2">
        <v>46</v>
      </c>
      <c r="DH388" s="2">
        <v>0</v>
      </c>
      <c r="DI388" s="2">
        <v>2.6402369999999999</v>
      </c>
      <c r="DR388" s="89">
        <v>113</v>
      </c>
      <c r="DS388" s="2">
        <v>43</v>
      </c>
      <c r="DT388" s="2">
        <v>0</v>
      </c>
      <c r="DU388" s="2">
        <v>1.6E-2</v>
      </c>
      <c r="ED388" s="89">
        <v>109</v>
      </c>
      <c r="EE388" s="2">
        <v>46</v>
      </c>
      <c r="EF388" s="2">
        <v>0</v>
      </c>
      <c r="EG388" s="2">
        <v>3.9834070000000001</v>
      </c>
      <c r="ES388">
        <v>109</v>
      </c>
      <c r="ET388">
        <v>46</v>
      </c>
      <c r="EU388">
        <v>0</v>
      </c>
      <c r="EV388">
        <v>3.9834070000000001</v>
      </c>
    </row>
    <row r="389" spans="14:152" x14ac:dyDescent="0.4">
      <c r="N389" s="89">
        <v>106</v>
      </c>
      <c r="O389" s="2">
        <v>44</v>
      </c>
      <c r="P389" s="2">
        <v>0</v>
      </c>
      <c r="Q389" s="2">
        <v>2.8686250000000002</v>
      </c>
      <c r="Z389" s="89">
        <v>114</v>
      </c>
      <c r="AA389" s="2">
        <v>44</v>
      </c>
      <c r="AB389" s="2">
        <v>0</v>
      </c>
      <c r="AC389" s="2">
        <v>8.0000000000000002E-3</v>
      </c>
      <c r="AL389" s="89">
        <v>103</v>
      </c>
      <c r="AM389" s="2">
        <v>44</v>
      </c>
      <c r="AN389" s="2">
        <v>1</v>
      </c>
      <c r="AO389" s="2">
        <v>1.0229999999999999</v>
      </c>
      <c r="AX389" s="89">
        <v>115</v>
      </c>
      <c r="AY389" s="2">
        <v>46</v>
      </c>
      <c r="AZ389" s="2">
        <v>0</v>
      </c>
      <c r="BA389" s="2">
        <v>0.93823809999999996</v>
      </c>
      <c r="BJ389" s="89">
        <v>113</v>
      </c>
      <c r="BK389" s="2">
        <v>46</v>
      </c>
      <c r="BL389" s="2">
        <v>0</v>
      </c>
      <c r="BM389" s="2">
        <v>3.61483</v>
      </c>
      <c r="BV389" s="89">
        <v>109</v>
      </c>
      <c r="BW389" s="2">
        <v>46</v>
      </c>
      <c r="BX389" s="2">
        <v>0</v>
      </c>
      <c r="BY389" s="2">
        <v>3.6486360000000002</v>
      </c>
      <c r="CH389" s="89">
        <v>111</v>
      </c>
      <c r="CI389" s="2">
        <v>46</v>
      </c>
      <c r="CJ389" s="2">
        <v>1</v>
      </c>
      <c r="CK389" s="2">
        <v>1.151</v>
      </c>
      <c r="CT389" s="89">
        <v>117</v>
      </c>
      <c r="CU389" s="2">
        <v>45</v>
      </c>
      <c r="CV389" s="2">
        <v>0</v>
      </c>
      <c r="CW389" s="2">
        <v>3.7041200000000003E-2</v>
      </c>
      <c r="DF389" s="89">
        <v>106</v>
      </c>
      <c r="DG389" s="2">
        <v>46</v>
      </c>
      <c r="DH389" s="2">
        <v>0</v>
      </c>
      <c r="DI389" s="2">
        <v>2.5483820000000001</v>
      </c>
      <c r="DR389" s="89">
        <v>114</v>
      </c>
      <c r="DS389" s="2">
        <v>43</v>
      </c>
      <c r="DT389" s="2">
        <v>0</v>
      </c>
      <c r="DU389" s="2">
        <v>4.0000000000000001E-3</v>
      </c>
      <c r="ED389" s="89">
        <v>109</v>
      </c>
      <c r="EE389" s="2">
        <v>46</v>
      </c>
      <c r="EF389" s="2">
        <v>1</v>
      </c>
      <c r="EG389" s="2">
        <v>2.0507029999999999</v>
      </c>
      <c r="ES389">
        <v>109</v>
      </c>
      <c r="ET389">
        <v>46</v>
      </c>
      <c r="EU389">
        <v>1</v>
      </c>
      <c r="EV389">
        <v>2.0507029999999999</v>
      </c>
    </row>
    <row r="390" spans="14:152" x14ac:dyDescent="0.4">
      <c r="N390" s="89">
        <v>107</v>
      </c>
      <c r="O390" s="2">
        <v>44</v>
      </c>
      <c r="P390" s="2">
        <v>0</v>
      </c>
      <c r="Q390" s="2">
        <v>1.9045259999999999</v>
      </c>
      <c r="Z390" s="89">
        <v>115</v>
      </c>
      <c r="AA390" s="2">
        <v>44</v>
      </c>
      <c r="AB390" s="2">
        <v>0</v>
      </c>
      <c r="AC390" s="2">
        <v>2E-3</v>
      </c>
      <c r="AL390" s="89">
        <v>104</v>
      </c>
      <c r="AM390" s="2">
        <v>44</v>
      </c>
      <c r="AN390" s="2">
        <v>0</v>
      </c>
      <c r="AO390" s="2">
        <v>4.7702499999999999</v>
      </c>
      <c r="AX390" s="89">
        <v>115</v>
      </c>
      <c r="AY390" s="2">
        <v>46</v>
      </c>
      <c r="AZ390" s="2">
        <v>1</v>
      </c>
      <c r="BA390" s="2">
        <v>1.3180609999999999</v>
      </c>
      <c r="BJ390" s="89">
        <v>113</v>
      </c>
      <c r="BK390" s="2">
        <v>46</v>
      </c>
      <c r="BL390" s="2">
        <v>1</v>
      </c>
      <c r="BM390" s="2">
        <v>1.9159999999999999</v>
      </c>
      <c r="BV390" s="89">
        <v>109</v>
      </c>
      <c r="BW390" s="2">
        <v>46</v>
      </c>
      <c r="BX390" s="2">
        <v>1</v>
      </c>
      <c r="BY390" s="2">
        <v>1.8363179999999999</v>
      </c>
      <c r="CH390" s="89">
        <v>112</v>
      </c>
      <c r="CI390" s="2">
        <v>46</v>
      </c>
      <c r="CJ390" s="2">
        <v>0</v>
      </c>
      <c r="CK390" s="2">
        <v>3.485195</v>
      </c>
      <c r="CT390" s="89">
        <v>118</v>
      </c>
      <c r="CU390" s="2">
        <v>45</v>
      </c>
      <c r="CV390" s="2">
        <v>0</v>
      </c>
      <c r="CW390" s="2">
        <v>1.5917799999999999E-2</v>
      </c>
      <c r="DF390" s="89">
        <v>107</v>
      </c>
      <c r="DG390" s="2">
        <v>46</v>
      </c>
      <c r="DH390" s="2">
        <v>0</v>
      </c>
      <c r="DI390" s="2">
        <v>2.5481180000000001</v>
      </c>
      <c r="DR390" s="89">
        <v>115</v>
      </c>
      <c r="DS390" s="2">
        <v>43</v>
      </c>
      <c r="DT390" s="2">
        <v>0</v>
      </c>
      <c r="DU390" s="2">
        <v>4.0000000000000001E-3</v>
      </c>
      <c r="ED390" s="89">
        <v>110</v>
      </c>
      <c r="EE390" s="2">
        <v>46</v>
      </c>
      <c r="EF390" s="2">
        <v>0</v>
      </c>
      <c r="EG390" s="2">
        <v>4.1304999999999996</v>
      </c>
      <c r="ES390">
        <v>110</v>
      </c>
      <c r="ET390">
        <v>46</v>
      </c>
      <c r="EU390">
        <v>0</v>
      </c>
      <c r="EV390">
        <v>4.1304999999999996</v>
      </c>
    </row>
    <row r="391" spans="14:152" x14ac:dyDescent="0.4">
      <c r="N391" s="89">
        <v>108</v>
      </c>
      <c r="O391" s="2">
        <v>44</v>
      </c>
      <c r="P391" s="2">
        <v>0</v>
      </c>
      <c r="Q391" s="2">
        <v>1.2800830000000001</v>
      </c>
      <c r="Z391" s="89">
        <v>116</v>
      </c>
      <c r="AA391" s="2">
        <v>44</v>
      </c>
      <c r="AB391" s="2">
        <v>0</v>
      </c>
      <c r="AC391" s="2">
        <v>5.0000000000000001E-3</v>
      </c>
      <c r="AL391" s="89">
        <v>105</v>
      </c>
      <c r="AM391" s="2">
        <v>44</v>
      </c>
      <c r="AN391" s="2">
        <v>0</v>
      </c>
      <c r="AO391" s="2">
        <v>4.0228429999999999</v>
      </c>
      <c r="AX391" s="89">
        <v>116</v>
      </c>
      <c r="AY391" s="2">
        <v>46</v>
      </c>
      <c r="AZ391" s="2">
        <v>0</v>
      </c>
      <c r="BA391" s="2">
        <v>1.2849660000000001</v>
      </c>
      <c r="BJ391" s="89">
        <v>114</v>
      </c>
      <c r="BK391" s="2">
        <v>46</v>
      </c>
      <c r="BL391" s="2">
        <v>0</v>
      </c>
      <c r="BM391" s="2">
        <v>2.7928269999999999</v>
      </c>
      <c r="BV391" s="89">
        <v>110</v>
      </c>
      <c r="BW391" s="2">
        <v>46</v>
      </c>
      <c r="BX391" s="2">
        <v>0</v>
      </c>
      <c r="BY391" s="2">
        <v>3.903718</v>
      </c>
      <c r="CH391" s="89">
        <v>113</v>
      </c>
      <c r="CI391" s="2">
        <v>46</v>
      </c>
      <c r="CJ391" s="2">
        <v>0</v>
      </c>
      <c r="CK391" s="2">
        <v>2.632771</v>
      </c>
      <c r="CT391" s="89">
        <v>119</v>
      </c>
      <c r="CU391" s="2">
        <v>45</v>
      </c>
      <c r="CV391" s="2">
        <v>0</v>
      </c>
      <c r="CW391" s="2">
        <v>6.0000000000000001E-3</v>
      </c>
      <c r="DF391" s="89">
        <v>107</v>
      </c>
      <c r="DG391" s="2">
        <v>46</v>
      </c>
      <c r="DH391" s="2">
        <v>1</v>
      </c>
      <c r="DI391" s="2">
        <v>2E-3</v>
      </c>
      <c r="DR391" s="89">
        <v>99</v>
      </c>
      <c r="DS391" s="2">
        <v>44</v>
      </c>
      <c r="DT391" s="2">
        <v>0</v>
      </c>
      <c r="DU391" s="2">
        <v>4.7153229999999997</v>
      </c>
      <c r="ED391" s="89">
        <v>111</v>
      </c>
      <c r="EE391" s="2">
        <v>46</v>
      </c>
      <c r="EF391" s="2">
        <v>0</v>
      </c>
      <c r="EG391" s="2">
        <v>3.8833289999999998</v>
      </c>
      <c r="ES391">
        <v>111</v>
      </c>
      <c r="ET391">
        <v>46</v>
      </c>
      <c r="EU391">
        <v>0</v>
      </c>
      <c r="EV391">
        <v>3.8833289999999998</v>
      </c>
    </row>
    <row r="392" spans="14:152" x14ac:dyDescent="0.4">
      <c r="N392" s="89">
        <v>109</v>
      </c>
      <c r="O392" s="2">
        <v>44</v>
      </c>
      <c r="P392" s="2">
        <v>0</v>
      </c>
      <c r="Q392" s="2">
        <v>0.67075629999999997</v>
      </c>
      <c r="Z392" s="89">
        <v>102</v>
      </c>
      <c r="AA392" s="2">
        <v>45</v>
      </c>
      <c r="AB392" s="2">
        <v>0</v>
      </c>
      <c r="AC392" s="2">
        <v>1E-3</v>
      </c>
      <c r="AL392" s="89">
        <v>106</v>
      </c>
      <c r="AM392" s="2">
        <v>44</v>
      </c>
      <c r="AN392" s="2">
        <v>0</v>
      </c>
      <c r="AO392" s="2">
        <v>3.1738200000000001</v>
      </c>
      <c r="AX392" s="89">
        <v>117</v>
      </c>
      <c r="AY392" s="2">
        <v>46</v>
      </c>
      <c r="AZ392" s="2">
        <v>0</v>
      </c>
      <c r="BA392" s="2">
        <v>0.51477660000000003</v>
      </c>
      <c r="BJ392" s="89">
        <v>115</v>
      </c>
      <c r="BK392" s="2">
        <v>46</v>
      </c>
      <c r="BL392" s="2">
        <v>0</v>
      </c>
      <c r="BM392" s="2">
        <v>0.71347490000000002</v>
      </c>
      <c r="BV392" s="89">
        <v>111</v>
      </c>
      <c r="BW392" s="2">
        <v>46</v>
      </c>
      <c r="BX392" s="2">
        <v>0</v>
      </c>
      <c r="BY392" s="2">
        <v>3.7896830000000001</v>
      </c>
      <c r="CH392" s="89">
        <v>113</v>
      </c>
      <c r="CI392" s="2">
        <v>46</v>
      </c>
      <c r="CJ392" s="2">
        <v>1</v>
      </c>
      <c r="CK392" s="2">
        <v>1.5649999999999999</v>
      </c>
      <c r="CT392" s="89">
        <v>120</v>
      </c>
      <c r="CU392" s="2">
        <v>45</v>
      </c>
      <c r="CV392" s="2">
        <v>0</v>
      </c>
      <c r="CW392" s="2">
        <v>1E-3</v>
      </c>
      <c r="DF392" s="89">
        <v>108</v>
      </c>
      <c r="DG392" s="2">
        <v>46</v>
      </c>
      <c r="DH392" s="2">
        <v>0</v>
      </c>
      <c r="DI392" s="2">
        <v>2.5247540000000002</v>
      </c>
      <c r="DR392" s="89">
        <v>100</v>
      </c>
      <c r="DS392" s="2">
        <v>44</v>
      </c>
      <c r="DT392" s="2">
        <v>0</v>
      </c>
      <c r="DU392" s="2">
        <v>5.8999999999999997E-2</v>
      </c>
      <c r="ED392" s="89">
        <v>111</v>
      </c>
      <c r="EE392" s="2">
        <v>46</v>
      </c>
      <c r="EF392" s="2">
        <v>1</v>
      </c>
      <c r="EG392" s="2">
        <v>0.78400000000000003</v>
      </c>
      <c r="ES392">
        <v>111</v>
      </c>
      <c r="ET392">
        <v>46</v>
      </c>
      <c r="EU392">
        <v>1</v>
      </c>
      <c r="EV392">
        <v>0.78400000000000003</v>
      </c>
    </row>
    <row r="393" spans="14:152" x14ac:dyDescent="0.4">
      <c r="N393" s="89">
        <v>110</v>
      </c>
      <c r="O393" s="2">
        <v>44</v>
      </c>
      <c r="P393" s="2">
        <v>0</v>
      </c>
      <c r="Q393" s="2">
        <v>0.33798549999999999</v>
      </c>
      <c r="Z393" s="89">
        <v>103</v>
      </c>
      <c r="AA393" s="2">
        <v>45</v>
      </c>
      <c r="AB393" s="2">
        <v>0</v>
      </c>
      <c r="AC393" s="2">
        <v>4.6870839999999996</v>
      </c>
      <c r="AL393" s="89">
        <v>107</v>
      </c>
      <c r="AM393" s="2">
        <v>44</v>
      </c>
      <c r="AN393" s="2">
        <v>0</v>
      </c>
      <c r="AO393" s="2">
        <v>2.0888879999999999</v>
      </c>
      <c r="AX393" s="89">
        <v>117</v>
      </c>
      <c r="AY393" s="2">
        <v>46</v>
      </c>
      <c r="AZ393" s="2">
        <v>1</v>
      </c>
      <c r="BA393" s="2">
        <v>0.33900000000000002</v>
      </c>
      <c r="BJ393" s="89">
        <v>115</v>
      </c>
      <c r="BK393" s="2">
        <v>46</v>
      </c>
      <c r="BL393" s="2">
        <v>1</v>
      </c>
      <c r="BM393" s="2">
        <v>1.1473199999999999</v>
      </c>
      <c r="BV393" s="89">
        <v>111</v>
      </c>
      <c r="BW393" s="2">
        <v>46</v>
      </c>
      <c r="BX393" s="2">
        <v>1</v>
      </c>
      <c r="BY393" s="2">
        <v>0.45900000000000002</v>
      </c>
      <c r="CH393" s="89">
        <v>114</v>
      </c>
      <c r="CI393" s="2">
        <v>46</v>
      </c>
      <c r="CJ393" s="2">
        <v>0</v>
      </c>
      <c r="CK393" s="2">
        <v>1.922885</v>
      </c>
      <c r="CT393" s="89">
        <v>102</v>
      </c>
      <c r="CU393" s="2">
        <v>46</v>
      </c>
      <c r="CV393" s="2">
        <v>0</v>
      </c>
      <c r="CW393" s="2">
        <v>2.0000000000000001E-4</v>
      </c>
      <c r="DF393" s="89">
        <v>109</v>
      </c>
      <c r="DG393" s="2">
        <v>46</v>
      </c>
      <c r="DH393" s="2">
        <v>0</v>
      </c>
      <c r="DI393" s="2">
        <v>2.592848</v>
      </c>
      <c r="DR393" s="89">
        <v>101</v>
      </c>
      <c r="DS393" s="2">
        <v>44</v>
      </c>
      <c r="DT393" s="2">
        <v>0</v>
      </c>
      <c r="DU393" s="2">
        <v>4.9325749999999999</v>
      </c>
      <c r="ED393" s="89">
        <v>112</v>
      </c>
      <c r="EE393" s="2">
        <v>46</v>
      </c>
      <c r="EF393" s="2">
        <v>0</v>
      </c>
      <c r="EG393" s="2">
        <v>4.0518739999999998</v>
      </c>
      <c r="ES393">
        <v>112</v>
      </c>
      <c r="ET393">
        <v>46</v>
      </c>
      <c r="EU393">
        <v>0</v>
      </c>
      <c r="EV393">
        <v>4.0518739999999998</v>
      </c>
    </row>
    <row r="394" spans="14:152" x14ac:dyDescent="0.4">
      <c r="N394" s="89">
        <v>111</v>
      </c>
      <c r="O394" s="2">
        <v>44</v>
      </c>
      <c r="P394" s="2">
        <v>0</v>
      </c>
      <c r="Q394" s="2">
        <v>0.13006470000000001</v>
      </c>
      <c r="Z394" s="89">
        <v>103</v>
      </c>
      <c r="AA394" s="2">
        <v>45</v>
      </c>
      <c r="AB394" s="2">
        <v>1</v>
      </c>
      <c r="AC394" s="2">
        <v>4.6311859999999996</v>
      </c>
      <c r="AL394" s="89">
        <v>108</v>
      </c>
      <c r="AM394" s="2">
        <v>44</v>
      </c>
      <c r="AN394" s="2">
        <v>0</v>
      </c>
      <c r="AO394" s="2">
        <v>1.3518920000000001</v>
      </c>
      <c r="AX394" s="89">
        <v>118</v>
      </c>
      <c r="AY394" s="2">
        <v>46</v>
      </c>
      <c r="AZ394" s="2">
        <v>0</v>
      </c>
      <c r="BA394" s="2">
        <v>0.23618239999999999</v>
      </c>
      <c r="BJ394" s="89">
        <v>116</v>
      </c>
      <c r="BK394" s="2">
        <v>46</v>
      </c>
      <c r="BL394" s="2">
        <v>0</v>
      </c>
      <c r="BM394" s="2">
        <v>0.89998809999999996</v>
      </c>
      <c r="BV394" s="89">
        <v>112</v>
      </c>
      <c r="BW394" s="2">
        <v>46</v>
      </c>
      <c r="BX394" s="2">
        <v>0</v>
      </c>
      <c r="BY394" s="2">
        <v>3.9966050000000002</v>
      </c>
      <c r="CH394" s="89">
        <v>115</v>
      </c>
      <c r="CI394" s="2">
        <v>46</v>
      </c>
      <c r="CJ394" s="2">
        <v>0</v>
      </c>
      <c r="CK394" s="2">
        <v>0.40981400000000001</v>
      </c>
      <c r="CT394" s="89">
        <v>104</v>
      </c>
      <c r="CU394" s="2">
        <v>46</v>
      </c>
      <c r="CV394" s="2">
        <v>0</v>
      </c>
      <c r="CW394" s="2">
        <v>5.0779749999999998E-2</v>
      </c>
      <c r="DF394" s="89">
        <v>109</v>
      </c>
      <c r="DG394" s="2">
        <v>46</v>
      </c>
      <c r="DH394" s="2">
        <v>1</v>
      </c>
      <c r="DI394" s="2">
        <v>1.296924</v>
      </c>
      <c r="DR394" s="89">
        <v>102</v>
      </c>
      <c r="DS394" s="2">
        <v>44</v>
      </c>
      <c r="DT394" s="2">
        <v>0</v>
      </c>
      <c r="DU394" s="2">
        <v>5.0413249999999996</v>
      </c>
      <c r="ED394" s="89">
        <v>113</v>
      </c>
      <c r="EE394" s="2">
        <v>46</v>
      </c>
      <c r="EF394" s="2">
        <v>0</v>
      </c>
      <c r="EG394" s="2">
        <v>3.5194580000000002</v>
      </c>
      <c r="ES394">
        <v>113</v>
      </c>
      <c r="ET394">
        <v>46</v>
      </c>
      <c r="EU394">
        <v>0</v>
      </c>
      <c r="EV394">
        <v>3.5194580000000002</v>
      </c>
    </row>
    <row r="395" spans="14:152" x14ac:dyDescent="0.4">
      <c r="N395" s="89">
        <v>112</v>
      </c>
      <c r="O395" s="2">
        <v>44</v>
      </c>
      <c r="P395" s="2">
        <v>0</v>
      </c>
      <c r="Q395" s="2">
        <v>5.0068799999999997E-2</v>
      </c>
      <c r="Z395" s="89">
        <v>104</v>
      </c>
      <c r="AA395" s="2">
        <v>45</v>
      </c>
      <c r="AB395" s="2">
        <v>0</v>
      </c>
      <c r="AC395" s="2">
        <v>0.10786999999999999</v>
      </c>
      <c r="AL395" s="89">
        <v>109</v>
      </c>
      <c r="AM395" s="2">
        <v>44</v>
      </c>
      <c r="AN395" s="2">
        <v>0</v>
      </c>
      <c r="AO395" s="2">
        <v>0.7138774</v>
      </c>
      <c r="AX395" s="89">
        <v>119</v>
      </c>
      <c r="AY395" s="2">
        <v>46</v>
      </c>
      <c r="AZ395" s="2">
        <v>0</v>
      </c>
      <c r="BA395" s="2">
        <v>7.6177900000000007E-2</v>
      </c>
      <c r="BJ395" s="89">
        <v>117</v>
      </c>
      <c r="BK395" s="2">
        <v>46</v>
      </c>
      <c r="BL395" s="2">
        <v>0</v>
      </c>
      <c r="BM395" s="2">
        <v>0.35834060000000001</v>
      </c>
      <c r="BV395" s="89">
        <v>113</v>
      </c>
      <c r="BW395" s="2">
        <v>46</v>
      </c>
      <c r="BX395" s="2">
        <v>0</v>
      </c>
      <c r="BY395" s="2">
        <v>3.653543</v>
      </c>
      <c r="CH395" s="89">
        <v>115</v>
      </c>
      <c r="CI395" s="2">
        <v>46</v>
      </c>
      <c r="CJ395" s="2">
        <v>1</v>
      </c>
      <c r="CK395" s="2">
        <v>0.75455609999999995</v>
      </c>
      <c r="CT395" s="89">
        <v>105</v>
      </c>
      <c r="CU395" s="2">
        <v>46</v>
      </c>
      <c r="CV395" s="2">
        <v>0</v>
      </c>
      <c r="CW395" s="2">
        <v>3.4739309999999999</v>
      </c>
      <c r="DF395" s="89">
        <v>110</v>
      </c>
      <c r="DG395" s="2">
        <v>46</v>
      </c>
      <c r="DH395" s="2">
        <v>0</v>
      </c>
      <c r="DI395" s="2">
        <v>2.775274</v>
      </c>
      <c r="DR395" s="89">
        <v>103</v>
      </c>
      <c r="DS395" s="2">
        <v>44</v>
      </c>
      <c r="DT395" s="2">
        <v>0</v>
      </c>
      <c r="DU395" s="2">
        <v>4.7886369999999996</v>
      </c>
      <c r="ED395" s="89">
        <v>113</v>
      </c>
      <c r="EE395" s="2">
        <v>46</v>
      </c>
      <c r="EF395" s="2">
        <v>1</v>
      </c>
      <c r="EG395" s="2">
        <v>1.6240000000000001</v>
      </c>
      <c r="ES395">
        <v>113</v>
      </c>
      <c r="ET395">
        <v>46</v>
      </c>
      <c r="EU395">
        <v>1</v>
      </c>
      <c r="EV395">
        <v>1.6240000000000001</v>
      </c>
    </row>
    <row r="396" spans="14:152" x14ac:dyDescent="0.4">
      <c r="N396" s="89">
        <v>113</v>
      </c>
      <c r="O396" s="2">
        <v>44</v>
      </c>
      <c r="P396" s="2">
        <v>0</v>
      </c>
      <c r="Q396" s="2">
        <v>8.9216009999999995E-3</v>
      </c>
      <c r="Z396" s="89">
        <v>104</v>
      </c>
      <c r="AA396" s="2">
        <v>45</v>
      </c>
      <c r="AB396" s="2">
        <v>1</v>
      </c>
      <c r="AC396" s="2">
        <v>0.1</v>
      </c>
      <c r="AL396" s="89">
        <v>110</v>
      </c>
      <c r="AM396" s="2">
        <v>44</v>
      </c>
      <c r="AN396" s="2">
        <v>0</v>
      </c>
      <c r="AO396" s="2">
        <v>0.32899349999999999</v>
      </c>
      <c r="AX396" s="89">
        <v>120</v>
      </c>
      <c r="AY396" s="2">
        <v>46</v>
      </c>
      <c r="AZ396" s="2">
        <v>0</v>
      </c>
      <c r="BA396" s="2">
        <v>2.1822100000000001E-2</v>
      </c>
      <c r="BJ396" s="89">
        <v>117</v>
      </c>
      <c r="BK396" s="2">
        <v>46</v>
      </c>
      <c r="BL396" s="2">
        <v>1</v>
      </c>
      <c r="BM396" s="2">
        <v>0.24099999999999999</v>
      </c>
      <c r="BV396" s="89">
        <v>113</v>
      </c>
      <c r="BW396" s="2">
        <v>46</v>
      </c>
      <c r="BX396" s="2">
        <v>1</v>
      </c>
      <c r="BY396" s="2">
        <v>1.3779999999999999</v>
      </c>
      <c r="CH396" s="89">
        <v>116</v>
      </c>
      <c r="CI396" s="2">
        <v>46</v>
      </c>
      <c r="CJ396" s="2">
        <v>0</v>
      </c>
      <c r="CK396" s="2">
        <v>0.62799890000000003</v>
      </c>
      <c r="CT396" s="89">
        <v>106</v>
      </c>
      <c r="CU396" s="2">
        <v>46</v>
      </c>
      <c r="CV396" s="2">
        <v>0</v>
      </c>
      <c r="CW396" s="2">
        <v>3.5044599999999999</v>
      </c>
      <c r="DF396" s="89">
        <v>111</v>
      </c>
      <c r="DG396" s="2">
        <v>46</v>
      </c>
      <c r="DH396" s="2">
        <v>0</v>
      </c>
      <c r="DI396" s="2">
        <v>2.6009099999999998</v>
      </c>
      <c r="DR396" s="89">
        <v>103</v>
      </c>
      <c r="DS396" s="2">
        <v>44</v>
      </c>
      <c r="DT396" s="2">
        <v>1</v>
      </c>
      <c r="DU396" s="2">
        <v>0.111</v>
      </c>
      <c r="ED396" s="89">
        <v>114</v>
      </c>
      <c r="EE396" s="2">
        <v>46</v>
      </c>
      <c r="EF396" s="2">
        <v>0</v>
      </c>
      <c r="EG396" s="2">
        <v>2.9738220000000002</v>
      </c>
      <c r="ES396">
        <v>114</v>
      </c>
      <c r="ET396">
        <v>46</v>
      </c>
      <c r="EU396">
        <v>0</v>
      </c>
      <c r="EV396">
        <v>2.9738220000000002</v>
      </c>
    </row>
    <row r="397" spans="14:152" x14ac:dyDescent="0.4">
      <c r="N397" s="89">
        <v>113</v>
      </c>
      <c r="O397" s="2">
        <v>44</v>
      </c>
      <c r="P397" s="2">
        <v>1</v>
      </c>
      <c r="Q397" s="2">
        <v>1.2E-2</v>
      </c>
      <c r="Z397" s="89">
        <v>105</v>
      </c>
      <c r="AA397" s="2">
        <v>45</v>
      </c>
      <c r="AB397" s="2">
        <v>0</v>
      </c>
      <c r="AC397" s="2">
        <v>4.4134650000000004</v>
      </c>
      <c r="AL397" s="89">
        <v>111</v>
      </c>
      <c r="AM397" s="2">
        <v>44</v>
      </c>
      <c r="AN397" s="2">
        <v>0</v>
      </c>
      <c r="AO397" s="2">
        <v>0.12798970000000001</v>
      </c>
      <c r="AX397" s="89">
        <v>121</v>
      </c>
      <c r="AY397" s="2">
        <v>46</v>
      </c>
      <c r="AZ397" s="2">
        <v>0</v>
      </c>
      <c r="BA397" s="2">
        <v>6.0000000000000001E-3</v>
      </c>
      <c r="BJ397" s="89">
        <v>118</v>
      </c>
      <c r="BK397" s="2">
        <v>46</v>
      </c>
      <c r="BL397" s="2">
        <v>0</v>
      </c>
      <c r="BM397" s="2">
        <v>0.1606389</v>
      </c>
      <c r="BV397" s="89">
        <v>114</v>
      </c>
      <c r="BW397" s="2">
        <v>46</v>
      </c>
      <c r="BX397" s="2">
        <v>0</v>
      </c>
      <c r="BY397" s="2">
        <v>3.3256929999999998</v>
      </c>
      <c r="CH397" s="89">
        <v>117</v>
      </c>
      <c r="CI397" s="2">
        <v>46</v>
      </c>
      <c r="CJ397" s="2">
        <v>0</v>
      </c>
      <c r="CK397" s="2">
        <v>0.2481255</v>
      </c>
      <c r="CT397" s="89">
        <v>107</v>
      </c>
      <c r="CU397" s="2">
        <v>46</v>
      </c>
      <c r="CV397" s="2">
        <v>0</v>
      </c>
      <c r="CW397" s="2">
        <v>3.6007129999999998</v>
      </c>
      <c r="DF397" s="89">
        <v>111</v>
      </c>
      <c r="DG397" s="2">
        <v>46</v>
      </c>
      <c r="DH397" s="2">
        <v>1</v>
      </c>
      <c r="DI397" s="2">
        <v>0.09</v>
      </c>
      <c r="DR397" s="89">
        <v>104</v>
      </c>
      <c r="DS397" s="2">
        <v>44</v>
      </c>
      <c r="DT397" s="2">
        <v>0</v>
      </c>
      <c r="DU397" s="2">
        <v>4.6917340000000003</v>
      </c>
      <c r="ED397" s="89">
        <v>115</v>
      </c>
      <c r="EE397" s="2">
        <v>46</v>
      </c>
      <c r="EF397" s="2">
        <v>0</v>
      </c>
      <c r="EG397" s="2">
        <v>0.78570180000000001</v>
      </c>
      <c r="ES397">
        <v>115</v>
      </c>
      <c r="ET397">
        <v>46</v>
      </c>
      <c r="EU397">
        <v>0</v>
      </c>
      <c r="EV397">
        <v>0.78570180000000001</v>
      </c>
    </row>
    <row r="398" spans="14:152" x14ac:dyDescent="0.4">
      <c r="N398" s="89">
        <v>114</v>
      </c>
      <c r="O398" s="2">
        <v>44</v>
      </c>
      <c r="P398" s="2">
        <v>0</v>
      </c>
      <c r="Q398" s="2">
        <v>8.9345999999999991E-3</v>
      </c>
      <c r="Z398" s="89">
        <v>105</v>
      </c>
      <c r="AA398" s="2">
        <v>45</v>
      </c>
      <c r="AB398" s="2">
        <v>1</v>
      </c>
      <c r="AC398" s="2">
        <v>1.1752929999999999</v>
      </c>
      <c r="AL398" s="89">
        <v>112</v>
      </c>
      <c r="AM398" s="2">
        <v>44</v>
      </c>
      <c r="AN398" s="2">
        <v>0</v>
      </c>
      <c r="AO398" s="2">
        <v>4.5143799999999998E-2</v>
      </c>
      <c r="AX398" s="89">
        <v>123</v>
      </c>
      <c r="AY398" s="2">
        <v>46</v>
      </c>
      <c r="AZ398" s="2">
        <v>0</v>
      </c>
      <c r="BA398" s="2">
        <v>1E-3</v>
      </c>
      <c r="BJ398" s="89">
        <v>119</v>
      </c>
      <c r="BK398" s="2">
        <v>46</v>
      </c>
      <c r="BL398" s="2">
        <v>0</v>
      </c>
      <c r="BM398" s="2">
        <v>4.2999999999999997E-2</v>
      </c>
      <c r="BV398" s="89">
        <v>115</v>
      </c>
      <c r="BW398" s="2">
        <v>46</v>
      </c>
      <c r="BX398" s="2">
        <v>0</v>
      </c>
      <c r="BY398" s="2">
        <v>1.0399769999999999</v>
      </c>
      <c r="CH398" s="89">
        <v>117</v>
      </c>
      <c r="CI398" s="2">
        <v>46</v>
      </c>
      <c r="CJ398" s="2">
        <v>1</v>
      </c>
      <c r="CK398" s="2">
        <v>0.18</v>
      </c>
      <c r="CT398" s="89">
        <v>107</v>
      </c>
      <c r="CU398" s="2">
        <v>46</v>
      </c>
      <c r="CV398" s="2">
        <v>1</v>
      </c>
      <c r="CW398" s="2">
        <v>6.5000009999999997E-2</v>
      </c>
      <c r="DF398" s="89">
        <v>112</v>
      </c>
      <c r="DG398" s="2">
        <v>46</v>
      </c>
      <c r="DH398" s="2">
        <v>0</v>
      </c>
      <c r="DI398" s="2">
        <v>2.7278660000000001</v>
      </c>
      <c r="DR398" s="89">
        <v>105</v>
      </c>
      <c r="DS398" s="2">
        <v>44</v>
      </c>
      <c r="DT398" s="2">
        <v>0</v>
      </c>
      <c r="DU398" s="2">
        <v>4.5914159999999997</v>
      </c>
      <c r="ED398" s="89">
        <v>115</v>
      </c>
      <c r="EE398" s="2">
        <v>46</v>
      </c>
      <c r="EF398" s="2">
        <v>1</v>
      </c>
      <c r="EG398" s="2">
        <v>1.260003</v>
      </c>
      <c r="ES398">
        <v>115</v>
      </c>
      <c r="ET398">
        <v>46</v>
      </c>
      <c r="EU398">
        <v>1</v>
      </c>
      <c r="EV398">
        <v>1.260003</v>
      </c>
    </row>
    <row r="399" spans="14:152" x14ac:dyDescent="0.4">
      <c r="N399" s="89">
        <v>115</v>
      </c>
      <c r="O399" s="2">
        <v>44</v>
      </c>
      <c r="P399" s="2">
        <v>0</v>
      </c>
      <c r="Q399" s="2">
        <v>2E-3</v>
      </c>
      <c r="Z399" s="89">
        <v>106</v>
      </c>
      <c r="AA399" s="2">
        <v>45</v>
      </c>
      <c r="AB399" s="2">
        <v>0</v>
      </c>
      <c r="AC399" s="2">
        <v>3.6763819999999998</v>
      </c>
      <c r="AL399" s="89">
        <v>113</v>
      </c>
      <c r="AM399" s="2">
        <v>44</v>
      </c>
      <c r="AN399" s="2">
        <v>0</v>
      </c>
      <c r="AO399" s="2">
        <v>1.1421600000000001E-2</v>
      </c>
      <c r="AX399" s="89">
        <v>109</v>
      </c>
      <c r="AY399" s="2">
        <v>47</v>
      </c>
      <c r="AZ399" s="2">
        <v>0</v>
      </c>
      <c r="BA399" s="2">
        <v>4.9422990000000002</v>
      </c>
      <c r="BJ399" s="89">
        <v>120</v>
      </c>
      <c r="BK399" s="2">
        <v>46</v>
      </c>
      <c r="BL399" s="2">
        <v>0</v>
      </c>
      <c r="BM399" s="2">
        <v>1.6E-2</v>
      </c>
      <c r="BV399" s="89">
        <v>115</v>
      </c>
      <c r="BW399" s="2">
        <v>46</v>
      </c>
      <c r="BX399" s="2">
        <v>1</v>
      </c>
      <c r="BY399" s="2">
        <v>1.394199</v>
      </c>
      <c r="CH399" s="89">
        <v>118</v>
      </c>
      <c r="CI399" s="2">
        <v>46</v>
      </c>
      <c r="CJ399" s="2">
        <v>0</v>
      </c>
      <c r="CK399" s="2">
        <v>0.100854</v>
      </c>
      <c r="CT399" s="89">
        <v>108</v>
      </c>
      <c r="CU399" s="2">
        <v>46</v>
      </c>
      <c r="CV399" s="2">
        <v>0</v>
      </c>
      <c r="CW399" s="2">
        <v>3.7127370000000002</v>
      </c>
      <c r="DF399" s="89">
        <v>113</v>
      </c>
      <c r="DG399" s="2">
        <v>46</v>
      </c>
      <c r="DH399" s="2">
        <v>0</v>
      </c>
      <c r="DI399" s="2">
        <v>2.743681</v>
      </c>
      <c r="DR399" s="89">
        <v>106</v>
      </c>
      <c r="DS399" s="2">
        <v>44</v>
      </c>
      <c r="DT399" s="2">
        <v>0</v>
      </c>
      <c r="DU399" s="2">
        <v>4.3466019999999999</v>
      </c>
      <c r="ED399" s="89">
        <v>116</v>
      </c>
      <c r="EE399" s="2">
        <v>46</v>
      </c>
      <c r="EF399" s="2">
        <v>0</v>
      </c>
      <c r="EG399" s="2">
        <v>1.193902</v>
      </c>
      <c r="ES399">
        <v>116</v>
      </c>
      <c r="ET399">
        <v>46</v>
      </c>
      <c r="EU399">
        <v>0</v>
      </c>
      <c r="EV399">
        <v>1.193902</v>
      </c>
    </row>
    <row r="400" spans="14:152" x14ac:dyDescent="0.4">
      <c r="N400" s="89">
        <v>116</v>
      </c>
      <c r="O400" s="2">
        <v>44</v>
      </c>
      <c r="P400" s="2">
        <v>0</v>
      </c>
      <c r="Q400" s="2">
        <v>1E-3</v>
      </c>
      <c r="Z400" s="89">
        <v>106</v>
      </c>
      <c r="AA400" s="2">
        <v>45</v>
      </c>
      <c r="AB400" s="2">
        <v>1</v>
      </c>
      <c r="AC400" s="2">
        <v>0.57730329999999996</v>
      </c>
      <c r="AL400" s="89">
        <v>113</v>
      </c>
      <c r="AM400" s="2">
        <v>44</v>
      </c>
      <c r="AN400" s="2">
        <v>1</v>
      </c>
      <c r="AO400" s="2">
        <v>1.4999999999999999E-2</v>
      </c>
      <c r="AX400" s="89">
        <v>109</v>
      </c>
      <c r="AY400" s="2">
        <v>47</v>
      </c>
      <c r="AZ400" s="2">
        <v>1</v>
      </c>
      <c r="BA400" s="2">
        <v>4.9398280000000003</v>
      </c>
      <c r="BJ400" s="89">
        <v>121</v>
      </c>
      <c r="BK400" s="2">
        <v>46</v>
      </c>
      <c r="BL400" s="2">
        <v>0</v>
      </c>
      <c r="BM400" s="2">
        <v>3.0000000000000001E-3</v>
      </c>
      <c r="BV400" s="89">
        <v>116</v>
      </c>
      <c r="BW400" s="2">
        <v>46</v>
      </c>
      <c r="BX400" s="2">
        <v>0</v>
      </c>
      <c r="BY400" s="2">
        <v>1.5748340000000001</v>
      </c>
      <c r="CH400" s="89">
        <v>119</v>
      </c>
      <c r="CI400" s="2">
        <v>46</v>
      </c>
      <c r="CJ400" s="2">
        <v>0</v>
      </c>
      <c r="CK400" s="2">
        <v>1.7999999999999999E-2</v>
      </c>
      <c r="CT400" s="89">
        <v>109</v>
      </c>
      <c r="CU400" s="2">
        <v>46</v>
      </c>
      <c r="CV400" s="2">
        <v>0</v>
      </c>
      <c r="CW400" s="2">
        <v>3.6916730000000002</v>
      </c>
      <c r="DF400" s="89">
        <v>113</v>
      </c>
      <c r="DG400" s="2">
        <v>46</v>
      </c>
      <c r="DH400" s="2">
        <v>1</v>
      </c>
      <c r="DI400" s="2">
        <v>0.59600010000000003</v>
      </c>
      <c r="DR400" s="89">
        <v>107</v>
      </c>
      <c r="DS400" s="2">
        <v>44</v>
      </c>
      <c r="DT400" s="2">
        <v>0</v>
      </c>
      <c r="DU400" s="2">
        <v>3.9558080000000002</v>
      </c>
      <c r="ED400" s="89">
        <v>117</v>
      </c>
      <c r="EE400" s="2">
        <v>46</v>
      </c>
      <c r="EF400" s="2">
        <v>0</v>
      </c>
      <c r="EG400" s="2">
        <v>0.57324229999999998</v>
      </c>
      <c r="ES400">
        <v>117</v>
      </c>
      <c r="ET400">
        <v>46</v>
      </c>
      <c r="EU400">
        <v>0</v>
      </c>
      <c r="EV400">
        <v>0.57324229999999998</v>
      </c>
    </row>
    <row r="401" spans="14:152" x14ac:dyDescent="0.4">
      <c r="N401" s="89">
        <v>101</v>
      </c>
      <c r="O401" s="2">
        <v>45</v>
      </c>
      <c r="P401" s="2">
        <v>0</v>
      </c>
      <c r="Q401" s="2">
        <v>1E-3</v>
      </c>
      <c r="Z401" s="89">
        <v>107</v>
      </c>
      <c r="AA401" s="2">
        <v>45</v>
      </c>
      <c r="AB401" s="2">
        <v>0</v>
      </c>
      <c r="AC401" s="2">
        <v>3.9142920000000001</v>
      </c>
      <c r="AL401" s="89">
        <v>114</v>
      </c>
      <c r="AM401" s="2">
        <v>44</v>
      </c>
      <c r="AN401" s="2">
        <v>0</v>
      </c>
      <c r="AO401" s="2">
        <v>3.9345999999999999E-3</v>
      </c>
      <c r="AX401" s="89">
        <v>110</v>
      </c>
      <c r="AY401" s="2">
        <v>47</v>
      </c>
      <c r="AZ401" s="2">
        <v>0</v>
      </c>
      <c r="BA401" s="2">
        <v>8.4370000000000001E-3</v>
      </c>
      <c r="BJ401" s="89">
        <v>124</v>
      </c>
      <c r="BK401" s="2">
        <v>46</v>
      </c>
      <c r="BL401" s="2">
        <v>0</v>
      </c>
      <c r="BM401" s="2">
        <v>1E-3</v>
      </c>
      <c r="BV401" s="89">
        <v>117</v>
      </c>
      <c r="BW401" s="2">
        <v>46</v>
      </c>
      <c r="BX401" s="2">
        <v>0</v>
      </c>
      <c r="BY401" s="2">
        <v>0.82909670000000002</v>
      </c>
      <c r="CH401" s="89">
        <v>120</v>
      </c>
      <c r="CI401" s="2">
        <v>46</v>
      </c>
      <c r="CJ401" s="2">
        <v>0</v>
      </c>
      <c r="CK401" s="2">
        <v>9.0000010000000005E-3</v>
      </c>
      <c r="CT401" s="89">
        <v>109</v>
      </c>
      <c r="CU401" s="2">
        <v>46</v>
      </c>
      <c r="CV401" s="2">
        <v>1</v>
      </c>
      <c r="CW401" s="2">
        <v>1.9933369999999999</v>
      </c>
      <c r="DF401" s="89">
        <v>114</v>
      </c>
      <c r="DG401" s="2">
        <v>46</v>
      </c>
      <c r="DH401" s="2">
        <v>0</v>
      </c>
      <c r="DI401" s="2">
        <v>2.737301</v>
      </c>
      <c r="DR401" s="89">
        <v>108</v>
      </c>
      <c r="DS401" s="2">
        <v>44</v>
      </c>
      <c r="DT401" s="2">
        <v>0</v>
      </c>
      <c r="DU401" s="2">
        <v>3.2354479999999999</v>
      </c>
      <c r="ED401" s="89">
        <v>117</v>
      </c>
      <c r="EE401" s="2">
        <v>46</v>
      </c>
      <c r="EF401" s="2">
        <v>1</v>
      </c>
      <c r="EG401" s="2">
        <v>0.38</v>
      </c>
      <c r="ES401">
        <v>117</v>
      </c>
      <c r="ET401">
        <v>46</v>
      </c>
      <c r="EU401">
        <v>1</v>
      </c>
      <c r="EV401">
        <v>0.38</v>
      </c>
    </row>
    <row r="402" spans="14:152" x14ac:dyDescent="0.4">
      <c r="N402" s="89">
        <v>102</v>
      </c>
      <c r="O402" s="2">
        <v>45</v>
      </c>
      <c r="P402" s="2">
        <v>0</v>
      </c>
      <c r="Q402" s="2">
        <v>1.3050000000000001E-2</v>
      </c>
      <c r="Z402" s="89">
        <v>108</v>
      </c>
      <c r="AA402" s="2">
        <v>45</v>
      </c>
      <c r="AB402" s="2">
        <v>0</v>
      </c>
      <c r="AC402" s="2">
        <v>2.0479289999999999</v>
      </c>
      <c r="AL402" s="89">
        <v>115</v>
      </c>
      <c r="AM402" s="2">
        <v>44</v>
      </c>
      <c r="AN402" s="2">
        <v>0</v>
      </c>
      <c r="AO402" s="2">
        <v>2E-3</v>
      </c>
      <c r="AX402" s="89">
        <v>110</v>
      </c>
      <c r="AY402" s="2">
        <v>47</v>
      </c>
      <c r="AZ402" s="2">
        <v>1</v>
      </c>
      <c r="BA402" s="2">
        <v>1.375E-2</v>
      </c>
      <c r="BJ402" s="89">
        <v>108</v>
      </c>
      <c r="BK402" s="2">
        <v>47</v>
      </c>
      <c r="BL402" s="2">
        <v>0</v>
      </c>
      <c r="BM402" s="2">
        <v>1.8200000000000001E-4</v>
      </c>
      <c r="BV402" s="89">
        <v>117</v>
      </c>
      <c r="BW402" s="2">
        <v>46</v>
      </c>
      <c r="BX402" s="2">
        <v>1</v>
      </c>
      <c r="BY402" s="2">
        <v>0.57299999999999995</v>
      </c>
      <c r="CH402" s="89">
        <v>121</v>
      </c>
      <c r="CI402" s="2">
        <v>46</v>
      </c>
      <c r="CJ402" s="2">
        <v>0</v>
      </c>
      <c r="CK402" s="2">
        <v>2E-3</v>
      </c>
      <c r="CT402" s="89">
        <v>110</v>
      </c>
      <c r="CU402" s="2">
        <v>46</v>
      </c>
      <c r="CV402" s="2">
        <v>0</v>
      </c>
      <c r="CW402" s="2">
        <v>3.8195809999999999</v>
      </c>
      <c r="DF402" s="89">
        <v>115</v>
      </c>
      <c r="DG402" s="2">
        <v>46</v>
      </c>
      <c r="DH402" s="2">
        <v>0</v>
      </c>
      <c r="DI402" s="2">
        <v>1.1838219999999999</v>
      </c>
      <c r="DR402" s="89">
        <v>109</v>
      </c>
      <c r="DS402" s="2">
        <v>44</v>
      </c>
      <c r="DT402" s="2">
        <v>0</v>
      </c>
      <c r="DU402" s="2">
        <v>2.2755730000000001</v>
      </c>
      <c r="ED402" s="89">
        <v>118</v>
      </c>
      <c r="EE402" s="2">
        <v>46</v>
      </c>
      <c r="EF402" s="2">
        <v>0</v>
      </c>
      <c r="EG402" s="2">
        <v>0.2567372</v>
      </c>
      <c r="ES402">
        <v>118</v>
      </c>
      <c r="ET402">
        <v>46</v>
      </c>
      <c r="EU402">
        <v>0</v>
      </c>
      <c r="EV402">
        <v>0.2567372</v>
      </c>
    </row>
    <row r="403" spans="14:152" x14ac:dyDescent="0.4">
      <c r="N403" s="89">
        <v>102</v>
      </c>
      <c r="O403" s="2">
        <v>45</v>
      </c>
      <c r="P403" s="2">
        <v>1</v>
      </c>
      <c r="Q403" s="2">
        <v>1E-3</v>
      </c>
      <c r="Z403" s="89">
        <v>108</v>
      </c>
      <c r="AA403" s="2">
        <v>45</v>
      </c>
      <c r="AB403" s="2">
        <v>1</v>
      </c>
      <c r="AC403" s="2">
        <v>1.4360919999999999</v>
      </c>
      <c r="AL403" s="89">
        <v>116</v>
      </c>
      <c r="AM403" s="2">
        <v>44</v>
      </c>
      <c r="AN403" s="2">
        <v>0</v>
      </c>
      <c r="AO403" s="2">
        <v>1E-3</v>
      </c>
      <c r="AX403" s="89">
        <v>111</v>
      </c>
      <c r="AY403" s="2">
        <v>47</v>
      </c>
      <c r="AZ403" s="2">
        <v>0</v>
      </c>
      <c r="BA403" s="2">
        <v>5.2061809999999999</v>
      </c>
      <c r="BJ403" s="89">
        <v>108</v>
      </c>
      <c r="BK403" s="2">
        <v>47</v>
      </c>
      <c r="BL403" s="2">
        <v>1</v>
      </c>
      <c r="BM403" s="2">
        <v>2E-3</v>
      </c>
      <c r="BV403" s="89">
        <v>118</v>
      </c>
      <c r="BW403" s="2">
        <v>46</v>
      </c>
      <c r="BX403" s="2">
        <v>0</v>
      </c>
      <c r="BY403" s="2">
        <v>0.41982130000000001</v>
      </c>
      <c r="CH403" s="89">
        <v>122</v>
      </c>
      <c r="CI403" s="2">
        <v>46</v>
      </c>
      <c r="CJ403" s="2">
        <v>0</v>
      </c>
      <c r="CK403" s="2">
        <v>2E-3</v>
      </c>
      <c r="CT403" s="89">
        <v>111</v>
      </c>
      <c r="CU403" s="2">
        <v>46</v>
      </c>
      <c r="CV403" s="2">
        <v>0</v>
      </c>
      <c r="CW403" s="2">
        <v>3.2133910000000001</v>
      </c>
      <c r="DF403" s="89">
        <v>115</v>
      </c>
      <c r="DG403" s="2">
        <v>46</v>
      </c>
      <c r="DH403" s="2">
        <v>1</v>
      </c>
      <c r="DI403" s="2">
        <v>1.105596</v>
      </c>
      <c r="DR403" s="89">
        <v>110</v>
      </c>
      <c r="DS403" s="2">
        <v>44</v>
      </c>
      <c r="DT403" s="2">
        <v>0</v>
      </c>
      <c r="DU403" s="2">
        <v>1.416852</v>
      </c>
      <c r="ED403" s="89">
        <v>119</v>
      </c>
      <c r="EE403" s="2">
        <v>46</v>
      </c>
      <c r="EF403" s="2">
        <v>0</v>
      </c>
      <c r="EG403" s="2">
        <v>7.8E-2</v>
      </c>
      <c r="ES403">
        <v>119</v>
      </c>
      <c r="ET403">
        <v>46</v>
      </c>
      <c r="EU403">
        <v>0</v>
      </c>
      <c r="EV403">
        <v>7.8E-2</v>
      </c>
    </row>
    <row r="404" spans="14:152" x14ac:dyDescent="0.4">
      <c r="N404" s="89">
        <v>103</v>
      </c>
      <c r="O404" s="2">
        <v>45</v>
      </c>
      <c r="P404" s="2">
        <v>0</v>
      </c>
      <c r="Q404" s="2">
        <v>4.1101700000000001</v>
      </c>
      <c r="Z404" s="89">
        <v>109</v>
      </c>
      <c r="AA404" s="2">
        <v>45</v>
      </c>
      <c r="AB404" s="2">
        <v>0</v>
      </c>
      <c r="AC404" s="2">
        <v>2.8206509999999998</v>
      </c>
      <c r="AL404" s="89">
        <v>100</v>
      </c>
      <c r="AM404" s="2">
        <v>45</v>
      </c>
      <c r="AN404" s="2">
        <v>0</v>
      </c>
      <c r="AO404" s="2">
        <v>1.9659999999999999E-3</v>
      </c>
      <c r="AX404" s="89">
        <v>111</v>
      </c>
      <c r="AY404" s="2">
        <v>47</v>
      </c>
      <c r="AZ404" s="2">
        <v>1</v>
      </c>
      <c r="BA404" s="2">
        <v>5.1304949999999998</v>
      </c>
      <c r="BJ404" s="89">
        <v>109</v>
      </c>
      <c r="BK404" s="2">
        <v>47</v>
      </c>
      <c r="BL404" s="2">
        <v>0</v>
      </c>
      <c r="BM404" s="2">
        <v>4.6272989999999998</v>
      </c>
      <c r="BV404" s="89">
        <v>119</v>
      </c>
      <c r="BW404" s="2">
        <v>46</v>
      </c>
      <c r="BX404" s="2">
        <v>0</v>
      </c>
      <c r="BY404" s="2">
        <v>0.17017789999999999</v>
      </c>
      <c r="CH404" s="89">
        <v>107</v>
      </c>
      <c r="CI404" s="2">
        <v>47</v>
      </c>
      <c r="CJ404" s="2">
        <v>0</v>
      </c>
      <c r="CK404" s="2">
        <v>2E-3</v>
      </c>
      <c r="CT404" s="89">
        <v>111</v>
      </c>
      <c r="CU404" s="2">
        <v>46</v>
      </c>
      <c r="CV404" s="2">
        <v>1</v>
      </c>
      <c r="CW404" s="2">
        <v>0.99300010000000005</v>
      </c>
      <c r="DF404" s="89">
        <v>116</v>
      </c>
      <c r="DG404" s="2">
        <v>46</v>
      </c>
      <c r="DH404" s="2">
        <v>0</v>
      </c>
      <c r="DI404" s="2">
        <v>1.8139400000000001</v>
      </c>
      <c r="DR404" s="89">
        <v>111</v>
      </c>
      <c r="DS404" s="2">
        <v>44</v>
      </c>
      <c r="DT404" s="2">
        <v>0</v>
      </c>
      <c r="DU404" s="2">
        <v>0.83374689999999996</v>
      </c>
      <c r="ED404" s="89">
        <v>120</v>
      </c>
      <c r="EE404" s="2">
        <v>46</v>
      </c>
      <c r="EF404" s="2">
        <v>0</v>
      </c>
      <c r="EG404" s="2">
        <v>2.7E-2</v>
      </c>
      <c r="ES404">
        <v>120</v>
      </c>
      <c r="ET404">
        <v>46</v>
      </c>
      <c r="EU404">
        <v>0</v>
      </c>
      <c r="EV404">
        <v>2.7E-2</v>
      </c>
    </row>
    <row r="405" spans="14:152" x14ac:dyDescent="0.4">
      <c r="N405" s="89">
        <v>103</v>
      </c>
      <c r="O405" s="2">
        <v>45</v>
      </c>
      <c r="P405" s="2">
        <v>1</v>
      </c>
      <c r="Q405" s="2">
        <v>4.0613400000000004</v>
      </c>
      <c r="Z405" s="89">
        <v>110</v>
      </c>
      <c r="AA405" s="2">
        <v>45</v>
      </c>
      <c r="AB405" s="2">
        <v>0</v>
      </c>
      <c r="AC405" s="2">
        <v>1.9549570000000001</v>
      </c>
      <c r="AL405" s="89">
        <v>100</v>
      </c>
      <c r="AM405" s="2">
        <v>45</v>
      </c>
      <c r="AN405" s="2">
        <v>1</v>
      </c>
      <c r="AO405" s="2">
        <v>2E-3</v>
      </c>
      <c r="AX405" s="89">
        <v>112</v>
      </c>
      <c r="AY405" s="2">
        <v>47</v>
      </c>
      <c r="AZ405" s="2">
        <v>0</v>
      </c>
      <c r="BA405" s="2">
        <v>5.1526560000000003</v>
      </c>
      <c r="BJ405" s="89">
        <v>109</v>
      </c>
      <c r="BK405" s="2">
        <v>47</v>
      </c>
      <c r="BL405" s="2">
        <v>1</v>
      </c>
      <c r="BM405" s="2">
        <v>4.6219939999999999</v>
      </c>
      <c r="BV405" s="89">
        <v>120</v>
      </c>
      <c r="BW405" s="2">
        <v>46</v>
      </c>
      <c r="BX405" s="2">
        <v>0</v>
      </c>
      <c r="BY405" s="2">
        <v>4.6957810000000003E-2</v>
      </c>
      <c r="CH405" s="89">
        <v>107</v>
      </c>
      <c r="CI405" s="2">
        <v>47</v>
      </c>
      <c r="CJ405" s="2">
        <v>1</v>
      </c>
      <c r="CK405" s="2">
        <v>1E-3</v>
      </c>
      <c r="CT405" s="89">
        <v>112</v>
      </c>
      <c r="CU405" s="2">
        <v>46</v>
      </c>
      <c r="CV405" s="2">
        <v>0</v>
      </c>
      <c r="CW405" s="2">
        <v>3.26065</v>
      </c>
      <c r="DF405" s="89">
        <v>117</v>
      </c>
      <c r="DG405" s="2">
        <v>46</v>
      </c>
      <c r="DH405" s="2">
        <v>0</v>
      </c>
      <c r="DI405" s="2">
        <v>1.108366</v>
      </c>
      <c r="DR405" s="89">
        <v>112</v>
      </c>
      <c r="DS405" s="2">
        <v>44</v>
      </c>
      <c r="DT405" s="2">
        <v>0</v>
      </c>
      <c r="DU405" s="2">
        <v>0.42622850000000001</v>
      </c>
      <c r="ED405" s="89">
        <v>121</v>
      </c>
      <c r="EE405" s="2">
        <v>46</v>
      </c>
      <c r="EF405" s="2">
        <v>0</v>
      </c>
      <c r="EG405" s="2">
        <v>1.2999999999999999E-2</v>
      </c>
      <c r="ES405">
        <v>121</v>
      </c>
      <c r="ET405">
        <v>46</v>
      </c>
      <c r="EU405">
        <v>0</v>
      </c>
      <c r="EV405">
        <v>1.2999999999999999E-2</v>
      </c>
    </row>
    <row r="406" spans="14:152" x14ac:dyDescent="0.4">
      <c r="N406" s="89">
        <v>104</v>
      </c>
      <c r="O406" s="2">
        <v>45</v>
      </c>
      <c r="P406" s="2">
        <v>0</v>
      </c>
      <c r="Q406" s="2">
        <v>0.1358375</v>
      </c>
      <c r="Z406" s="89">
        <v>110</v>
      </c>
      <c r="AA406" s="2">
        <v>45</v>
      </c>
      <c r="AB406" s="2">
        <v>1</v>
      </c>
      <c r="AC406" s="2">
        <v>4.1000000000000002E-2</v>
      </c>
      <c r="AL406" s="89">
        <v>101</v>
      </c>
      <c r="AM406" s="2">
        <v>45</v>
      </c>
      <c r="AN406" s="2">
        <v>0</v>
      </c>
      <c r="AO406" s="2">
        <v>1.3307E-3</v>
      </c>
      <c r="AX406" s="89">
        <v>113</v>
      </c>
      <c r="AY406" s="2">
        <v>47</v>
      </c>
      <c r="AZ406" s="2">
        <v>0</v>
      </c>
      <c r="BA406" s="2">
        <v>3.4248180000000001</v>
      </c>
      <c r="BJ406" s="89">
        <v>110</v>
      </c>
      <c r="BK406" s="2">
        <v>47</v>
      </c>
      <c r="BL406" s="2">
        <v>0</v>
      </c>
      <c r="BM406" s="2">
        <v>1.4197680000000001E-2</v>
      </c>
      <c r="BV406" s="89">
        <v>121</v>
      </c>
      <c r="BW406" s="2">
        <v>46</v>
      </c>
      <c r="BX406" s="2">
        <v>0</v>
      </c>
      <c r="BY406" s="2">
        <v>1.78643E-2</v>
      </c>
      <c r="CH406" s="89">
        <v>108</v>
      </c>
      <c r="CI406" s="2">
        <v>47</v>
      </c>
      <c r="CJ406" s="2">
        <v>0</v>
      </c>
      <c r="CK406" s="2">
        <v>5.4600000000000004E-4</v>
      </c>
      <c r="CT406" s="89">
        <v>113</v>
      </c>
      <c r="CU406" s="2">
        <v>46</v>
      </c>
      <c r="CV406" s="2">
        <v>0</v>
      </c>
      <c r="CW406" s="2">
        <v>2.6561110000000001</v>
      </c>
      <c r="DF406" s="89">
        <v>117</v>
      </c>
      <c r="DG406" s="2">
        <v>46</v>
      </c>
      <c r="DH406" s="2">
        <v>1</v>
      </c>
      <c r="DI406" s="2">
        <v>0.66800000000000004</v>
      </c>
      <c r="DR406" s="89">
        <v>113</v>
      </c>
      <c r="DS406" s="2">
        <v>44</v>
      </c>
      <c r="DT406" s="2">
        <v>0</v>
      </c>
      <c r="DU406" s="2">
        <v>0.1011112</v>
      </c>
      <c r="ED406" s="89">
        <v>122</v>
      </c>
      <c r="EE406" s="2">
        <v>46</v>
      </c>
      <c r="EF406" s="2">
        <v>0</v>
      </c>
      <c r="EG406" s="2">
        <v>1E-3</v>
      </c>
      <c r="ES406">
        <v>122</v>
      </c>
      <c r="ET406">
        <v>46</v>
      </c>
      <c r="EU406">
        <v>0</v>
      </c>
      <c r="EV406">
        <v>1E-3</v>
      </c>
    </row>
    <row r="407" spans="14:152" x14ac:dyDescent="0.4">
      <c r="N407" s="89">
        <v>104</v>
      </c>
      <c r="O407" s="2">
        <v>45</v>
      </c>
      <c r="P407" s="2">
        <v>1</v>
      </c>
      <c r="Q407" s="2">
        <v>0.125</v>
      </c>
      <c r="Z407" s="89">
        <v>111</v>
      </c>
      <c r="AA407" s="2">
        <v>45</v>
      </c>
      <c r="AB407" s="2">
        <v>0</v>
      </c>
      <c r="AC407" s="2">
        <v>1.3422099999999999</v>
      </c>
      <c r="AL407" s="89">
        <v>101</v>
      </c>
      <c r="AM407" s="2">
        <v>45</v>
      </c>
      <c r="AN407" s="2">
        <v>1</v>
      </c>
      <c r="AO407" s="2">
        <v>6.1250000000000002E-3</v>
      </c>
      <c r="AX407" s="89">
        <v>113</v>
      </c>
      <c r="AY407" s="2">
        <v>47</v>
      </c>
      <c r="AZ407" s="2">
        <v>1</v>
      </c>
      <c r="BA407" s="2">
        <v>4.8668290000000001</v>
      </c>
      <c r="BJ407" s="89">
        <v>110</v>
      </c>
      <c r="BK407" s="2">
        <v>47</v>
      </c>
      <c r="BL407" s="2">
        <v>1</v>
      </c>
      <c r="BM407" s="2">
        <v>4.4406250000000001E-2</v>
      </c>
      <c r="BV407" s="89">
        <v>122</v>
      </c>
      <c r="BW407" s="2">
        <v>46</v>
      </c>
      <c r="BX407" s="2">
        <v>0</v>
      </c>
      <c r="BY407" s="2">
        <v>7.0000000000000001E-3</v>
      </c>
      <c r="CH407" s="89">
        <v>108</v>
      </c>
      <c r="CI407" s="2">
        <v>47</v>
      </c>
      <c r="CJ407" s="2">
        <v>1</v>
      </c>
      <c r="CK407" s="2">
        <v>6.0000000000000001E-3</v>
      </c>
      <c r="CT407" s="89">
        <v>113</v>
      </c>
      <c r="CU407" s="2">
        <v>46</v>
      </c>
      <c r="CV407" s="2">
        <v>1</v>
      </c>
      <c r="CW407" s="2">
        <v>1.3779999999999999</v>
      </c>
      <c r="DF407" s="89">
        <v>118</v>
      </c>
      <c r="DG407" s="2">
        <v>46</v>
      </c>
      <c r="DH407" s="2">
        <v>0</v>
      </c>
      <c r="DI407" s="2">
        <v>0.62235260000000003</v>
      </c>
      <c r="DR407" s="89">
        <v>113</v>
      </c>
      <c r="DS407" s="2">
        <v>44</v>
      </c>
      <c r="DT407" s="2">
        <v>1</v>
      </c>
      <c r="DU407" s="2">
        <v>0.13200000000000001</v>
      </c>
      <c r="ED407" s="89">
        <v>123</v>
      </c>
      <c r="EE407" s="2">
        <v>46</v>
      </c>
      <c r="EF407" s="2">
        <v>0</v>
      </c>
      <c r="EG407" s="2">
        <v>1E-3</v>
      </c>
      <c r="ES407">
        <v>123</v>
      </c>
      <c r="ET407">
        <v>46</v>
      </c>
      <c r="EU407">
        <v>0</v>
      </c>
      <c r="EV407">
        <v>1E-3</v>
      </c>
    </row>
    <row r="408" spans="14:152" x14ac:dyDescent="0.4">
      <c r="N408" s="89">
        <v>105</v>
      </c>
      <c r="O408" s="2">
        <v>45</v>
      </c>
      <c r="P408" s="2">
        <v>0</v>
      </c>
      <c r="Q408" s="2">
        <v>3.8189259999999998</v>
      </c>
      <c r="Z408" s="89">
        <v>112</v>
      </c>
      <c r="AA408" s="2">
        <v>45</v>
      </c>
      <c r="AB408" s="2">
        <v>0</v>
      </c>
      <c r="AC408" s="2">
        <v>0.71688770000000002</v>
      </c>
      <c r="AL408" s="89">
        <v>102</v>
      </c>
      <c r="AM408" s="2">
        <v>45</v>
      </c>
      <c r="AN408" s="2">
        <v>0</v>
      </c>
      <c r="AO408" s="2">
        <v>3.1856099999999998E-2</v>
      </c>
      <c r="AX408" s="89">
        <v>114</v>
      </c>
      <c r="AY408" s="2">
        <v>47</v>
      </c>
      <c r="AZ408" s="2">
        <v>0</v>
      </c>
      <c r="BA408" s="2">
        <v>4.9107640000000004</v>
      </c>
      <c r="BJ408" s="89">
        <v>111</v>
      </c>
      <c r="BK408" s="2">
        <v>47</v>
      </c>
      <c r="BL408" s="2">
        <v>0</v>
      </c>
      <c r="BM408" s="2">
        <v>4.8439540000000001</v>
      </c>
      <c r="BV408" s="89">
        <v>123</v>
      </c>
      <c r="BW408" s="2">
        <v>46</v>
      </c>
      <c r="BX408" s="2">
        <v>0</v>
      </c>
      <c r="BY408" s="2">
        <v>1E-3</v>
      </c>
      <c r="CH408" s="89">
        <v>109</v>
      </c>
      <c r="CI408" s="2">
        <v>47</v>
      </c>
      <c r="CJ408" s="2">
        <v>0</v>
      </c>
      <c r="CK408" s="2">
        <v>4.0394889999999997</v>
      </c>
      <c r="CT408" s="89">
        <v>114</v>
      </c>
      <c r="CU408" s="2">
        <v>46</v>
      </c>
      <c r="CV408" s="2">
        <v>0</v>
      </c>
      <c r="CW408" s="2">
        <v>2.064921</v>
      </c>
      <c r="DF408" s="89">
        <v>119</v>
      </c>
      <c r="DG408" s="2">
        <v>46</v>
      </c>
      <c r="DH408" s="2">
        <v>0</v>
      </c>
      <c r="DI408" s="2">
        <v>0.28638720000000001</v>
      </c>
      <c r="DR408" s="89">
        <v>114</v>
      </c>
      <c r="DS408" s="2">
        <v>44</v>
      </c>
      <c r="DT408" s="2">
        <v>0</v>
      </c>
      <c r="DU408" s="2">
        <v>6.9312009999999993E-2</v>
      </c>
      <c r="ED408" s="89">
        <v>108</v>
      </c>
      <c r="EE408" s="2">
        <v>47</v>
      </c>
      <c r="EF408" s="2">
        <v>0</v>
      </c>
      <c r="EG408" s="2">
        <v>1.8200000000000001E-4</v>
      </c>
      <c r="ES408">
        <v>108</v>
      </c>
      <c r="ET408">
        <v>47</v>
      </c>
      <c r="EU408">
        <v>0</v>
      </c>
      <c r="EV408">
        <v>1.8200000000000001E-4</v>
      </c>
    </row>
    <row r="409" spans="14:152" x14ac:dyDescent="0.4">
      <c r="N409" s="89">
        <v>105</v>
      </c>
      <c r="O409" s="2">
        <v>45</v>
      </c>
      <c r="P409" s="2">
        <v>1</v>
      </c>
      <c r="Q409" s="2">
        <v>0.97782930000000001</v>
      </c>
      <c r="Z409" s="89">
        <v>112</v>
      </c>
      <c r="AA409" s="2">
        <v>45</v>
      </c>
      <c r="AB409" s="2">
        <v>1</v>
      </c>
      <c r="AC409" s="2">
        <v>3.9742349999999996E-3</v>
      </c>
      <c r="AL409" s="89">
        <v>102</v>
      </c>
      <c r="AM409" s="2">
        <v>45</v>
      </c>
      <c r="AN409" s="2">
        <v>1</v>
      </c>
      <c r="AO409" s="2">
        <v>5.4146339999999998E-3</v>
      </c>
      <c r="AX409" s="89">
        <v>114</v>
      </c>
      <c r="AY409" s="2">
        <v>47</v>
      </c>
      <c r="AZ409" s="2">
        <v>1</v>
      </c>
      <c r="BA409" s="2">
        <v>1.2775890000000001</v>
      </c>
      <c r="BJ409" s="89">
        <v>111</v>
      </c>
      <c r="BK409" s="2">
        <v>47</v>
      </c>
      <c r="BL409" s="2">
        <v>1</v>
      </c>
      <c r="BM409" s="2">
        <v>4.7271619999999999</v>
      </c>
      <c r="BV409" s="89">
        <v>109</v>
      </c>
      <c r="BW409" s="2">
        <v>47</v>
      </c>
      <c r="BX409" s="2">
        <v>0</v>
      </c>
      <c r="BY409" s="2">
        <v>3.6486360000000002</v>
      </c>
      <c r="CH409" s="89">
        <v>109</v>
      </c>
      <c r="CI409" s="2">
        <v>47</v>
      </c>
      <c r="CJ409" s="2">
        <v>1</v>
      </c>
      <c r="CK409" s="2">
        <v>4.0384830000000003</v>
      </c>
      <c r="CT409" s="89">
        <v>115</v>
      </c>
      <c r="CU409" s="2">
        <v>46</v>
      </c>
      <c r="CV409" s="2">
        <v>0</v>
      </c>
      <c r="CW409" s="2">
        <v>0.53559630000000003</v>
      </c>
      <c r="DF409" s="89">
        <v>120</v>
      </c>
      <c r="DG409" s="2">
        <v>46</v>
      </c>
      <c r="DH409" s="2">
        <v>0</v>
      </c>
      <c r="DI409" s="2">
        <v>0.13966129999999999</v>
      </c>
      <c r="DR409" s="89">
        <v>115</v>
      </c>
      <c r="DS409" s="2">
        <v>44</v>
      </c>
      <c r="DT409" s="2">
        <v>0</v>
      </c>
      <c r="DU409" s="2">
        <v>2.5426399999999998E-2</v>
      </c>
      <c r="ED409" s="89">
        <v>108</v>
      </c>
      <c r="EE409" s="2">
        <v>47</v>
      </c>
      <c r="EF409" s="2">
        <v>1</v>
      </c>
      <c r="EG409" s="2">
        <v>2E-3</v>
      </c>
      <c r="ES409">
        <v>108</v>
      </c>
      <c r="ET409">
        <v>47</v>
      </c>
      <c r="EU409">
        <v>1</v>
      </c>
      <c r="EV409">
        <v>2E-3</v>
      </c>
    </row>
    <row r="410" spans="14:152" x14ac:dyDescent="0.4">
      <c r="N410" s="89">
        <v>106</v>
      </c>
      <c r="O410" s="2">
        <v>45</v>
      </c>
      <c r="P410" s="2">
        <v>0</v>
      </c>
      <c r="Q410" s="2">
        <v>2.9692349999999998</v>
      </c>
      <c r="Z410" s="89">
        <v>113</v>
      </c>
      <c r="AA410" s="2">
        <v>45</v>
      </c>
      <c r="AB410" s="2">
        <v>0</v>
      </c>
      <c r="AC410" s="2">
        <v>0.39892810000000001</v>
      </c>
      <c r="AL410" s="89">
        <v>103</v>
      </c>
      <c r="AM410" s="2">
        <v>45</v>
      </c>
      <c r="AN410" s="2">
        <v>0</v>
      </c>
      <c r="AO410" s="2">
        <v>5.1810840000000002</v>
      </c>
      <c r="AX410" s="89">
        <v>115</v>
      </c>
      <c r="AY410" s="2">
        <v>47</v>
      </c>
      <c r="AZ410" s="2">
        <v>0</v>
      </c>
      <c r="BA410" s="2">
        <v>1.6526259999999999</v>
      </c>
      <c r="BJ410" s="89">
        <v>112</v>
      </c>
      <c r="BK410" s="2">
        <v>47</v>
      </c>
      <c r="BL410" s="2">
        <v>0</v>
      </c>
      <c r="BM410" s="2">
        <v>5.1427459999999998</v>
      </c>
      <c r="BV410" s="89">
        <v>109</v>
      </c>
      <c r="BW410" s="2">
        <v>47</v>
      </c>
      <c r="BX410" s="2">
        <v>1</v>
      </c>
      <c r="BY410" s="2">
        <v>3.646811</v>
      </c>
      <c r="CH410" s="89">
        <v>110</v>
      </c>
      <c r="CI410" s="2">
        <v>47</v>
      </c>
      <c r="CJ410" s="2">
        <v>0</v>
      </c>
      <c r="CK410" s="2">
        <v>3.1364900000000001E-2</v>
      </c>
      <c r="CT410" s="89">
        <v>115</v>
      </c>
      <c r="CU410" s="2">
        <v>46</v>
      </c>
      <c r="CV410" s="2">
        <v>1</v>
      </c>
      <c r="CW410" s="2">
        <v>0.86239889999999997</v>
      </c>
      <c r="DF410" s="89">
        <v>121</v>
      </c>
      <c r="DG410" s="2">
        <v>46</v>
      </c>
      <c r="DH410" s="2">
        <v>0</v>
      </c>
      <c r="DI410" s="2">
        <v>3.1864299999999998E-2</v>
      </c>
      <c r="DR410" s="89">
        <v>116</v>
      </c>
      <c r="DS410" s="2">
        <v>44</v>
      </c>
      <c r="DT410" s="2">
        <v>0</v>
      </c>
      <c r="DU410" s="2">
        <v>5.0000000000000001E-3</v>
      </c>
      <c r="ED410" s="89">
        <v>109</v>
      </c>
      <c r="EE410" s="2">
        <v>47</v>
      </c>
      <c r="EF410" s="2">
        <v>0</v>
      </c>
      <c r="EG410" s="2">
        <v>3.991406</v>
      </c>
      <c r="ES410">
        <v>109</v>
      </c>
      <c r="ET410">
        <v>47</v>
      </c>
      <c r="EU410">
        <v>0</v>
      </c>
      <c r="EV410">
        <v>3.991406</v>
      </c>
    </row>
    <row r="411" spans="14:152" x14ac:dyDescent="0.4">
      <c r="N411" s="89">
        <v>106</v>
      </c>
      <c r="O411" s="2">
        <v>45</v>
      </c>
      <c r="P411" s="2">
        <v>1</v>
      </c>
      <c r="Q411" s="2">
        <v>0.68338989999999999</v>
      </c>
      <c r="Z411" s="89">
        <v>114</v>
      </c>
      <c r="AA411" s="2">
        <v>45</v>
      </c>
      <c r="AB411" s="2">
        <v>0</v>
      </c>
      <c r="AC411" s="2">
        <v>0.1461142</v>
      </c>
      <c r="AL411" s="89">
        <v>103</v>
      </c>
      <c r="AM411" s="2">
        <v>45</v>
      </c>
      <c r="AN411" s="2">
        <v>1</v>
      </c>
      <c r="AO411" s="2">
        <v>5.112927</v>
      </c>
      <c r="AX411" s="89">
        <v>115</v>
      </c>
      <c r="AY411" s="2">
        <v>47</v>
      </c>
      <c r="AZ411" s="2">
        <v>1</v>
      </c>
      <c r="BA411" s="2">
        <v>3.5610490000000001</v>
      </c>
      <c r="BJ411" s="89">
        <v>113</v>
      </c>
      <c r="BK411" s="2">
        <v>47</v>
      </c>
      <c r="BL411" s="2">
        <v>0</v>
      </c>
      <c r="BM411" s="2">
        <v>3.1987830000000002</v>
      </c>
      <c r="BV411" s="89">
        <v>110</v>
      </c>
      <c r="BW411" s="2">
        <v>47</v>
      </c>
      <c r="BX411" s="2">
        <v>0</v>
      </c>
      <c r="BY411" s="2">
        <v>2.068E-3</v>
      </c>
      <c r="CH411" s="89">
        <v>110</v>
      </c>
      <c r="CI411" s="2">
        <v>47</v>
      </c>
      <c r="CJ411" s="2">
        <v>1</v>
      </c>
      <c r="CK411" s="2">
        <v>0.1070916</v>
      </c>
      <c r="CT411" s="89">
        <v>116</v>
      </c>
      <c r="CU411" s="2">
        <v>46</v>
      </c>
      <c r="CV411" s="2">
        <v>0</v>
      </c>
      <c r="CW411" s="2">
        <v>0.82485529999999996</v>
      </c>
      <c r="DF411" s="89">
        <v>122</v>
      </c>
      <c r="DG411" s="2">
        <v>46</v>
      </c>
      <c r="DH411" s="2">
        <v>0</v>
      </c>
      <c r="DI411" s="2">
        <v>2.1000000000000001E-2</v>
      </c>
      <c r="DR411" s="89">
        <v>117</v>
      </c>
      <c r="DS411" s="2">
        <v>44</v>
      </c>
      <c r="DT411" s="2">
        <v>0</v>
      </c>
      <c r="DU411" s="2">
        <v>1E-3</v>
      </c>
      <c r="ED411" s="89">
        <v>109</v>
      </c>
      <c r="EE411" s="2">
        <v>47</v>
      </c>
      <c r="EF411" s="2">
        <v>1</v>
      </c>
      <c r="EG411" s="2">
        <v>3.9894150000000002</v>
      </c>
      <c r="ES411">
        <v>109</v>
      </c>
      <c r="ET411">
        <v>47</v>
      </c>
      <c r="EU411">
        <v>1</v>
      </c>
      <c r="EV411">
        <v>3.9894150000000002</v>
      </c>
    </row>
    <row r="412" spans="14:152" x14ac:dyDescent="0.4">
      <c r="N412" s="89">
        <v>107</v>
      </c>
      <c r="O412" s="2">
        <v>45</v>
      </c>
      <c r="P412" s="2">
        <v>0</v>
      </c>
      <c r="Q412" s="2">
        <v>3.1385260000000001</v>
      </c>
      <c r="Z412" s="89">
        <v>114</v>
      </c>
      <c r="AA412" s="2">
        <v>45</v>
      </c>
      <c r="AB412" s="2">
        <v>1</v>
      </c>
      <c r="AC412" s="2">
        <v>3.8904109999999999E-3</v>
      </c>
      <c r="AL412" s="89">
        <v>104</v>
      </c>
      <c r="AM412" s="2">
        <v>45</v>
      </c>
      <c r="AN412" s="2">
        <v>0</v>
      </c>
      <c r="AO412" s="2">
        <v>0.36356060000000001</v>
      </c>
      <c r="AX412" s="89">
        <v>116</v>
      </c>
      <c r="AY412" s="2">
        <v>47</v>
      </c>
      <c r="AZ412" s="2">
        <v>0</v>
      </c>
      <c r="BA412" s="2">
        <v>1.776219</v>
      </c>
      <c r="BJ412" s="89">
        <v>113</v>
      </c>
      <c r="BK412" s="2">
        <v>47</v>
      </c>
      <c r="BL412" s="2">
        <v>1</v>
      </c>
      <c r="BM412" s="2">
        <v>4.5445770000000003</v>
      </c>
      <c r="BV412" s="89">
        <v>110</v>
      </c>
      <c r="BW412" s="2">
        <v>47</v>
      </c>
      <c r="BX412" s="2">
        <v>1</v>
      </c>
      <c r="BY412" s="2">
        <v>5.0000000000000001E-3</v>
      </c>
      <c r="CH412" s="89">
        <v>111</v>
      </c>
      <c r="CI412" s="2">
        <v>47</v>
      </c>
      <c r="CJ412" s="2">
        <v>0</v>
      </c>
      <c r="CK412" s="2">
        <v>4.1002289999999997</v>
      </c>
      <c r="CT412" s="89">
        <v>117</v>
      </c>
      <c r="CU412" s="2">
        <v>46</v>
      </c>
      <c r="CV412" s="2">
        <v>0</v>
      </c>
      <c r="CW412" s="2">
        <v>0.36150599999999999</v>
      </c>
      <c r="DF412" s="89">
        <v>124</v>
      </c>
      <c r="DG412" s="2">
        <v>46</v>
      </c>
      <c r="DH412" s="2">
        <v>0</v>
      </c>
      <c r="DI412" s="2">
        <v>1E-3</v>
      </c>
      <c r="DR412" s="89">
        <v>120</v>
      </c>
      <c r="DS412" s="2">
        <v>44</v>
      </c>
      <c r="DT412" s="2">
        <v>0</v>
      </c>
      <c r="DU412" s="2">
        <v>1E-3</v>
      </c>
      <c r="ED412" s="89">
        <v>110</v>
      </c>
      <c r="EE412" s="2">
        <v>47</v>
      </c>
      <c r="EF412" s="2">
        <v>0</v>
      </c>
      <c r="EG412" s="2">
        <v>1.3128E-3</v>
      </c>
      <c r="ES412">
        <v>110</v>
      </c>
      <c r="ET412">
        <v>47</v>
      </c>
      <c r="EU412">
        <v>0</v>
      </c>
      <c r="EV412">
        <v>1.3128E-3</v>
      </c>
    </row>
    <row r="413" spans="14:152" x14ac:dyDescent="0.4">
      <c r="N413" s="89">
        <v>108</v>
      </c>
      <c r="O413" s="2">
        <v>45</v>
      </c>
      <c r="P413" s="2">
        <v>0</v>
      </c>
      <c r="Q413" s="2">
        <v>1.3901859999999999</v>
      </c>
      <c r="Z413" s="89">
        <v>115</v>
      </c>
      <c r="AA413" s="2">
        <v>45</v>
      </c>
      <c r="AB413" s="2">
        <v>0</v>
      </c>
      <c r="AC413" s="2">
        <v>6.304941E-2</v>
      </c>
      <c r="AL413" s="89">
        <v>104</v>
      </c>
      <c r="AM413" s="2">
        <v>45</v>
      </c>
      <c r="AN413" s="2">
        <v>1</v>
      </c>
      <c r="AO413" s="2">
        <v>0.33800000000000002</v>
      </c>
      <c r="AX413" s="89">
        <v>116</v>
      </c>
      <c r="AY413" s="2">
        <v>47</v>
      </c>
      <c r="AZ413" s="2">
        <v>1</v>
      </c>
      <c r="BA413" s="2">
        <v>1.9454750000000001</v>
      </c>
      <c r="BJ413" s="89">
        <v>114</v>
      </c>
      <c r="BK413" s="2">
        <v>47</v>
      </c>
      <c r="BL413" s="2">
        <v>0</v>
      </c>
      <c r="BM413" s="2">
        <v>4.6048270000000002</v>
      </c>
      <c r="BV413" s="89">
        <v>111</v>
      </c>
      <c r="BW413" s="2">
        <v>47</v>
      </c>
      <c r="BX413" s="2">
        <v>0</v>
      </c>
      <c r="BY413" s="2">
        <v>3.9361619999999999</v>
      </c>
      <c r="CH413" s="89">
        <v>111</v>
      </c>
      <c r="CI413" s="2">
        <v>47</v>
      </c>
      <c r="CJ413" s="2">
        <v>1</v>
      </c>
      <c r="CK413" s="2">
        <v>3.980988</v>
      </c>
      <c r="CT413" s="89">
        <v>117</v>
      </c>
      <c r="CU413" s="2">
        <v>46</v>
      </c>
      <c r="CV413" s="2">
        <v>1</v>
      </c>
      <c r="CW413" s="2">
        <v>0.25900000000000001</v>
      </c>
      <c r="DF413" s="89">
        <v>109</v>
      </c>
      <c r="DG413" s="2">
        <v>47</v>
      </c>
      <c r="DH413" s="2">
        <v>0</v>
      </c>
      <c r="DI413" s="2">
        <v>2.592848</v>
      </c>
      <c r="DR413" s="89">
        <v>103</v>
      </c>
      <c r="DS413" s="2">
        <v>45</v>
      </c>
      <c r="DT413" s="2">
        <v>0</v>
      </c>
      <c r="DU413" s="2">
        <v>4.7896369999999999</v>
      </c>
      <c r="ED413" s="89">
        <v>110</v>
      </c>
      <c r="EE413" s="2">
        <v>47</v>
      </c>
      <c r="EF413" s="2">
        <v>1</v>
      </c>
      <c r="EG413" s="2">
        <v>2.3E-2</v>
      </c>
      <c r="ES413">
        <v>110</v>
      </c>
      <c r="ET413">
        <v>47</v>
      </c>
      <c r="EU413">
        <v>1</v>
      </c>
      <c r="EV413">
        <v>2.3E-2</v>
      </c>
    </row>
    <row r="414" spans="14:152" x14ac:dyDescent="0.4">
      <c r="N414" s="89">
        <v>108</v>
      </c>
      <c r="O414" s="2">
        <v>45</v>
      </c>
      <c r="P414" s="2">
        <v>1</v>
      </c>
      <c r="Q414" s="2">
        <v>1.2388969999999999</v>
      </c>
      <c r="Z414" s="89">
        <v>116</v>
      </c>
      <c r="AA414" s="2">
        <v>45</v>
      </c>
      <c r="AB414" s="2">
        <v>0</v>
      </c>
      <c r="AC414" s="2">
        <v>1.0196E-2</v>
      </c>
      <c r="AL414" s="89">
        <v>105</v>
      </c>
      <c r="AM414" s="2">
        <v>45</v>
      </c>
      <c r="AN414" s="2">
        <v>0</v>
      </c>
      <c r="AO414" s="2">
        <v>4.8318430000000001</v>
      </c>
      <c r="AX414" s="89">
        <v>117</v>
      </c>
      <c r="AY414" s="2">
        <v>47</v>
      </c>
      <c r="AZ414" s="2">
        <v>0</v>
      </c>
      <c r="BA414" s="2">
        <v>0.56655789999999995</v>
      </c>
      <c r="BJ414" s="89">
        <v>114</v>
      </c>
      <c r="BK414" s="2">
        <v>47</v>
      </c>
      <c r="BL414" s="2">
        <v>1</v>
      </c>
      <c r="BM414" s="2">
        <v>1.586684</v>
      </c>
      <c r="BV414" s="89">
        <v>111</v>
      </c>
      <c r="BW414" s="2">
        <v>47</v>
      </c>
      <c r="BX414" s="2">
        <v>1</v>
      </c>
      <c r="BY414" s="2">
        <v>3.890307</v>
      </c>
      <c r="CH414" s="89">
        <v>112</v>
      </c>
      <c r="CI414" s="2">
        <v>47</v>
      </c>
      <c r="CJ414" s="2">
        <v>0</v>
      </c>
      <c r="CK414" s="2">
        <v>4.1991949999999996</v>
      </c>
      <c r="CT414" s="89">
        <v>118</v>
      </c>
      <c r="CU414" s="2">
        <v>46</v>
      </c>
      <c r="CV414" s="2">
        <v>0</v>
      </c>
      <c r="CW414" s="2">
        <v>0.172453</v>
      </c>
      <c r="DF414" s="89">
        <v>109</v>
      </c>
      <c r="DG414" s="2">
        <v>47</v>
      </c>
      <c r="DH414" s="2">
        <v>1</v>
      </c>
      <c r="DI414" s="2">
        <v>2.5915509999999999</v>
      </c>
      <c r="DR414" s="89">
        <v>103</v>
      </c>
      <c r="DS414" s="2">
        <v>45</v>
      </c>
      <c r="DT414" s="2">
        <v>1</v>
      </c>
      <c r="DU414" s="2">
        <v>4.7321730000000004</v>
      </c>
      <c r="ED414" s="89">
        <v>111</v>
      </c>
      <c r="EE414" s="2">
        <v>47</v>
      </c>
      <c r="EF414" s="2">
        <v>0</v>
      </c>
      <c r="EG414" s="2">
        <v>4.1784939999999997</v>
      </c>
      <c r="ES414">
        <v>111</v>
      </c>
      <c r="ET414">
        <v>47</v>
      </c>
      <c r="EU414">
        <v>0</v>
      </c>
      <c r="EV414">
        <v>4.1784939999999997</v>
      </c>
    </row>
    <row r="415" spans="14:152" x14ac:dyDescent="0.4">
      <c r="N415" s="89">
        <v>109</v>
      </c>
      <c r="O415" s="2">
        <v>45</v>
      </c>
      <c r="P415" s="2">
        <v>0</v>
      </c>
      <c r="Q415" s="2">
        <v>2.0587559999999998</v>
      </c>
      <c r="Z415" s="89">
        <v>116</v>
      </c>
      <c r="AA415" s="2">
        <v>45</v>
      </c>
      <c r="AB415" s="2">
        <v>1</v>
      </c>
      <c r="AC415" s="2">
        <v>8.7500000000000008E-3</v>
      </c>
      <c r="AL415" s="89">
        <v>105</v>
      </c>
      <c r="AM415" s="2">
        <v>45</v>
      </c>
      <c r="AN415" s="2">
        <v>1</v>
      </c>
      <c r="AO415" s="2">
        <v>1.1556770000000001</v>
      </c>
      <c r="AX415" s="89">
        <v>117</v>
      </c>
      <c r="AY415" s="2">
        <v>47</v>
      </c>
      <c r="AZ415" s="2">
        <v>1</v>
      </c>
      <c r="BA415" s="2">
        <v>2.0736370000000002</v>
      </c>
      <c r="BJ415" s="89">
        <v>115</v>
      </c>
      <c r="BK415" s="2">
        <v>47</v>
      </c>
      <c r="BL415" s="2">
        <v>0</v>
      </c>
      <c r="BM415" s="2">
        <v>1.4549209999999999</v>
      </c>
      <c r="BV415" s="89">
        <v>112</v>
      </c>
      <c r="BW415" s="2">
        <v>47</v>
      </c>
      <c r="BX415" s="2">
        <v>0</v>
      </c>
      <c r="BY415" s="2">
        <v>4.1306050000000001</v>
      </c>
      <c r="CH415" s="89">
        <v>113</v>
      </c>
      <c r="CI415" s="2">
        <v>47</v>
      </c>
      <c r="CJ415" s="2">
        <v>0</v>
      </c>
      <c r="CK415" s="2">
        <v>2.5950530000000001</v>
      </c>
      <c r="CT415" s="89">
        <v>119</v>
      </c>
      <c r="CU415" s="2">
        <v>46</v>
      </c>
      <c r="CV415" s="2">
        <v>0</v>
      </c>
      <c r="CW415" s="2">
        <v>6.1059299999999997E-2</v>
      </c>
      <c r="DF415" s="89">
        <v>110</v>
      </c>
      <c r="DG415" s="2">
        <v>47</v>
      </c>
      <c r="DH415" s="2">
        <v>0</v>
      </c>
      <c r="DI415" s="2">
        <v>1.36E-5</v>
      </c>
      <c r="DR415" s="89">
        <v>104</v>
      </c>
      <c r="DS415" s="2">
        <v>45</v>
      </c>
      <c r="DT415" s="2">
        <v>0</v>
      </c>
      <c r="DU415" s="2">
        <v>1.1986999999999999E-2</v>
      </c>
      <c r="ED415" s="89">
        <v>111</v>
      </c>
      <c r="EE415" s="2">
        <v>47</v>
      </c>
      <c r="EF415" s="2">
        <v>1</v>
      </c>
      <c r="EG415" s="2">
        <v>4.1029619999999998</v>
      </c>
      <c r="ES415">
        <v>111</v>
      </c>
      <c r="ET415">
        <v>47</v>
      </c>
      <c r="EU415">
        <v>1</v>
      </c>
      <c r="EV415">
        <v>4.1029619999999998</v>
      </c>
    </row>
    <row r="416" spans="14:152" x14ac:dyDescent="0.4">
      <c r="N416" s="89">
        <v>110</v>
      </c>
      <c r="O416" s="2">
        <v>45</v>
      </c>
      <c r="P416" s="2">
        <v>0</v>
      </c>
      <c r="Q416" s="2">
        <v>1.3619859999999999</v>
      </c>
      <c r="Z416" s="89">
        <v>117</v>
      </c>
      <c r="AA416" s="2">
        <v>45</v>
      </c>
      <c r="AB416" s="2">
        <v>0</v>
      </c>
      <c r="AC416" s="2">
        <v>0.01</v>
      </c>
      <c r="AL416" s="89">
        <v>106</v>
      </c>
      <c r="AM416" s="2">
        <v>45</v>
      </c>
      <c r="AN416" s="2">
        <v>0</v>
      </c>
      <c r="AO416" s="2">
        <v>3.3468719999999998</v>
      </c>
      <c r="AX416" s="89">
        <v>118</v>
      </c>
      <c r="AY416" s="2">
        <v>47</v>
      </c>
      <c r="AZ416" s="2">
        <v>0</v>
      </c>
      <c r="BA416" s="2">
        <v>0.82042269999999995</v>
      </c>
      <c r="BJ416" s="89">
        <v>115</v>
      </c>
      <c r="BK416" s="2">
        <v>47</v>
      </c>
      <c r="BL416" s="2">
        <v>1</v>
      </c>
      <c r="BM416" s="2">
        <v>3.5444170000000002</v>
      </c>
      <c r="BV416" s="89">
        <v>113</v>
      </c>
      <c r="BW416" s="2">
        <v>47</v>
      </c>
      <c r="BX416" s="2">
        <v>0</v>
      </c>
      <c r="BY416" s="2">
        <v>2.693295</v>
      </c>
      <c r="CH416" s="89">
        <v>113</v>
      </c>
      <c r="CI416" s="2">
        <v>47</v>
      </c>
      <c r="CJ416" s="2">
        <v>1</v>
      </c>
      <c r="CK416" s="2">
        <v>3.7186620000000001</v>
      </c>
      <c r="CT416" s="89">
        <v>120</v>
      </c>
      <c r="CU416" s="2">
        <v>46</v>
      </c>
      <c r="CV416" s="2">
        <v>0</v>
      </c>
      <c r="CW416" s="2">
        <v>2.5940700000000001E-2</v>
      </c>
      <c r="DF416" s="89">
        <v>110</v>
      </c>
      <c r="DG416" s="2">
        <v>47</v>
      </c>
      <c r="DH416" s="2">
        <v>1</v>
      </c>
      <c r="DI416" s="2">
        <v>1E-3</v>
      </c>
      <c r="DR416" s="89">
        <v>104</v>
      </c>
      <c r="DS416" s="2">
        <v>45</v>
      </c>
      <c r="DT416" s="2">
        <v>1</v>
      </c>
      <c r="DU416" s="2">
        <v>0.01</v>
      </c>
      <c r="ED416" s="89">
        <v>112</v>
      </c>
      <c r="EE416" s="2">
        <v>47</v>
      </c>
      <c r="EF416" s="2">
        <v>0</v>
      </c>
      <c r="EG416" s="2">
        <v>4.347874</v>
      </c>
      <c r="ES416">
        <v>112</v>
      </c>
      <c r="ET416">
        <v>47</v>
      </c>
      <c r="EU416">
        <v>0</v>
      </c>
      <c r="EV416">
        <v>4.347874</v>
      </c>
    </row>
    <row r="417" spans="14:152" x14ac:dyDescent="0.4">
      <c r="N417" s="89">
        <v>110</v>
      </c>
      <c r="O417" s="2">
        <v>45</v>
      </c>
      <c r="P417" s="2">
        <v>1</v>
      </c>
      <c r="Q417" s="2">
        <v>3.3000000000000002E-2</v>
      </c>
      <c r="Z417" s="89">
        <v>118</v>
      </c>
      <c r="AA417" s="2">
        <v>45</v>
      </c>
      <c r="AB417" s="2">
        <v>0</v>
      </c>
      <c r="AC417" s="2">
        <v>3.0000000000000001E-3</v>
      </c>
      <c r="AL417" s="89">
        <v>106</v>
      </c>
      <c r="AM417" s="2">
        <v>45</v>
      </c>
      <c r="AN417" s="2">
        <v>1</v>
      </c>
      <c r="AO417" s="2">
        <v>1.1469480000000001</v>
      </c>
      <c r="AX417" s="89">
        <v>118</v>
      </c>
      <c r="AY417" s="2">
        <v>47</v>
      </c>
      <c r="AZ417" s="2">
        <v>1</v>
      </c>
      <c r="BA417" s="2">
        <v>1.094508</v>
      </c>
      <c r="BJ417" s="89">
        <v>116</v>
      </c>
      <c r="BK417" s="2">
        <v>47</v>
      </c>
      <c r="BL417" s="2">
        <v>0</v>
      </c>
      <c r="BM417" s="2">
        <v>1.290187</v>
      </c>
      <c r="BV417" s="89">
        <v>113</v>
      </c>
      <c r="BW417" s="2">
        <v>47</v>
      </c>
      <c r="BX417" s="2">
        <v>1</v>
      </c>
      <c r="BY417" s="2">
        <v>3.847912</v>
      </c>
      <c r="CH417" s="89">
        <v>114</v>
      </c>
      <c r="CI417" s="2">
        <v>47</v>
      </c>
      <c r="CJ417" s="2">
        <v>0</v>
      </c>
      <c r="CK417" s="2">
        <v>3.6888860000000001</v>
      </c>
      <c r="CT417" s="89">
        <v>121</v>
      </c>
      <c r="CU417" s="2">
        <v>46</v>
      </c>
      <c r="CV417" s="2">
        <v>0</v>
      </c>
      <c r="CW417" s="2">
        <v>2E-3</v>
      </c>
      <c r="DF417" s="89">
        <v>111</v>
      </c>
      <c r="DG417" s="2">
        <v>47</v>
      </c>
      <c r="DH417" s="2">
        <v>0</v>
      </c>
      <c r="DI417" s="2">
        <v>2.6171899999999999</v>
      </c>
      <c r="DR417" s="89">
        <v>105</v>
      </c>
      <c r="DS417" s="2">
        <v>45</v>
      </c>
      <c r="DT417" s="2">
        <v>0</v>
      </c>
      <c r="DU417" s="2">
        <v>4.653416</v>
      </c>
      <c r="ED417" s="89">
        <v>113</v>
      </c>
      <c r="EE417" s="2">
        <v>47</v>
      </c>
      <c r="EF417" s="2">
        <v>0</v>
      </c>
      <c r="EG417" s="2">
        <v>2.8300329999999998</v>
      </c>
      <c r="ES417">
        <v>113</v>
      </c>
      <c r="ET417">
        <v>47</v>
      </c>
      <c r="EU417">
        <v>0</v>
      </c>
      <c r="EV417">
        <v>2.8300329999999998</v>
      </c>
    </row>
    <row r="418" spans="14:152" x14ac:dyDescent="0.4">
      <c r="N418" s="89">
        <v>111</v>
      </c>
      <c r="O418" s="2">
        <v>45</v>
      </c>
      <c r="P418" s="2">
        <v>0</v>
      </c>
      <c r="Q418" s="2">
        <v>0.78506469999999995</v>
      </c>
      <c r="Z418" s="89">
        <v>120</v>
      </c>
      <c r="AA418" s="2">
        <v>45</v>
      </c>
      <c r="AB418" s="2">
        <v>0</v>
      </c>
      <c r="AC418" s="2">
        <v>1E-3</v>
      </c>
      <c r="AL418" s="89">
        <v>107</v>
      </c>
      <c r="AM418" s="2">
        <v>45</v>
      </c>
      <c r="AN418" s="2">
        <v>0</v>
      </c>
      <c r="AO418" s="2">
        <v>3.9818880000000001</v>
      </c>
      <c r="AX418" s="89">
        <v>119</v>
      </c>
      <c r="AY418" s="2">
        <v>47</v>
      </c>
      <c r="AZ418" s="2">
        <v>0</v>
      </c>
      <c r="BA418" s="2">
        <v>9.0706529999999994E-2</v>
      </c>
      <c r="BJ418" s="89">
        <v>116</v>
      </c>
      <c r="BK418" s="2">
        <v>47</v>
      </c>
      <c r="BL418" s="2">
        <v>1</v>
      </c>
      <c r="BM418" s="2">
        <v>1.9976609999999999</v>
      </c>
      <c r="BV418" s="89">
        <v>114</v>
      </c>
      <c r="BW418" s="2">
        <v>47</v>
      </c>
      <c r="BX418" s="2">
        <v>0</v>
      </c>
      <c r="BY418" s="2">
        <v>4.1026930000000004</v>
      </c>
      <c r="CH418" s="89">
        <v>114</v>
      </c>
      <c r="CI418" s="2">
        <v>47</v>
      </c>
      <c r="CJ418" s="2">
        <v>1</v>
      </c>
      <c r="CK418" s="2">
        <v>1.577601</v>
      </c>
      <c r="CT418" s="89">
        <v>122</v>
      </c>
      <c r="CU418" s="2">
        <v>46</v>
      </c>
      <c r="CV418" s="2">
        <v>0</v>
      </c>
      <c r="CW418" s="2">
        <v>1E-3</v>
      </c>
      <c r="DF418" s="89">
        <v>111</v>
      </c>
      <c r="DG418" s="2">
        <v>47</v>
      </c>
      <c r="DH418" s="2">
        <v>1</v>
      </c>
      <c r="DI418" s="2">
        <v>2.603974</v>
      </c>
      <c r="DR418" s="89">
        <v>105</v>
      </c>
      <c r="DS418" s="2">
        <v>45</v>
      </c>
      <c r="DT418" s="2">
        <v>1</v>
      </c>
      <c r="DU418" s="2">
        <v>1.30311</v>
      </c>
      <c r="ED418" s="89">
        <v>113</v>
      </c>
      <c r="EE418" s="2">
        <v>47</v>
      </c>
      <c r="EF418" s="2">
        <v>1</v>
      </c>
      <c r="EG418" s="2">
        <v>4.0539589999999999</v>
      </c>
      <c r="ES418">
        <v>113</v>
      </c>
      <c r="ET418">
        <v>47</v>
      </c>
      <c r="EU418">
        <v>1</v>
      </c>
      <c r="EV418">
        <v>4.0539589999999999</v>
      </c>
    </row>
    <row r="419" spans="14:152" x14ac:dyDescent="0.4">
      <c r="N419" s="89">
        <v>112</v>
      </c>
      <c r="O419" s="2">
        <v>45</v>
      </c>
      <c r="P419" s="2">
        <v>0</v>
      </c>
      <c r="Q419" s="2">
        <v>0.41409309999999999</v>
      </c>
      <c r="Z419" s="89">
        <v>104</v>
      </c>
      <c r="AA419" s="2">
        <v>46</v>
      </c>
      <c r="AB419" s="2">
        <v>0</v>
      </c>
      <c r="AC419" s="2">
        <v>0.1085146</v>
      </c>
      <c r="AL419" s="89">
        <v>108</v>
      </c>
      <c r="AM419" s="2">
        <v>45</v>
      </c>
      <c r="AN419" s="2">
        <v>0</v>
      </c>
      <c r="AO419" s="2">
        <v>1.513754</v>
      </c>
      <c r="AX419" s="89">
        <v>119</v>
      </c>
      <c r="AY419" s="2">
        <v>47</v>
      </c>
      <c r="AZ419" s="2">
        <v>1</v>
      </c>
      <c r="BA419" s="2">
        <v>0.75847140000000002</v>
      </c>
      <c r="BJ419" s="89">
        <v>117</v>
      </c>
      <c r="BK419" s="2">
        <v>47</v>
      </c>
      <c r="BL419" s="2">
        <v>0</v>
      </c>
      <c r="BM419" s="2">
        <v>0.4462624</v>
      </c>
      <c r="BV419" s="89">
        <v>114</v>
      </c>
      <c r="BW419" s="2">
        <v>47</v>
      </c>
      <c r="BX419" s="2">
        <v>1</v>
      </c>
      <c r="BY419" s="2">
        <v>0.68581179999999997</v>
      </c>
      <c r="CH419" s="89">
        <v>115</v>
      </c>
      <c r="CI419" s="2">
        <v>47</v>
      </c>
      <c r="CJ419" s="2">
        <v>0</v>
      </c>
      <c r="CK419" s="2">
        <v>1.0064059999999999</v>
      </c>
      <c r="CT419" s="89">
        <v>107</v>
      </c>
      <c r="CU419" s="2">
        <v>47</v>
      </c>
      <c r="CV419" s="2">
        <v>0</v>
      </c>
      <c r="CW419" s="2">
        <v>1E-3</v>
      </c>
      <c r="DF419" s="89">
        <v>112</v>
      </c>
      <c r="DG419" s="2">
        <v>47</v>
      </c>
      <c r="DH419" s="2">
        <v>0</v>
      </c>
      <c r="DI419" s="2">
        <v>2.7498659999999999</v>
      </c>
      <c r="DR419" s="89">
        <v>106</v>
      </c>
      <c r="DS419" s="2">
        <v>45</v>
      </c>
      <c r="DT419" s="2">
        <v>0</v>
      </c>
      <c r="DU419" s="2">
        <v>4.3691360000000001</v>
      </c>
      <c r="ED419" s="89">
        <v>114</v>
      </c>
      <c r="EE419" s="2">
        <v>47</v>
      </c>
      <c r="EF419" s="2">
        <v>0</v>
      </c>
      <c r="EG419" s="2">
        <v>4.2618220000000004</v>
      </c>
      <c r="ES419">
        <v>114</v>
      </c>
      <c r="ET419">
        <v>47</v>
      </c>
      <c r="EU419">
        <v>0</v>
      </c>
      <c r="EV419">
        <v>4.2618220000000004</v>
      </c>
    </row>
    <row r="420" spans="14:152" x14ac:dyDescent="0.4">
      <c r="N420" s="89">
        <v>112</v>
      </c>
      <c r="O420" s="2">
        <v>45</v>
      </c>
      <c r="P420" s="2">
        <v>1</v>
      </c>
      <c r="Q420" s="2">
        <v>2.975676E-3</v>
      </c>
      <c r="Z420" s="89">
        <v>105</v>
      </c>
      <c r="AA420" s="2">
        <v>46</v>
      </c>
      <c r="AB420" s="2">
        <v>0</v>
      </c>
      <c r="AC420" s="2">
        <v>4.4254660000000001</v>
      </c>
      <c r="AL420" s="89">
        <v>108</v>
      </c>
      <c r="AM420" s="2">
        <v>45</v>
      </c>
      <c r="AN420" s="2">
        <v>1</v>
      </c>
      <c r="AO420" s="2">
        <v>1.6841379999999999</v>
      </c>
      <c r="AX420" s="89">
        <v>120</v>
      </c>
      <c r="AY420" s="2">
        <v>47</v>
      </c>
      <c r="AZ420" s="2">
        <v>0</v>
      </c>
      <c r="BA420" s="2">
        <v>0.18116289999999999</v>
      </c>
      <c r="BJ420" s="89">
        <v>117</v>
      </c>
      <c r="BK420" s="2">
        <v>47</v>
      </c>
      <c r="BL420" s="2">
        <v>1</v>
      </c>
      <c r="BM420" s="2">
        <v>1.829871</v>
      </c>
      <c r="BV420" s="89">
        <v>115</v>
      </c>
      <c r="BW420" s="2">
        <v>47</v>
      </c>
      <c r="BX420" s="2">
        <v>0</v>
      </c>
      <c r="BY420" s="2">
        <v>1.5073019999999999</v>
      </c>
      <c r="CH420" s="89">
        <v>115</v>
      </c>
      <c r="CI420" s="2">
        <v>47</v>
      </c>
      <c r="CJ420" s="2">
        <v>1</v>
      </c>
      <c r="CK420" s="2">
        <v>2.7678479999999999</v>
      </c>
      <c r="CT420" s="89">
        <v>107</v>
      </c>
      <c r="CU420" s="2">
        <v>47</v>
      </c>
      <c r="CV420" s="2">
        <v>1</v>
      </c>
      <c r="CW420" s="2">
        <v>1E-3</v>
      </c>
      <c r="DF420" s="89">
        <v>113</v>
      </c>
      <c r="DG420" s="2">
        <v>47</v>
      </c>
      <c r="DH420" s="2">
        <v>0</v>
      </c>
      <c r="DI420" s="2">
        <v>1.864082</v>
      </c>
      <c r="DR420" s="89">
        <v>106</v>
      </c>
      <c r="DS420" s="2">
        <v>45</v>
      </c>
      <c r="DT420" s="2">
        <v>1</v>
      </c>
      <c r="DU420" s="2">
        <v>0.14646670000000001</v>
      </c>
      <c r="ED420" s="89">
        <v>114</v>
      </c>
      <c r="EE420" s="2">
        <v>47</v>
      </c>
      <c r="EF420" s="2">
        <v>1</v>
      </c>
      <c r="EG420" s="2">
        <v>1.1574850000000001</v>
      </c>
      <c r="ES420">
        <v>114</v>
      </c>
      <c r="ET420">
        <v>47</v>
      </c>
      <c r="EU420">
        <v>1</v>
      </c>
      <c r="EV420">
        <v>1.1574850000000001</v>
      </c>
    </row>
    <row r="421" spans="14:152" x14ac:dyDescent="0.4">
      <c r="N421" s="89">
        <v>113</v>
      </c>
      <c r="O421" s="2">
        <v>45</v>
      </c>
      <c r="P421" s="2">
        <v>0</v>
      </c>
      <c r="Q421" s="2">
        <v>0.18592159999999999</v>
      </c>
      <c r="Z421" s="89">
        <v>106</v>
      </c>
      <c r="AA421" s="2">
        <v>46</v>
      </c>
      <c r="AB421" s="2">
        <v>0</v>
      </c>
      <c r="AC421" s="2">
        <v>4.3076850000000002</v>
      </c>
      <c r="AL421" s="89">
        <v>109</v>
      </c>
      <c r="AM421" s="2">
        <v>45</v>
      </c>
      <c r="AN421" s="2">
        <v>0</v>
      </c>
      <c r="AO421" s="2">
        <v>2.4628779999999999</v>
      </c>
      <c r="AX421" s="89">
        <v>120</v>
      </c>
      <c r="AY421" s="2">
        <v>47</v>
      </c>
      <c r="AZ421" s="2">
        <v>1</v>
      </c>
      <c r="BA421" s="2">
        <v>0.25027840000000001</v>
      </c>
      <c r="BJ421" s="89">
        <v>118</v>
      </c>
      <c r="BK421" s="2">
        <v>47</v>
      </c>
      <c r="BL421" s="2">
        <v>0</v>
      </c>
      <c r="BM421" s="2">
        <v>0.67017660000000001</v>
      </c>
      <c r="BV421" s="89">
        <v>115</v>
      </c>
      <c r="BW421" s="2">
        <v>47</v>
      </c>
      <c r="BX421" s="2">
        <v>1</v>
      </c>
      <c r="BY421" s="2">
        <v>2.947263</v>
      </c>
      <c r="CH421" s="89">
        <v>116</v>
      </c>
      <c r="CI421" s="2">
        <v>47</v>
      </c>
      <c r="CJ421" s="2">
        <v>0</v>
      </c>
      <c r="CK421" s="2">
        <v>0.91621209999999997</v>
      </c>
      <c r="CT421" s="89">
        <v>108</v>
      </c>
      <c r="CU421" s="2">
        <v>47</v>
      </c>
      <c r="CV421" s="2">
        <v>0</v>
      </c>
      <c r="CW421" s="2">
        <v>3.9399999999999999E-3</v>
      </c>
      <c r="DF421" s="89">
        <v>113</v>
      </c>
      <c r="DG421" s="2">
        <v>47</v>
      </c>
      <c r="DH421" s="2">
        <v>1</v>
      </c>
      <c r="DI421" s="2">
        <v>2.6905519999999998</v>
      </c>
      <c r="DR421" s="89">
        <v>107</v>
      </c>
      <c r="DS421" s="2">
        <v>45</v>
      </c>
      <c r="DT421" s="2">
        <v>0</v>
      </c>
      <c r="DU421" s="2">
        <v>4.4158080000000002</v>
      </c>
      <c r="ED421" s="89">
        <v>115</v>
      </c>
      <c r="EE421" s="2">
        <v>47</v>
      </c>
      <c r="EF421" s="2">
        <v>0</v>
      </c>
      <c r="EG421" s="2">
        <v>1.358962</v>
      </c>
      <c r="ES421">
        <v>115</v>
      </c>
      <c r="ET421">
        <v>47</v>
      </c>
      <c r="EU421">
        <v>0</v>
      </c>
      <c r="EV421">
        <v>1.358962</v>
      </c>
    </row>
    <row r="422" spans="14:152" x14ac:dyDescent="0.4">
      <c r="N422" s="89">
        <v>114</v>
      </c>
      <c r="O422" s="2">
        <v>45</v>
      </c>
      <c r="P422" s="2">
        <v>0</v>
      </c>
      <c r="Q422" s="2">
        <v>6.9939200000000007E-2</v>
      </c>
      <c r="Z422" s="89">
        <v>107</v>
      </c>
      <c r="AA422" s="2">
        <v>46</v>
      </c>
      <c r="AB422" s="2">
        <v>0</v>
      </c>
      <c r="AC422" s="2">
        <v>4.0782920000000003</v>
      </c>
      <c r="AL422" s="89">
        <v>110</v>
      </c>
      <c r="AM422" s="2">
        <v>45</v>
      </c>
      <c r="AN422" s="2">
        <v>0</v>
      </c>
      <c r="AO422" s="2">
        <v>1.4309940000000001</v>
      </c>
      <c r="AX422" s="89">
        <v>121</v>
      </c>
      <c r="AY422" s="2">
        <v>47</v>
      </c>
      <c r="AZ422" s="2">
        <v>0</v>
      </c>
      <c r="BA422" s="2">
        <v>0.1479838</v>
      </c>
      <c r="BJ422" s="89">
        <v>118</v>
      </c>
      <c r="BK422" s="2">
        <v>47</v>
      </c>
      <c r="BL422" s="2">
        <v>1</v>
      </c>
      <c r="BM422" s="2">
        <v>0.96349560000000001</v>
      </c>
      <c r="BV422" s="89">
        <v>116</v>
      </c>
      <c r="BW422" s="2">
        <v>47</v>
      </c>
      <c r="BX422" s="2">
        <v>0</v>
      </c>
      <c r="BY422" s="2">
        <v>1.922579</v>
      </c>
      <c r="CH422" s="89">
        <v>116</v>
      </c>
      <c r="CI422" s="2">
        <v>47</v>
      </c>
      <c r="CJ422" s="2">
        <v>1</v>
      </c>
      <c r="CK422" s="2">
        <v>1.5104120000000001</v>
      </c>
      <c r="CT422" s="89">
        <v>108</v>
      </c>
      <c r="CU422" s="2">
        <v>47</v>
      </c>
      <c r="CV422" s="2">
        <v>1</v>
      </c>
      <c r="CW422" s="2">
        <v>6.6666670000000003E-3</v>
      </c>
      <c r="DF422" s="89">
        <v>114</v>
      </c>
      <c r="DG422" s="2">
        <v>47</v>
      </c>
      <c r="DH422" s="2">
        <v>0</v>
      </c>
      <c r="DI422" s="2">
        <v>2.979301</v>
      </c>
      <c r="DR422" s="89">
        <v>108</v>
      </c>
      <c r="DS422" s="2">
        <v>45</v>
      </c>
      <c r="DT422" s="2">
        <v>0</v>
      </c>
      <c r="DU422" s="2">
        <v>3.3110919999999999</v>
      </c>
      <c r="ED422" s="89">
        <v>115</v>
      </c>
      <c r="EE422" s="2">
        <v>47</v>
      </c>
      <c r="EF422" s="2">
        <v>1</v>
      </c>
      <c r="EG422" s="2">
        <v>3.1277759999999999</v>
      </c>
      <c r="ES422">
        <v>115</v>
      </c>
      <c r="ET422">
        <v>47</v>
      </c>
      <c r="EU422">
        <v>1</v>
      </c>
      <c r="EV422">
        <v>3.1277759999999999</v>
      </c>
    </row>
    <row r="423" spans="14:152" x14ac:dyDescent="0.4">
      <c r="N423" s="89">
        <v>115</v>
      </c>
      <c r="O423" s="2">
        <v>45</v>
      </c>
      <c r="P423" s="2">
        <v>0</v>
      </c>
      <c r="Q423" s="2">
        <v>2.3006200000000001E-2</v>
      </c>
      <c r="Z423" s="89">
        <v>107</v>
      </c>
      <c r="AA423" s="2">
        <v>46</v>
      </c>
      <c r="AB423" s="2">
        <v>1</v>
      </c>
      <c r="AC423" s="2">
        <v>0.14499999999999999</v>
      </c>
      <c r="AL423" s="89">
        <v>110</v>
      </c>
      <c r="AM423" s="2">
        <v>45</v>
      </c>
      <c r="AN423" s="2">
        <v>1</v>
      </c>
      <c r="AO423" s="2">
        <v>2.5000000000000001E-2</v>
      </c>
      <c r="AX423" s="89">
        <v>122</v>
      </c>
      <c r="AY423" s="2">
        <v>47</v>
      </c>
      <c r="AZ423" s="2">
        <v>0</v>
      </c>
      <c r="BA423" s="2">
        <v>1.3875E-2</v>
      </c>
      <c r="BJ423" s="89">
        <v>119</v>
      </c>
      <c r="BK423" s="2">
        <v>47</v>
      </c>
      <c r="BL423" s="2">
        <v>0</v>
      </c>
      <c r="BM423" s="2">
        <v>7.8287410000000002E-2</v>
      </c>
      <c r="BV423" s="89">
        <v>116</v>
      </c>
      <c r="BW423" s="2">
        <v>47</v>
      </c>
      <c r="BX423" s="2">
        <v>1</v>
      </c>
      <c r="BY423" s="2">
        <v>1.5864419999999999</v>
      </c>
      <c r="CH423" s="89">
        <v>117</v>
      </c>
      <c r="CI423" s="2">
        <v>47</v>
      </c>
      <c r="CJ423" s="2">
        <v>0</v>
      </c>
      <c r="CK423" s="2">
        <v>0.29507290000000003</v>
      </c>
      <c r="CT423" s="89">
        <v>109</v>
      </c>
      <c r="CU423" s="2">
        <v>47</v>
      </c>
      <c r="CV423" s="2">
        <v>0</v>
      </c>
      <c r="CW423" s="2">
        <v>3.7306729999999999</v>
      </c>
      <c r="DF423" s="89">
        <v>114</v>
      </c>
      <c r="DG423" s="2">
        <v>47</v>
      </c>
      <c r="DH423" s="2">
        <v>1</v>
      </c>
      <c r="DI423" s="2">
        <v>0.20150970000000001</v>
      </c>
      <c r="DR423" s="89">
        <v>108</v>
      </c>
      <c r="DS423" s="2">
        <v>45</v>
      </c>
      <c r="DT423" s="2">
        <v>1</v>
      </c>
      <c r="DU423" s="2">
        <v>0.85535629999999996</v>
      </c>
      <c r="ED423" s="89">
        <v>116</v>
      </c>
      <c r="EE423" s="2">
        <v>47</v>
      </c>
      <c r="EF423" s="2">
        <v>0</v>
      </c>
      <c r="EG423" s="2">
        <v>1.5167649999999999</v>
      </c>
      <c r="ES423">
        <v>116</v>
      </c>
      <c r="ET423">
        <v>47</v>
      </c>
      <c r="EU423">
        <v>0</v>
      </c>
      <c r="EV423">
        <v>1.5167649999999999</v>
      </c>
    </row>
    <row r="424" spans="14:152" x14ac:dyDescent="0.4">
      <c r="N424" s="89">
        <v>116</v>
      </c>
      <c r="O424" s="2">
        <v>45</v>
      </c>
      <c r="P424" s="2">
        <v>0</v>
      </c>
      <c r="Q424" s="2">
        <v>2.8225339999999998E-3</v>
      </c>
      <c r="Z424" s="89">
        <v>108</v>
      </c>
      <c r="AA424" s="2">
        <v>46</v>
      </c>
      <c r="AB424" s="2">
        <v>0</v>
      </c>
      <c r="AC424" s="2">
        <v>3.9491580000000002</v>
      </c>
      <c r="AL424" s="89">
        <v>111</v>
      </c>
      <c r="AM424" s="2">
        <v>45</v>
      </c>
      <c r="AN424" s="2">
        <v>0</v>
      </c>
      <c r="AO424" s="2">
        <v>0.88998969999999999</v>
      </c>
      <c r="AX424" s="89">
        <v>122</v>
      </c>
      <c r="AY424" s="2">
        <v>47</v>
      </c>
      <c r="AZ424" s="2">
        <v>1</v>
      </c>
      <c r="BA424" s="2">
        <v>2.3125E-2</v>
      </c>
      <c r="BJ424" s="89">
        <v>119</v>
      </c>
      <c r="BK424" s="2">
        <v>47</v>
      </c>
      <c r="BL424" s="2">
        <v>1</v>
      </c>
      <c r="BM424" s="2">
        <v>0.56571260000000001</v>
      </c>
      <c r="BV424" s="89">
        <v>117</v>
      </c>
      <c r="BW424" s="2">
        <v>47</v>
      </c>
      <c r="BX424" s="2">
        <v>0</v>
      </c>
      <c r="BY424" s="2">
        <v>0.7206707</v>
      </c>
      <c r="CH424" s="89">
        <v>117</v>
      </c>
      <c r="CI424" s="2">
        <v>47</v>
      </c>
      <c r="CJ424" s="2">
        <v>1</v>
      </c>
      <c r="CK424" s="2">
        <v>1.3213330000000001</v>
      </c>
      <c r="CT424" s="89">
        <v>109</v>
      </c>
      <c r="CU424" s="2">
        <v>47</v>
      </c>
      <c r="CV424" s="2">
        <v>1</v>
      </c>
      <c r="CW424" s="2">
        <v>3.7268270000000001</v>
      </c>
      <c r="DF424" s="89">
        <v>115</v>
      </c>
      <c r="DG424" s="2">
        <v>47</v>
      </c>
      <c r="DH424" s="2">
        <v>0</v>
      </c>
      <c r="DI424" s="2">
        <v>1.300872</v>
      </c>
      <c r="DR424" s="89">
        <v>109</v>
      </c>
      <c r="DS424" s="2">
        <v>45</v>
      </c>
      <c r="DT424" s="2">
        <v>0</v>
      </c>
      <c r="DU424" s="2">
        <v>3.7545730000000002</v>
      </c>
      <c r="ED424" s="89">
        <v>116</v>
      </c>
      <c r="EE424" s="2">
        <v>47</v>
      </c>
      <c r="EF424" s="2">
        <v>1</v>
      </c>
      <c r="EG424" s="2">
        <v>1.699082</v>
      </c>
      <c r="ES424">
        <v>116</v>
      </c>
      <c r="ET424">
        <v>47</v>
      </c>
      <c r="EU424">
        <v>1</v>
      </c>
      <c r="EV424">
        <v>1.699082</v>
      </c>
    </row>
    <row r="425" spans="14:152" x14ac:dyDescent="0.4">
      <c r="N425" s="89">
        <v>116</v>
      </c>
      <c r="O425" s="2">
        <v>45</v>
      </c>
      <c r="P425" s="2">
        <v>1</v>
      </c>
      <c r="Q425" s="2">
        <v>9.1666669999999999E-3</v>
      </c>
      <c r="Z425" s="89">
        <v>109</v>
      </c>
      <c r="AA425" s="2">
        <v>46</v>
      </c>
      <c r="AB425" s="2">
        <v>0</v>
      </c>
      <c r="AC425" s="2">
        <v>3.6276510000000002</v>
      </c>
      <c r="AL425" s="89">
        <v>112</v>
      </c>
      <c r="AM425" s="2">
        <v>45</v>
      </c>
      <c r="AN425" s="2">
        <v>0</v>
      </c>
      <c r="AO425" s="2">
        <v>0.3951691</v>
      </c>
      <c r="AX425" s="89">
        <v>123</v>
      </c>
      <c r="AY425" s="2">
        <v>47</v>
      </c>
      <c r="AZ425" s="2">
        <v>0</v>
      </c>
      <c r="BA425" s="2">
        <v>1.7999999999999999E-2</v>
      </c>
      <c r="BJ425" s="89">
        <v>120</v>
      </c>
      <c r="BK425" s="2">
        <v>47</v>
      </c>
      <c r="BL425" s="2">
        <v>0</v>
      </c>
      <c r="BM425" s="2">
        <v>0.1329043</v>
      </c>
      <c r="BV425" s="89">
        <v>117</v>
      </c>
      <c r="BW425" s="2">
        <v>47</v>
      </c>
      <c r="BX425" s="2">
        <v>1</v>
      </c>
      <c r="BY425" s="2">
        <v>2.2259850000000001</v>
      </c>
      <c r="CH425" s="89">
        <v>118</v>
      </c>
      <c r="CI425" s="2">
        <v>47</v>
      </c>
      <c r="CJ425" s="2">
        <v>0</v>
      </c>
      <c r="CK425" s="2">
        <v>0.43002499999999999</v>
      </c>
      <c r="CT425" s="89">
        <v>110</v>
      </c>
      <c r="CU425" s="2">
        <v>47</v>
      </c>
      <c r="CV425" s="2">
        <v>0</v>
      </c>
      <c r="CW425" s="2">
        <v>2.7261290000000001E-2</v>
      </c>
      <c r="DF425" s="89">
        <v>115</v>
      </c>
      <c r="DG425" s="2">
        <v>47</v>
      </c>
      <c r="DH425" s="2">
        <v>1</v>
      </c>
      <c r="DI425" s="2">
        <v>1.857086</v>
      </c>
      <c r="DR425" s="89">
        <v>110</v>
      </c>
      <c r="DS425" s="2">
        <v>45</v>
      </c>
      <c r="DT425" s="2">
        <v>0</v>
      </c>
      <c r="DU425" s="2">
        <v>3.0478519999999998</v>
      </c>
      <c r="ED425" s="89">
        <v>117</v>
      </c>
      <c r="EE425" s="2">
        <v>47</v>
      </c>
      <c r="EF425" s="2">
        <v>0</v>
      </c>
      <c r="EG425" s="2">
        <v>0.55220800000000003</v>
      </c>
      <c r="ES425">
        <v>117</v>
      </c>
      <c r="ET425">
        <v>47</v>
      </c>
      <c r="EU425">
        <v>0</v>
      </c>
      <c r="EV425">
        <v>0.55220800000000003</v>
      </c>
    </row>
    <row r="426" spans="14:152" x14ac:dyDescent="0.4">
      <c r="N426" s="89">
        <v>117</v>
      </c>
      <c r="O426" s="2">
        <v>45</v>
      </c>
      <c r="P426" s="2">
        <v>0</v>
      </c>
      <c r="Q426" s="2">
        <v>5.0000000000000001E-3</v>
      </c>
      <c r="Z426" s="89">
        <v>109</v>
      </c>
      <c r="AA426" s="2">
        <v>46</v>
      </c>
      <c r="AB426" s="2">
        <v>1</v>
      </c>
      <c r="AC426" s="2">
        <v>2.0843259999999999</v>
      </c>
      <c r="AL426" s="89">
        <v>112</v>
      </c>
      <c r="AM426" s="2">
        <v>45</v>
      </c>
      <c r="AN426" s="2">
        <v>1</v>
      </c>
      <c r="AO426" s="2">
        <v>2.9747189999999998E-3</v>
      </c>
      <c r="AX426" s="89">
        <v>124</v>
      </c>
      <c r="AY426" s="2">
        <v>47</v>
      </c>
      <c r="AZ426" s="2">
        <v>0</v>
      </c>
      <c r="BA426" s="2">
        <v>1.3333329999999999E-3</v>
      </c>
      <c r="BJ426" s="89">
        <v>120</v>
      </c>
      <c r="BK426" s="2">
        <v>47</v>
      </c>
      <c r="BL426" s="2">
        <v>1</v>
      </c>
      <c r="BM426" s="2">
        <v>0.18270449999999999</v>
      </c>
      <c r="BV426" s="89">
        <v>118</v>
      </c>
      <c r="BW426" s="2">
        <v>47</v>
      </c>
      <c r="BX426" s="2">
        <v>0</v>
      </c>
      <c r="BY426" s="2">
        <v>1.1282179999999999</v>
      </c>
      <c r="CH426" s="89">
        <v>118</v>
      </c>
      <c r="CI426" s="2">
        <v>47</v>
      </c>
      <c r="CJ426" s="2">
        <v>1</v>
      </c>
      <c r="CK426" s="2">
        <v>0.66242210000000001</v>
      </c>
      <c r="CT426" s="89">
        <v>110</v>
      </c>
      <c r="CU426" s="2">
        <v>47</v>
      </c>
      <c r="CV426" s="2">
        <v>1</v>
      </c>
      <c r="CW426" s="2">
        <v>0.105169</v>
      </c>
      <c r="DF426" s="89">
        <v>116</v>
      </c>
      <c r="DG426" s="2">
        <v>47</v>
      </c>
      <c r="DH426" s="2">
        <v>0</v>
      </c>
      <c r="DI426" s="2">
        <v>1.9876769999999999</v>
      </c>
      <c r="DR426" s="89">
        <v>110</v>
      </c>
      <c r="DS426" s="2">
        <v>45</v>
      </c>
      <c r="DT426" s="2">
        <v>1</v>
      </c>
      <c r="DU426" s="2">
        <v>3.5000000000000003E-2</v>
      </c>
      <c r="ED426" s="89">
        <v>117</v>
      </c>
      <c r="EE426" s="2">
        <v>47</v>
      </c>
      <c r="EF426" s="2">
        <v>1</v>
      </c>
      <c r="EG426" s="2">
        <v>2.0351430000000001</v>
      </c>
      <c r="ES426">
        <v>117</v>
      </c>
      <c r="ET426">
        <v>47</v>
      </c>
      <c r="EU426">
        <v>1</v>
      </c>
      <c r="EV426">
        <v>2.0351430000000001</v>
      </c>
    </row>
    <row r="427" spans="14:152" x14ac:dyDescent="0.4">
      <c r="N427" s="89">
        <v>118</v>
      </c>
      <c r="O427" s="2">
        <v>45</v>
      </c>
      <c r="P427" s="2">
        <v>0</v>
      </c>
      <c r="Q427" s="2">
        <v>2E-3</v>
      </c>
      <c r="Z427" s="89">
        <v>110</v>
      </c>
      <c r="AA427" s="2">
        <v>46</v>
      </c>
      <c r="AB427" s="2">
        <v>0</v>
      </c>
      <c r="AC427" s="2">
        <v>3.3290259999999998</v>
      </c>
      <c r="AL427" s="89">
        <v>113</v>
      </c>
      <c r="AM427" s="2">
        <v>45</v>
      </c>
      <c r="AN427" s="2">
        <v>0</v>
      </c>
      <c r="AO427" s="2">
        <v>0.20492160000000001</v>
      </c>
      <c r="AX427" s="89">
        <v>124</v>
      </c>
      <c r="AY427" s="2">
        <v>47</v>
      </c>
      <c r="AZ427" s="2">
        <v>1</v>
      </c>
      <c r="BA427" s="2">
        <v>1.3333329999999999E-3</v>
      </c>
      <c r="BJ427" s="89">
        <v>121</v>
      </c>
      <c r="BK427" s="2">
        <v>47</v>
      </c>
      <c r="BL427" s="2">
        <v>0</v>
      </c>
      <c r="BM427" s="2">
        <v>8.6991910000000006E-2</v>
      </c>
      <c r="BV427" s="89">
        <v>118</v>
      </c>
      <c r="BW427" s="2">
        <v>47</v>
      </c>
      <c r="BX427" s="2">
        <v>1</v>
      </c>
      <c r="BY427" s="2">
        <v>1.397634</v>
      </c>
      <c r="CH427" s="89">
        <v>119</v>
      </c>
      <c r="CI427" s="2">
        <v>47</v>
      </c>
      <c r="CJ427" s="2">
        <v>0</v>
      </c>
      <c r="CK427" s="2">
        <v>3.8615389999999999E-2</v>
      </c>
      <c r="CT427" s="89">
        <v>111</v>
      </c>
      <c r="CU427" s="2">
        <v>47</v>
      </c>
      <c r="CV427" s="2">
        <v>0</v>
      </c>
      <c r="CW427" s="2">
        <v>3.7880739999999999</v>
      </c>
      <c r="DF427" s="89">
        <v>116</v>
      </c>
      <c r="DG427" s="2">
        <v>47</v>
      </c>
      <c r="DH427" s="2">
        <v>1</v>
      </c>
      <c r="DI427" s="2">
        <v>0.77687499999999998</v>
      </c>
      <c r="DR427" s="89">
        <v>111</v>
      </c>
      <c r="DS427" s="2">
        <v>45</v>
      </c>
      <c r="DT427" s="2">
        <v>0</v>
      </c>
      <c r="DU427" s="2">
        <v>2.5647470000000001</v>
      </c>
      <c r="ED427" s="89">
        <v>118</v>
      </c>
      <c r="EE427" s="2">
        <v>47</v>
      </c>
      <c r="EF427" s="2">
        <v>0</v>
      </c>
      <c r="EG427" s="2">
        <v>0.82773200000000002</v>
      </c>
      <c r="ES427">
        <v>118</v>
      </c>
      <c r="ET427">
        <v>47</v>
      </c>
      <c r="EU427">
        <v>0</v>
      </c>
      <c r="EV427">
        <v>0.82773200000000002</v>
      </c>
    </row>
    <row r="428" spans="14:152" x14ac:dyDescent="0.4">
      <c r="N428" s="89">
        <v>119</v>
      </c>
      <c r="O428" s="2">
        <v>45</v>
      </c>
      <c r="P428" s="2">
        <v>0</v>
      </c>
      <c r="Q428" s="2">
        <v>1E-3</v>
      </c>
      <c r="Z428" s="89">
        <v>111</v>
      </c>
      <c r="AA428" s="2">
        <v>46</v>
      </c>
      <c r="AB428" s="2">
        <v>0</v>
      </c>
      <c r="AC428" s="2">
        <v>2.3993699999999998</v>
      </c>
      <c r="AL428" s="89">
        <v>114</v>
      </c>
      <c r="AM428" s="2">
        <v>45</v>
      </c>
      <c r="AN428" s="2">
        <v>0</v>
      </c>
      <c r="AO428" s="2">
        <v>7.2953279999999995E-2</v>
      </c>
      <c r="AX428" s="89">
        <v>125</v>
      </c>
      <c r="AY428" s="2">
        <v>47</v>
      </c>
      <c r="AZ428" s="2">
        <v>0</v>
      </c>
      <c r="BA428" s="2">
        <v>1E-3</v>
      </c>
      <c r="BJ428" s="89">
        <v>122</v>
      </c>
      <c r="BK428" s="2">
        <v>47</v>
      </c>
      <c r="BL428" s="2">
        <v>0</v>
      </c>
      <c r="BM428" s="2">
        <v>5.5199999999999997E-3</v>
      </c>
      <c r="BV428" s="89">
        <v>119</v>
      </c>
      <c r="BW428" s="2">
        <v>47</v>
      </c>
      <c r="BX428" s="2">
        <v>0</v>
      </c>
      <c r="BY428" s="2">
        <v>0.1790503</v>
      </c>
      <c r="CH428" s="89">
        <v>119</v>
      </c>
      <c r="CI428" s="2">
        <v>47</v>
      </c>
      <c r="CJ428" s="2">
        <v>1</v>
      </c>
      <c r="CK428" s="2">
        <v>0.36438470000000001</v>
      </c>
      <c r="CT428" s="89">
        <v>111</v>
      </c>
      <c r="CU428" s="2">
        <v>47</v>
      </c>
      <c r="CV428" s="2">
        <v>1</v>
      </c>
      <c r="CW428" s="2">
        <v>3.685425</v>
      </c>
      <c r="DF428" s="89">
        <v>117</v>
      </c>
      <c r="DG428" s="2">
        <v>47</v>
      </c>
      <c r="DH428" s="2">
        <v>0</v>
      </c>
      <c r="DI428" s="2">
        <v>0.75229939999999995</v>
      </c>
      <c r="DR428" s="89">
        <v>112</v>
      </c>
      <c r="DS428" s="2">
        <v>45</v>
      </c>
      <c r="DT428" s="2">
        <v>0</v>
      </c>
      <c r="DU428" s="2">
        <v>1.6983060000000001</v>
      </c>
      <c r="ED428" s="89">
        <v>118</v>
      </c>
      <c r="EE428" s="2">
        <v>47</v>
      </c>
      <c r="EF428" s="2">
        <v>1</v>
      </c>
      <c r="EG428" s="2">
        <v>1.130517</v>
      </c>
      <c r="ES428">
        <v>118</v>
      </c>
      <c r="ET428">
        <v>47</v>
      </c>
      <c r="EU428">
        <v>1</v>
      </c>
      <c r="EV428">
        <v>1.130517</v>
      </c>
    </row>
    <row r="429" spans="14:152" x14ac:dyDescent="0.4">
      <c r="N429" s="89">
        <v>102</v>
      </c>
      <c r="O429" s="2">
        <v>46</v>
      </c>
      <c r="P429" s="2">
        <v>0</v>
      </c>
      <c r="Q429" s="2">
        <v>2.0000000000000001E-4</v>
      </c>
      <c r="Z429" s="89">
        <v>111</v>
      </c>
      <c r="AA429" s="2">
        <v>46</v>
      </c>
      <c r="AB429" s="2">
        <v>1</v>
      </c>
      <c r="AC429" s="2">
        <v>1.1919999999999999</v>
      </c>
      <c r="AL429" s="89">
        <v>114</v>
      </c>
      <c r="AM429" s="2">
        <v>45</v>
      </c>
      <c r="AN429" s="2">
        <v>1</v>
      </c>
      <c r="AO429" s="2">
        <v>9.8591549999999992E-4</v>
      </c>
      <c r="AX429" s="89">
        <v>110</v>
      </c>
      <c r="AY429" s="2">
        <v>48</v>
      </c>
      <c r="AZ429" s="2">
        <v>0</v>
      </c>
      <c r="BA429" s="2">
        <v>2.1974690000000002E-2</v>
      </c>
      <c r="BJ429" s="89">
        <v>122</v>
      </c>
      <c r="BK429" s="2">
        <v>47</v>
      </c>
      <c r="BL429" s="2">
        <v>1</v>
      </c>
      <c r="BM429" s="2">
        <v>1.7479999999999999E-2</v>
      </c>
      <c r="BV429" s="89">
        <v>119</v>
      </c>
      <c r="BW429" s="2">
        <v>47</v>
      </c>
      <c r="BX429" s="2">
        <v>1</v>
      </c>
      <c r="BY429" s="2">
        <v>0.9981276</v>
      </c>
      <c r="CH429" s="89">
        <v>120</v>
      </c>
      <c r="CI429" s="2">
        <v>47</v>
      </c>
      <c r="CJ429" s="2">
        <v>0</v>
      </c>
      <c r="CK429" s="2">
        <v>9.2079709999999995E-2</v>
      </c>
      <c r="CT429" s="89">
        <v>112</v>
      </c>
      <c r="CU429" s="2">
        <v>47</v>
      </c>
      <c r="CV429" s="2">
        <v>0</v>
      </c>
      <c r="CW429" s="2">
        <v>3.8966500000000002</v>
      </c>
      <c r="DF429" s="89">
        <v>117</v>
      </c>
      <c r="DG429" s="2">
        <v>47</v>
      </c>
      <c r="DH429" s="2">
        <v>1</v>
      </c>
      <c r="DI429" s="2">
        <v>1.778794</v>
      </c>
      <c r="DR429" s="89">
        <v>112</v>
      </c>
      <c r="DS429" s="2">
        <v>45</v>
      </c>
      <c r="DT429" s="2">
        <v>1</v>
      </c>
      <c r="DU429" s="2">
        <v>9.9226000000000002E-3</v>
      </c>
      <c r="ED429" s="89">
        <v>119</v>
      </c>
      <c r="EE429" s="2">
        <v>47</v>
      </c>
      <c r="EF429" s="2">
        <v>0</v>
      </c>
      <c r="EG429" s="2">
        <v>0.10758330000000001</v>
      </c>
      <c r="ES429">
        <v>119</v>
      </c>
      <c r="ET429">
        <v>47</v>
      </c>
      <c r="EU429">
        <v>0</v>
      </c>
      <c r="EV429">
        <v>0.10758330000000001</v>
      </c>
    </row>
    <row r="430" spans="14:152" x14ac:dyDescent="0.4">
      <c r="N430" s="89">
        <v>103</v>
      </c>
      <c r="O430" s="2">
        <v>46</v>
      </c>
      <c r="P430" s="2">
        <v>0</v>
      </c>
      <c r="Q430" s="2">
        <v>2E-3</v>
      </c>
      <c r="Z430" s="89">
        <v>112</v>
      </c>
      <c r="AA430" s="2">
        <v>46</v>
      </c>
      <c r="AB430" s="2">
        <v>0</v>
      </c>
      <c r="AC430" s="2">
        <v>2.1018620000000001</v>
      </c>
      <c r="AL430" s="89">
        <v>115</v>
      </c>
      <c r="AM430" s="2">
        <v>45</v>
      </c>
      <c r="AN430" s="2">
        <v>0</v>
      </c>
      <c r="AO430" s="2">
        <v>2.4006199999999998E-2</v>
      </c>
      <c r="AX430" s="89">
        <v>111</v>
      </c>
      <c r="AY430" s="2">
        <v>48</v>
      </c>
      <c r="AZ430" s="2">
        <v>0</v>
      </c>
      <c r="BA430" s="2">
        <v>5.2328330000000003</v>
      </c>
      <c r="BJ430" s="89">
        <v>123</v>
      </c>
      <c r="BK430" s="2">
        <v>47</v>
      </c>
      <c r="BL430" s="2">
        <v>0</v>
      </c>
      <c r="BM430" s="2">
        <v>5.0000000000000001E-3</v>
      </c>
      <c r="BV430" s="89">
        <v>120</v>
      </c>
      <c r="BW430" s="2">
        <v>47</v>
      </c>
      <c r="BX430" s="2">
        <v>0</v>
      </c>
      <c r="BY430" s="2">
        <v>0.32778970000000002</v>
      </c>
      <c r="CH430" s="89">
        <v>120</v>
      </c>
      <c r="CI430" s="2">
        <v>47</v>
      </c>
      <c r="CJ430" s="2">
        <v>1</v>
      </c>
      <c r="CK430" s="2">
        <v>0.1284535</v>
      </c>
      <c r="CT430" s="89">
        <v>113</v>
      </c>
      <c r="CU430" s="2">
        <v>47</v>
      </c>
      <c r="CV430" s="2">
        <v>0</v>
      </c>
      <c r="CW430" s="2">
        <v>2.4817830000000001</v>
      </c>
      <c r="DF430" s="89">
        <v>118</v>
      </c>
      <c r="DG430" s="2">
        <v>47</v>
      </c>
      <c r="DH430" s="2">
        <v>0</v>
      </c>
      <c r="DI430" s="2">
        <v>1.19929</v>
      </c>
      <c r="DR430" s="89">
        <v>113</v>
      </c>
      <c r="DS430" s="2">
        <v>45</v>
      </c>
      <c r="DT430" s="2">
        <v>0</v>
      </c>
      <c r="DU430" s="2">
        <v>1.024111</v>
      </c>
      <c r="ED430" s="89">
        <v>119</v>
      </c>
      <c r="EE430" s="2">
        <v>47</v>
      </c>
      <c r="EF430" s="2">
        <v>1</v>
      </c>
      <c r="EG430" s="2">
        <v>0.79341669999999997</v>
      </c>
      <c r="ES430">
        <v>119</v>
      </c>
      <c r="ET430">
        <v>47</v>
      </c>
      <c r="EU430">
        <v>1</v>
      </c>
      <c r="EV430">
        <v>0.79341669999999997</v>
      </c>
    </row>
    <row r="431" spans="14:152" x14ac:dyDescent="0.4">
      <c r="N431" s="89">
        <v>104</v>
      </c>
      <c r="O431" s="2">
        <v>46</v>
      </c>
      <c r="P431" s="2">
        <v>0</v>
      </c>
      <c r="Q431" s="2">
        <v>0.13838880000000001</v>
      </c>
      <c r="Z431" s="89">
        <v>113</v>
      </c>
      <c r="AA431" s="2">
        <v>46</v>
      </c>
      <c r="AB431" s="2">
        <v>0</v>
      </c>
      <c r="AC431" s="2">
        <v>1.4079280000000001</v>
      </c>
      <c r="AL431" s="89">
        <v>116</v>
      </c>
      <c r="AM431" s="2">
        <v>45</v>
      </c>
      <c r="AN431" s="2">
        <v>0</v>
      </c>
      <c r="AO431" s="2">
        <v>1.9892E-3</v>
      </c>
      <c r="AX431" s="89">
        <v>112</v>
      </c>
      <c r="AY431" s="2">
        <v>48</v>
      </c>
      <c r="AZ431" s="2">
        <v>0</v>
      </c>
      <c r="BA431" s="2">
        <v>5.1646559999999999</v>
      </c>
      <c r="BJ431" s="89">
        <v>124</v>
      </c>
      <c r="BK431" s="2">
        <v>47</v>
      </c>
      <c r="BL431" s="2">
        <v>0</v>
      </c>
      <c r="BM431" s="2">
        <v>1E-3</v>
      </c>
      <c r="BV431" s="89">
        <v>120</v>
      </c>
      <c r="BW431" s="2">
        <v>47</v>
      </c>
      <c r="BX431" s="2">
        <v>1</v>
      </c>
      <c r="BY431" s="2">
        <v>0.42256569999999999</v>
      </c>
      <c r="CH431" s="89">
        <v>121</v>
      </c>
      <c r="CI431" s="2">
        <v>47</v>
      </c>
      <c r="CJ431" s="2">
        <v>0</v>
      </c>
      <c r="CK431" s="2">
        <v>6.7994600000000002E-2</v>
      </c>
      <c r="CT431" s="89">
        <v>113</v>
      </c>
      <c r="CU431" s="2">
        <v>47</v>
      </c>
      <c r="CV431" s="2">
        <v>1</v>
      </c>
      <c r="CW431" s="2">
        <v>3.556467</v>
      </c>
      <c r="DF431" s="89">
        <v>118</v>
      </c>
      <c r="DG431" s="2">
        <v>47</v>
      </c>
      <c r="DH431" s="2">
        <v>1</v>
      </c>
      <c r="DI431" s="2">
        <v>1.2221409999999999</v>
      </c>
      <c r="DR431" s="89">
        <v>114</v>
      </c>
      <c r="DS431" s="2">
        <v>45</v>
      </c>
      <c r="DT431" s="2">
        <v>0</v>
      </c>
      <c r="DU431" s="2">
        <v>0.51837270000000002</v>
      </c>
      <c r="ED431" s="89">
        <v>120</v>
      </c>
      <c r="EE431" s="2">
        <v>47</v>
      </c>
      <c r="EF431" s="2">
        <v>0</v>
      </c>
      <c r="EG431" s="2">
        <v>0.21024300000000001</v>
      </c>
      <c r="ES431">
        <v>120</v>
      </c>
      <c r="ET431">
        <v>47</v>
      </c>
      <c r="EU431">
        <v>0</v>
      </c>
      <c r="EV431">
        <v>0.21024300000000001</v>
      </c>
    </row>
    <row r="432" spans="14:152" x14ac:dyDescent="0.4">
      <c r="N432" s="89">
        <v>105</v>
      </c>
      <c r="O432" s="2">
        <v>46</v>
      </c>
      <c r="P432" s="2">
        <v>0</v>
      </c>
      <c r="Q432" s="2">
        <v>3.8389259999999998</v>
      </c>
      <c r="Z432" s="89">
        <v>113</v>
      </c>
      <c r="AA432" s="2">
        <v>46</v>
      </c>
      <c r="AB432" s="2">
        <v>1</v>
      </c>
      <c r="AC432" s="2">
        <v>0.91000009999999998</v>
      </c>
      <c r="AL432" s="89">
        <v>116</v>
      </c>
      <c r="AM432" s="2">
        <v>45</v>
      </c>
      <c r="AN432" s="2">
        <v>1</v>
      </c>
      <c r="AO432" s="2">
        <v>9.0000010000000005E-3</v>
      </c>
      <c r="AX432" s="89">
        <v>113</v>
      </c>
      <c r="AY432" s="2">
        <v>48</v>
      </c>
      <c r="AZ432" s="2">
        <v>0</v>
      </c>
      <c r="BA432" s="2">
        <v>5.1413960000000003</v>
      </c>
      <c r="BJ432" s="89">
        <v>108</v>
      </c>
      <c r="BK432" s="2">
        <v>48</v>
      </c>
      <c r="BL432" s="2">
        <v>0</v>
      </c>
      <c r="BM432" s="2">
        <v>1.775046E-4</v>
      </c>
      <c r="BV432" s="89">
        <v>121</v>
      </c>
      <c r="BW432" s="2">
        <v>47</v>
      </c>
      <c r="BX432" s="2">
        <v>0</v>
      </c>
      <c r="BY432" s="2">
        <v>0.27881610000000001</v>
      </c>
      <c r="CH432" s="89">
        <v>122</v>
      </c>
      <c r="CI432" s="2">
        <v>47</v>
      </c>
      <c r="CJ432" s="2">
        <v>0</v>
      </c>
      <c r="CK432" s="2">
        <v>9.2380959999999995E-3</v>
      </c>
      <c r="CT432" s="89">
        <v>114</v>
      </c>
      <c r="CU432" s="2">
        <v>47</v>
      </c>
      <c r="CV432" s="2">
        <v>0</v>
      </c>
      <c r="CW432" s="2">
        <v>3.4149210000000001</v>
      </c>
      <c r="DF432" s="89">
        <v>119</v>
      </c>
      <c r="DG432" s="2">
        <v>47</v>
      </c>
      <c r="DH432" s="2">
        <v>0</v>
      </c>
      <c r="DI432" s="2">
        <v>0.25192579999999998</v>
      </c>
      <c r="DR432" s="89">
        <v>114</v>
      </c>
      <c r="DS432" s="2">
        <v>45</v>
      </c>
      <c r="DT432" s="2">
        <v>1</v>
      </c>
      <c r="DU432" s="2">
        <v>9.9778280000000007E-4</v>
      </c>
      <c r="ED432" s="89">
        <v>120</v>
      </c>
      <c r="EE432" s="2">
        <v>47</v>
      </c>
      <c r="EF432" s="2">
        <v>1</v>
      </c>
      <c r="EG432" s="2">
        <v>0.30443199999999998</v>
      </c>
      <c r="ES432">
        <v>120</v>
      </c>
      <c r="ET432">
        <v>47</v>
      </c>
      <c r="EU432">
        <v>1</v>
      </c>
      <c r="EV432">
        <v>0.30443199999999998</v>
      </c>
    </row>
    <row r="433" spans="14:152" x14ac:dyDescent="0.4">
      <c r="N433" s="89">
        <v>106</v>
      </c>
      <c r="O433" s="2">
        <v>46</v>
      </c>
      <c r="P433" s="2">
        <v>0</v>
      </c>
      <c r="Q433" s="2">
        <v>3.7406250000000001</v>
      </c>
      <c r="Z433" s="89">
        <v>114</v>
      </c>
      <c r="AA433" s="2">
        <v>46</v>
      </c>
      <c r="AB433" s="2">
        <v>0</v>
      </c>
      <c r="AC433" s="2">
        <v>0.78800460000000006</v>
      </c>
      <c r="AL433" s="89">
        <v>117</v>
      </c>
      <c r="AM433" s="2">
        <v>45</v>
      </c>
      <c r="AN433" s="2">
        <v>0</v>
      </c>
      <c r="AO433" s="2">
        <v>2E-3</v>
      </c>
      <c r="AX433" s="89">
        <v>113</v>
      </c>
      <c r="AY433" s="2">
        <v>48</v>
      </c>
      <c r="AZ433" s="2">
        <v>1</v>
      </c>
      <c r="BA433" s="2">
        <v>0.1066293</v>
      </c>
      <c r="BJ433" s="89">
        <v>110</v>
      </c>
      <c r="BK433" s="2">
        <v>48</v>
      </c>
      <c r="BL433" s="2">
        <v>0</v>
      </c>
      <c r="BM433" s="2">
        <v>5.7957410000000001E-2</v>
      </c>
      <c r="BV433" s="89">
        <v>122</v>
      </c>
      <c r="BW433" s="2">
        <v>47</v>
      </c>
      <c r="BX433" s="2">
        <v>0</v>
      </c>
      <c r="BY433" s="2">
        <v>3.1844450000000003E-2</v>
      </c>
      <c r="CH433" s="89">
        <v>122</v>
      </c>
      <c r="CI433" s="2">
        <v>47</v>
      </c>
      <c r="CJ433" s="2">
        <v>1</v>
      </c>
      <c r="CK433" s="2">
        <v>1.176191E-2</v>
      </c>
      <c r="CT433" s="89">
        <v>114</v>
      </c>
      <c r="CU433" s="2">
        <v>47</v>
      </c>
      <c r="CV433" s="2">
        <v>1</v>
      </c>
      <c r="CW433" s="2">
        <v>1.214904</v>
      </c>
      <c r="DF433" s="89">
        <v>119</v>
      </c>
      <c r="DG433" s="2">
        <v>47</v>
      </c>
      <c r="DH433" s="2">
        <v>1</v>
      </c>
      <c r="DI433" s="2">
        <v>1.2314609999999999</v>
      </c>
      <c r="DR433" s="89">
        <v>115</v>
      </c>
      <c r="DS433" s="2">
        <v>45</v>
      </c>
      <c r="DT433" s="2">
        <v>0</v>
      </c>
      <c r="DU433" s="2">
        <v>0.23742189999999999</v>
      </c>
      <c r="ED433" s="89">
        <v>121</v>
      </c>
      <c r="EE433" s="2">
        <v>47</v>
      </c>
      <c r="EF433" s="2">
        <v>0</v>
      </c>
      <c r="EG433" s="2">
        <v>0.16196489999999999</v>
      </c>
      <c r="ES433">
        <v>121</v>
      </c>
      <c r="ET433">
        <v>47</v>
      </c>
      <c r="EU433">
        <v>0</v>
      </c>
      <c r="EV433">
        <v>0.16196489999999999</v>
      </c>
    </row>
    <row r="434" spans="14:152" x14ac:dyDescent="0.4">
      <c r="N434" s="89">
        <v>107</v>
      </c>
      <c r="O434" s="2">
        <v>46</v>
      </c>
      <c r="P434" s="2">
        <v>0</v>
      </c>
      <c r="Q434" s="2">
        <v>3.3905259999999999</v>
      </c>
      <c r="Z434" s="89">
        <v>115</v>
      </c>
      <c r="AA434" s="2">
        <v>46</v>
      </c>
      <c r="AB434" s="2">
        <v>0</v>
      </c>
      <c r="AC434" s="2">
        <v>0.110627</v>
      </c>
      <c r="AL434" s="89">
        <v>118</v>
      </c>
      <c r="AM434" s="2">
        <v>45</v>
      </c>
      <c r="AN434" s="2">
        <v>0</v>
      </c>
      <c r="AO434" s="2">
        <v>1E-3</v>
      </c>
      <c r="AX434" s="89">
        <v>114</v>
      </c>
      <c r="AY434" s="2">
        <v>48</v>
      </c>
      <c r="AZ434" s="2">
        <v>0</v>
      </c>
      <c r="BA434" s="2">
        <v>5.1348929999999999</v>
      </c>
      <c r="BJ434" s="89">
        <v>111</v>
      </c>
      <c r="BK434" s="2">
        <v>48</v>
      </c>
      <c r="BL434" s="2">
        <v>0</v>
      </c>
      <c r="BM434" s="2">
        <v>4.8715900000000003</v>
      </c>
      <c r="BV434" s="89">
        <v>122</v>
      </c>
      <c r="BW434" s="2">
        <v>47</v>
      </c>
      <c r="BX434" s="2">
        <v>1</v>
      </c>
      <c r="BY434" s="2">
        <v>6.1155559999999998E-2</v>
      </c>
      <c r="CH434" s="89">
        <v>123</v>
      </c>
      <c r="CI434" s="2">
        <v>47</v>
      </c>
      <c r="CJ434" s="2">
        <v>0</v>
      </c>
      <c r="CK434" s="2">
        <v>4.0000000000000001E-3</v>
      </c>
      <c r="CT434" s="89">
        <v>115</v>
      </c>
      <c r="CU434" s="2">
        <v>47</v>
      </c>
      <c r="CV434" s="2">
        <v>0</v>
      </c>
      <c r="CW434" s="2">
        <v>1.0584100000000001</v>
      </c>
      <c r="DF434" s="89">
        <v>120</v>
      </c>
      <c r="DG434" s="2">
        <v>47</v>
      </c>
      <c r="DH434" s="2">
        <v>0</v>
      </c>
      <c r="DI434" s="2">
        <v>0.45724589999999998</v>
      </c>
      <c r="DR434" s="89">
        <v>116</v>
      </c>
      <c r="DS434" s="2">
        <v>45</v>
      </c>
      <c r="DT434" s="2">
        <v>0</v>
      </c>
      <c r="DU434" s="2">
        <v>1.8956890000000001E-2</v>
      </c>
      <c r="ED434" s="89">
        <v>122</v>
      </c>
      <c r="EE434" s="2">
        <v>47</v>
      </c>
      <c r="EF434" s="2">
        <v>0</v>
      </c>
      <c r="EG434" s="2">
        <v>2.1999999999999999E-2</v>
      </c>
      <c r="ES434">
        <v>122</v>
      </c>
      <c r="ET434">
        <v>47</v>
      </c>
      <c r="EU434">
        <v>0</v>
      </c>
      <c r="EV434">
        <v>2.1999999999999999E-2</v>
      </c>
    </row>
    <row r="435" spans="14:152" x14ac:dyDescent="0.4">
      <c r="N435" s="89">
        <v>107</v>
      </c>
      <c r="O435" s="2">
        <v>46</v>
      </c>
      <c r="P435" s="2">
        <v>1</v>
      </c>
      <c r="Q435" s="2">
        <v>0.218</v>
      </c>
      <c r="Z435" s="89">
        <v>115</v>
      </c>
      <c r="AA435" s="2">
        <v>46</v>
      </c>
      <c r="AB435" s="2">
        <v>1</v>
      </c>
      <c r="AC435" s="2">
        <v>0.28415479999999999</v>
      </c>
      <c r="AL435" s="89">
        <v>119</v>
      </c>
      <c r="AM435" s="2">
        <v>45</v>
      </c>
      <c r="AN435" s="2">
        <v>0</v>
      </c>
      <c r="AO435" s="2">
        <v>1E-3</v>
      </c>
      <c r="AX435" s="89">
        <v>115</v>
      </c>
      <c r="AY435" s="2">
        <v>48</v>
      </c>
      <c r="AZ435" s="2">
        <v>0</v>
      </c>
      <c r="BA435" s="2">
        <v>4.4021369999999997</v>
      </c>
      <c r="BJ435" s="89">
        <v>111</v>
      </c>
      <c r="BK435" s="2">
        <v>48</v>
      </c>
      <c r="BL435" s="2">
        <v>1</v>
      </c>
      <c r="BM435" s="2">
        <v>3.0000000000000001E-3</v>
      </c>
      <c r="BV435" s="89">
        <v>123</v>
      </c>
      <c r="BW435" s="2">
        <v>47</v>
      </c>
      <c r="BX435" s="2">
        <v>0</v>
      </c>
      <c r="BY435" s="2">
        <v>4.3999999999999997E-2</v>
      </c>
      <c r="CH435" s="89">
        <v>124</v>
      </c>
      <c r="CI435" s="2">
        <v>47</v>
      </c>
      <c r="CJ435" s="2">
        <v>0</v>
      </c>
      <c r="CK435" s="2">
        <v>1E-3</v>
      </c>
      <c r="CT435" s="89">
        <v>115</v>
      </c>
      <c r="CU435" s="2">
        <v>47</v>
      </c>
      <c r="CV435" s="2">
        <v>1</v>
      </c>
      <c r="CW435" s="2">
        <v>2.5665740000000001</v>
      </c>
      <c r="DF435" s="89">
        <v>120</v>
      </c>
      <c r="DG435" s="2">
        <v>47</v>
      </c>
      <c r="DH435" s="2">
        <v>1</v>
      </c>
      <c r="DI435" s="2">
        <v>0.57381179999999998</v>
      </c>
      <c r="DR435" s="89">
        <v>116</v>
      </c>
      <c r="DS435" s="2">
        <v>45</v>
      </c>
      <c r="DT435" s="2">
        <v>1</v>
      </c>
      <c r="DU435" s="2">
        <v>8.3009620000000006E-2</v>
      </c>
      <c r="ED435" s="89">
        <v>122</v>
      </c>
      <c r="EE435" s="2">
        <v>47</v>
      </c>
      <c r="EF435" s="2">
        <v>1</v>
      </c>
      <c r="EG435" s="2">
        <v>3.5000000000000003E-2</v>
      </c>
      <c r="ES435">
        <v>122</v>
      </c>
      <c r="ET435">
        <v>47</v>
      </c>
      <c r="EU435">
        <v>1</v>
      </c>
      <c r="EV435">
        <v>3.5000000000000003E-2</v>
      </c>
    </row>
    <row r="436" spans="14:152" x14ac:dyDescent="0.4">
      <c r="N436" s="89">
        <v>108</v>
      </c>
      <c r="O436" s="2">
        <v>46</v>
      </c>
      <c r="P436" s="2">
        <v>0</v>
      </c>
      <c r="Q436" s="2">
        <v>3.2205689999999998</v>
      </c>
      <c r="Z436" s="89">
        <v>116</v>
      </c>
      <c r="AA436" s="2">
        <v>46</v>
      </c>
      <c r="AB436" s="2">
        <v>0</v>
      </c>
      <c r="AC436" s="2">
        <v>0.16994600000000001</v>
      </c>
      <c r="AL436" s="89">
        <v>102</v>
      </c>
      <c r="AM436" s="2">
        <v>46</v>
      </c>
      <c r="AN436" s="2">
        <v>0</v>
      </c>
      <c r="AO436" s="2">
        <v>2.082927E-3</v>
      </c>
      <c r="AX436" s="89">
        <v>115</v>
      </c>
      <c r="AY436" s="2">
        <v>48</v>
      </c>
      <c r="AZ436" s="2">
        <v>1</v>
      </c>
      <c r="BA436" s="2">
        <v>0.5817175</v>
      </c>
      <c r="BJ436" s="89">
        <v>112</v>
      </c>
      <c r="BK436" s="2">
        <v>48</v>
      </c>
      <c r="BL436" s="2">
        <v>0</v>
      </c>
      <c r="BM436" s="2">
        <v>5.1837460000000002</v>
      </c>
      <c r="BV436" s="89">
        <v>124</v>
      </c>
      <c r="BW436" s="2">
        <v>47</v>
      </c>
      <c r="BX436" s="2">
        <v>0</v>
      </c>
      <c r="BY436" s="2">
        <v>3.0000000000000001E-3</v>
      </c>
      <c r="CH436" s="89">
        <v>108</v>
      </c>
      <c r="CI436" s="2">
        <v>48</v>
      </c>
      <c r="CJ436" s="2">
        <v>0</v>
      </c>
      <c r="CK436" s="2">
        <v>5.3251380000000003E-4</v>
      </c>
      <c r="CT436" s="89">
        <v>116</v>
      </c>
      <c r="CU436" s="2">
        <v>47</v>
      </c>
      <c r="CV436" s="2">
        <v>0</v>
      </c>
      <c r="CW436" s="2">
        <v>1.05854</v>
      </c>
      <c r="DF436" s="89">
        <v>121</v>
      </c>
      <c r="DG436" s="2">
        <v>47</v>
      </c>
      <c r="DH436" s="2">
        <v>0</v>
      </c>
      <c r="DI436" s="2">
        <v>0.49577830000000001</v>
      </c>
      <c r="DR436" s="89">
        <v>117</v>
      </c>
      <c r="DS436" s="2">
        <v>45</v>
      </c>
      <c r="DT436" s="2">
        <v>0</v>
      </c>
      <c r="DU436" s="2">
        <v>3.9979500000000001E-2</v>
      </c>
      <c r="ED436" s="89">
        <v>123</v>
      </c>
      <c r="EE436" s="2">
        <v>47</v>
      </c>
      <c r="EF436" s="2">
        <v>0</v>
      </c>
      <c r="EG436" s="2">
        <v>1.0999999999999999E-2</v>
      </c>
      <c r="ES436">
        <v>123</v>
      </c>
      <c r="ET436">
        <v>47</v>
      </c>
      <c r="EU436">
        <v>0</v>
      </c>
      <c r="EV436">
        <v>1.0999999999999999E-2</v>
      </c>
    </row>
    <row r="437" spans="14:152" x14ac:dyDescent="0.4">
      <c r="N437" s="89">
        <v>109</v>
      </c>
      <c r="O437" s="2">
        <v>46</v>
      </c>
      <c r="P437" s="2">
        <v>0</v>
      </c>
      <c r="Q437" s="2">
        <v>2.9757560000000001</v>
      </c>
      <c r="Z437" s="89">
        <v>117</v>
      </c>
      <c r="AA437" s="2">
        <v>46</v>
      </c>
      <c r="AB437" s="2">
        <v>0</v>
      </c>
      <c r="AC437" s="2">
        <v>6.4087610000000003E-2</v>
      </c>
      <c r="AL437" s="89">
        <v>103</v>
      </c>
      <c r="AM437" s="2">
        <v>46</v>
      </c>
      <c r="AN437" s="2">
        <v>0</v>
      </c>
      <c r="AO437" s="2">
        <v>7.0000000000000001E-3</v>
      </c>
      <c r="AX437" s="89">
        <v>116</v>
      </c>
      <c r="AY437" s="2">
        <v>48</v>
      </c>
      <c r="AZ437" s="2">
        <v>0</v>
      </c>
      <c r="BA437" s="2">
        <v>4.9589660000000002</v>
      </c>
      <c r="BJ437" s="89">
        <v>113</v>
      </c>
      <c r="BK437" s="2">
        <v>48</v>
      </c>
      <c r="BL437" s="2">
        <v>0</v>
      </c>
      <c r="BM437" s="2">
        <v>4.8042600000000002</v>
      </c>
      <c r="BV437" s="89">
        <v>124</v>
      </c>
      <c r="BW437" s="2">
        <v>47</v>
      </c>
      <c r="BX437" s="2">
        <v>1</v>
      </c>
      <c r="BY437" s="2">
        <v>4.0000000000000001E-3</v>
      </c>
      <c r="CH437" s="89">
        <v>109</v>
      </c>
      <c r="CI437" s="2">
        <v>48</v>
      </c>
      <c r="CJ437" s="2">
        <v>0</v>
      </c>
      <c r="CK437" s="2">
        <v>2E-3</v>
      </c>
      <c r="CT437" s="89">
        <v>116</v>
      </c>
      <c r="CU437" s="2">
        <v>47</v>
      </c>
      <c r="CV437" s="2">
        <v>1</v>
      </c>
      <c r="CW437" s="2">
        <v>1.3843780000000001</v>
      </c>
      <c r="DF437" s="89">
        <v>122</v>
      </c>
      <c r="DG437" s="2">
        <v>47</v>
      </c>
      <c r="DH437" s="2">
        <v>0</v>
      </c>
      <c r="DI437" s="2">
        <v>8.2940589999999995E-2</v>
      </c>
      <c r="DR437" s="89">
        <v>118</v>
      </c>
      <c r="DS437" s="2">
        <v>45</v>
      </c>
      <c r="DT437" s="2">
        <v>0</v>
      </c>
      <c r="DU437" s="2">
        <v>7.0000000000000001E-3</v>
      </c>
      <c r="ED437" s="89">
        <v>124</v>
      </c>
      <c r="EE437" s="2">
        <v>47</v>
      </c>
      <c r="EF437" s="2">
        <v>0</v>
      </c>
      <c r="EG437" s="2">
        <v>4.7999999999999996E-3</v>
      </c>
      <c r="ES437">
        <v>124</v>
      </c>
      <c r="ET437">
        <v>47</v>
      </c>
      <c r="EU437">
        <v>0</v>
      </c>
      <c r="EV437">
        <v>4.7999999999999996E-3</v>
      </c>
    </row>
    <row r="438" spans="14:152" x14ac:dyDescent="0.4">
      <c r="N438" s="89">
        <v>109</v>
      </c>
      <c r="O438" s="2">
        <v>46</v>
      </c>
      <c r="P438" s="2">
        <v>1</v>
      </c>
      <c r="Q438" s="2">
        <v>1.812378</v>
      </c>
      <c r="Z438" s="89">
        <v>117</v>
      </c>
      <c r="AA438" s="2">
        <v>46</v>
      </c>
      <c r="AB438" s="2">
        <v>1</v>
      </c>
      <c r="AC438" s="2">
        <v>4.2000000000000003E-2</v>
      </c>
      <c r="AL438" s="89">
        <v>104</v>
      </c>
      <c r="AM438" s="2">
        <v>46</v>
      </c>
      <c r="AN438" s="2">
        <v>0</v>
      </c>
      <c r="AO438" s="2">
        <v>0.38736399999999999</v>
      </c>
      <c r="AX438" s="89">
        <v>117</v>
      </c>
      <c r="AY438" s="2">
        <v>48</v>
      </c>
      <c r="AZ438" s="2">
        <v>0</v>
      </c>
      <c r="BA438" s="2">
        <v>2.232116</v>
      </c>
      <c r="BJ438" s="89">
        <v>113</v>
      </c>
      <c r="BK438" s="2">
        <v>48</v>
      </c>
      <c r="BL438" s="2">
        <v>1</v>
      </c>
      <c r="BM438" s="2">
        <v>0.19784740000000001</v>
      </c>
      <c r="BV438" s="89">
        <v>125</v>
      </c>
      <c r="BW438" s="2">
        <v>47</v>
      </c>
      <c r="BX438" s="2">
        <v>0</v>
      </c>
      <c r="BY438" s="2">
        <v>4.0000000000000001E-3</v>
      </c>
      <c r="CH438" s="89">
        <v>110</v>
      </c>
      <c r="CI438" s="2">
        <v>48</v>
      </c>
      <c r="CJ438" s="2">
        <v>0</v>
      </c>
      <c r="CK438" s="2">
        <v>0.1429059</v>
      </c>
      <c r="CT438" s="89">
        <v>117</v>
      </c>
      <c r="CU438" s="2">
        <v>47</v>
      </c>
      <c r="CV438" s="2">
        <v>0</v>
      </c>
      <c r="CW438" s="2">
        <v>0.35587170000000001</v>
      </c>
      <c r="DF438" s="89">
        <v>122</v>
      </c>
      <c r="DG438" s="2">
        <v>47</v>
      </c>
      <c r="DH438" s="2">
        <v>1</v>
      </c>
      <c r="DI438" s="2">
        <v>0.1220594</v>
      </c>
      <c r="DR438" s="89">
        <v>119</v>
      </c>
      <c r="DS438" s="2">
        <v>45</v>
      </c>
      <c r="DT438" s="2">
        <v>0</v>
      </c>
      <c r="DU438" s="2">
        <v>3.0000000000000001E-3</v>
      </c>
      <c r="ED438" s="89">
        <v>124</v>
      </c>
      <c r="EE438" s="2">
        <v>47</v>
      </c>
      <c r="EF438" s="2">
        <v>1</v>
      </c>
      <c r="EG438" s="2">
        <v>2.3999999999999998E-3</v>
      </c>
      <c r="ES438">
        <v>124</v>
      </c>
      <c r="ET438">
        <v>47</v>
      </c>
      <c r="EU438">
        <v>1</v>
      </c>
      <c r="EV438">
        <v>2.3999999999999998E-3</v>
      </c>
    </row>
    <row r="439" spans="14:152" x14ac:dyDescent="0.4">
      <c r="N439" s="89">
        <v>110</v>
      </c>
      <c r="O439" s="2">
        <v>46</v>
      </c>
      <c r="P439" s="2">
        <v>0</v>
      </c>
      <c r="Q439" s="2">
        <v>2.6091030000000002</v>
      </c>
      <c r="Z439" s="89">
        <v>118</v>
      </c>
      <c r="AA439" s="2">
        <v>46</v>
      </c>
      <c r="AB439" s="2">
        <v>0</v>
      </c>
      <c r="AC439" s="2">
        <v>2.5912399999999999E-2</v>
      </c>
      <c r="AL439" s="89">
        <v>105</v>
      </c>
      <c r="AM439" s="2">
        <v>46</v>
      </c>
      <c r="AN439" s="2">
        <v>0</v>
      </c>
      <c r="AO439" s="2">
        <v>4.9128429999999996</v>
      </c>
      <c r="AX439" s="89">
        <v>117</v>
      </c>
      <c r="AY439" s="2">
        <v>48</v>
      </c>
      <c r="AZ439" s="2">
        <v>1</v>
      </c>
      <c r="BA439" s="2">
        <v>2.097661</v>
      </c>
      <c r="BJ439" s="89">
        <v>114</v>
      </c>
      <c r="BK439" s="2">
        <v>48</v>
      </c>
      <c r="BL439" s="2">
        <v>0</v>
      </c>
      <c r="BM439" s="2">
        <v>5.0722899999999997</v>
      </c>
      <c r="BV439" s="89">
        <v>126</v>
      </c>
      <c r="BW439" s="2">
        <v>47</v>
      </c>
      <c r="BX439" s="2">
        <v>0</v>
      </c>
      <c r="BY439" s="2">
        <v>2E-3</v>
      </c>
      <c r="CH439" s="89">
        <v>111</v>
      </c>
      <c r="CI439" s="2">
        <v>48</v>
      </c>
      <c r="CJ439" s="2">
        <v>0</v>
      </c>
      <c r="CK439" s="2">
        <v>4.1401339999999998</v>
      </c>
      <c r="CT439" s="89">
        <v>117</v>
      </c>
      <c r="CU439" s="2">
        <v>47</v>
      </c>
      <c r="CV439" s="2">
        <v>1</v>
      </c>
      <c r="CW439" s="2">
        <v>1.411313</v>
      </c>
      <c r="DF439" s="89">
        <v>123</v>
      </c>
      <c r="DG439" s="2">
        <v>47</v>
      </c>
      <c r="DH439" s="2">
        <v>0</v>
      </c>
      <c r="DI439" s="2">
        <v>7.8E-2</v>
      </c>
      <c r="DR439" s="89">
        <v>120</v>
      </c>
      <c r="DS439" s="2">
        <v>45</v>
      </c>
      <c r="DT439" s="2">
        <v>0</v>
      </c>
      <c r="DU439" s="2">
        <v>2E-3</v>
      </c>
      <c r="ED439" s="89">
        <v>125</v>
      </c>
      <c r="EE439" s="2">
        <v>47</v>
      </c>
      <c r="EF439" s="2">
        <v>0</v>
      </c>
      <c r="EG439" s="2">
        <v>2E-3</v>
      </c>
      <c r="ES439">
        <v>125</v>
      </c>
      <c r="ET439">
        <v>47</v>
      </c>
      <c r="EU439">
        <v>0</v>
      </c>
      <c r="EV439">
        <v>2E-3</v>
      </c>
    </row>
    <row r="440" spans="14:152" x14ac:dyDescent="0.4">
      <c r="N440" s="89">
        <v>111</v>
      </c>
      <c r="O440" s="2">
        <v>46</v>
      </c>
      <c r="P440" s="2">
        <v>0</v>
      </c>
      <c r="Q440" s="2">
        <v>1.6474150000000001</v>
      </c>
      <c r="Z440" s="89">
        <v>119</v>
      </c>
      <c r="AA440" s="2">
        <v>46</v>
      </c>
      <c r="AB440" s="2">
        <v>0</v>
      </c>
      <c r="AC440" s="2">
        <v>7.0593000000000001E-3</v>
      </c>
      <c r="AL440" s="89">
        <v>106</v>
      </c>
      <c r="AM440" s="2">
        <v>46</v>
      </c>
      <c r="AN440" s="2">
        <v>0</v>
      </c>
      <c r="AO440" s="2">
        <v>4.7478199999999999</v>
      </c>
      <c r="AX440" s="89">
        <v>118</v>
      </c>
      <c r="AY440" s="2">
        <v>48</v>
      </c>
      <c r="AZ440" s="2">
        <v>0</v>
      </c>
      <c r="BA440" s="2">
        <v>3.6091829999999998</v>
      </c>
      <c r="BJ440" s="89">
        <v>115</v>
      </c>
      <c r="BK440" s="2">
        <v>48</v>
      </c>
      <c r="BL440" s="2">
        <v>0</v>
      </c>
      <c r="BM440" s="2">
        <v>4.2894310000000004</v>
      </c>
      <c r="BV440" s="89">
        <v>110</v>
      </c>
      <c r="BW440" s="2">
        <v>48</v>
      </c>
      <c r="BX440" s="2">
        <v>0</v>
      </c>
      <c r="BY440" s="2">
        <v>6.9937970000000004E-3</v>
      </c>
      <c r="CH440" s="89">
        <v>111</v>
      </c>
      <c r="CI440" s="2">
        <v>48</v>
      </c>
      <c r="CJ440" s="2">
        <v>1</v>
      </c>
      <c r="CK440" s="2">
        <v>1.7000000000000001E-2</v>
      </c>
      <c r="CT440" s="89">
        <v>118</v>
      </c>
      <c r="CU440" s="2">
        <v>47</v>
      </c>
      <c r="CV440" s="2">
        <v>0</v>
      </c>
      <c r="CW440" s="2">
        <v>0.59718740000000003</v>
      </c>
      <c r="DF440" s="89">
        <v>124</v>
      </c>
      <c r="DG440" s="2">
        <v>47</v>
      </c>
      <c r="DH440" s="2">
        <v>0</v>
      </c>
      <c r="DI440" s="2">
        <v>1.9375E-2</v>
      </c>
      <c r="DR440" s="89">
        <v>104</v>
      </c>
      <c r="DS440" s="2">
        <v>46</v>
      </c>
      <c r="DT440" s="2">
        <v>0</v>
      </c>
      <c r="DU440" s="2">
        <v>1.194606E-2</v>
      </c>
      <c r="ED440" s="89">
        <v>108</v>
      </c>
      <c r="EE440" s="2">
        <v>48</v>
      </c>
      <c r="EF440" s="2">
        <v>0</v>
      </c>
      <c r="EG440" s="2">
        <v>1.775046E-4</v>
      </c>
      <c r="ES440">
        <v>108</v>
      </c>
      <c r="ET440">
        <v>48</v>
      </c>
      <c r="EU440">
        <v>0</v>
      </c>
      <c r="EV440">
        <v>1.775046E-4</v>
      </c>
    </row>
    <row r="441" spans="14:152" x14ac:dyDescent="0.4">
      <c r="N441" s="89">
        <v>111</v>
      </c>
      <c r="O441" s="2">
        <v>46</v>
      </c>
      <c r="P441" s="2">
        <v>1</v>
      </c>
      <c r="Q441" s="2">
        <v>0.99500010000000005</v>
      </c>
      <c r="Z441" s="89">
        <v>120</v>
      </c>
      <c r="AA441" s="2">
        <v>46</v>
      </c>
      <c r="AB441" s="2">
        <v>0</v>
      </c>
      <c r="AC441" s="2">
        <v>1.9407000000000001E-3</v>
      </c>
      <c r="AL441" s="89">
        <v>107</v>
      </c>
      <c r="AM441" s="2">
        <v>46</v>
      </c>
      <c r="AN441" s="2">
        <v>0</v>
      </c>
      <c r="AO441" s="2">
        <v>4.5478880000000004</v>
      </c>
      <c r="AX441" s="89">
        <v>119</v>
      </c>
      <c r="AY441" s="2">
        <v>48</v>
      </c>
      <c r="AZ441" s="2">
        <v>0</v>
      </c>
      <c r="BA441" s="2">
        <v>1.071825</v>
      </c>
      <c r="BJ441" s="89">
        <v>115</v>
      </c>
      <c r="BK441" s="2">
        <v>48</v>
      </c>
      <c r="BL441" s="2">
        <v>1</v>
      </c>
      <c r="BM441" s="2">
        <v>0.92957880000000004</v>
      </c>
      <c r="BV441" s="89">
        <v>111</v>
      </c>
      <c r="BW441" s="2">
        <v>48</v>
      </c>
      <c r="BX441" s="2">
        <v>0</v>
      </c>
      <c r="BY441" s="2">
        <v>3.955613</v>
      </c>
      <c r="CH441" s="89">
        <v>112</v>
      </c>
      <c r="CI441" s="2">
        <v>48</v>
      </c>
      <c r="CJ441" s="2">
        <v>0</v>
      </c>
      <c r="CK441" s="2">
        <v>4.2783150000000001</v>
      </c>
      <c r="CT441" s="89">
        <v>118</v>
      </c>
      <c r="CU441" s="2">
        <v>47</v>
      </c>
      <c r="CV441" s="2">
        <v>1</v>
      </c>
      <c r="CW441" s="2">
        <v>0.86824679999999999</v>
      </c>
      <c r="DF441" s="89">
        <v>124</v>
      </c>
      <c r="DG441" s="2">
        <v>47</v>
      </c>
      <c r="DH441" s="2">
        <v>1</v>
      </c>
      <c r="DI441" s="2">
        <v>1.925E-2</v>
      </c>
      <c r="DR441" s="89">
        <v>105</v>
      </c>
      <c r="DS441" s="2">
        <v>46</v>
      </c>
      <c r="DT441" s="2">
        <v>0</v>
      </c>
      <c r="DU441" s="2">
        <v>4.6554159999999998</v>
      </c>
      <c r="ED441" s="89">
        <v>110</v>
      </c>
      <c r="EE441" s="2">
        <v>48</v>
      </c>
      <c r="EF441" s="2">
        <v>0</v>
      </c>
      <c r="EG441" s="2">
        <v>2.399606E-2</v>
      </c>
      <c r="ES441">
        <v>110</v>
      </c>
      <c r="ET441">
        <v>48</v>
      </c>
      <c r="EU441">
        <v>0</v>
      </c>
      <c r="EV441">
        <v>2.399606E-2</v>
      </c>
    </row>
    <row r="442" spans="14:152" x14ac:dyDescent="0.4">
      <c r="N442" s="89">
        <v>112</v>
      </c>
      <c r="O442" s="2">
        <v>46</v>
      </c>
      <c r="P442" s="2">
        <v>0</v>
      </c>
      <c r="Q442" s="2">
        <v>1.4570689999999999</v>
      </c>
      <c r="Z442" s="89">
        <v>121</v>
      </c>
      <c r="AA442" s="2">
        <v>46</v>
      </c>
      <c r="AB442" s="2">
        <v>0</v>
      </c>
      <c r="AC442" s="2">
        <v>2E-3</v>
      </c>
      <c r="AL442" s="89">
        <v>107</v>
      </c>
      <c r="AM442" s="2">
        <v>46</v>
      </c>
      <c r="AN442" s="2">
        <v>1</v>
      </c>
      <c r="AO442" s="2">
        <v>0.48099999999999998</v>
      </c>
      <c r="AX442" s="89">
        <v>119</v>
      </c>
      <c r="AY442" s="2">
        <v>48</v>
      </c>
      <c r="AZ442" s="2">
        <v>1</v>
      </c>
      <c r="BA442" s="2">
        <v>1.4933529999999999</v>
      </c>
      <c r="BJ442" s="89">
        <v>116</v>
      </c>
      <c r="BK442" s="2">
        <v>48</v>
      </c>
      <c r="BL442" s="2">
        <v>0</v>
      </c>
      <c r="BM442" s="2">
        <v>4.927988</v>
      </c>
      <c r="BV442" s="89">
        <v>112</v>
      </c>
      <c r="BW442" s="2">
        <v>48</v>
      </c>
      <c r="BX442" s="2">
        <v>0</v>
      </c>
      <c r="BY442" s="2">
        <v>4.1336050000000002</v>
      </c>
      <c r="CH442" s="89">
        <v>113</v>
      </c>
      <c r="CI442" s="2">
        <v>48</v>
      </c>
      <c r="CJ442" s="2">
        <v>0</v>
      </c>
      <c r="CK442" s="2">
        <v>3.922024</v>
      </c>
      <c r="CT442" s="89">
        <v>119</v>
      </c>
      <c r="CU442" s="2">
        <v>47</v>
      </c>
      <c r="CV442" s="2">
        <v>0</v>
      </c>
      <c r="CW442" s="2">
        <v>7.5659859999999995E-2</v>
      </c>
      <c r="DF442" s="89">
        <v>125</v>
      </c>
      <c r="DG442" s="2">
        <v>47</v>
      </c>
      <c r="DH442" s="2">
        <v>0</v>
      </c>
      <c r="DI442" s="2">
        <v>1.4E-2</v>
      </c>
      <c r="DR442" s="89">
        <v>106</v>
      </c>
      <c r="DS442" s="2">
        <v>46</v>
      </c>
      <c r="DT442" s="2">
        <v>0</v>
      </c>
      <c r="DU442" s="2">
        <v>4.5186019999999996</v>
      </c>
      <c r="ED442" s="89">
        <v>111</v>
      </c>
      <c r="EE442" s="2">
        <v>48</v>
      </c>
      <c r="EF442" s="2">
        <v>0</v>
      </c>
      <c r="EG442" s="2">
        <v>4.2030089999999998</v>
      </c>
      <c r="ES442">
        <v>111</v>
      </c>
      <c r="ET442">
        <v>48</v>
      </c>
      <c r="EU442">
        <v>0</v>
      </c>
      <c r="EV442">
        <v>4.2030089999999998</v>
      </c>
    </row>
    <row r="443" spans="14:152" x14ac:dyDescent="0.4">
      <c r="N443" s="89">
        <v>113</v>
      </c>
      <c r="O443" s="2">
        <v>46</v>
      </c>
      <c r="P443" s="2">
        <v>0</v>
      </c>
      <c r="Q443" s="2">
        <v>0.80792160000000002</v>
      </c>
      <c r="Z443" s="89">
        <v>122</v>
      </c>
      <c r="AA443" s="2">
        <v>46</v>
      </c>
      <c r="AB443" s="2">
        <v>0</v>
      </c>
      <c r="AC443" s="2">
        <v>1E-3</v>
      </c>
      <c r="AL443" s="89">
        <v>108</v>
      </c>
      <c r="AM443" s="2">
        <v>46</v>
      </c>
      <c r="AN443" s="2">
        <v>0</v>
      </c>
      <c r="AO443" s="2">
        <v>4.378482</v>
      </c>
      <c r="AX443" s="89">
        <v>120</v>
      </c>
      <c r="AY443" s="2">
        <v>48</v>
      </c>
      <c r="AZ443" s="2">
        <v>0</v>
      </c>
      <c r="BA443" s="2">
        <v>1.759838</v>
      </c>
      <c r="BJ443" s="89">
        <v>117</v>
      </c>
      <c r="BK443" s="2">
        <v>48</v>
      </c>
      <c r="BL443" s="2">
        <v>0</v>
      </c>
      <c r="BM443" s="2">
        <v>1.9417949999999999</v>
      </c>
      <c r="BV443" s="89">
        <v>113</v>
      </c>
      <c r="BW443" s="2">
        <v>48</v>
      </c>
      <c r="BX443" s="2">
        <v>0</v>
      </c>
      <c r="BY443" s="2">
        <v>4.036467</v>
      </c>
      <c r="CH443" s="89">
        <v>113</v>
      </c>
      <c r="CI443" s="2">
        <v>48</v>
      </c>
      <c r="CJ443" s="2">
        <v>1</v>
      </c>
      <c r="CK443" s="2">
        <v>0.2500984</v>
      </c>
      <c r="CT443" s="89">
        <v>119</v>
      </c>
      <c r="CU443" s="2">
        <v>47</v>
      </c>
      <c r="CV443" s="2">
        <v>1</v>
      </c>
      <c r="CW443" s="2">
        <v>0.51639950000000001</v>
      </c>
      <c r="DF443" s="89">
        <v>126</v>
      </c>
      <c r="DG443" s="2">
        <v>47</v>
      </c>
      <c r="DH443" s="2">
        <v>0</v>
      </c>
      <c r="DI443" s="2">
        <v>1E-3</v>
      </c>
      <c r="DR443" s="89">
        <v>107</v>
      </c>
      <c r="DS443" s="2">
        <v>46</v>
      </c>
      <c r="DT443" s="2">
        <v>0</v>
      </c>
      <c r="DU443" s="2">
        <v>4.4428080000000003</v>
      </c>
      <c r="ED443" s="89">
        <v>111</v>
      </c>
      <c r="EE443" s="2">
        <v>48</v>
      </c>
      <c r="EF443" s="2">
        <v>1</v>
      </c>
      <c r="EG443" s="2">
        <v>3.0000000000000001E-3</v>
      </c>
      <c r="ES443">
        <v>111</v>
      </c>
      <c r="ET443">
        <v>48</v>
      </c>
      <c r="EU443">
        <v>1</v>
      </c>
      <c r="EV443">
        <v>3.0000000000000001E-3</v>
      </c>
    </row>
    <row r="444" spans="14:152" x14ac:dyDescent="0.4">
      <c r="N444" s="89">
        <v>113</v>
      </c>
      <c r="O444" s="2">
        <v>46</v>
      </c>
      <c r="P444" s="2">
        <v>1</v>
      </c>
      <c r="Q444" s="2">
        <v>0.55400000000000005</v>
      </c>
      <c r="Z444" s="89">
        <v>107</v>
      </c>
      <c r="AA444" s="2">
        <v>47</v>
      </c>
      <c r="AB444" s="2">
        <v>0</v>
      </c>
      <c r="AC444" s="2">
        <v>2E-3</v>
      </c>
      <c r="AL444" s="89">
        <v>109</v>
      </c>
      <c r="AM444" s="2">
        <v>46</v>
      </c>
      <c r="AN444" s="2">
        <v>0</v>
      </c>
      <c r="AO444" s="2">
        <v>3.907877</v>
      </c>
      <c r="AX444" s="89">
        <v>121</v>
      </c>
      <c r="AY444" s="2">
        <v>48</v>
      </c>
      <c r="AZ444" s="2">
        <v>0</v>
      </c>
      <c r="BA444" s="2">
        <v>0.28260829999999998</v>
      </c>
      <c r="BJ444" s="89">
        <v>117</v>
      </c>
      <c r="BK444" s="2">
        <v>48</v>
      </c>
      <c r="BL444" s="2">
        <v>1</v>
      </c>
      <c r="BM444" s="2">
        <v>2.3205460000000002</v>
      </c>
      <c r="BV444" s="89">
        <v>113</v>
      </c>
      <c r="BW444" s="2">
        <v>48</v>
      </c>
      <c r="BX444" s="2">
        <v>1</v>
      </c>
      <c r="BY444" s="2">
        <v>5.8157439999999998E-2</v>
      </c>
      <c r="CH444" s="89">
        <v>114</v>
      </c>
      <c r="CI444" s="2">
        <v>48</v>
      </c>
      <c r="CJ444" s="2">
        <v>0</v>
      </c>
      <c r="CK444" s="2">
        <v>4.2960710000000004</v>
      </c>
      <c r="CT444" s="89">
        <v>120</v>
      </c>
      <c r="CU444" s="2">
        <v>47</v>
      </c>
      <c r="CV444" s="2">
        <v>0</v>
      </c>
      <c r="CW444" s="2">
        <v>0.1554287</v>
      </c>
      <c r="DF444" s="89">
        <v>127</v>
      </c>
      <c r="DG444" s="2">
        <v>47</v>
      </c>
      <c r="DH444" s="2">
        <v>0</v>
      </c>
      <c r="DI444" s="2">
        <v>1E-3</v>
      </c>
      <c r="DR444" s="89">
        <v>107</v>
      </c>
      <c r="DS444" s="2">
        <v>46</v>
      </c>
      <c r="DT444" s="2">
        <v>1</v>
      </c>
      <c r="DU444" s="2">
        <v>2.3E-2</v>
      </c>
      <c r="ED444" s="89">
        <v>112</v>
      </c>
      <c r="EE444" s="2">
        <v>48</v>
      </c>
      <c r="EF444" s="2">
        <v>0</v>
      </c>
      <c r="EG444" s="2">
        <v>4.3608739999999999</v>
      </c>
      <c r="ES444">
        <v>112</v>
      </c>
      <c r="ET444">
        <v>48</v>
      </c>
      <c r="EU444">
        <v>0</v>
      </c>
      <c r="EV444">
        <v>4.3608739999999999</v>
      </c>
    </row>
    <row r="445" spans="14:152" x14ac:dyDescent="0.4">
      <c r="N445" s="89">
        <v>114</v>
      </c>
      <c r="O445" s="2">
        <v>46</v>
      </c>
      <c r="P445" s="2">
        <v>0</v>
      </c>
      <c r="Q445" s="2">
        <v>0.43793919999999997</v>
      </c>
      <c r="Z445" s="89">
        <v>107</v>
      </c>
      <c r="AA445" s="2">
        <v>47</v>
      </c>
      <c r="AB445" s="2">
        <v>1</v>
      </c>
      <c r="AC445" s="2">
        <v>2E-3</v>
      </c>
      <c r="AL445" s="89">
        <v>109</v>
      </c>
      <c r="AM445" s="2">
        <v>46</v>
      </c>
      <c r="AN445" s="2">
        <v>1</v>
      </c>
      <c r="AO445" s="2">
        <v>2.485439</v>
      </c>
      <c r="AX445" s="89">
        <v>121</v>
      </c>
      <c r="AY445" s="2">
        <v>48</v>
      </c>
      <c r="AZ445" s="2">
        <v>1</v>
      </c>
      <c r="BA445" s="2">
        <v>0.53937550000000001</v>
      </c>
      <c r="BJ445" s="89">
        <v>118</v>
      </c>
      <c r="BK445" s="2">
        <v>48</v>
      </c>
      <c r="BL445" s="2">
        <v>0</v>
      </c>
      <c r="BM445" s="2">
        <v>3.6046390000000001</v>
      </c>
      <c r="BV445" s="89">
        <v>114</v>
      </c>
      <c r="BW445" s="2">
        <v>48</v>
      </c>
      <c r="BX445" s="2">
        <v>0</v>
      </c>
      <c r="BY445" s="2">
        <v>4.1986929999999996</v>
      </c>
      <c r="CH445" s="89">
        <v>115</v>
      </c>
      <c r="CI445" s="2">
        <v>48</v>
      </c>
      <c r="CJ445" s="2">
        <v>0</v>
      </c>
      <c r="CK445" s="2">
        <v>3.2466539999999999</v>
      </c>
      <c r="CT445" s="89">
        <v>120</v>
      </c>
      <c r="CU445" s="2">
        <v>47</v>
      </c>
      <c r="CV445" s="2">
        <v>1</v>
      </c>
      <c r="CW445" s="2">
        <v>0.22780539999999999</v>
      </c>
      <c r="DF445" s="89">
        <v>110</v>
      </c>
      <c r="DG445" s="2">
        <v>48</v>
      </c>
      <c r="DH445" s="2">
        <v>0</v>
      </c>
      <c r="DI445" s="2">
        <v>9.9995930000000002E-4</v>
      </c>
      <c r="DR445" s="89">
        <v>108</v>
      </c>
      <c r="DS445" s="2">
        <v>46</v>
      </c>
      <c r="DT445" s="2">
        <v>0</v>
      </c>
      <c r="DU445" s="2">
        <v>4.2715170000000002</v>
      </c>
      <c r="ED445" s="89">
        <v>113</v>
      </c>
      <c r="EE445" s="2">
        <v>48</v>
      </c>
      <c r="EF445" s="2">
        <v>0</v>
      </c>
      <c r="EG445" s="2">
        <v>4.2517079999999998</v>
      </c>
      <c r="ES445">
        <v>113</v>
      </c>
      <c r="ET445">
        <v>48</v>
      </c>
      <c r="EU445">
        <v>0</v>
      </c>
      <c r="EV445">
        <v>4.2517079999999998</v>
      </c>
    </row>
    <row r="446" spans="14:152" x14ac:dyDescent="0.4">
      <c r="N446" s="89">
        <v>115</v>
      </c>
      <c r="O446" s="2">
        <v>46</v>
      </c>
      <c r="P446" s="2">
        <v>0</v>
      </c>
      <c r="Q446" s="2">
        <v>5.6412940000000002E-2</v>
      </c>
      <c r="Z446" s="89">
        <v>108</v>
      </c>
      <c r="AA446" s="2">
        <v>47</v>
      </c>
      <c r="AB446" s="2">
        <v>0</v>
      </c>
      <c r="AC446" s="2">
        <v>1.91E-3</v>
      </c>
      <c r="AL446" s="89">
        <v>110</v>
      </c>
      <c r="AM446" s="2">
        <v>46</v>
      </c>
      <c r="AN446" s="2">
        <v>0</v>
      </c>
      <c r="AO446" s="2">
        <v>3.1343000000000001</v>
      </c>
      <c r="AX446" s="89">
        <v>122</v>
      </c>
      <c r="AY446" s="2">
        <v>48</v>
      </c>
      <c r="AZ446" s="2">
        <v>0</v>
      </c>
      <c r="BA446" s="2">
        <v>0.44697229999999999</v>
      </c>
      <c r="BJ446" s="89">
        <v>119</v>
      </c>
      <c r="BK446" s="2">
        <v>48</v>
      </c>
      <c r="BL446" s="2">
        <v>0</v>
      </c>
      <c r="BM446" s="2">
        <v>0.82885629999999999</v>
      </c>
      <c r="BV446" s="89">
        <v>115</v>
      </c>
      <c r="BW446" s="2">
        <v>48</v>
      </c>
      <c r="BX446" s="2">
        <v>0</v>
      </c>
      <c r="BY446" s="2">
        <v>3.7372380000000001</v>
      </c>
      <c r="CH446" s="89">
        <v>115</v>
      </c>
      <c r="CI446" s="2">
        <v>48</v>
      </c>
      <c r="CJ446" s="2">
        <v>1</v>
      </c>
      <c r="CK446" s="2">
        <v>1.058352</v>
      </c>
      <c r="CT446" s="89">
        <v>121</v>
      </c>
      <c r="CU446" s="2">
        <v>47</v>
      </c>
      <c r="CV446" s="2">
        <v>0</v>
      </c>
      <c r="CW446" s="2">
        <v>0.1229946</v>
      </c>
      <c r="DF446" s="89">
        <v>111</v>
      </c>
      <c r="DG446" s="2">
        <v>48</v>
      </c>
      <c r="DH446" s="2">
        <v>0</v>
      </c>
      <c r="DI446" s="2">
        <v>2.6302099999999999</v>
      </c>
      <c r="DR446" s="89">
        <v>109</v>
      </c>
      <c r="DS446" s="2">
        <v>46</v>
      </c>
      <c r="DT446" s="2">
        <v>0</v>
      </c>
      <c r="DU446" s="2">
        <v>4.0845729999999998</v>
      </c>
      <c r="ED446" s="89">
        <v>113</v>
      </c>
      <c r="EE446" s="2">
        <v>48</v>
      </c>
      <c r="EF446" s="2">
        <v>1</v>
      </c>
      <c r="EG446" s="2">
        <v>0.1069001</v>
      </c>
      <c r="ES446">
        <v>113</v>
      </c>
      <c r="ET446">
        <v>48</v>
      </c>
      <c r="EU446">
        <v>1</v>
      </c>
      <c r="EV446">
        <v>0.1069001</v>
      </c>
    </row>
    <row r="447" spans="14:152" x14ac:dyDescent="0.4">
      <c r="N447" s="89">
        <v>115</v>
      </c>
      <c r="O447" s="2">
        <v>46</v>
      </c>
      <c r="P447" s="2">
        <v>1</v>
      </c>
      <c r="Q447" s="2">
        <v>0.1343405</v>
      </c>
      <c r="Z447" s="89">
        <v>108</v>
      </c>
      <c r="AA447" s="2">
        <v>47</v>
      </c>
      <c r="AB447" s="2">
        <v>1</v>
      </c>
      <c r="AC447" s="2">
        <v>0.01</v>
      </c>
      <c r="AL447" s="89">
        <v>111</v>
      </c>
      <c r="AM447" s="2">
        <v>46</v>
      </c>
      <c r="AN447" s="2">
        <v>0</v>
      </c>
      <c r="AO447" s="2">
        <v>2.04352</v>
      </c>
      <c r="AX447" s="89">
        <v>123</v>
      </c>
      <c r="AY447" s="2">
        <v>48</v>
      </c>
      <c r="AZ447" s="2">
        <v>0</v>
      </c>
      <c r="BA447" s="2">
        <v>4.4728270000000001E-2</v>
      </c>
      <c r="BJ447" s="89">
        <v>119</v>
      </c>
      <c r="BK447" s="2">
        <v>48</v>
      </c>
      <c r="BL447" s="2">
        <v>1</v>
      </c>
      <c r="BM447" s="2">
        <v>1.5061439999999999</v>
      </c>
      <c r="BV447" s="89">
        <v>115</v>
      </c>
      <c r="BW447" s="2">
        <v>48</v>
      </c>
      <c r="BX447" s="2">
        <v>1</v>
      </c>
      <c r="BY447" s="2">
        <v>0.3704017</v>
      </c>
      <c r="CH447" s="89">
        <v>116</v>
      </c>
      <c r="CI447" s="2">
        <v>48</v>
      </c>
      <c r="CJ447" s="2">
        <v>0</v>
      </c>
      <c r="CK447" s="2">
        <v>4.0989990000000001</v>
      </c>
      <c r="CT447" s="89">
        <v>122</v>
      </c>
      <c r="CU447" s="2">
        <v>47</v>
      </c>
      <c r="CV447" s="2">
        <v>0</v>
      </c>
      <c r="CW447" s="2">
        <v>6.8461549999999996E-3</v>
      </c>
      <c r="DF447" s="89">
        <v>112</v>
      </c>
      <c r="DG447" s="2">
        <v>48</v>
      </c>
      <c r="DH447" s="2">
        <v>0</v>
      </c>
      <c r="DI447" s="2">
        <v>2.7498659999999999</v>
      </c>
      <c r="DR447" s="89">
        <v>109</v>
      </c>
      <c r="DS447" s="2">
        <v>46</v>
      </c>
      <c r="DT447" s="2">
        <v>1</v>
      </c>
      <c r="DU447" s="2">
        <v>2.1652870000000002</v>
      </c>
      <c r="ED447" s="89">
        <v>114</v>
      </c>
      <c r="EE447" s="2">
        <v>48</v>
      </c>
      <c r="EF447" s="2">
        <v>0</v>
      </c>
      <c r="EG447" s="2">
        <v>4.4729809999999999</v>
      </c>
      <c r="ES447">
        <v>114</v>
      </c>
      <c r="ET447">
        <v>48</v>
      </c>
      <c r="EU447">
        <v>0</v>
      </c>
      <c r="EV447">
        <v>4.4729809999999999</v>
      </c>
    </row>
    <row r="448" spans="14:152" x14ac:dyDescent="0.4">
      <c r="N448" s="89">
        <v>116</v>
      </c>
      <c r="O448" s="2">
        <v>46</v>
      </c>
      <c r="P448" s="2">
        <v>0</v>
      </c>
      <c r="Q448" s="2">
        <v>9.8989199999999999E-2</v>
      </c>
      <c r="Z448" s="89">
        <v>109</v>
      </c>
      <c r="AA448" s="2">
        <v>47</v>
      </c>
      <c r="AB448" s="2">
        <v>0</v>
      </c>
      <c r="AC448" s="2">
        <v>3.6966510000000001</v>
      </c>
      <c r="AL448" s="89">
        <v>111</v>
      </c>
      <c r="AM448" s="2">
        <v>46</v>
      </c>
      <c r="AN448" s="2">
        <v>1</v>
      </c>
      <c r="AO448" s="2">
        <v>1.2609999999999999</v>
      </c>
      <c r="AX448" s="89">
        <v>123</v>
      </c>
      <c r="AY448" s="2">
        <v>48</v>
      </c>
      <c r="AZ448" s="2">
        <v>1</v>
      </c>
      <c r="BA448" s="2">
        <v>0.1222731</v>
      </c>
      <c r="BJ448" s="89">
        <v>120</v>
      </c>
      <c r="BK448" s="2">
        <v>48</v>
      </c>
      <c r="BL448" s="2">
        <v>0</v>
      </c>
      <c r="BM448" s="2">
        <v>1.5250079999999999</v>
      </c>
      <c r="BV448" s="89">
        <v>116</v>
      </c>
      <c r="BW448" s="2">
        <v>48</v>
      </c>
      <c r="BX448" s="2">
        <v>0</v>
      </c>
      <c r="BY448" s="2">
        <v>4.1318339999999996</v>
      </c>
      <c r="CH448" s="89">
        <v>117</v>
      </c>
      <c r="CI448" s="2">
        <v>48</v>
      </c>
      <c r="CJ448" s="2">
        <v>0</v>
      </c>
      <c r="CK448" s="2">
        <v>1.4125639999999999</v>
      </c>
      <c r="CT448" s="89">
        <v>122</v>
      </c>
      <c r="CU448" s="2">
        <v>47</v>
      </c>
      <c r="CV448" s="2">
        <v>1</v>
      </c>
      <c r="CW448" s="2">
        <v>3.2153849999999998E-2</v>
      </c>
      <c r="DF448" s="89">
        <v>113</v>
      </c>
      <c r="DG448" s="2">
        <v>48</v>
      </c>
      <c r="DH448" s="2">
        <v>0</v>
      </c>
      <c r="DI448" s="2">
        <v>2.8002959999999999</v>
      </c>
      <c r="DR448" s="89">
        <v>110</v>
      </c>
      <c r="DS448" s="2">
        <v>46</v>
      </c>
      <c r="DT448" s="2">
        <v>0</v>
      </c>
      <c r="DU448" s="2">
        <v>3.7528739999999998</v>
      </c>
      <c r="ED448" s="89">
        <v>115</v>
      </c>
      <c r="EE448" s="2">
        <v>48</v>
      </c>
      <c r="EF448" s="2">
        <v>0</v>
      </c>
      <c r="EG448" s="2">
        <v>3.7823380000000002</v>
      </c>
      <c r="ES448">
        <v>115</v>
      </c>
      <c r="ET448">
        <v>48</v>
      </c>
      <c r="EU448">
        <v>0</v>
      </c>
      <c r="EV448">
        <v>3.7823380000000002</v>
      </c>
    </row>
    <row r="449" spans="14:152" x14ac:dyDescent="0.4">
      <c r="N449" s="89">
        <v>117</v>
      </c>
      <c r="O449" s="2">
        <v>46</v>
      </c>
      <c r="P449" s="2">
        <v>0</v>
      </c>
      <c r="Q449" s="2">
        <v>3.4058400000000003E-2</v>
      </c>
      <c r="Z449" s="89">
        <v>109</v>
      </c>
      <c r="AA449" s="2">
        <v>47</v>
      </c>
      <c r="AB449" s="2">
        <v>1</v>
      </c>
      <c r="AC449" s="2">
        <v>3.6898369999999998</v>
      </c>
      <c r="AL449" s="89">
        <v>112</v>
      </c>
      <c r="AM449" s="2">
        <v>46</v>
      </c>
      <c r="AN449" s="2">
        <v>0</v>
      </c>
      <c r="AO449" s="2">
        <v>1.6431439999999999</v>
      </c>
      <c r="AX449" s="89">
        <v>124</v>
      </c>
      <c r="AY449" s="2">
        <v>48</v>
      </c>
      <c r="AZ449" s="2">
        <v>0</v>
      </c>
      <c r="BA449" s="2">
        <v>5.6998670000000001E-2</v>
      </c>
      <c r="BJ449" s="89">
        <v>121</v>
      </c>
      <c r="BK449" s="2">
        <v>48</v>
      </c>
      <c r="BL449" s="2">
        <v>0</v>
      </c>
      <c r="BM449" s="2">
        <v>0.21095349999999999</v>
      </c>
      <c r="BV449" s="89">
        <v>117</v>
      </c>
      <c r="BW449" s="2">
        <v>48</v>
      </c>
      <c r="BX449" s="2">
        <v>0</v>
      </c>
      <c r="BY449" s="2">
        <v>2.3468779999999998</v>
      </c>
      <c r="CH449" s="89">
        <v>117</v>
      </c>
      <c r="CI449" s="2">
        <v>48</v>
      </c>
      <c r="CJ449" s="2">
        <v>1</v>
      </c>
      <c r="CK449" s="2">
        <v>2.0335619999999999</v>
      </c>
      <c r="CT449" s="89">
        <v>123</v>
      </c>
      <c r="CU449" s="2">
        <v>47</v>
      </c>
      <c r="CV449" s="2">
        <v>0</v>
      </c>
      <c r="CW449" s="2">
        <v>1.4E-2</v>
      </c>
      <c r="DF449" s="89">
        <v>113</v>
      </c>
      <c r="DG449" s="2">
        <v>48</v>
      </c>
      <c r="DH449" s="2">
        <v>1</v>
      </c>
      <c r="DI449" s="2">
        <v>3.5435019999999998E-2</v>
      </c>
      <c r="DR449" s="89">
        <v>111</v>
      </c>
      <c r="DS449" s="2">
        <v>46</v>
      </c>
      <c r="DT449" s="2">
        <v>0</v>
      </c>
      <c r="DU449" s="2">
        <v>3.4114070000000001</v>
      </c>
      <c r="ED449" s="89">
        <v>115</v>
      </c>
      <c r="EE449" s="2">
        <v>48</v>
      </c>
      <c r="EF449" s="2">
        <v>1</v>
      </c>
      <c r="EG449" s="2">
        <v>0.61056690000000002</v>
      </c>
      <c r="ES449">
        <v>115</v>
      </c>
      <c r="ET449">
        <v>48</v>
      </c>
      <c r="EU449">
        <v>1</v>
      </c>
      <c r="EV449">
        <v>0.61056690000000002</v>
      </c>
    </row>
    <row r="450" spans="14:152" x14ac:dyDescent="0.4">
      <c r="N450" s="89">
        <v>117</v>
      </c>
      <c r="O450" s="2">
        <v>46</v>
      </c>
      <c r="P450" s="2">
        <v>1</v>
      </c>
      <c r="Q450" s="2">
        <v>2.8000000000000001E-2</v>
      </c>
      <c r="Z450" s="89">
        <v>110</v>
      </c>
      <c r="AA450" s="2">
        <v>47</v>
      </c>
      <c r="AB450" s="2">
        <v>0</v>
      </c>
      <c r="AC450" s="2">
        <v>2.3228450000000001E-2</v>
      </c>
      <c r="AL450" s="89">
        <v>113</v>
      </c>
      <c r="AM450" s="2">
        <v>46</v>
      </c>
      <c r="AN450" s="2">
        <v>0</v>
      </c>
      <c r="AO450" s="2">
        <v>0.97292160000000005</v>
      </c>
      <c r="AX450" s="89">
        <v>125</v>
      </c>
      <c r="AY450" s="2">
        <v>48</v>
      </c>
      <c r="AZ450" s="2">
        <v>0</v>
      </c>
      <c r="BA450" s="2">
        <v>2.2894740000000001E-3</v>
      </c>
      <c r="BJ450" s="89">
        <v>121</v>
      </c>
      <c r="BK450" s="2">
        <v>48</v>
      </c>
      <c r="BL450" s="2">
        <v>1</v>
      </c>
      <c r="BM450" s="2">
        <v>0.50503849999999995</v>
      </c>
      <c r="BV450" s="89">
        <v>117</v>
      </c>
      <c r="BW450" s="2">
        <v>48</v>
      </c>
      <c r="BX450" s="2">
        <v>1</v>
      </c>
      <c r="BY450" s="2">
        <v>1.6962189999999999</v>
      </c>
      <c r="CH450" s="89">
        <v>118</v>
      </c>
      <c r="CI450" s="2">
        <v>48</v>
      </c>
      <c r="CJ450" s="2">
        <v>0</v>
      </c>
      <c r="CK450" s="2">
        <v>2.777854</v>
      </c>
      <c r="CT450" s="89">
        <v>124</v>
      </c>
      <c r="CU450" s="2">
        <v>47</v>
      </c>
      <c r="CV450" s="2">
        <v>0</v>
      </c>
      <c r="CW450" s="2">
        <v>1.3333329999999999E-3</v>
      </c>
      <c r="DF450" s="89">
        <v>114</v>
      </c>
      <c r="DG450" s="2">
        <v>48</v>
      </c>
      <c r="DH450" s="2">
        <v>0</v>
      </c>
      <c r="DI450" s="2">
        <v>2.9903010000000001</v>
      </c>
      <c r="DR450" s="89">
        <v>111</v>
      </c>
      <c r="DS450" s="2">
        <v>46</v>
      </c>
      <c r="DT450" s="2">
        <v>1</v>
      </c>
      <c r="DU450" s="2">
        <v>0.94199999999999995</v>
      </c>
      <c r="ED450" s="89">
        <v>116</v>
      </c>
      <c r="EE450" s="2">
        <v>48</v>
      </c>
      <c r="EF450" s="2">
        <v>0</v>
      </c>
      <c r="EG450" s="2">
        <v>4.2869020000000004</v>
      </c>
      <c r="ES450">
        <v>116</v>
      </c>
      <c r="ET450">
        <v>48</v>
      </c>
      <c r="EU450">
        <v>0</v>
      </c>
      <c r="EV450">
        <v>4.2869020000000004</v>
      </c>
    </row>
    <row r="451" spans="14:152" x14ac:dyDescent="0.4">
      <c r="N451" s="89">
        <v>118</v>
      </c>
      <c r="O451" s="2">
        <v>46</v>
      </c>
      <c r="P451" s="2">
        <v>0</v>
      </c>
      <c r="Q451" s="2">
        <v>1.4941599999999999E-2</v>
      </c>
      <c r="Z451" s="89">
        <v>110</v>
      </c>
      <c r="AA451" s="2">
        <v>47</v>
      </c>
      <c r="AB451" s="2">
        <v>1</v>
      </c>
      <c r="AC451" s="2">
        <v>0.2146914</v>
      </c>
      <c r="AL451" s="89">
        <v>113</v>
      </c>
      <c r="AM451" s="2">
        <v>46</v>
      </c>
      <c r="AN451" s="2">
        <v>1</v>
      </c>
      <c r="AO451" s="2">
        <v>0.67900000000000005</v>
      </c>
      <c r="AX451" s="89">
        <v>125</v>
      </c>
      <c r="AY451" s="2">
        <v>48</v>
      </c>
      <c r="AZ451" s="2">
        <v>1</v>
      </c>
      <c r="BA451" s="2">
        <v>1.571053E-2</v>
      </c>
      <c r="BJ451" s="89">
        <v>122</v>
      </c>
      <c r="BK451" s="2">
        <v>48</v>
      </c>
      <c r="BL451" s="2">
        <v>0</v>
      </c>
      <c r="BM451" s="2">
        <v>0.31898900000000002</v>
      </c>
      <c r="BV451" s="89">
        <v>118</v>
      </c>
      <c r="BW451" s="2">
        <v>48</v>
      </c>
      <c r="BX451" s="2">
        <v>0</v>
      </c>
      <c r="BY451" s="2">
        <v>3.8368220000000002</v>
      </c>
      <c r="CH451" s="89">
        <v>119</v>
      </c>
      <c r="CI451" s="2">
        <v>48</v>
      </c>
      <c r="CJ451" s="2">
        <v>0</v>
      </c>
      <c r="CK451" s="2">
        <v>0.54969230000000002</v>
      </c>
      <c r="CT451" s="89">
        <v>124</v>
      </c>
      <c r="CU451" s="2">
        <v>47</v>
      </c>
      <c r="CV451" s="2">
        <v>1</v>
      </c>
      <c r="CW451" s="2">
        <v>1.3333329999999999E-3</v>
      </c>
      <c r="DF451" s="89">
        <v>115</v>
      </c>
      <c r="DG451" s="2">
        <v>48</v>
      </c>
      <c r="DH451" s="2">
        <v>0</v>
      </c>
      <c r="DI451" s="2">
        <v>2.6587510000000001</v>
      </c>
      <c r="DR451" s="89">
        <v>112</v>
      </c>
      <c r="DS451" s="2">
        <v>46</v>
      </c>
      <c r="DT451" s="2">
        <v>0</v>
      </c>
      <c r="DU451" s="2">
        <v>3.2162280000000001</v>
      </c>
      <c r="ED451" s="89">
        <v>117</v>
      </c>
      <c r="EE451" s="2">
        <v>48</v>
      </c>
      <c r="EF451" s="2">
        <v>0</v>
      </c>
      <c r="EG451" s="2">
        <v>2.0979719999999999</v>
      </c>
      <c r="ES451">
        <v>117</v>
      </c>
      <c r="ET451">
        <v>48</v>
      </c>
      <c r="EU451">
        <v>0</v>
      </c>
      <c r="EV451">
        <v>2.0979719999999999</v>
      </c>
    </row>
    <row r="452" spans="14:152" x14ac:dyDescent="0.4">
      <c r="N452" s="89">
        <v>119</v>
      </c>
      <c r="O452" s="2">
        <v>46</v>
      </c>
      <c r="P452" s="2">
        <v>0</v>
      </c>
      <c r="Q452" s="2">
        <v>4.0000000000000001E-3</v>
      </c>
      <c r="Z452" s="89">
        <v>111</v>
      </c>
      <c r="AA452" s="2">
        <v>47</v>
      </c>
      <c r="AB452" s="2">
        <v>0</v>
      </c>
      <c r="AC452" s="2">
        <v>3.2206959999999998</v>
      </c>
      <c r="AL452" s="89">
        <v>114</v>
      </c>
      <c r="AM452" s="2">
        <v>46</v>
      </c>
      <c r="AN452" s="2">
        <v>0</v>
      </c>
      <c r="AO452" s="2">
        <v>0.50293920000000003</v>
      </c>
      <c r="AX452" s="89">
        <v>126</v>
      </c>
      <c r="AY452" s="2">
        <v>48</v>
      </c>
      <c r="AZ452" s="2">
        <v>0</v>
      </c>
      <c r="BA452" s="2">
        <v>9.0000010000000005E-3</v>
      </c>
      <c r="BJ452" s="89">
        <v>123</v>
      </c>
      <c r="BK452" s="2">
        <v>48</v>
      </c>
      <c r="BL452" s="2">
        <v>0</v>
      </c>
      <c r="BM452" s="2">
        <v>2.7091500000000001E-2</v>
      </c>
      <c r="BV452" s="89">
        <v>119</v>
      </c>
      <c r="BW452" s="2">
        <v>48</v>
      </c>
      <c r="BX452" s="2">
        <v>0</v>
      </c>
      <c r="BY452" s="2">
        <v>1.345653</v>
      </c>
      <c r="CH452" s="89">
        <v>119</v>
      </c>
      <c r="CI452" s="2">
        <v>48</v>
      </c>
      <c r="CJ452" s="2">
        <v>1</v>
      </c>
      <c r="CK452" s="2">
        <v>1.1863079999999999</v>
      </c>
      <c r="CT452" s="89">
        <v>125</v>
      </c>
      <c r="CU452" s="2">
        <v>47</v>
      </c>
      <c r="CV452" s="2">
        <v>0</v>
      </c>
      <c r="CW452" s="2">
        <v>1E-3</v>
      </c>
      <c r="DF452" s="89">
        <v>115</v>
      </c>
      <c r="DG452" s="2">
        <v>48</v>
      </c>
      <c r="DH452" s="2">
        <v>1</v>
      </c>
      <c r="DI452" s="2">
        <v>0.16221959999999999</v>
      </c>
      <c r="DR452" s="89">
        <v>113</v>
      </c>
      <c r="DS452" s="2">
        <v>46</v>
      </c>
      <c r="DT452" s="2">
        <v>0</v>
      </c>
      <c r="DU452" s="2">
        <v>2.4611109999999998</v>
      </c>
      <c r="ED452" s="89">
        <v>117</v>
      </c>
      <c r="EE452" s="2">
        <v>48</v>
      </c>
      <c r="EF452" s="2">
        <v>1</v>
      </c>
      <c r="EG452" s="2">
        <v>2.09727</v>
      </c>
      <c r="ES452">
        <v>117</v>
      </c>
      <c r="ET452">
        <v>48</v>
      </c>
      <c r="EU452">
        <v>1</v>
      </c>
      <c r="EV452">
        <v>2.09727</v>
      </c>
    </row>
    <row r="453" spans="14:152" x14ac:dyDescent="0.4">
      <c r="N453" s="89">
        <v>120</v>
      </c>
      <c r="O453" s="2">
        <v>46</v>
      </c>
      <c r="P453" s="2">
        <v>0</v>
      </c>
      <c r="Q453" s="2">
        <v>1E-3</v>
      </c>
      <c r="Z453" s="89">
        <v>111</v>
      </c>
      <c r="AA453" s="2">
        <v>47</v>
      </c>
      <c r="AB453" s="2">
        <v>1</v>
      </c>
      <c r="AC453" s="2">
        <v>3.1028660000000001</v>
      </c>
      <c r="AL453" s="89">
        <v>115</v>
      </c>
      <c r="AM453" s="2">
        <v>46</v>
      </c>
      <c r="AN453" s="2">
        <v>0</v>
      </c>
      <c r="AO453" s="2">
        <v>5.3439359999999998E-2</v>
      </c>
      <c r="AX453" s="89">
        <v>127</v>
      </c>
      <c r="AY453" s="2">
        <v>48</v>
      </c>
      <c r="AZ453" s="2">
        <v>0</v>
      </c>
      <c r="BA453" s="2">
        <v>2E-3</v>
      </c>
      <c r="BJ453" s="89">
        <v>123</v>
      </c>
      <c r="BK453" s="2">
        <v>48</v>
      </c>
      <c r="BL453" s="2">
        <v>1</v>
      </c>
      <c r="BM453" s="2">
        <v>7.6909500000000006E-2</v>
      </c>
      <c r="BV453" s="89">
        <v>119</v>
      </c>
      <c r="BW453" s="2">
        <v>48</v>
      </c>
      <c r="BX453" s="2">
        <v>1</v>
      </c>
      <c r="BY453" s="2">
        <v>1.6715249999999999</v>
      </c>
      <c r="CH453" s="89">
        <v>120</v>
      </c>
      <c r="CI453" s="2">
        <v>48</v>
      </c>
      <c r="CJ453" s="2">
        <v>0</v>
      </c>
      <c r="CK453" s="2">
        <v>1.1280060000000001</v>
      </c>
      <c r="CT453" s="89">
        <v>108</v>
      </c>
      <c r="CU453" s="2">
        <v>48</v>
      </c>
      <c r="CV453" s="2">
        <v>0</v>
      </c>
      <c r="CW453" s="2">
        <v>4.8426820000000001E-3</v>
      </c>
      <c r="DF453" s="89">
        <v>116</v>
      </c>
      <c r="DG453" s="2">
        <v>48</v>
      </c>
      <c r="DH453" s="2">
        <v>0</v>
      </c>
      <c r="DI453" s="2">
        <v>2.8969399999999998</v>
      </c>
      <c r="DR453" s="89">
        <v>113</v>
      </c>
      <c r="DS453" s="2">
        <v>46</v>
      </c>
      <c r="DT453" s="2">
        <v>1</v>
      </c>
      <c r="DU453" s="2">
        <v>1.3240000000000001</v>
      </c>
      <c r="ED453" s="89">
        <v>118</v>
      </c>
      <c r="EE453" s="2">
        <v>48</v>
      </c>
      <c r="EF453" s="2">
        <v>0</v>
      </c>
      <c r="EG453" s="2">
        <v>3.5317370000000001</v>
      </c>
      <c r="ES453">
        <v>118</v>
      </c>
      <c r="ET453">
        <v>48</v>
      </c>
      <c r="EU453">
        <v>0</v>
      </c>
      <c r="EV453">
        <v>3.5317370000000001</v>
      </c>
    </row>
    <row r="454" spans="14:152" x14ac:dyDescent="0.4">
      <c r="N454" s="89">
        <v>106</v>
      </c>
      <c r="O454" s="2">
        <v>47</v>
      </c>
      <c r="P454" s="2">
        <v>1</v>
      </c>
      <c r="Q454" s="2">
        <v>2E-3</v>
      </c>
      <c r="Z454" s="89">
        <v>112</v>
      </c>
      <c r="AA454" s="2">
        <v>47</v>
      </c>
      <c r="AB454" s="2">
        <v>0</v>
      </c>
      <c r="AC454" s="2">
        <v>2.9398620000000002</v>
      </c>
      <c r="AL454" s="89">
        <v>115</v>
      </c>
      <c r="AM454" s="2">
        <v>46</v>
      </c>
      <c r="AN454" s="2">
        <v>1</v>
      </c>
      <c r="AO454" s="2">
        <v>0.16148570000000001</v>
      </c>
      <c r="AX454" s="89">
        <v>128</v>
      </c>
      <c r="AY454" s="2">
        <v>48</v>
      </c>
      <c r="AZ454" s="2">
        <v>0</v>
      </c>
      <c r="BA454" s="2">
        <v>1E-3</v>
      </c>
      <c r="BJ454" s="89">
        <v>124</v>
      </c>
      <c r="BK454" s="2">
        <v>48</v>
      </c>
      <c r="BL454" s="2">
        <v>0</v>
      </c>
      <c r="BM454" s="2">
        <v>4.1999000000000002E-2</v>
      </c>
      <c r="BV454" s="89">
        <v>120</v>
      </c>
      <c r="BW454" s="2">
        <v>48</v>
      </c>
      <c r="BX454" s="2">
        <v>0</v>
      </c>
      <c r="BY454" s="2">
        <v>2.2480060000000002</v>
      </c>
      <c r="CH454" s="89">
        <v>121</v>
      </c>
      <c r="CI454" s="2">
        <v>48</v>
      </c>
      <c r="CJ454" s="2">
        <v>0</v>
      </c>
      <c r="CK454" s="2">
        <v>0.14493</v>
      </c>
      <c r="CT454" s="89">
        <v>110</v>
      </c>
      <c r="CU454" s="2">
        <v>48</v>
      </c>
      <c r="CV454" s="2">
        <v>0</v>
      </c>
      <c r="CW454" s="2">
        <v>0.1439182</v>
      </c>
      <c r="DF454" s="89">
        <v>117</v>
      </c>
      <c r="DG454" s="2">
        <v>48</v>
      </c>
      <c r="DH454" s="2">
        <v>0</v>
      </c>
      <c r="DI454" s="2">
        <v>1.942898</v>
      </c>
      <c r="DR454" s="89">
        <v>114</v>
      </c>
      <c r="DS454" s="2">
        <v>46</v>
      </c>
      <c r="DT454" s="2">
        <v>0</v>
      </c>
      <c r="DU454" s="2">
        <v>1.7923709999999999</v>
      </c>
      <c r="ED454" s="89">
        <v>119</v>
      </c>
      <c r="EE454" s="2">
        <v>48</v>
      </c>
      <c r="EF454" s="2">
        <v>0</v>
      </c>
      <c r="EG454" s="2">
        <v>1.0782080000000001</v>
      </c>
      <c r="ES454">
        <v>119</v>
      </c>
      <c r="ET454">
        <v>48</v>
      </c>
      <c r="EU454">
        <v>0</v>
      </c>
      <c r="EV454">
        <v>1.0782080000000001</v>
      </c>
    </row>
    <row r="455" spans="14:152" x14ac:dyDescent="0.4">
      <c r="N455" s="89">
        <v>107</v>
      </c>
      <c r="O455" s="2">
        <v>47</v>
      </c>
      <c r="P455" s="2">
        <v>0</v>
      </c>
      <c r="Q455" s="2">
        <v>7.0000000000000001E-3</v>
      </c>
      <c r="Z455" s="89">
        <v>113</v>
      </c>
      <c r="AA455" s="2">
        <v>47</v>
      </c>
      <c r="AB455" s="2">
        <v>0</v>
      </c>
      <c r="AC455" s="2">
        <v>1.678984</v>
      </c>
      <c r="AL455" s="89">
        <v>116</v>
      </c>
      <c r="AM455" s="2">
        <v>46</v>
      </c>
      <c r="AN455" s="2">
        <v>0</v>
      </c>
      <c r="AO455" s="2">
        <v>8.2989209999999994E-2</v>
      </c>
      <c r="AX455" s="89">
        <v>129</v>
      </c>
      <c r="AY455" s="2">
        <v>48</v>
      </c>
      <c r="AZ455" s="2">
        <v>0</v>
      </c>
      <c r="BA455" s="2">
        <v>1E-3</v>
      </c>
      <c r="BJ455" s="89">
        <v>125</v>
      </c>
      <c r="BK455" s="2">
        <v>48</v>
      </c>
      <c r="BL455" s="2">
        <v>0</v>
      </c>
      <c r="BM455" s="2">
        <v>1E-3</v>
      </c>
      <c r="BV455" s="89">
        <v>121</v>
      </c>
      <c r="BW455" s="2">
        <v>48</v>
      </c>
      <c r="BX455" s="2">
        <v>0</v>
      </c>
      <c r="BY455" s="2">
        <v>0.47084710000000002</v>
      </c>
      <c r="CH455" s="89">
        <v>121</v>
      </c>
      <c r="CI455" s="2">
        <v>48</v>
      </c>
      <c r="CJ455" s="2">
        <v>1</v>
      </c>
      <c r="CK455" s="2">
        <v>0.38306469999999998</v>
      </c>
      <c r="CT455" s="89">
        <v>111</v>
      </c>
      <c r="CU455" s="2">
        <v>48</v>
      </c>
      <c r="CV455" s="2">
        <v>0</v>
      </c>
      <c r="CW455" s="2">
        <v>3.829501</v>
      </c>
      <c r="DF455" s="89">
        <v>117</v>
      </c>
      <c r="DG455" s="2">
        <v>48</v>
      </c>
      <c r="DH455" s="2">
        <v>1</v>
      </c>
      <c r="DI455" s="2">
        <v>0.90346749999999998</v>
      </c>
      <c r="DR455" s="89">
        <v>115</v>
      </c>
      <c r="DS455" s="2">
        <v>46</v>
      </c>
      <c r="DT455" s="2">
        <v>0</v>
      </c>
      <c r="DU455" s="2">
        <v>0.3593462</v>
      </c>
      <c r="ED455" s="89">
        <v>119</v>
      </c>
      <c r="EE455" s="2">
        <v>48</v>
      </c>
      <c r="EF455" s="2">
        <v>1</v>
      </c>
      <c r="EG455" s="2">
        <v>1.6677919999999999</v>
      </c>
      <c r="ES455">
        <v>119</v>
      </c>
      <c r="ET455">
        <v>48</v>
      </c>
      <c r="EU455">
        <v>1</v>
      </c>
      <c r="EV455">
        <v>1.6677919999999999</v>
      </c>
    </row>
    <row r="456" spans="14:152" x14ac:dyDescent="0.4">
      <c r="N456" s="89">
        <v>107</v>
      </c>
      <c r="O456" s="2">
        <v>47</v>
      </c>
      <c r="P456" s="2">
        <v>1</v>
      </c>
      <c r="Q456" s="2">
        <v>7.0000000000000001E-3</v>
      </c>
      <c r="Z456" s="89">
        <v>113</v>
      </c>
      <c r="AA456" s="2">
        <v>47</v>
      </c>
      <c r="AB456" s="2">
        <v>1</v>
      </c>
      <c r="AC456" s="2">
        <v>2.4220660000000001</v>
      </c>
      <c r="AL456" s="89">
        <v>117</v>
      </c>
      <c r="AM456" s="2">
        <v>46</v>
      </c>
      <c r="AN456" s="2">
        <v>0</v>
      </c>
      <c r="AO456" s="2">
        <v>3.3029200000000002E-2</v>
      </c>
      <c r="AX456" s="89">
        <v>113</v>
      </c>
      <c r="AY456" s="2">
        <v>49</v>
      </c>
      <c r="AZ456" s="2">
        <v>0</v>
      </c>
      <c r="BA456" s="2">
        <v>0.10648000000000001</v>
      </c>
      <c r="BJ456" s="89">
        <v>125</v>
      </c>
      <c r="BK456" s="2">
        <v>48</v>
      </c>
      <c r="BL456" s="2">
        <v>1</v>
      </c>
      <c r="BM456" s="2">
        <v>8.0000000000000002E-3</v>
      </c>
      <c r="BV456" s="89">
        <v>121</v>
      </c>
      <c r="BW456" s="2">
        <v>48</v>
      </c>
      <c r="BX456" s="2">
        <v>1</v>
      </c>
      <c r="BY456" s="2">
        <v>0.88296909999999995</v>
      </c>
      <c r="CH456" s="89">
        <v>122</v>
      </c>
      <c r="CI456" s="2">
        <v>48</v>
      </c>
      <c r="CJ456" s="2">
        <v>0</v>
      </c>
      <c r="CK456" s="2">
        <v>0.23598150000000001</v>
      </c>
      <c r="CT456" s="89">
        <v>111</v>
      </c>
      <c r="CU456" s="2">
        <v>48</v>
      </c>
      <c r="CV456" s="2">
        <v>1</v>
      </c>
      <c r="CW456" s="2">
        <v>1.70002E-2</v>
      </c>
      <c r="DF456" s="89">
        <v>118</v>
      </c>
      <c r="DG456" s="2">
        <v>48</v>
      </c>
      <c r="DH456" s="2">
        <v>0</v>
      </c>
      <c r="DI456" s="2">
        <v>2.7663530000000001</v>
      </c>
      <c r="DR456" s="89">
        <v>115</v>
      </c>
      <c r="DS456" s="2">
        <v>46</v>
      </c>
      <c r="DT456" s="2">
        <v>1</v>
      </c>
      <c r="DU456" s="2">
        <v>0.71747369999999999</v>
      </c>
      <c r="ED456" s="89">
        <v>120</v>
      </c>
      <c r="EE456" s="2">
        <v>48</v>
      </c>
      <c r="EF456" s="2">
        <v>0</v>
      </c>
      <c r="EG456" s="2">
        <v>1.9470350000000001</v>
      </c>
      <c r="ES456">
        <v>120</v>
      </c>
      <c r="ET456">
        <v>48</v>
      </c>
      <c r="EU456">
        <v>0</v>
      </c>
      <c r="EV456">
        <v>1.9470350000000001</v>
      </c>
    </row>
    <row r="457" spans="14:152" x14ac:dyDescent="0.4">
      <c r="N457" s="89">
        <v>108</v>
      </c>
      <c r="O457" s="2">
        <v>47</v>
      </c>
      <c r="P457" s="2">
        <v>0</v>
      </c>
      <c r="Q457" s="2">
        <v>8.7296000000000006E-3</v>
      </c>
      <c r="Z457" s="89">
        <v>114</v>
      </c>
      <c r="AA457" s="2">
        <v>47</v>
      </c>
      <c r="AB457" s="2">
        <v>0</v>
      </c>
      <c r="AC457" s="2">
        <v>1.996005</v>
      </c>
      <c r="AL457" s="89">
        <v>117</v>
      </c>
      <c r="AM457" s="2">
        <v>46</v>
      </c>
      <c r="AN457" s="2">
        <v>1</v>
      </c>
      <c r="AO457" s="2">
        <v>2.5999999999999999E-2</v>
      </c>
      <c r="AX457" s="89">
        <v>114</v>
      </c>
      <c r="AY457" s="2">
        <v>49</v>
      </c>
      <c r="AZ457" s="2">
        <v>0</v>
      </c>
      <c r="BA457" s="2">
        <v>4.895E-3</v>
      </c>
      <c r="BJ457" s="89">
        <v>126</v>
      </c>
      <c r="BK457" s="2">
        <v>48</v>
      </c>
      <c r="BL457" s="2">
        <v>0</v>
      </c>
      <c r="BM457" s="2">
        <v>2E-3</v>
      </c>
      <c r="BV457" s="89">
        <v>122</v>
      </c>
      <c r="BW457" s="2">
        <v>48</v>
      </c>
      <c r="BX457" s="2">
        <v>0</v>
      </c>
      <c r="BY457" s="2">
        <v>0.78293639999999998</v>
      </c>
      <c r="CH457" s="89">
        <v>123</v>
      </c>
      <c r="CI457" s="2">
        <v>48</v>
      </c>
      <c r="CJ457" s="2">
        <v>0</v>
      </c>
      <c r="CK457" s="2">
        <v>2.2273299999999999E-2</v>
      </c>
      <c r="CT457" s="89">
        <v>112</v>
      </c>
      <c r="CU457" s="2">
        <v>48</v>
      </c>
      <c r="CV457" s="2">
        <v>0</v>
      </c>
      <c r="CW457" s="2">
        <v>3.9733299999999998</v>
      </c>
      <c r="DF457" s="89">
        <v>119</v>
      </c>
      <c r="DG457" s="2">
        <v>48</v>
      </c>
      <c r="DH457" s="2">
        <v>0</v>
      </c>
      <c r="DI457" s="2">
        <v>1.5074240000000001</v>
      </c>
      <c r="DR457" s="89">
        <v>116</v>
      </c>
      <c r="DS457" s="2">
        <v>46</v>
      </c>
      <c r="DT457" s="2">
        <v>0</v>
      </c>
      <c r="DU457" s="2">
        <v>0.63896649999999999</v>
      </c>
      <c r="ED457" s="89">
        <v>121</v>
      </c>
      <c r="EE457" s="2">
        <v>48</v>
      </c>
      <c r="EF457" s="2">
        <v>0</v>
      </c>
      <c r="EG457" s="2">
        <v>0.31313679999999999</v>
      </c>
      <c r="ES457">
        <v>121</v>
      </c>
      <c r="ET457">
        <v>48</v>
      </c>
      <c r="EU457">
        <v>0</v>
      </c>
      <c r="EV457">
        <v>0.31313679999999999</v>
      </c>
    </row>
    <row r="458" spans="14:152" x14ac:dyDescent="0.4">
      <c r="N458" s="89">
        <v>108</v>
      </c>
      <c r="O458" s="2">
        <v>47</v>
      </c>
      <c r="P458" s="2">
        <v>1</v>
      </c>
      <c r="Q458" s="2">
        <v>2.5600000000000001E-2</v>
      </c>
      <c r="Z458" s="89">
        <v>114</v>
      </c>
      <c r="AA458" s="2">
        <v>47</v>
      </c>
      <c r="AB458" s="2">
        <v>1</v>
      </c>
      <c r="AC458" s="2">
        <v>1.107253</v>
      </c>
      <c r="AL458" s="89">
        <v>118</v>
      </c>
      <c r="AM458" s="2">
        <v>46</v>
      </c>
      <c r="AN458" s="2">
        <v>0</v>
      </c>
      <c r="AO458" s="2">
        <v>1.0970799999999999E-2</v>
      </c>
      <c r="AX458" s="89">
        <v>114</v>
      </c>
      <c r="AY458" s="2">
        <v>49</v>
      </c>
      <c r="AZ458" s="2">
        <v>1</v>
      </c>
      <c r="BA458" s="2">
        <v>3.0000000000000001E-3</v>
      </c>
      <c r="BJ458" s="89">
        <v>127</v>
      </c>
      <c r="BK458" s="2">
        <v>48</v>
      </c>
      <c r="BL458" s="2">
        <v>0</v>
      </c>
      <c r="BM458" s="2">
        <v>2E-3</v>
      </c>
      <c r="BV458" s="89">
        <v>123</v>
      </c>
      <c r="BW458" s="2">
        <v>48</v>
      </c>
      <c r="BX458" s="2">
        <v>0</v>
      </c>
      <c r="BY458" s="2">
        <v>9.3002299999999996E-2</v>
      </c>
      <c r="CH458" s="89">
        <v>123</v>
      </c>
      <c r="CI458" s="2">
        <v>48</v>
      </c>
      <c r="CJ458" s="2">
        <v>1</v>
      </c>
      <c r="CK458" s="2">
        <v>5.9727700000000002E-2</v>
      </c>
      <c r="CT458" s="89">
        <v>113</v>
      </c>
      <c r="CU458" s="2">
        <v>48</v>
      </c>
      <c r="CV458" s="2">
        <v>0</v>
      </c>
      <c r="CW458" s="2">
        <v>3.7548889999999999</v>
      </c>
      <c r="DF458" s="89">
        <v>119</v>
      </c>
      <c r="DG458" s="2">
        <v>48</v>
      </c>
      <c r="DH458" s="2">
        <v>1</v>
      </c>
      <c r="DI458" s="2">
        <v>1.0849629999999999</v>
      </c>
      <c r="DR458" s="89">
        <v>117</v>
      </c>
      <c r="DS458" s="2">
        <v>46</v>
      </c>
      <c r="DT458" s="2">
        <v>0</v>
      </c>
      <c r="DU458" s="2">
        <v>0.27418389999999998</v>
      </c>
      <c r="ED458" s="89">
        <v>121</v>
      </c>
      <c r="EE458" s="2">
        <v>48</v>
      </c>
      <c r="EF458" s="2">
        <v>1</v>
      </c>
      <c r="EG458" s="2">
        <v>0.64482819999999996</v>
      </c>
      <c r="ES458">
        <v>121</v>
      </c>
      <c r="ET458">
        <v>48</v>
      </c>
      <c r="EU458">
        <v>1</v>
      </c>
      <c r="EV458">
        <v>0.64482819999999996</v>
      </c>
    </row>
    <row r="459" spans="14:152" x14ac:dyDescent="0.4">
      <c r="N459" s="89">
        <v>109</v>
      </c>
      <c r="O459" s="2">
        <v>47</v>
      </c>
      <c r="P459" s="2">
        <v>0</v>
      </c>
      <c r="Q459" s="2">
        <v>3.0877560000000002</v>
      </c>
      <c r="Z459" s="89">
        <v>115</v>
      </c>
      <c r="AA459" s="2">
        <v>47</v>
      </c>
      <c r="AB459" s="2">
        <v>0</v>
      </c>
      <c r="AC459" s="2">
        <v>0.41249150000000001</v>
      </c>
      <c r="AL459" s="89">
        <v>119</v>
      </c>
      <c r="AM459" s="2">
        <v>46</v>
      </c>
      <c r="AN459" s="2">
        <v>0</v>
      </c>
      <c r="AO459" s="2">
        <v>3.0000000000000001E-3</v>
      </c>
      <c r="AX459" s="89">
        <v>114</v>
      </c>
      <c r="AY459" s="2">
        <v>49</v>
      </c>
      <c r="AZ459" s="2">
        <v>2</v>
      </c>
      <c r="BA459" s="2">
        <v>2E-3</v>
      </c>
      <c r="BJ459" s="89">
        <v>113</v>
      </c>
      <c r="BK459" s="2">
        <v>49</v>
      </c>
      <c r="BL459" s="2">
        <v>0</v>
      </c>
      <c r="BM459" s="2">
        <v>0.19757040000000001</v>
      </c>
      <c r="BV459" s="89">
        <v>123</v>
      </c>
      <c r="BW459" s="2">
        <v>48</v>
      </c>
      <c r="BX459" s="2">
        <v>1</v>
      </c>
      <c r="BY459" s="2">
        <v>0.23900070000000001</v>
      </c>
      <c r="CH459" s="89">
        <v>124</v>
      </c>
      <c r="CI459" s="2">
        <v>48</v>
      </c>
      <c r="CJ459" s="2">
        <v>0</v>
      </c>
      <c r="CK459" s="2">
        <v>3.6998999999999997E-2</v>
      </c>
      <c r="CT459" s="89">
        <v>113</v>
      </c>
      <c r="CU459" s="2">
        <v>48</v>
      </c>
      <c r="CV459" s="2">
        <v>1</v>
      </c>
      <c r="CW459" s="2">
        <v>0.24656739999999999</v>
      </c>
      <c r="DF459" s="89">
        <v>120</v>
      </c>
      <c r="DG459" s="2">
        <v>48</v>
      </c>
      <c r="DH459" s="2">
        <v>0</v>
      </c>
      <c r="DI459" s="2">
        <v>2.1237469999999998</v>
      </c>
      <c r="DR459" s="89">
        <v>117</v>
      </c>
      <c r="DS459" s="2">
        <v>46</v>
      </c>
      <c r="DT459" s="2">
        <v>1</v>
      </c>
      <c r="DU459" s="2">
        <v>0.20799999999999999</v>
      </c>
      <c r="ED459" s="89">
        <v>122</v>
      </c>
      <c r="EE459" s="2">
        <v>48</v>
      </c>
      <c r="EF459" s="2">
        <v>0</v>
      </c>
      <c r="EG459" s="2">
        <v>0.54095610000000005</v>
      </c>
      <c r="ES459">
        <v>122</v>
      </c>
      <c r="ET459">
        <v>48</v>
      </c>
      <c r="EU459">
        <v>0</v>
      </c>
      <c r="EV459">
        <v>0.54095610000000005</v>
      </c>
    </row>
    <row r="460" spans="14:152" x14ac:dyDescent="0.4">
      <c r="N460" s="89">
        <v>109</v>
      </c>
      <c r="O460" s="2">
        <v>47</v>
      </c>
      <c r="P460" s="2">
        <v>1</v>
      </c>
      <c r="Q460" s="2">
        <v>3.0802679999999998</v>
      </c>
      <c r="Z460" s="89">
        <v>115</v>
      </c>
      <c r="AA460" s="2">
        <v>47</v>
      </c>
      <c r="AB460" s="2">
        <v>1</v>
      </c>
      <c r="AC460" s="2">
        <v>1.2943770000000001</v>
      </c>
      <c r="AL460" s="89">
        <v>120</v>
      </c>
      <c r="AM460" s="2">
        <v>46</v>
      </c>
      <c r="AN460" s="2">
        <v>0</v>
      </c>
      <c r="AO460" s="2">
        <v>2E-3</v>
      </c>
      <c r="AX460" s="89">
        <v>115</v>
      </c>
      <c r="AY460" s="2">
        <v>49</v>
      </c>
      <c r="AZ460" s="2">
        <v>0</v>
      </c>
      <c r="BA460" s="2">
        <v>4.7836939999999997</v>
      </c>
      <c r="BJ460" s="89">
        <v>114</v>
      </c>
      <c r="BK460" s="2">
        <v>49</v>
      </c>
      <c r="BL460" s="2">
        <v>0</v>
      </c>
      <c r="BM460" s="2">
        <v>1.5615E-2</v>
      </c>
      <c r="BV460" s="89">
        <v>124</v>
      </c>
      <c r="BW460" s="2">
        <v>48</v>
      </c>
      <c r="BX460" s="2">
        <v>0</v>
      </c>
      <c r="BY460" s="2">
        <v>0.14099700000000001</v>
      </c>
      <c r="CH460" s="89">
        <v>125</v>
      </c>
      <c r="CI460" s="2">
        <v>48</v>
      </c>
      <c r="CJ460" s="2">
        <v>0</v>
      </c>
      <c r="CK460" s="2">
        <v>2.769231E-3</v>
      </c>
      <c r="CT460" s="89">
        <v>114</v>
      </c>
      <c r="CU460" s="2">
        <v>48</v>
      </c>
      <c r="CV460" s="2">
        <v>0</v>
      </c>
      <c r="CW460" s="2">
        <v>3.9233099999999999</v>
      </c>
      <c r="DF460" s="89">
        <v>121</v>
      </c>
      <c r="DG460" s="2">
        <v>48</v>
      </c>
      <c r="DH460" s="2">
        <v>0</v>
      </c>
      <c r="DI460" s="2">
        <v>0.65326689999999998</v>
      </c>
      <c r="DR460" s="89">
        <v>118</v>
      </c>
      <c r="DS460" s="2">
        <v>46</v>
      </c>
      <c r="DT460" s="2">
        <v>0</v>
      </c>
      <c r="DU460" s="2">
        <v>0.1037956</v>
      </c>
      <c r="ED460" s="89">
        <v>123</v>
      </c>
      <c r="EE460" s="2">
        <v>48</v>
      </c>
      <c r="EF460" s="2">
        <v>0</v>
      </c>
      <c r="EG460" s="2">
        <v>3.8002599999999997E-2</v>
      </c>
      <c r="ES460">
        <v>123</v>
      </c>
      <c r="ET460">
        <v>48</v>
      </c>
      <c r="EU460">
        <v>0</v>
      </c>
      <c r="EV460">
        <v>3.8002599999999997E-2</v>
      </c>
    </row>
    <row r="461" spans="14:152" x14ac:dyDescent="0.4">
      <c r="N461" s="89">
        <v>110</v>
      </c>
      <c r="O461" s="2">
        <v>47</v>
      </c>
      <c r="P461" s="2">
        <v>0</v>
      </c>
      <c r="Q461" s="2">
        <v>3.9196120000000001E-2</v>
      </c>
      <c r="Z461" s="89">
        <v>116</v>
      </c>
      <c r="AA461" s="2">
        <v>47</v>
      </c>
      <c r="AB461" s="2">
        <v>0</v>
      </c>
      <c r="AC461" s="2">
        <v>0.25829289999999999</v>
      </c>
      <c r="AL461" s="89">
        <v>105</v>
      </c>
      <c r="AM461" s="2">
        <v>47</v>
      </c>
      <c r="AN461" s="2">
        <v>0</v>
      </c>
      <c r="AO461" s="2">
        <v>9.9660000000000005E-4</v>
      </c>
      <c r="AX461" s="89">
        <v>115</v>
      </c>
      <c r="AY461" s="2">
        <v>49</v>
      </c>
      <c r="AZ461" s="2">
        <v>1</v>
      </c>
      <c r="BA461" s="2">
        <v>4.4031950000000002</v>
      </c>
      <c r="BJ461" s="89">
        <v>114</v>
      </c>
      <c r="BK461" s="2">
        <v>49</v>
      </c>
      <c r="BL461" s="2">
        <v>1</v>
      </c>
      <c r="BM461" s="2">
        <v>1.0999999999999999E-2</v>
      </c>
      <c r="BV461" s="89">
        <v>125</v>
      </c>
      <c r="BW461" s="2">
        <v>48</v>
      </c>
      <c r="BX461" s="2">
        <v>0</v>
      </c>
      <c r="BY461" s="2">
        <v>1.429091E-2</v>
      </c>
      <c r="CH461" s="89">
        <v>125</v>
      </c>
      <c r="CI461" s="2">
        <v>48</v>
      </c>
      <c r="CJ461" s="2">
        <v>1</v>
      </c>
      <c r="CK461" s="2">
        <v>9.2307699999999993E-3</v>
      </c>
      <c r="CT461" s="89">
        <v>115</v>
      </c>
      <c r="CU461" s="2">
        <v>48</v>
      </c>
      <c r="CV461" s="2">
        <v>0</v>
      </c>
      <c r="CW461" s="2">
        <v>3.100533</v>
      </c>
      <c r="DF461" s="89">
        <v>121</v>
      </c>
      <c r="DG461" s="2">
        <v>48</v>
      </c>
      <c r="DH461" s="2">
        <v>1</v>
      </c>
      <c r="DI461" s="2">
        <v>0.9435114</v>
      </c>
      <c r="DR461" s="89">
        <v>119</v>
      </c>
      <c r="DS461" s="2">
        <v>46</v>
      </c>
      <c r="DT461" s="2">
        <v>0</v>
      </c>
      <c r="DU461" s="2">
        <v>4.0118599999999997E-2</v>
      </c>
      <c r="ED461" s="89">
        <v>123</v>
      </c>
      <c r="EE461" s="2">
        <v>48</v>
      </c>
      <c r="EF461" s="2">
        <v>1</v>
      </c>
      <c r="EG461" s="2">
        <v>0.1510022</v>
      </c>
      <c r="ES461">
        <v>123</v>
      </c>
      <c r="ET461">
        <v>48</v>
      </c>
      <c r="EU461">
        <v>1</v>
      </c>
      <c r="EV461">
        <v>0.1510022</v>
      </c>
    </row>
    <row r="462" spans="14:152" x14ac:dyDescent="0.4">
      <c r="N462" s="89">
        <v>110</v>
      </c>
      <c r="O462" s="2">
        <v>47</v>
      </c>
      <c r="P462" s="2">
        <v>1</v>
      </c>
      <c r="Q462" s="2">
        <v>0.28366170000000002</v>
      </c>
      <c r="Z462" s="89">
        <v>116</v>
      </c>
      <c r="AA462" s="2">
        <v>47</v>
      </c>
      <c r="AB462" s="2">
        <v>1</v>
      </c>
      <c r="AC462" s="2">
        <v>0.62197139999999995</v>
      </c>
      <c r="AL462" s="89">
        <v>105</v>
      </c>
      <c r="AM462" s="2">
        <v>47</v>
      </c>
      <c r="AN462" s="2">
        <v>1</v>
      </c>
      <c r="AO462" s="2">
        <v>1E-3</v>
      </c>
      <c r="AX462" s="89">
        <v>116</v>
      </c>
      <c r="AY462" s="2">
        <v>49</v>
      </c>
      <c r="AZ462" s="2">
        <v>0</v>
      </c>
      <c r="BA462" s="2">
        <v>9.2592590000000006E-3</v>
      </c>
      <c r="BJ462" s="89">
        <v>114</v>
      </c>
      <c r="BK462" s="2">
        <v>49</v>
      </c>
      <c r="BL462" s="2">
        <v>2</v>
      </c>
      <c r="BM462" s="2">
        <v>8.0000000000000002E-3</v>
      </c>
      <c r="BV462" s="89">
        <v>125</v>
      </c>
      <c r="BW462" s="2">
        <v>48</v>
      </c>
      <c r="BX462" s="2">
        <v>1</v>
      </c>
      <c r="BY462" s="2">
        <v>4.1709089999999997E-2</v>
      </c>
      <c r="CH462" s="89">
        <v>126</v>
      </c>
      <c r="CI462" s="2">
        <v>48</v>
      </c>
      <c r="CJ462" s="2">
        <v>0</v>
      </c>
      <c r="CK462" s="2">
        <v>4.0000000000000001E-3</v>
      </c>
      <c r="CT462" s="89">
        <v>115</v>
      </c>
      <c r="CU462" s="2">
        <v>48</v>
      </c>
      <c r="CV462" s="2">
        <v>1</v>
      </c>
      <c r="CW462" s="2">
        <v>0.8484699</v>
      </c>
      <c r="DF462" s="89">
        <v>122</v>
      </c>
      <c r="DG462" s="2">
        <v>48</v>
      </c>
      <c r="DH462" s="2">
        <v>0</v>
      </c>
      <c r="DI462" s="2">
        <v>1.075834</v>
      </c>
      <c r="DR462" s="89">
        <v>120</v>
      </c>
      <c r="DS462" s="2">
        <v>46</v>
      </c>
      <c r="DT462" s="2">
        <v>0</v>
      </c>
      <c r="DU462" s="2">
        <v>2.28814E-2</v>
      </c>
      <c r="ED462" s="89">
        <v>124</v>
      </c>
      <c r="EE462" s="2">
        <v>48</v>
      </c>
      <c r="EF462" s="2">
        <v>0</v>
      </c>
      <c r="EG462" s="2">
        <v>9.3995209999999996E-2</v>
      </c>
      <c r="ES462">
        <v>124</v>
      </c>
      <c r="ET462">
        <v>48</v>
      </c>
      <c r="EU462">
        <v>0</v>
      </c>
      <c r="EV462">
        <v>9.3995209999999996E-2</v>
      </c>
    </row>
    <row r="463" spans="14:152" x14ac:dyDescent="0.4">
      <c r="N463" s="89">
        <v>111</v>
      </c>
      <c r="O463" s="2">
        <v>47</v>
      </c>
      <c r="P463" s="2">
        <v>0</v>
      </c>
      <c r="Q463" s="2">
        <v>2.5140509999999998</v>
      </c>
      <c r="Z463" s="89">
        <v>117</v>
      </c>
      <c r="AA463" s="2">
        <v>47</v>
      </c>
      <c r="AB463" s="2">
        <v>0</v>
      </c>
      <c r="AC463" s="2">
        <v>7.5226299999999996E-2</v>
      </c>
      <c r="AL463" s="89">
        <v>106</v>
      </c>
      <c r="AM463" s="2">
        <v>47</v>
      </c>
      <c r="AN463" s="2">
        <v>1</v>
      </c>
      <c r="AO463" s="2">
        <v>9.0000010000000005E-3</v>
      </c>
      <c r="AX463" s="89">
        <v>116</v>
      </c>
      <c r="AY463" s="2">
        <v>49</v>
      </c>
      <c r="AZ463" s="2">
        <v>1</v>
      </c>
      <c r="BA463" s="2">
        <v>6.5740740000000006E-2</v>
      </c>
      <c r="BJ463" s="89">
        <v>115</v>
      </c>
      <c r="BK463" s="2">
        <v>49</v>
      </c>
      <c r="BL463" s="2">
        <v>0</v>
      </c>
      <c r="BM463" s="2">
        <v>5.0693390000000003</v>
      </c>
      <c r="BV463" s="89">
        <v>126</v>
      </c>
      <c r="BW463" s="2">
        <v>48</v>
      </c>
      <c r="BX463" s="2">
        <v>0</v>
      </c>
      <c r="BY463" s="2">
        <v>3.6999999999999998E-2</v>
      </c>
      <c r="CH463" s="89">
        <v>127</v>
      </c>
      <c r="CI463" s="2">
        <v>48</v>
      </c>
      <c r="CJ463" s="2">
        <v>0</v>
      </c>
      <c r="CK463" s="2">
        <v>2E-3</v>
      </c>
      <c r="CT463" s="89">
        <v>116</v>
      </c>
      <c r="CU463" s="2">
        <v>48</v>
      </c>
      <c r="CV463" s="2">
        <v>0</v>
      </c>
      <c r="CW463" s="2">
        <v>3.6188549999999999</v>
      </c>
      <c r="DF463" s="89">
        <v>123</v>
      </c>
      <c r="DG463" s="2">
        <v>48</v>
      </c>
      <c r="DH463" s="2">
        <v>0</v>
      </c>
      <c r="DI463" s="2">
        <v>0.1568293</v>
      </c>
      <c r="DR463" s="89">
        <v>121</v>
      </c>
      <c r="DS463" s="2">
        <v>46</v>
      </c>
      <c r="DT463" s="2">
        <v>0</v>
      </c>
      <c r="DU463" s="2">
        <v>8.0000000000000002E-3</v>
      </c>
      <c r="ED463" s="89">
        <v>125</v>
      </c>
      <c r="EE463" s="2">
        <v>48</v>
      </c>
      <c r="EF463" s="2">
        <v>0</v>
      </c>
      <c r="EG463" s="2">
        <v>7.8108120000000003E-3</v>
      </c>
      <c r="ES463">
        <v>125</v>
      </c>
      <c r="ET463">
        <v>48</v>
      </c>
      <c r="EU463">
        <v>0</v>
      </c>
      <c r="EV463">
        <v>7.8108120000000003E-3</v>
      </c>
    </row>
    <row r="464" spans="14:152" x14ac:dyDescent="0.4">
      <c r="N464" s="89">
        <v>111</v>
      </c>
      <c r="O464" s="2">
        <v>47</v>
      </c>
      <c r="P464" s="2">
        <v>1</v>
      </c>
      <c r="Q464" s="2">
        <v>2.4027720000000001</v>
      </c>
      <c r="Z464" s="89">
        <v>117</v>
      </c>
      <c r="AA464" s="2">
        <v>47</v>
      </c>
      <c r="AB464" s="2">
        <v>1</v>
      </c>
      <c r="AC464" s="2">
        <v>0.45836310000000002</v>
      </c>
      <c r="AL464" s="89">
        <v>107</v>
      </c>
      <c r="AM464" s="2">
        <v>47</v>
      </c>
      <c r="AN464" s="2">
        <v>0</v>
      </c>
      <c r="AO464" s="2">
        <v>3.4000000000000002E-2</v>
      </c>
      <c r="AX464" s="89">
        <v>116</v>
      </c>
      <c r="AY464" s="2">
        <v>49</v>
      </c>
      <c r="AZ464" s="2">
        <v>2</v>
      </c>
      <c r="BA464" s="2">
        <v>4.0740739999999998E-2</v>
      </c>
      <c r="BJ464" s="89">
        <v>115</v>
      </c>
      <c r="BK464" s="2">
        <v>49</v>
      </c>
      <c r="BL464" s="2">
        <v>1</v>
      </c>
      <c r="BM464" s="2">
        <v>4.2934039999999998</v>
      </c>
      <c r="BV464" s="89">
        <v>127</v>
      </c>
      <c r="BW464" s="2">
        <v>48</v>
      </c>
      <c r="BX464" s="2">
        <v>0</v>
      </c>
      <c r="BY464" s="2">
        <v>5.0000000000000001E-3</v>
      </c>
      <c r="CH464" s="89">
        <v>112</v>
      </c>
      <c r="CI464" s="2">
        <v>49</v>
      </c>
      <c r="CJ464" s="2">
        <v>0</v>
      </c>
      <c r="CK464" s="2">
        <v>2E-3</v>
      </c>
      <c r="CT464" s="89">
        <v>117</v>
      </c>
      <c r="CU464" s="2">
        <v>48</v>
      </c>
      <c r="CV464" s="2">
        <v>0</v>
      </c>
      <c r="CW464" s="2">
        <v>1.471703</v>
      </c>
      <c r="DF464" s="89">
        <v>123</v>
      </c>
      <c r="DG464" s="2">
        <v>48</v>
      </c>
      <c r="DH464" s="2">
        <v>1</v>
      </c>
      <c r="DI464" s="2">
        <v>0.39819009999999999</v>
      </c>
      <c r="DR464" s="89">
        <v>122</v>
      </c>
      <c r="DS464" s="2">
        <v>46</v>
      </c>
      <c r="DT464" s="2">
        <v>0</v>
      </c>
      <c r="DU464" s="2">
        <v>2E-3</v>
      </c>
      <c r="ED464" s="89">
        <v>125</v>
      </c>
      <c r="EE464" s="2">
        <v>48</v>
      </c>
      <c r="EF464" s="2">
        <v>1</v>
      </c>
      <c r="EG464" s="2">
        <v>3.0189190000000001E-2</v>
      </c>
      <c r="ES464">
        <v>125</v>
      </c>
      <c r="ET464">
        <v>48</v>
      </c>
      <c r="EU464">
        <v>1</v>
      </c>
      <c r="EV464">
        <v>3.0189190000000001E-2</v>
      </c>
    </row>
    <row r="465" spans="14:152" x14ac:dyDescent="0.4">
      <c r="N465" s="89">
        <v>112</v>
      </c>
      <c r="O465" s="2">
        <v>47</v>
      </c>
      <c r="P465" s="2">
        <v>0</v>
      </c>
      <c r="Q465" s="2">
        <v>2.3250690000000001</v>
      </c>
      <c r="Z465" s="89">
        <v>118</v>
      </c>
      <c r="AA465" s="2">
        <v>47</v>
      </c>
      <c r="AB465" s="2">
        <v>0</v>
      </c>
      <c r="AC465" s="2">
        <v>0.1089005</v>
      </c>
      <c r="AL465" s="89">
        <v>107</v>
      </c>
      <c r="AM465" s="2">
        <v>47</v>
      </c>
      <c r="AN465" s="2">
        <v>1</v>
      </c>
      <c r="AO465" s="2">
        <v>3.2000000000000001E-2</v>
      </c>
      <c r="AX465" s="89">
        <v>117</v>
      </c>
      <c r="AY465" s="2">
        <v>49</v>
      </c>
      <c r="AZ465" s="2">
        <v>0</v>
      </c>
      <c r="BA465" s="2">
        <v>3.550433</v>
      </c>
      <c r="BJ465" s="89">
        <v>116</v>
      </c>
      <c r="BK465" s="2">
        <v>49</v>
      </c>
      <c r="BL465" s="2">
        <v>0</v>
      </c>
      <c r="BM465" s="2">
        <v>1.9751109999999999E-2</v>
      </c>
      <c r="BV465" s="89">
        <v>128</v>
      </c>
      <c r="BW465" s="2">
        <v>48</v>
      </c>
      <c r="BX465" s="2">
        <v>0</v>
      </c>
      <c r="BY465" s="2">
        <v>1E-3</v>
      </c>
      <c r="CH465" s="89">
        <v>112</v>
      </c>
      <c r="CI465" s="2">
        <v>49</v>
      </c>
      <c r="CJ465" s="2">
        <v>1</v>
      </c>
      <c r="CK465" s="2">
        <v>2E-3</v>
      </c>
      <c r="CT465" s="89">
        <v>117</v>
      </c>
      <c r="CU465" s="2">
        <v>48</v>
      </c>
      <c r="CV465" s="2">
        <v>1</v>
      </c>
      <c r="CW465" s="2">
        <v>1.8008029999999999</v>
      </c>
      <c r="DF465" s="89">
        <v>124</v>
      </c>
      <c r="DG465" s="2">
        <v>48</v>
      </c>
      <c r="DH465" s="2">
        <v>0</v>
      </c>
      <c r="DI465" s="2">
        <v>0.3139806</v>
      </c>
      <c r="DR465" s="89">
        <v>108</v>
      </c>
      <c r="DS465" s="2">
        <v>47</v>
      </c>
      <c r="DT465" s="2">
        <v>0</v>
      </c>
      <c r="DU465" s="2">
        <v>9.5475010000000001E-4</v>
      </c>
      <c r="ED465" s="89">
        <v>126</v>
      </c>
      <c r="EE465" s="2">
        <v>48</v>
      </c>
      <c r="EF465" s="2">
        <v>0</v>
      </c>
      <c r="EG465" s="2">
        <v>8.0000000000000002E-3</v>
      </c>
      <c r="ES465">
        <v>126</v>
      </c>
      <c r="ET465">
        <v>48</v>
      </c>
      <c r="EU465">
        <v>0</v>
      </c>
      <c r="EV465">
        <v>8.0000000000000002E-3</v>
      </c>
    </row>
    <row r="466" spans="14:152" x14ac:dyDescent="0.4">
      <c r="N466" s="89">
        <v>113</v>
      </c>
      <c r="O466" s="2">
        <v>47</v>
      </c>
      <c r="P466" s="2">
        <v>0</v>
      </c>
      <c r="Q466" s="2">
        <v>1.199786</v>
      </c>
      <c r="Z466" s="89">
        <v>118</v>
      </c>
      <c r="AA466" s="2">
        <v>47</v>
      </c>
      <c r="AB466" s="2">
        <v>1</v>
      </c>
      <c r="AC466" s="2">
        <v>0.18307100000000001</v>
      </c>
      <c r="AL466" s="89">
        <v>108</v>
      </c>
      <c r="AM466" s="2">
        <v>47</v>
      </c>
      <c r="AN466" s="2">
        <v>0</v>
      </c>
      <c r="AO466" s="2">
        <v>2.0926549999999999E-2</v>
      </c>
      <c r="AX466" s="89">
        <v>117</v>
      </c>
      <c r="AY466" s="2">
        <v>49</v>
      </c>
      <c r="AZ466" s="2">
        <v>1</v>
      </c>
      <c r="BA466" s="2">
        <v>2.0932770000000001</v>
      </c>
      <c r="BJ466" s="89">
        <v>116</v>
      </c>
      <c r="BK466" s="2">
        <v>49</v>
      </c>
      <c r="BL466" s="2">
        <v>1</v>
      </c>
      <c r="BM466" s="2">
        <v>0.18224889999999999</v>
      </c>
      <c r="BV466" s="89">
        <v>113</v>
      </c>
      <c r="BW466" s="2">
        <v>49</v>
      </c>
      <c r="BX466" s="2">
        <v>0</v>
      </c>
      <c r="BY466" s="2">
        <v>5.8076019999999999E-2</v>
      </c>
      <c r="CH466" s="89">
        <v>113</v>
      </c>
      <c r="CI466" s="2">
        <v>49</v>
      </c>
      <c r="CJ466" s="2">
        <v>0</v>
      </c>
      <c r="CK466" s="2">
        <v>0.25583719999999999</v>
      </c>
      <c r="CT466" s="89">
        <v>118</v>
      </c>
      <c r="CU466" s="2">
        <v>48</v>
      </c>
      <c r="CV466" s="2">
        <v>0</v>
      </c>
      <c r="CW466" s="2">
        <v>2.7714530000000002</v>
      </c>
      <c r="DF466" s="89">
        <v>125</v>
      </c>
      <c r="DG466" s="2">
        <v>48</v>
      </c>
      <c r="DH466" s="2">
        <v>0</v>
      </c>
      <c r="DI466" s="2">
        <v>3.0031499999999999E-2</v>
      </c>
      <c r="DR466" s="89">
        <v>108</v>
      </c>
      <c r="DS466" s="2">
        <v>47</v>
      </c>
      <c r="DT466" s="2">
        <v>1</v>
      </c>
      <c r="DU466" s="2">
        <v>2.2499999999999998E-3</v>
      </c>
      <c r="ED466" s="89">
        <v>127</v>
      </c>
      <c r="EE466" s="2">
        <v>48</v>
      </c>
      <c r="EF466" s="2">
        <v>0</v>
      </c>
      <c r="EG466" s="2">
        <v>4.0000000000000001E-3</v>
      </c>
      <c r="ES466">
        <v>127</v>
      </c>
      <c r="ET466">
        <v>48</v>
      </c>
      <c r="EU466">
        <v>0</v>
      </c>
      <c r="EV466">
        <v>4.0000000000000001E-3</v>
      </c>
    </row>
    <row r="467" spans="14:152" x14ac:dyDescent="0.4">
      <c r="N467" s="89">
        <v>113</v>
      </c>
      <c r="O467" s="2">
        <v>47</v>
      </c>
      <c r="P467" s="2">
        <v>1</v>
      </c>
      <c r="Q467" s="2">
        <v>1.7253769999999999</v>
      </c>
      <c r="Z467" s="89">
        <v>119</v>
      </c>
      <c r="AA467" s="2">
        <v>47</v>
      </c>
      <c r="AB467" s="2">
        <v>0</v>
      </c>
      <c r="AC467" s="2">
        <v>6.446317E-3</v>
      </c>
      <c r="AL467" s="89">
        <v>108</v>
      </c>
      <c r="AM467" s="2">
        <v>47</v>
      </c>
      <c r="AN467" s="2">
        <v>1</v>
      </c>
      <c r="AO467" s="2">
        <v>9.4690270000000007E-2</v>
      </c>
      <c r="AX467" s="89">
        <v>118</v>
      </c>
      <c r="AY467" s="2">
        <v>49</v>
      </c>
      <c r="AZ467" s="2">
        <v>0</v>
      </c>
      <c r="BA467" s="2">
        <v>3.6974119999999999</v>
      </c>
      <c r="BJ467" s="89">
        <v>116</v>
      </c>
      <c r="BK467" s="2">
        <v>49</v>
      </c>
      <c r="BL467" s="2">
        <v>2</v>
      </c>
      <c r="BM467" s="2">
        <v>0.1274844</v>
      </c>
      <c r="BV467" s="89">
        <v>115</v>
      </c>
      <c r="BW467" s="2">
        <v>49</v>
      </c>
      <c r="BX467" s="2">
        <v>0</v>
      </c>
      <c r="BY467" s="2">
        <v>3.924776</v>
      </c>
      <c r="CH467" s="89">
        <v>113</v>
      </c>
      <c r="CI467" s="2">
        <v>49</v>
      </c>
      <c r="CJ467" s="2">
        <v>1</v>
      </c>
      <c r="CK467" s="2">
        <v>9.1100009999999995E-4</v>
      </c>
      <c r="CT467" s="89">
        <v>119</v>
      </c>
      <c r="CU467" s="2">
        <v>48</v>
      </c>
      <c r="CV467" s="2">
        <v>0</v>
      </c>
      <c r="CW467" s="2">
        <v>0.70022949999999995</v>
      </c>
      <c r="DF467" s="89">
        <v>125</v>
      </c>
      <c r="DG467" s="2">
        <v>48</v>
      </c>
      <c r="DH467" s="2">
        <v>1</v>
      </c>
      <c r="DI467" s="2">
        <v>0.1009685</v>
      </c>
      <c r="DR467" s="89">
        <v>109</v>
      </c>
      <c r="DS467" s="2">
        <v>47</v>
      </c>
      <c r="DT467" s="2">
        <v>0</v>
      </c>
      <c r="DU467" s="2">
        <v>4.0935730000000001</v>
      </c>
      <c r="ED467" s="89">
        <v>128</v>
      </c>
      <c r="EE467" s="2">
        <v>48</v>
      </c>
      <c r="EF467" s="2">
        <v>0</v>
      </c>
      <c r="EG467" s="2">
        <v>2E-3</v>
      </c>
      <c r="ES467">
        <v>128</v>
      </c>
      <c r="ET467">
        <v>48</v>
      </c>
      <c r="EU467">
        <v>0</v>
      </c>
      <c r="EV467">
        <v>2E-3</v>
      </c>
    </row>
    <row r="468" spans="14:152" x14ac:dyDescent="0.4">
      <c r="N468" s="89">
        <v>114</v>
      </c>
      <c r="O468" s="2">
        <v>47</v>
      </c>
      <c r="P468" s="2">
        <v>0</v>
      </c>
      <c r="Q468" s="2">
        <v>1.4099390000000001</v>
      </c>
      <c r="Z468" s="89">
        <v>119</v>
      </c>
      <c r="AA468" s="2">
        <v>47</v>
      </c>
      <c r="AB468" s="2">
        <v>1</v>
      </c>
      <c r="AC468" s="2">
        <v>7.061299E-2</v>
      </c>
      <c r="AL468" s="89">
        <v>109</v>
      </c>
      <c r="AM468" s="2">
        <v>47</v>
      </c>
      <c r="AN468" s="2">
        <v>0</v>
      </c>
      <c r="AO468" s="2">
        <v>4.2448769999999998</v>
      </c>
      <c r="AX468" s="89">
        <v>118</v>
      </c>
      <c r="AY468" s="2">
        <v>49</v>
      </c>
      <c r="AZ468" s="2">
        <v>1</v>
      </c>
      <c r="BA468" s="2">
        <v>0.64394220000000002</v>
      </c>
      <c r="BJ468" s="89">
        <v>117</v>
      </c>
      <c r="BK468" s="2">
        <v>49</v>
      </c>
      <c r="BL468" s="2">
        <v>0</v>
      </c>
      <c r="BM468" s="2">
        <v>3.9267970000000001</v>
      </c>
      <c r="BV468" s="89">
        <v>115</v>
      </c>
      <c r="BW468" s="2">
        <v>49</v>
      </c>
      <c r="BX468" s="2">
        <v>1</v>
      </c>
      <c r="BY468" s="2">
        <v>3.7372749999999999</v>
      </c>
      <c r="CH468" s="89">
        <v>114</v>
      </c>
      <c r="CI468" s="2">
        <v>49</v>
      </c>
      <c r="CJ468" s="2">
        <v>0</v>
      </c>
      <c r="CK468" s="2">
        <v>3.3985000000000001E-2</v>
      </c>
      <c r="CT468" s="89">
        <v>119</v>
      </c>
      <c r="CU468" s="2">
        <v>48</v>
      </c>
      <c r="CV468" s="2">
        <v>1</v>
      </c>
      <c r="CW468" s="2">
        <v>1.27383</v>
      </c>
      <c r="DF468" s="89">
        <v>126</v>
      </c>
      <c r="DG468" s="2">
        <v>48</v>
      </c>
      <c r="DH468" s="2">
        <v>0</v>
      </c>
      <c r="DI468" s="2">
        <v>5.6000000000000001E-2</v>
      </c>
      <c r="DR468" s="89">
        <v>109</v>
      </c>
      <c r="DS468" s="2">
        <v>47</v>
      </c>
      <c r="DT468" s="2">
        <v>1</v>
      </c>
      <c r="DU468" s="2">
        <v>4.0915299999999997</v>
      </c>
      <c r="ED468" s="89">
        <v>129</v>
      </c>
      <c r="EE468" s="2">
        <v>48</v>
      </c>
      <c r="EF468" s="2">
        <v>0</v>
      </c>
      <c r="EG468" s="2">
        <v>1E-3</v>
      </c>
      <c r="ES468">
        <v>129</v>
      </c>
      <c r="ET468">
        <v>48</v>
      </c>
      <c r="EU468">
        <v>0</v>
      </c>
      <c r="EV468">
        <v>1E-3</v>
      </c>
    </row>
    <row r="469" spans="14:152" x14ac:dyDescent="0.4">
      <c r="N469" s="89">
        <v>114</v>
      </c>
      <c r="O469" s="2">
        <v>47</v>
      </c>
      <c r="P469" s="2">
        <v>1</v>
      </c>
      <c r="Q469" s="2">
        <v>0.89355119999999999</v>
      </c>
      <c r="Z469" s="89">
        <v>120</v>
      </c>
      <c r="AA469" s="2">
        <v>47</v>
      </c>
      <c r="AB469" s="2">
        <v>0</v>
      </c>
      <c r="AC469" s="2">
        <v>1.2734779999999999E-2</v>
      </c>
      <c r="AL469" s="89">
        <v>109</v>
      </c>
      <c r="AM469" s="2">
        <v>47</v>
      </c>
      <c r="AN469" s="2">
        <v>1</v>
      </c>
      <c r="AO469" s="2">
        <v>4.2399230000000001</v>
      </c>
      <c r="AX469" s="89">
        <v>118</v>
      </c>
      <c r="AY469" s="2">
        <v>49</v>
      </c>
      <c r="AZ469" s="2">
        <v>2</v>
      </c>
      <c r="BA469" s="2">
        <v>0.41633130000000002</v>
      </c>
      <c r="BJ469" s="89">
        <v>117</v>
      </c>
      <c r="BK469" s="2">
        <v>49</v>
      </c>
      <c r="BL469" s="2">
        <v>1</v>
      </c>
      <c r="BM469" s="2">
        <v>1.830897</v>
      </c>
      <c r="BV469" s="89">
        <v>116</v>
      </c>
      <c r="BW469" s="2">
        <v>49</v>
      </c>
      <c r="BX469" s="2">
        <v>0</v>
      </c>
      <c r="BY469" s="2">
        <v>4.2708329999999999E-3</v>
      </c>
      <c r="CH469" s="89">
        <v>114</v>
      </c>
      <c r="CI469" s="2">
        <v>49</v>
      </c>
      <c r="CJ469" s="2">
        <v>1</v>
      </c>
      <c r="CK469" s="2">
        <v>2.9000000000000001E-2</v>
      </c>
      <c r="CT469" s="89">
        <v>120</v>
      </c>
      <c r="CU469" s="2">
        <v>48</v>
      </c>
      <c r="CV469" s="2">
        <v>0</v>
      </c>
      <c r="CW469" s="2">
        <v>1.3779459999999999</v>
      </c>
      <c r="DF469" s="89">
        <v>127</v>
      </c>
      <c r="DG469" s="2">
        <v>48</v>
      </c>
      <c r="DH469" s="2">
        <v>0</v>
      </c>
      <c r="DI469" s="2">
        <v>2.4E-2</v>
      </c>
      <c r="DR469" s="89">
        <v>110</v>
      </c>
      <c r="DS469" s="2">
        <v>47</v>
      </c>
      <c r="DT469" s="2">
        <v>0</v>
      </c>
      <c r="DU469" s="2">
        <v>7.2077840000000001E-3</v>
      </c>
      <c r="ED469" s="89">
        <v>113</v>
      </c>
      <c r="EE469" s="2">
        <v>49</v>
      </c>
      <c r="EF469" s="2">
        <v>0</v>
      </c>
      <c r="EG469" s="2">
        <v>0.1067505</v>
      </c>
      <c r="ES469">
        <v>113</v>
      </c>
      <c r="ET469">
        <v>49</v>
      </c>
      <c r="EU469">
        <v>0</v>
      </c>
      <c r="EV469">
        <v>0.1067505</v>
      </c>
    </row>
    <row r="470" spans="14:152" x14ac:dyDescent="0.4">
      <c r="N470" s="89">
        <v>115</v>
      </c>
      <c r="O470" s="2">
        <v>47</v>
      </c>
      <c r="P470" s="2">
        <v>0</v>
      </c>
      <c r="Q470" s="2">
        <v>0.26645790000000003</v>
      </c>
      <c r="Z470" s="89">
        <v>120</v>
      </c>
      <c r="AA470" s="2">
        <v>47</v>
      </c>
      <c r="AB470" s="2">
        <v>1</v>
      </c>
      <c r="AC470" s="2">
        <v>2.0970349999999999E-2</v>
      </c>
      <c r="AL470" s="89">
        <v>110</v>
      </c>
      <c r="AM470" s="2">
        <v>47</v>
      </c>
      <c r="AN470" s="2">
        <v>0</v>
      </c>
      <c r="AO470" s="2">
        <v>0.1020659</v>
      </c>
      <c r="AX470" s="89">
        <v>119</v>
      </c>
      <c r="AY470" s="2">
        <v>49</v>
      </c>
      <c r="AZ470" s="2">
        <v>0</v>
      </c>
      <c r="BA470" s="2">
        <v>2.9861780000000002</v>
      </c>
      <c r="BJ470" s="89">
        <v>118</v>
      </c>
      <c r="BK470" s="2">
        <v>49</v>
      </c>
      <c r="BL470" s="2">
        <v>0</v>
      </c>
      <c r="BM470" s="2">
        <v>3.740367</v>
      </c>
      <c r="BV470" s="89">
        <v>116</v>
      </c>
      <c r="BW470" s="2">
        <v>49</v>
      </c>
      <c r="BX470" s="2">
        <v>1</v>
      </c>
      <c r="BY470" s="2">
        <v>3.6729169999999998E-2</v>
      </c>
      <c r="CH470" s="89">
        <v>114</v>
      </c>
      <c r="CI470" s="2">
        <v>49</v>
      </c>
      <c r="CJ470" s="2">
        <v>2</v>
      </c>
      <c r="CK470" s="2">
        <v>2.3E-2</v>
      </c>
      <c r="CT470" s="89">
        <v>121</v>
      </c>
      <c r="CU470" s="2">
        <v>48</v>
      </c>
      <c r="CV470" s="2">
        <v>0</v>
      </c>
      <c r="CW470" s="2">
        <v>0.22821549999999999</v>
      </c>
      <c r="DF470" s="89">
        <v>128</v>
      </c>
      <c r="DG470" s="2">
        <v>48</v>
      </c>
      <c r="DH470" s="2">
        <v>0</v>
      </c>
      <c r="DI470" s="2">
        <v>5.0000000000000001E-3</v>
      </c>
      <c r="DR470" s="89">
        <v>110</v>
      </c>
      <c r="DS470" s="2">
        <v>47</v>
      </c>
      <c r="DT470" s="2">
        <v>1</v>
      </c>
      <c r="DU470" s="2">
        <v>2.918919E-2</v>
      </c>
      <c r="ED470" s="89">
        <v>114</v>
      </c>
      <c r="EE470" s="2">
        <v>49</v>
      </c>
      <c r="EF470" s="2">
        <v>0</v>
      </c>
      <c r="EG470" s="2">
        <v>3.8600000000000001E-3</v>
      </c>
      <c r="ES470">
        <v>114</v>
      </c>
      <c r="ET470">
        <v>49</v>
      </c>
      <c r="EU470">
        <v>0</v>
      </c>
      <c r="EV470">
        <v>3.8600000000000001E-3</v>
      </c>
    </row>
    <row r="471" spans="14:152" x14ac:dyDescent="0.4">
      <c r="N471" s="89">
        <v>115</v>
      </c>
      <c r="O471" s="2">
        <v>47</v>
      </c>
      <c r="P471" s="2">
        <v>1</v>
      </c>
      <c r="Q471" s="2">
        <v>0.8918334</v>
      </c>
      <c r="Z471" s="89">
        <v>121</v>
      </c>
      <c r="AA471" s="2">
        <v>47</v>
      </c>
      <c r="AB471" s="2">
        <v>0</v>
      </c>
      <c r="AC471" s="2">
        <v>9.9945999999999993E-3</v>
      </c>
      <c r="AL471" s="89">
        <v>110</v>
      </c>
      <c r="AM471" s="2">
        <v>47</v>
      </c>
      <c r="AN471" s="2">
        <v>1</v>
      </c>
      <c r="AO471" s="2">
        <v>0.56968189999999996</v>
      </c>
      <c r="AX471" s="89">
        <v>119</v>
      </c>
      <c r="AY471" s="2">
        <v>49</v>
      </c>
      <c r="AZ471" s="2">
        <v>1</v>
      </c>
      <c r="BA471" s="2">
        <v>1.028602</v>
      </c>
      <c r="BJ471" s="89">
        <v>118</v>
      </c>
      <c r="BK471" s="2">
        <v>49</v>
      </c>
      <c r="BL471" s="2">
        <v>1</v>
      </c>
      <c r="BM471" s="2">
        <v>1.034009</v>
      </c>
      <c r="BV471" s="89">
        <v>116</v>
      </c>
      <c r="BW471" s="2">
        <v>49</v>
      </c>
      <c r="BX471" s="2">
        <v>2</v>
      </c>
      <c r="BY471" s="2">
        <v>2.3916670000000001E-2</v>
      </c>
      <c r="CH471" s="89">
        <v>115</v>
      </c>
      <c r="CI471" s="2">
        <v>49</v>
      </c>
      <c r="CJ471" s="2">
        <v>0</v>
      </c>
      <c r="CK471" s="2">
        <v>4.2725200000000001</v>
      </c>
      <c r="CT471" s="89">
        <v>121</v>
      </c>
      <c r="CU471" s="2">
        <v>48</v>
      </c>
      <c r="CV471" s="2">
        <v>1</v>
      </c>
      <c r="CW471" s="2">
        <v>0.51577910000000005</v>
      </c>
      <c r="DF471" s="89">
        <v>129</v>
      </c>
      <c r="DG471" s="2">
        <v>48</v>
      </c>
      <c r="DH471" s="2">
        <v>1</v>
      </c>
      <c r="DI471" s="2">
        <v>3.0000000000000001E-3</v>
      </c>
      <c r="DR471" s="89">
        <v>111</v>
      </c>
      <c r="DS471" s="2">
        <v>47</v>
      </c>
      <c r="DT471" s="2">
        <v>0</v>
      </c>
      <c r="DU471" s="2">
        <v>3.7703150000000001</v>
      </c>
      <c r="ED471" s="89">
        <v>114</v>
      </c>
      <c r="EE471" s="2">
        <v>49</v>
      </c>
      <c r="EF471" s="2">
        <v>1</v>
      </c>
      <c r="EG471" s="2">
        <v>4.0000000000000001E-3</v>
      </c>
      <c r="ES471">
        <v>114</v>
      </c>
      <c r="ET471">
        <v>49</v>
      </c>
      <c r="EU471">
        <v>1</v>
      </c>
      <c r="EV471">
        <v>4.0000000000000001E-3</v>
      </c>
    </row>
    <row r="472" spans="14:152" x14ac:dyDescent="0.4">
      <c r="N472" s="89">
        <v>116</v>
      </c>
      <c r="O472" s="2">
        <v>47</v>
      </c>
      <c r="P472" s="2">
        <v>0</v>
      </c>
      <c r="Q472" s="2">
        <v>0.1485446</v>
      </c>
      <c r="Z472" s="89">
        <v>122</v>
      </c>
      <c r="AA472" s="2">
        <v>47</v>
      </c>
      <c r="AB472" s="2">
        <v>0</v>
      </c>
      <c r="AC472" s="2">
        <v>3.0000000000000001E-3</v>
      </c>
      <c r="AL472" s="89">
        <v>111</v>
      </c>
      <c r="AM472" s="2">
        <v>47</v>
      </c>
      <c r="AN472" s="2">
        <v>0</v>
      </c>
      <c r="AO472" s="2">
        <v>3.478342</v>
      </c>
      <c r="AX472" s="89">
        <v>120</v>
      </c>
      <c r="AY472" s="2">
        <v>49</v>
      </c>
      <c r="AZ472" s="2">
        <v>0</v>
      </c>
      <c r="BA472" s="2">
        <v>1.964717</v>
      </c>
      <c r="BJ472" s="89">
        <v>118</v>
      </c>
      <c r="BK472" s="2">
        <v>49</v>
      </c>
      <c r="BL472" s="2">
        <v>2</v>
      </c>
      <c r="BM472" s="2">
        <v>0.73311420000000005</v>
      </c>
      <c r="BV472" s="89">
        <v>117</v>
      </c>
      <c r="BW472" s="2">
        <v>49</v>
      </c>
      <c r="BX472" s="2">
        <v>0</v>
      </c>
      <c r="BY472" s="2">
        <v>3.0384259999999998</v>
      </c>
      <c r="CH472" s="89">
        <v>115</v>
      </c>
      <c r="CI472" s="2">
        <v>49</v>
      </c>
      <c r="CJ472" s="2">
        <v>1</v>
      </c>
      <c r="CK472" s="2">
        <v>3.249714</v>
      </c>
      <c r="CT472" s="89">
        <v>122</v>
      </c>
      <c r="CU472" s="2">
        <v>48</v>
      </c>
      <c r="CV472" s="2">
        <v>0</v>
      </c>
      <c r="CW472" s="2">
        <v>0.42098629999999998</v>
      </c>
      <c r="DF472" s="89">
        <v>130</v>
      </c>
      <c r="DG472" s="2">
        <v>48</v>
      </c>
      <c r="DH472" s="2">
        <v>0</v>
      </c>
      <c r="DI472" s="2">
        <v>3.0000000000000001E-3</v>
      </c>
      <c r="DR472" s="89">
        <v>111</v>
      </c>
      <c r="DS472" s="2">
        <v>47</v>
      </c>
      <c r="DT472" s="2">
        <v>1</v>
      </c>
      <c r="DU472" s="2">
        <v>3.6864159999999999</v>
      </c>
      <c r="ED472" s="89">
        <v>114</v>
      </c>
      <c r="EE472" s="2">
        <v>49</v>
      </c>
      <c r="EF472" s="2">
        <v>2</v>
      </c>
      <c r="EG472" s="2">
        <v>3.0000000000000001E-3</v>
      </c>
      <c r="ES472">
        <v>114</v>
      </c>
      <c r="ET472">
        <v>49</v>
      </c>
      <c r="EU472">
        <v>2</v>
      </c>
      <c r="EV472">
        <v>3.0000000000000001E-3</v>
      </c>
    </row>
    <row r="473" spans="14:152" x14ac:dyDescent="0.4">
      <c r="N473" s="89">
        <v>116</v>
      </c>
      <c r="O473" s="2">
        <v>47</v>
      </c>
      <c r="P473" s="2">
        <v>1</v>
      </c>
      <c r="Q473" s="2">
        <v>0.38451560000000001</v>
      </c>
      <c r="Z473" s="89">
        <v>122</v>
      </c>
      <c r="AA473" s="2">
        <v>47</v>
      </c>
      <c r="AB473" s="2">
        <v>1</v>
      </c>
      <c r="AC473" s="2">
        <v>1E-3</v>
      </c>
      <c r="AL473" s="89">
        <v>111</v>
      </c>
      <c r="AM473" s="2">
        <v>47</v>
      </c>
      <c r="AN473" s="2">
        <v>1</v>
      </c>
      <c r="AO473" s="2">
        <v>3.3295750000000002</v>
      </c>
      <c r="AX473" s="89">
        <v>120</v>
      </c>
      <c r="AY473" s="2">
        <v>49</v>
      </c>
      <c r="AZ473" s="2">
        <v>1</v>
      </c>
      <c r="BA473" s="2">
        <v>0.4684276</v>
      </c>
      <c r="BJ473" s="89">
        <v>119</v>
      </c>
      <c r="BK473" s="2">
        <v>49</v>
      </c>
      <c r="BL473" s="2">
        <v>0</v>
      </c>
      <c r="BM473" s="2">
        <v>3.5167809999999999</v>
      </c>
      <c r="BV473" s="89">
        <v>117</v>
      </c>
      <c r="BW473" s="2">
        <v>49</v>
      </c>
      <c r="BX473" s="2">
        <v>1</v>
      </c>
      <c r="BY473" s="2">
        <v>2.1808519999999998</v>
      </c>
      <c r="CH473" s="89">
        <v>116</v>
      </c>
      <c r="CI473" s="2">
        <v>49</v>
      </c>
      <c r="CJ473" s="2">
        <v>0</v>
      </c>
      <c r="CK473" s="2">
        <v>3.3333340000000003E-2</v>
      </c>
      <c r="CT473" s="89">
        <v>123</v>
      </c>
      <c r="CU473" s="2">
        <v>48</v>
      </c>
      <c r="CV473" s="2">
        <v>0</v>
      </c>
      <c r="CW473" s="2">
        <v>4.045547E-2</v>
      </c>
      <c r="DF473" s="89">
        <v>113</v>
      </c>
      <c r="DG473" s="2">
        <v>49</v>
      </c>
      <c r="DH473" s="2">
        <v>0</v>
      </c>
      <c r="DI473" s="2">
        <v>3.5385409999999999E-2</v>
      </c>
      <c r="DR473" s="89">
        <v>112</v>
      </c>
      <c r="DS473" s="2">
        <v>47</v>
      </c>
      <c r="DT473" s="2">
        <v>0</v>
      </c>
      <c r="DU473" s="2">
        <v>3.5492279999999998</v>
      </c>
      <c r="ED473" s="89">
        <v>115</v>
      </c>
      <c r="EE473" s="2">
        <v>49</v>
      </c>
      <c r="EF473" s="2">
        <v>0</v>
      </c>
      <c r="EG473" s="2">
        <v>4.2227370000000004</v>
      </c>
      <c r="ES473">
        <v>115</v>
      </c>
      <c r="ET473">
        <v>49</v>
      </c>
      <c r="EU473">
        <v>0</v>
      </c>
      <c r="EV473">
        <v>4.2227370000000004</v>
      </c>
    </row>
    <row r="474" spans="14:152" x14ac:dyDescent="0.4">
      <c r="N474" s="89">
        <v>117</v>
      </c>
      <c r="O474" s="2">
        <v>47</v>
      </c>
      <c r="P474" s="2">
        <v>0</v>
      </c>
      <c r="Q474" s="2">
        <v>4.5432680000000003E-2</v>
      </c>
      <c r="Z474" s="89">
        <v>123</v>
      </c>
      <c r="AA474" s="2">
        <v>47</v>
      </c>
      <c r="AB474" s="2">
        <v>0</v>
      </c>
      <c r="AC474" s="2">
        <v>2E-3</v>
      </c>
      <c r="AL474" s="89">
        <v>112</v>
      </c>
      <c r="AM474" s="2">
        <v>47</v>
      </c>
      <c r="AN474" s="2">
        <v>0</v>
      </c>
      <c r="AO474" s="2">
        <v>3.0151439999999998</v>
      </c>
      <c r="AX474" s="89">
        <v>120</v>
      </c>
      <c r="AY474" s="2">
        <v>49</v>
      </c>
      <c r="AZ474" s="2">
        <v>2</v>
      </c>
      <c r="BA474" s="2">
        <v>0.97969349999999999</v>
      </c>
      <c r="BJ474" s="89">
        <v>119</v>
      </c>
      <c r="BK474" s="2">
        <v>49</v>
      </c>
      <c r="BL474" s="2">
        <v>1</v>
      </c>
      <c r="BM474" s="2">
        <v>0.81273139999999999</v>
      </c>
      <c r="BV474" s="89">
        <v>118</v>
      </c>
      <c r="BW474" s="2">
        <v>49</v>
      </c>
      <c r="BX474" s="2">
        <v>0</v>
      </c>
      <c r="BY474" s="2">
        <v>3.8897780000000002</v>
      </c>
      <c r="CH474" s="89">
        <v>116</v>
      </c>
      <c r="CI474" s="2">
        <v>49</v>
      </c>
      <c r="CJ474" s="2">
        <v>1</v>
      </c>
      <c r="CK474" s="2">
        <v>0.31666670000000002</v>
      </c>
      <c r="CT474" s="89">
        <v>123</v>
      </c>
      <c r="CU474" s="2">
        <v>48</v>
      </c>
      <c r="CV474" s="2">
        <v>1</v>
      </c>
      <c r="CW474" s="2">
        <v>0.1345459</v>
      </c>
      <c r="DF474" s="89">
        <v>115</v>
      </c>
      <c r="DG474" s="2">
        <v>49</v>
      </c>
      <c r="DH474" s="2">
        <v>0</v>
      </c>
      <c r="DI474" s="2">
        <v>2.6880320000000002</v>
      </c>
      <c r="DR474" s="89">
        <v>113</v>
      </c>
      <c r="DS474" s="2">
        <v>47</v>
      </c>
      <c r="DT474" s="2">
        <v>0</v>
      </c>
      <c r="DU474" s="2">
        <v>2.0868199999999999</v>
      </c>
      <c r="ED474" s="89">
        <v>115</v>
      </c>
      <c r="EE474" s="2">
        <v>49</v>
      </c>
      <c r="EF474" s="2">
        <v>1</v>
      </c>
      <c r="EG474" s="2">
        <v>3.7833489999999999</v>
      </c>
      <c r="ES474">
        <v>115</v>
      </c>
      <c r="ET474">
        <v>49</v>
      </c>
      <c r="EU474">
        <v>1</v>
      </c>
      <c r="EV474">
        <v>3.7833489999999999</v>
      </c>
    </row>
    <row r="475" spans="14:152" x14ac:dyDescent="0.4">
      <c r="N475" s="89">
        <v>117</v>
      </c>
      <c r="O475" s="2">
        <v>47</v>
      </c>
      <c r="P475" s="2">
        <v>1</v>
      </c>
      <c r="Q475" s="2">
        <v>0.23470820000000001</v>
      </c>
      <c r="Z475" s="89">
        <v>124</v>
      </c>
      <c r="AA475" s="2">
        <v>47</v>
      </c>
      <c r="AB475" s="2">
        <v>0</v>
      </c>
      <c r="AC475" s="2">
        <v>5.0000000000000001E-4</v>
      </c>
      <c r="AL475" s="89">
        <v>113</v>
      </c>
      <c r="AM475" s="2">
        <v>47</v>
      </c>
      <c r="AN475" s="2">
        <v>0</v>
      </c>
      <c r="AO475" s="2">
        <v>1.5650550000000001</v>
      </c>
      <c r="AX475" s="89">
        <v>121</v>
      </c>
      <c r="AY475" s="2">
        <v>49</v>
      </c>
      <c r="AZ475" s="2">
        <v>0</v>
      </c>
      <c r="BA475" s="2">
        <v>2.3437579999999998</v>
      </c>
      <c r="BJ475" s="89">
        <v>120</v>
      </c>
      <c r="BK475" s="2">
        <v>49</v>
      </c>
      <c r="BL475" s="2">
        <v>0</v>
      </c>
      <c r="BM475" s="2">
        <v>1.727039</v>
      </c>
      <c r="BV475" s="89">
        <v>118</v>
      </c>
      <c r="BW475" s="2">
        <v>49</v>
      </c>
      <c r="BX475" s="2">
        <v>1</v>
      </c>
      <c r="BY475" s="2">
        <v>0.34966170000000002</v>
      </c>
      <c r="CH475" s="89">
        <v>116</v>
      </c>
      <c r="CI475" s="2">
        <v>49</v>
      </c>
      <c r="CJ475" s="2">
        <v>2</v>
      </c>
      <c r="CK475" s="2">
        <v>0.23240739999999999</v>
      </c>
      <c r="CT475" s="89">
        <v>124</v>
      </c>
      <c r="CU475" s="2">
        <v>48</v>
      </c>
      <c r="CV475" s="2">
        <v>0</v>
      </c>
      <c r="CW475" s="2">
        <v>9.4998669999999993E-2</v>
      </c>
      <c r="DF475" s="89">
        <v>115</v>
      </c>
      <c r="DG475" s="2">
        <v>49</v>
      </c>
      <c r="DH475" s="2">
        <v>1</v>
      </c>
      <c r="DI475" s="2">
        <v>2.6587670000000001</v>
      </c>
      <c r="DR475" s="89">
        <v>113</v>
      </c>
      <c r="DS475" s="2">
        <v>47</v>
      </c>
      <c r="DT475" s="2">
        <v>1</v>
      </c>
      <c r="DU475" s="2">
        <v>3.0119210000000001</v>
      </c>
      <c r="ED475" s="89">
        <v>116</v>
      </c>
      <c r="EE475" s="2">
        <v>49</v>
      </c>
      <c r="EF475" s="2">
        <v>0</v>
      </c>
      <c r="EG475" s="2">
        <v>1.3155170000000001E-2</v>
      </c>
      <c r="ES475">
        <v>116</v>
      </c>
      <c r="ET475">
        <v>49</v>
      </c>
      <c r="EU475">
        <v>0</v>
      </c>
      <c r="EV475">
        <v>1.3155170000000001E-2</v>
      </c>
    </row>
    <row r="476" spans="14:152" x14ac:dyDescent="0.4">
      <c r="N476" s="89">
        <v>118</v>
      </c>
      <c r="O476" s="2">
        <v>47</v>
      </c>
      <c r="P476" s="2">
        <v>0</v>
      </c>
      <c r="Q476" s="2">
        <v>5.2887419999999997E-2</v>
      </c>
      <c r="Z476" s="89">
        <v>124</v>
      </c>
      <c r="AA476" s="2">
        <v>47</v>
      </c>
      <c r="AB476" s="2">
        <v>1</v>
      </c>
      <c r="AC476" s="2">
        <v>1E-3</v>
      </c>
      <c r="AL476" s="89">
        <v>113</v>
      </c>
      <c r="AM476" s="2">
        <v>47</v>
      </c>
      <c r="AN476" s="2">
        <v>1</v>
      </c>
      <c r="AO476" s="2">
        <v>2.2468499999999998</v>
      </c>
      <c r="AX476" s="89">
        <v>121</v>
      </c>
      <c r="AY476" s="2">
        <v>49</v>
      </c>
      <c r="AZ476" s="2">
        <v>1</v>
      </c>
      <c r="BA476" s="2">
        <v>0.27350790000000003</v>
      </c>
      <c r="BJ476" s="89">
        <v>120</v>
      </c>
      <c r="BK476" s="2">
        <v>49</v>
      </c>
      <c r="BL476" s="2">
        <v>1</v>
      </c>
      <c r="BM476" s="2">
        <v>0.54118569999999999</v>
      </c>
      <c r="BV476" s="89">
        <v>118</v>
      </c>
      <c r="BW476" s="2">
        <v>49</v>
      </c>
      <c r="BX476" s="2">
        <v>2</v>
      </c>
      <c r="BY476" s="2">
        <v>0.2415561</v>
      </c>
      <c r="CH476" s="89">
        <v>117</v>
      </c>
      <c r="CI476" s="2">
        <v>49</v>
      </c>
      <c r="CJ476" s="2">
        <v>0</v>
      </c>
      <c r="CK476" s="2">
        <v>3.5729470000000001</v>
      </c>
      <c r="CT476" s="89">
        <v>125</v>
      </c>
      <c r="CU476" s="2">
        <v>48</v>
      </c>
      <c r="CV476" s="2">
        <v>0</v>
      </c>
      <c r="CW476" s="2">
        <v>9.3888889999999992E-3</v>
      </c>
      <c r="DF476" s="89">
        <v>116</v>
      </c>
      <c r="DG476" s="2">
        <v>49</v>
      </c>
      <c r="DH476" s="2">
        <v>1</v>
      </c>
      <c r="DI476" s="2">
        <v>3.0000000000000001E-3</v>
      </c>
      <c r="DR476" s="89">
        <v>114</v>
      </c>
      <c r="DS476" s="2">
        <v>47</v>
      </c>
      <c r="DT476" s="2">
        <v>0</v>
      </c>
      <c r="DU476" s="2">
        <v>2.7993709999999998</v>
      </c>
      <c r="ED476" s="89">
        <v>116</v>
      </c>
      <c r="EE476" s="2">
        <v>49</v>
      </c>
      <c r="EF476" s="2">
        <v>1</v>
      </c>
      <c r="EG476" s="2">
        <v>9.5844840000000001E-2</v>
      </c>
      <c r="ES476">
        <v>116</v>
      </c>
      <c r="ET476">
        <v>49</v>
      </c>
      <c r="EU476">
        <v>1</v>
      </c>
      <c r="EV476">
        <v>9.5844840000000001E-2</v>
      </c>
    </row>
    <row r="477" spans="14:152" x14ac:dyDescent="0.4">
      <c r="N477" s="89">
        <v>118</v>
      </c>
      <c r="O477" s="2">
        <v>47</v>
      </c>
      <c r="P477" s="2">
        <v>1</v>
      </c>
      <c r="Q477" s="2">
        <v>8.1447759999999994E-2</v>
      </c>
      <c r="Z477" s="89">
        <v>108</v>
      </c>
      <c r="AA477" s="2">
        <v>48</v>
      </c>
      <c r="AB477" s="2">
        <v>0</v>
      </c>
      <c r="AC477" s="2">
        <v>1.862823E-3</v>
      </c>
      <c r="AL477" s="89">
        <v>114</v>
      </c>
      <c r="AM477" s="2">
        <v>47</v>
      </c>
      <c r="AN477" s="2">
        <v>0</v>
      </c>
      <c r="AO477" s="2">
        <v>1.6939390000000001</v>
      </c>
      <c r="AX477" s="89">
        <v>122</v>
      </c>
      <c r="AY477" s="2">
        <v>49</v>
      </c>
      <c r="AZ477" s="2">
        <v>0</v>
      </c>
      <c r="BA477" s="2">
        <v>0.80797229999999998</v>
      </c>
      <c r="BJ477" s="89">
        <v>120</v>
      </c>
      <c r="BK477" s="2">
        <v>49</v>
      </c>
      <c r="BL477" s="2">
        <v>2</v>
      </c>
      <c r="BM477" s="2">
        <v>1.205784</v>
      </c>
      <c r="BV477" s="89">
        <v>119</v>
      </c>
      <c r="BW477" s="2">
        <v>49</v>
      </c>
      <c r="BX477" s="2">
        <v>0</v>
      </c>
      <c r="BY477" s="2">
        <v>2.7430479999999999</v>
      </c>
      <c r="CH477" s="89">
        <v>117</v>
      </c>
      <c r="CI477" s="2">
        <v>49</v>
      </c>
      <c r="CJ477" s="2">
        <v>1</v>
      </c>
      <c r="CK477" s="2">
        <v>1.3462730000000001</v>
      </c>
      <c r="CT477" s="89">
        <v>125</v>
      </c>
      <c r="CU477" s="2">
        <v>48</v>
      </c>
      <c r="CV477" s="2">
        <v>1</v>
      </c>
      <c r="CW477" s="2">
        <v>3.1611109999999998E-2</v>
      </c>
      <c r="DF477" s="89">
        <v>116</v>
      </c>
      <c r="DG477" s="2">
        <v>49</v>
      </c>
      <c r="DH477" s="2">
        <v>2</v>
      </c>
      <c r="DI477" s="2">
        <v>2E-3</v>
      </c>
      <c r="DR477" s="89">
        <v>114</v>
      </c>
      <c r="DS477" s="2">
        <v>47</v>
      </c>
      <c r="DT477" s="2">
        <v>1</v>
      </c>
      <c r="DU477" s="2">
        <v>0.93960630000000001</v>
      </c>
      <c r="ED477" s="89">
        <v>116</v>
      </c>
      <c r="EE477" s="2">
        <v>49</v>
      </c>
      <c r="EF477" s="2">
        <v>2</v>
      </c>
      <c r="EG477" s="2">
        <v>6.7655179999999995E-2</v>
      </c>
      <c r="ES477">
        <v>116</v>
      </c>
      <c r="ET477">
        <v>49</v>
      </c>
      <c r="EU477">
        <v>2</v>
      </c>
      <c r="EV477">
        <v>6.7655179999999995E-2</v>
      </c>
    </row>
    <row r="478" spans="14:152" x14ac:dyDescent="0.4">
      <c r="N478" s="89">
        <v>119</v>
      </c>
      <c r="O478" s="2">
        <v>47</v>
      </c>
      <c r="P478" s="2">
        <v>0</v>
      </c>
      <c r="Q478" s="2">
        <v>3.9024390000000002E-3</v>
      </c>
      <c r="Z478" s="89">
        <v>110</v>
      </c>
      <c r="AA478" s="2">
        <v>48</v>
      </c>
      <c r="AB478" s="2">
        <v>0</v>
      </c>
      <c r="AC478" s="2">
        <v>0.24293029999999999</v>
      </c>
      <c r="AL478" s="89">
        <v>114</v>
      </c>
      <c r="AM478" s="2">
        <v>47</v>
      </c>
      <c r="AN478" s="2">
        <v>1</v>
      </c>
      <c r="AO478" s="2">
        <v>1.099162</v>
      </c>
      <c r="AX478" s="89">
        <v>122</v>
      </c>
      <c r="AY478" s="2">
        <v>49</v>
      </c>
      <c r="AZ478" s="2">
        <v>1</v>
      </c>
      <c r="BA478" s="2">
        <v>1.038</v>
      </c>
      <c r="BJ478" s="89">
        <v>121</v>
      </c>
      <c r="BK478" s="2">
        <v>49</v>
      </c>
      <c r="BL478" s="2">
        <v>0</v>
      </c>
      <c r="BM478" s="2">
        <v>2.483466</v>
      </c>
      <c r="BV478" s="89">
        <v>119</v>
      </c>
      <c r="BW478" s="2">
        <v>49</v>
      </c>
      <c r="BX478" s="2">
        <v>1</v>
      </c>
      <c r="BY478" s="2">
        <v>1.2406029999999999</v>
      </c>
      <c r="CH478" s="89">
        <v>118</v>
      </c>
      <c r="CI478" s="2">
        <v>49</v>
      </c>
      <c r="CJ478" s="2">
        <v>0</v>
      </c>
      <c r="CK478" s="2">
        <v>2.9028290000000001</v>
      </c>
      <c r="CT478" s="89">
        <v>126</v>
      </c>
      <c r="CU478" s="2">
        <v>48</v>
      </c>
      <c r="CV478" s="2">
        <v>0</v>
      </c>
      <c r="CW478" s="2">
        <v>1.4E-2</v>
      </c>
      <c r="DF478" s="89">
        <v>117</v>
      </c>
      <c r="DG478" s="2">
        <v>49</v>
      </c>
      <c r="DH478" s="2">
        <v>0</v>
      </c>
      <c r="DI478" s="2">
        <v>1.9255150000000001</v>
      </c>
      <c r="DR478" s="89">
        <v>115</v>
      </c>
      <c r="DS478" s="2">
        <v>47</v>
      </c>
      <c r="DT478" s="2">
        <v>0</v>
      </c>
      <c r="DU478" s="2">
        <v>0.72765120000000005</v>
      </c>
      <c r="ED478" s="89">
        <v>117</v>
      </c>
      <c r="EE478" s="2">
        <v>49</v>
      </c>
      <c r="EF478" s="2">
        <v>0</v>
      </c>
      <c r="EG478" s="2">
        <v>3.5079039999999999</v>
      </c>
      <c r="ES478">
        <v>117</v>
      </c>
      <c r="ET478">
        <v>49</v>
      </c>
      <c r="EU478">
        <v>0</v>
      </c>
      <c r="EV478">
        <v>3.5079039999999999</v>
      </c>
    </row>
    <row r="479" spans="14:152" x14ac:dyDescent="0.4">
      <c r="N479" s="89">
        <v>119</v>
      </c>
      <c r="O479" s="2">
        <v>47</v>
      </c>
      <c r="P479" s="2">
        <v>1</v>
      </c>
      <c r="Q479" s="2">
        <v>3.9097560000000003E-2</v>
      </c>
      <c r="Z479" s="89">
        <v>111</v>
      </c>
      <c r="AA479" s="2">
        <v>48</v>
      </c>
      <c r="AB479" s="2">
        <v>0</v>
      </c>
      <c r="AC479" s="2">
        <v>3.2662100000000001</v>
      </c>
      <c r="AL479" s="89">
        <v>115</v>
      </c>
      <c r="AM479" s="2">
        <v>47</v>
      </c>
      <c r="AN479" s="2">
        <v>0</v>
      </c>
      <c r="AO479" s="2">
        <v>0.28952450000000002</v>
      </c>
      <c r="AX479" s="89">
        <v>123</v>
      </c>
      <c r="AY479" s="2">
        <v>49</v>
      </c>
      <c r="AZ479" s="2">
        <v>0</v>
      </c>
      <c r="BA479" s="2">
        <v>1.0736749999999999</v>
      </c>
      <c r="BJ479" s="89">
        <v>121</v>
      </c>
      <c r="BK479" s="2">
        <v>49</v>
      </c>
      <c r="BL479" s="2">
        <v>1</v>
      </c>
      <c r="BM479" s="2">
        <v>0.19992499999999999</v>
      </c>
      <c r="BV479" s="89">
        <v>120</v>
      </c>
      <c r="BW479" s="2">
        <v>49</v>
      </c>
      <c r="BX479" s="2">
        <v>0</v>
      </c>
      <c r="BY479" s="2">
        <v>2.3931840000000002</v>
      </c>
      <c r="CH479" s="89">
        <v>118</v>
      </c>
      <c r="CI479" s="2">
        <v>49</v>
      </c>
      <c r="CJ479" s="2">
        <v>1</v>
      </c>
      <c r="CK479" s="2">
        <v>1.171751</v>
      </c>
      <c r="CT479" s="89">
        <v>127</v>
      </c>
      <c r="CU479" s="2">
        <v>48</v>
      </c>
      <c r="CV479" s="2">
        <v>0</v>
      </c>
      <c r="CW479" s="2">
        <v>7.0000000000000001E-3</v>
      </c>
      <c r="DF479" s="89">
        <v>117</v>
      </c>
      <c r="DG479" s="2">
        <v>49</v>
      </c>
      <c r="DH479" s="2">
        <v>1</v>
      </c>
      <c r="DI479" s="2">
        <v>1.79556</v>
      </c>
      <c r="DR479" s="89">
        <v>115</v>
      </c>
      <c r="DS479" s="2">
        <v>47</v>
      </c>
      <c r="DT479" s="2">
        <v>1</v>
      </c>
      <c r="DU479" s="2">
        <v>1.9516089999999999</v>
      </c>
      <c r="ED479" s="89">
        <v>117</v>
      </c>
      <c r="EE479" s="2">
        <v>49</v>
      </c>
      <c r="EF479" s="2">
        <v>1</v>
      </c>
      <c r="EG479" s="2">
        <v>1.9666140000000001</v>
      </c>
      <c r="ES479">
        <v>117</v>
      </c>
      <c r="ET479">
        <v>49</v>
      </c>
      <c r="EU479">
        <v>1</v>
      </c>
      <c r="EV479">
        <v>1.9666140000000001</v>
      </c>
    </row>
    <row r="480" spans="14:152" x14ac:dyDescent="0.4">
      <c r="N480" s="89">
        <v>120</v>
      </c>
      <c r="O480" s="2">
        <v>47</v>
      </c>
      <c r="P480" s="2">
        <v>0</v>
      </c>
      <c r="Q480" s="2">
        <v>4.9577279999999998E-3</v>
      </c>
      <c r="Z480" s="89">
        <v>111</v>
      </c>
      <c r="AA480" s="2">
        <v>48</v>
      </c>
      <c r="AB480" s="2">
        <v>1</v>
      </c>
      <c r="AC480" s="2">
        <v>2.4E-2</v>
      </c>
      <c r="AL480" s="89">
        <v>115</v>
      </c>
      <c r="AM480" s="2">
        <v>47</v>
      </c>
      <c r="AN480" s="2">
        <v>1</v>
      </c>
      <c r="AO480" s="2">
        <v>0.94871110000000003</v>
      </c>
      <c r="AX480" s="89">
        <v>123</v>
      </c>
      <c r="AY480" s="2">
        <v>49</v>
      </c>
      <c r="AZ480" s="2">
        <v>1</v>
      </c>
      <c r="BA480" s="2">
        <v>5.8326129999999997E-2</v>
      </c>
      <c r="BJ480" s="89">
        <v>122</v>
      </c>
      <c r="BK480" s="2">
        <v>49</v>
      </c>
      <c r="BL480" s="2">
        <v>0</v>
      </c>
      <c r="BM480" s="2">
        <v>0.66398900000000005</v>
      </c>
      <c r="BV480" s="89">
        <v>120</v>
      </c>
      <c r="BW480" s="2">
        <v>49</v>
      </c>
      <c r="BX480" s="2">
        <v>1</v>
      </c>
      <c r="BY480" s="2">
        <v>0.39022459999999998</v>
      </c>
      <c r="CH480" s="89">
        <v>118</v>
      </c>
      <c r="CI480" s="2">
        <v>49</v>
      </c>
      <c r="CJ480" s="2">
        <v>2</v>
      </c>
      <c r="CK480" s="2">
        <v>0.87667830000000002</v>
      </c>
      <c r="CT480" s="89">
        <v>128</v>
      </c>
      <c r="CU480" s="2">
        <v>48</v>
      </c>
      <c r="CV480" s="2">
        <v>0</v>
      </c>
      <c r="CW480" s="2">
        <v>1E-3</v>
      </c>
      <c r="DF480" s="89">
        <v>118</v>
      </c>
      <c r="DG480" s="2">
        <v>49</v>
      </c>
      <c r="DH480" s="2">
        <v>0</v>
      </c>
      <c r="DI480" s="2">
        <v>2.7727689999999998</v>
      </c>
      <c r="DR480" s="89">
        <v>116</v>
      </c>
      <c r="DS480" s="2">
        <v>47</v>
      </c>
      <c r="DT480" s="2">
        <v>0</v>
      </c>
      <c r="DU480" s="2">
        <v>0.78330359999999999</v>
      </c>
      <c r="ED480" s="89">
        <v>118</v>
      </c>
      <c r="EE480" s="2">
        <v>49</v>
      </c>
      <c r="EF480" s="2">
        <v>0</v>
      </c>
      <c r="EG480" s="2">
        <v>3.6063450000000001</v>
      </c>
      <c r="ES480">
        <v>118</v>
      </c>
      <c r="ET480">
        <v>49</v>
      </c>
      <c r="EU480">
        <v>0</v>
      </c>
      <c r="EV480">
        <v>3.6063450000000001</v>
      </c>
    </row>
    <row r="481" spans="14:152" x14ac:dyDescent="0.4">
      <c r="N481" s="89">
        <v>120</v>
      </c>
      <c r="O481" s="2">
        <v>47</v>
      </c>
      <c r="P481" s="2">
        <v>1</v>
      </c>
      <c r="Q481" s="2">
        <v>9.5909099999999994E-3</v>
      </c>
      <c r="Z481" s="89">
        <v>112</v>
      </c>
      <c r="AA481" s="2">
        <v>48</v>
      </c>
      <c r="AB481" s="2">
        <v>0</v>
      </c>
      <c r="AC481" s="2">
        <v>3.0698620000000001</v>
      </c>
      <c r="AL481" s="89">
        <v>116</v>
      </c>
      <c r="AM481" s="2">
        <v>47</v>
      </c>
      <c r="AN481" s="2">
        <v>0</v>
      </c>
      <c r="AO481" s="2">
        <v>0.148754</v>
      </c>
      <c r="AX481" s="89">
        <v>124</v>
      </c>
      <c r="AY481" s="2">
        <v>49</v>
      </c>
      <c r="AZ481" s="2">
        <v>0</v>
      </c>
      <c r="BA481" s="2">
        <v>0.14999870000000001</v>
      </c>
      <c r="BJ481" s="89">
        <v>122</v>
      </c>
      <c r="BK481" s="2">
        <v>49</v>
      </c>
      <c r="BL481" s="2">
        <v>1</v>
      </c>
      <c r="BM481" s="2">
        <v>1.03</v>
      </c>
      <c r="BV481" s="89">
        <v>120</v>
      </c>
      <c r="BW481" s="2">
        <v>49</v>
      </c>
      <c r="BX481" s="2">
        <v>2</v>
      </c>
      <c r="BY481" s="2">
        <v>0.86459710000000001</v>
      </c>
      <c r="CH481" s="89">
        <v>119</v>
      </c>
      <c r="CI481" s="2">
        <v>49</v>
      </c>
      <c r="CJ481" s="2">
        <v>0</v>
      </c>
      <c r="CK481" s="2">
        <v>3.0523319999999998</v>
      </c>
      <c r="CT481" s="89">
        <v>129</v>
      </c>
      <c r="CU481" s="2">
        <v>48</v>
      </c>
      <c r="CV481" s="2">
        <v>0</v>
      </c>
      <c r="CW481" s="2">
        <v>6.6666670000000003E-4</v>
      </c>
      <c r="DF481" s="89">
        <v>118</v>
      </c>
      <c r="DG481" s="2">
        <v>49</v>
      </c>
      <c r="DH481" s="2">
        <v>1</v>
      </c>
      <c r="DI481" s="2">
        <v>8.0749169999999995E-2</v>
      </c>
      <c r="DR481" s="89">
        <v>116</v>
      </c>
      <c r="DS481" s="2">
        <v>47</v>
      </c>
      <c r="DT481" s="2">
        <v>1</v>
      </c>
      <c r="DU481" s="2">
        <v>1.0400670000000001</v>
      </c>
      <c r="ED481" s="89">
        <v>118</v>
      </c>
      <c r="EE481" s="2">
        <v>49</v>
      </c>
      <c r="EF481" s="2">
        <v>1</v>
      </c>
      <c r="EG481" s="2">
        <v>0.70037729999999998</v>
      </c>
      <c r="ES481">
        <v>118</v>
      </c>
      <c r="ET481">
        <v>49</v>
      </c>
      <c r="EU481">
        <v>1</v>
      </c>
      <c r="EV481">
        <v>0.70037729999999998</v>
      </c>
    </row>
    <row r="482" spans="14:152" x14ac:dyDescent="0.4">
      <c r="N482" s="89">
        <v>121</v>
      </c>
      <c r="O482" s="2">
        <v>47</v>
      </c>
      <c r="P482" s="2">
        <v>0</v>
      </c>
      <c r="Q482" s="2">
        <v>7.0000000000000001E-3</v>
      </c>
      <c r="Z482" s="89">
        <v>113</v>
      </c>
      <c r="AA482" s="2">
        <v>48</v>
      </c>
      <c r="AB482" s="2">
        <v>0</v>
      </c>
      <c r="AC482" s="2">
        <v>2.5675400000000002</v>
      </c>
      <c r="AL482" s="89">
        <v>116</v>
      </c>
      <c r="AM482" s="2">
        <v>47</v>
      </c>
      <c r="AN482" s="2">
        <v>1</v>
      </c>
      <c r="AO482" s="2">
        <v>0.43110130000000002</v>
      </c>
      <c r="AX482" s="89">
        <v>124</v>
      </c>
      <c r="AY482" s="2">
        <v>49</v>
      </c>
      <c r="AZ482" s="2">
        <v>1</v>
      </c>
      <c r="BA482" s="2">
        <v>0.40600000000000003</v>
      </c>
      <c r="BJ482" s="89">
        <v>123</v>
      </c>
      <c r="BK482" s="2">
        <v>49</v>
      </c>
      <c r="BL482" s="2">
        <v>0</v>
      </c>
      <c r="BM482" s="2">
        <v>0.93364740000000002</v>
      </c>
      <c r="BV482" s="89">
        <v>121</v>
      </c>
      <c r="BW482" s="2">
        <v>49</v>
      </c>
      <c r="BX482" s="2">
        <v>0</v>
      </c>
      <c r="BY482" s="2">
        <v>2.763957</v>
      </c>
      <c r="CH482" s="89">
        <v>119</v>
      </c>
      <c r="CI482" s="2">
        <v>49</v>
      </c>
      <c r="CJ482" s="2">
        <v>1</v>
      </c>
      <c r="CK482" s="2">
        <v>0.54731810000000003</v>
      </c>
      <c r="CT482" s="89">
        <v>129</v>
      </c>
      <c r="CU482" s="2">
        <v>48</v>
      </c>
      <c r="CV482" s="2">
        <v>1</v>
      </c>
      <c r="CW482" s="2">
        <v>1.3333329999999999E-3</v>
      </c>
      <c r="DF482" s="89">
        <v>118</v>
      </c>
      <c r="DG482" s="2">
        <v>49</v>
      </c>
      <c r="DH482" s="2">
        <v>2</v>
      </c>
      <c r="DI482" s="2">
        <v>5.9583339999999999E-2</v>
      </c>
      <c r="DR482" s="89">
        <v>117</v>
      </c>
      <c r="DS482" s="2">
        <v>47</v>
      </c>
      <c r="DT482" s="2">
        <v>0</v>
      </c>
      <c r="DU482" s="2">
        <v>0.22937949999999999</v>
      </c>
      <c r="ED482" s="89">
        <v>118</v>
      </c>
      <c r="EE482" s="2">
        <v>49</v>
      </c>
      <c r="EF482" s="2">
        <v>2</v>
      </c>
      <c r="EG482" s="2">
        <v>0.50106949999999995</v>
      </c>
      <c r="ES482">
        <v>118</v>
      </c>
      <c r="ET482">
        <v>49</v>
      </c>
      <c r="EU482">
        <v>2</v>
      </c>
      <c r="EV482">
        <v>0.50106949999999995</v>
      </c>
    </row>
    <row r="483" spans="14:152" x14ac:dyDescent="0.4">
      <c r="N483" s="89">
        <v>122</v>
      </c>
      <c r="O483" s="2">
        <v>47</v>
      </c>
      <c r="P483" s="2">
        <v>1</v>
      </c>
      <c r="Q483" s="2">
        <v>1E-3</v>
      </c>
      <c r="Z483" s="89">
        <v>113</v>
      </c>
      <c r="AA483" s="2">
        <v>48</v>
      </c>
      <c r="AB483" s="2">
        <v>1</v>
      </c>
      <c r="AC483" s="2">
        <v>0.31382749999999998</v>
      </c>
      <c r="AL483" s="89">
        <v>117</v>
      </c>
      <c r="AM483" s="2">
        <v>47</v>
      </c>
      <c r="AN483" s="2">
        <v>0</v>
      </c>
      <c r="AO483" s="2">
        <v>4.338873E-2</v>
      </c>
      <c r="AX483" s="89">
        <v>125</v>
      </c>
      <c r="AY483" s="2">
        <v>49</v>
      </c>
      <c r="AZ483" s="2">
        <v>0</v>
      </c>
      <c r="BA483" s="2">
        <v>0.27801949999999997</v>
      </c>
      <c r="BJ483" s="89">
        <v>123</v>
      </c>
      <c r="BK483" s="2">
        <v>49</v>
      </c>
      <c r="BL483" s="2">
        <v>1</v>
      </c>
      <c r="BM483" s="2">
        <v>4.7353659999999999E-2</v>
      </c>
      <c r="BV483" s="89">
        <v>121</v>
      </c>
      <c r="BW483" s="2">
        <v>49</v>
      </c>
      <c r="BX483" s="2">
        <v>1</v>
      </c>
      <c r="BY483" s="2">
        <v>0.37030279999999999</v>
      </c>
      <c r="CH483" s="89">
        <v>120</v>
      </c>
      <c r="CI483" s="2">
        <v>49</v>
      </c>
      <c r="CJ483" s="2">
        <v>0</v>
      </c>
      <c r="CK483" s="2">
        <v>1.3402350000000001</v>
      </c>
      <c r="CT483" s="89">
        <v>111</v>
      </c>
      <c r="CU483" s="2">
        <v>49</v>
      </c>
      <c r="CV483" s="2">
        <v>0</v>
      </c>
      <c r="CW483" s="2">
        <v>2E-3</v>
      </c>
      <c r="DF483" s="89">
        <v>119</v>
      </c>
      <c r="DG483" s="2">
        <v>49</v>
      </c>
      <c r="DH483" s="2">
        <v>0</v>
      </c>
      <c r="DI483" s="2">
        <v>1.532505</v>
      </c>
      <c r="DR483" s="89">
        <v>117</v>
      </c>
      <c r="DS483" s="2">
        <v>47</v>
      </c>
      <c r="DT483" s="2">
        <v>1</v>
      </c>
      <c r="DU483" s="2">
        <v>0.95191959999999998</v>
      </c>
      <c r="ED483" s="89">
        <v>119</v>
      </c>
      <c r="EE483" s="2">
        <v>49</v>
      </c>
      <c r="EF483" s="2">
        <v>0</v>
      </c>
      <c r="EG483" s="2">
        <v>3.2107399999999999</v>
      </c>
      <c r="ES483">
        <v>119</v>
      </c>
      <c r="ET483">
        <v>49</v>
      </c>
      <c r="EU483">
        <v>0</v>
      </c>
      <c r="EV483">
        <v>3.2107399999999999</v>
      </c>
    </row>
    <row r="484" spans="14:152" x14ac:dyDescent="0.4">
      <c r="N484" s="89">
        <v>108</v>
      </c>
      <c r="O484" s="2">
        <v>48</v>
      </c>
      <c r="P484" s="2">
        <v>0</v>
      </c>
      <c r="Q484" s="2">
        <v>9.51398E-3</v>
      </c>
      <c r="Z484" s="89">
        <v>114</v>
      </c>
      <c r="AA484" s="2">
        <v>48</v>
      </c>
      <c r="AB484" s="2">
        <v>0</v>
      </c>
      <c r="AC484" s="2">
        <v>2.6017769999999998</v>
      </c>
      <c r="AL484" s="89">
        <v>117</v>
      </c>
      <c r="AM484" s="2">
        <v>47</v>
      </c>
      <c r="AN484" s="2">
        <v>1</v>
      </c>
      <c r="AO484" s="2">
        <v>0.24004310000000001</v>
      </c>
      <c r="AX484" s="89">
        <v>125</v>
      </c>
      <c r="AY484" s="2">
        <v>49</v>
      </c>
      <c r="AZ484" s="2">
        <v>1</v>
      </c>
      <c r="BA484" s="2">
        <v>9.9805290000000001E-3</v>
      </c>
      <c r="BJ484" s="89">
        <v>124</v>
      </c>
      <c r="BK484" s="2">
        <v>49</v>
      </c>
      <c r="BL484" s="2">
        <v>0</v>
      </c>
      <c r="BM484" s="2">
        <v>0.122999</v>
      </c>
      <c r="BV484" s="89">
        <v>122</v>
      </c>
      <c r="BW484" s="2">
        <v>49</v>
      </c>
      <c r="BX484" s="2">
        <v>0</v>
      </c>
      <c r="BY484" s="2">
        <v>1.200936</v>
      </c>
      <c r="CH484" s="89">
        <v>120</v>
      </c>
      <c r="CI484" s="2">
        <v>49</v>
      </c>
      <c r="CJ484" s="2">
        <v>1</v>
      </c>
      <c r="CK484" s="2">
        <v>0.46859410000000001</v>
      </c>
      <c r="CT484" s="89">
        <v>112</v>
      </c>
      <c r="CU484" s="2">
        <v>49</v>
      </c>
      <c r="CV484" s="2">
        <v>0</v>
      </c>
      <c r="CW484" s="2">
        <v>3.0000000000000001E-3</v>
      </c>
      <c r="DF484" s="89">
        <v>119</v>
      </c>
      <c r="DG484" s="2">
        <v>49</v>
      </c>
      <c r="DH484" s="2">
        <v>1</v>
      </c>
      <c r="DI484" s="2">
        <v>1.372757</v>
      </c>
      <c r="DR484" s="89">
        <v>118</v>
      </c>
      <c r="DS484" s="2">
        <v>47</v>
      </c>
      <c r="DT484" s="2">
        <v>0</v>
      </c>
      <c r="DU484" s="2">
        <v>0.33706619999999998</v>
      </c>
      <c r="ED484" s="89">
        <v>119</v>
      </c>
      <c r="EE484" s="2">
        <v>49</v>
      </c>
      <c r="EF484" s="2">
        <v>1</v>
      </c>
      <c r="EG484" s="2">
        <v>1.0119279999999999</v>
      </c>
      <c r="ES484">
        <v>119</v>
      </c>
      <c r="ET484">
        <v>49</v>
      </c>
      <c r="EU484">
        <v>1</v>
      </c>
      <c r="EV484">
        <v>1.0119279999999999</v>
      </c>
    </row>
    <row r="485" spans="14:152" x14ac:dyDescent="0.4">
      <c r="N485" s="89">
        <v>110</v>
      </c>
      <c r="O485" s="2">
        <v>48</v>
      </c>
      <c r="P485" s="2">
        <v>0</v>
      </c>
      <c r="Q485" s="2">
        <v>0.32888240000000002</v>
      </c>
      <c r="Z485" s="89">
        <v>115</v>
      </c>
      <c r="AA485" s="2">
        <v>48</v>
      </c>
      <c r="AB485" s="2">
        <v>0</v>
      </c>
      <c r="AC485" s="2">
        <v>1.491911</v>
      </c>
      <c r="AL485" s="89">
        <v>118</v>
      </c>
      <c r="AM485" s="2">
        <v>47</v>
      </c>
      <c r="AN485" s="2">
        <v>0</v>
      </c>
      <c r="AO485" s="2">
        <v>5.7147740000000002E-2</v>
      </c>
      <c r="AX485" s="89">
        <v>126</v>
      </c>
      <c r="AY485" s="2">
        <v>49</v>
      </c>
      <c r="AZ485" s="2">
        <v>0</v>
      </c>
      <c r="BA485" s="2">
        <v>4.7354840000000002E-2</v>
      </c>
      <c r="BJ485" s="89">
        <v>124</v>
      </c>
      <c r="BK485" s="2">
        <v>49</v>
      </c>
      <c r="BL485" s="2">
        <v>1</v>
      </c>
      <c r="BM485" s="2">
        <v>0.34899999999999998</v>
      </c>
      <c r="BV485" s="89">
        <v>122</v>
      </c>
      <c r="BW485" s="2">
        <v>49</v>
      </c>
      <c r="BX485" s="2">
        <v>1</v>
      </c>
      <c r="BY485" s="2">
        <v>1.254</v>
      </c>
      <c r="CH485" s="89">
        <v>120</v>
      </c>
      <c r="CI485" s="2">
        <v>49</v>
      </c>
      <c r="CJ485" s="2">
        <v>2</v>
      </c>
      <c r="CK485" s="2">
        <v>1.2301770000000001</v>
      </c>
      <c r="CT485" s="89">
        <v>112</v>
      </c>
      <c r="CU485" s="2">
        <v>49</v>
      </c>
      <c r="CV485" s="2">
        <v>1</v>
      </c>
      <c r="CW485" s="2">
        <v>3.0000000000000001E-3</v>
      </c>
      <c r="DF485" s="89">
        <v>120</v>
      </c>
      <c r="DG485" s="2">
        <v>49</v>
      </c>
      <c r="DH485" s="2">
        <v>0</v>
      </c>
      <c r="DI485" s="2">
        <v>2.165251</v>
      </c>
      <c r="DR485" s="89">
        <v>118</v>
      </c>
      <c r="DS485" s="2">
        <v>47</v>
      </c>
      <c r="DT485" s="2">
        <v>1</v>
      </c>
      <c r="DU485" s="2">
        <v>0.49784640000000002</v>
      </c>
      <c r="ED485" s="89">
        <v>120</v>
      </c>
      <c r="EE485" s="2">
        <v>49</v>
      </c>
      <c r="EF485" s="2">
        <v>0</v>
      </c>
      <c r="EG485" s="2">
        <v>2.1226729999999998</v>
      </c>
      <c r="ES485">
        <v>120</v>
      </c>
      <c r="ET485">
        <v>49</v>
      </c>
      <c r="EU485">
        <v>0</v>
      </c>
      <c r="EV485">
        <v>2.1226729999999998</v>
      </c>
    </row>
    <row r="486" spans="14:152" x14ac:dyDescent="0.4">
      <c r="N486" s="89">
        <v>111</v>
      </c>
      <c r="O486" s="2">
        <v>48</v>
      </c>
      <c r="P486" s="2">
        <v>0</v>
      </c>
      <c r="Q486" s="2">
        <v>2.5850650000000002</v>
      </c>
      <c r="Z486" s="89">
        <v>115</v>
      </c>
      <c r="AA486" s="2">
        <v>48</v>
      </c>
      <c r="AB486" s="2">
        <v>1</v>
      </c>
      <c r="AC486" s="2">
        <v>0.80313880000000004</v>
      </c>
      <c r="AL486" s="89">
        <v>118</v>
      </c>
      <c r="AM486" s="2">
        <v>47</v>
      </c>
      <c r="AN486" s="2">
        <v>1</v>
      </c>
      <c r="AO486" s="2">
        <v>9.8005190000000006E-2</v>
      </c>
      <c r="AX486" s="89">
        <v>126</v>
      </c>
      <c r="AY486" s="2">
        <v>49</v>
      </c>
      <c r="AZ486" s="2">
        <v>1</v>
      </c>
      <c r="BA486" s="2">
        <v>7.7645169999999999E-2</v>
      </c>
      <c r="BJ486" s="89">
        <v>125</v>
      </c>
      <c r="BK486" s="2">
        <v>49</v>
      </c>
      <c r="BL486" s="2">
        <v>0</v>
      </c>
      <c r="BM486" s="2">
        <v>0.23663290000000001</v>
      </c>
      <c r="BV486" s="89">
        <v>123</v>
      </c>
      <c r="BW486" s="2">
        <v>49</v>
      </c>
      <c r="BX486" s="2">
        <v>0</v>
      </c>
      <c r="BY486" s="2">
        <v>1.647737</v>
      </c>
      <c r="CH486" s="89">
        <v>121</v>
      </c>
      <c r="CI486" s="2">
        <v>49</v>
      </c>
      <c r="CJ486" s="2">
        <v>0</v>
      </c>
      <c r="CK486" s="2">
        <v>2.1162230000000002</v>
      </c>
      <c r="CT486" s="89">
        <v>113</v>
      </c>
      <c r="CU486" s="2">
        <v>49</v>
      </c>
      <c r="CV486" s="2">
        <v>0</v>
      </c>
      <c r="CW486" s="2">
        <v>0.25722220000000001</v>
      </c>
      <c r="DF486" s="89">
        <v>120</v>
      </c>
      <c r="DG486" s="2">
        <v>49</v>
      </c>
      <c r="DH486" s="2">
        <v>1</v>
      </c>
      <c r="DI486" s="2">
        <v>0.13189039999999999</v>
      </c>
      <c r="DR486" s="89">
        <v>119</v>
      </c>
      <c r="DS486" s="2">
        <v>47</v>
      </c>
      <c r="DT486" s="2">
        <v>0</v>
      </c>
      <c r="DU486" s="2">
        <v>3.5533750000000003E-2</v>
      </c>
      <c r="ED486" s="89">
        <v>120</v>
      </c>
      <c r="EE486" s="2">
        <v>49</v>
      </c>
      <c r="EF486" s="2">
        <v>1</v>
      </c>
      <c r="EG486" s="2">
        <v>0.4936334</v>
      </c>
      <c r="ES486">
        <v>120</v>
      </c>
      <c r="ET486">
        <v>49</v>
      </c>
      <c r="EU486">
        <v>1</v>
      </c>
      <c r="EV486">
        <v>0.4936334</v>
      </c>
    </row>
    <row r="487" spans="14:152" x14ac:dyDescent="0.4">
      <c r="N487" s="89">
        <v>111</v>
      </c>
      <c r="O487" s="2">
        <v>48</v>
      </c>
      <c r="P487" s="2">
        <v>1</v>
      </c>
      <c r="Q487" s="2">
        <v>5.1999999999999998E-2</v>
      </c>
      <c r="Z487" s="89">
        <v>116</v>
      </c>
      <c r="AA487" s="2">
        <v>48</v>
      </c>
      <c r="AB487" s="2">
        <v>0</v>
      </c>
      <c r="AC487" s="2">
        <v>1.8679460000000001</v>
      </c>
      <c r="AL487" s="89">
        <v>119</v>
      </c>
      <c r="AM487" s="2">
        <v>47</v>
      </c>
      <c r="AN487" s="2">
        <v>0</v>
      </c>
      <c r="AO487" s="2">
        <v>1.5E-3</v>
      </c>
      <c r="AX487" s="89">
        <v>127</v>
      </c>
      <c r="AY487" s="2">
        <v>49</v>
      </c>
      <c r="AZ487" s="2">
        <v>0</v>
      </c>
      <c r="BA487" s="2">
        <v>6.225352E-2</v>
      </c>
      <c r="BJ487" s="89">
        <v>125</v>
      </c>
      <c r="BK487" s="2">
        <v>49</v>
      </c>
      <c r="BL487" s="2">
        <v>1</v>
      </c>
      <c r="BM487" s="2">
        <v>7.3671270000000002E-3</v>
      </c>
      <c r="BV487" s="89">
        <v>123</v>
      </c>
      <c r="BW487" s="2">
        <v>49</v>
      </c>
      <c r="BX487" s="2">
        <v>1</v>
      </c>
      <c r="BY487" s="2">
        <v>0.1082658</v>
      </c>
      <c r="CH487" s="89">
        <v>121</v>
      </c>
      <c r="CI487" s="2">
        <v>49</v>
      </c>
      <c r="CJ487" s="2">
        <v>1</v>
      </c>
      <c r="CK487" s="2">
        <v>0.14855450000000001</v>
      </c>
      <c r="CT487" s="89">
        <v>113</v>
      </c>
      <c r="CU487" s="2">
        <v>49</v>
      </c>
      <c r="CV487" s="2">
        <v>1</v>
      </c>
      <c r="CW487" s="2">
        <v>9.1666679999999996E-4</v>
      </c>
      <c r="DF487" s="89">
        <v>120</v>
      </c>
      <c r="DG487" s="2">
        <v>49</v>
      </c>
      <c r="DH487" s="2">
        <v>2</v>
      </c>
      <c r="DI487" s="2">
        <v>0.28960560000000002</v>
      </c>
      <c r="DR487" s="89">
        <v>119</v>
      </c>
      <c r="DS487" s="2">
        <v>47</v>
      </c>
      <c r="DT487" s="2">
        <v>1</v>
      </c>
      <c r="DU487" s="2">
        <v>0.26958490000000002</v>
      </c>
      <c r="ED487" s="89">
        <v>120</v>
      </c>
      <c r="EE487" s="2">
        <v>49</v>
      </c>
      <c r="EF487" s="2">
        <v>2</v>
      </c>
      <c r="EG487" s="2">
        <v>1.201729</v>
      </c>
      <c r="ES487">
        <v>120</v>
      </c>
      <c r="ET487">
        <v>49</v>
      </c>
      <c r="EU487">
        <v>2</v>
      </c>
      <c r="EV487">
        <v>1.201729</v>
      </c>
    </row>
    <row r="488" spans="14:152" x14ac:dyDescent="0.4">
      <c r="N488" s="89">
        <v>112</v>
      </c>
      <c r="O488" s="2">
        <v>48</v>
      </c>
      <c r="P488" s="2">
        <v>0</v>
      </c>
      <c r="Q488" s="2">
        <v>2.5074290000000001</v>
      </c>
      <c r="Z488" s="89">
        <v>117</v>
      </c>
      <c r="AA488" s="2">
        <v>48</v>
      </c>
      <c r="AB488" s="2">
        <v>0</v>
      </c>
      <c r="AC488" s="2">
        <v>0.45164490000000002</v>
      </c>
      <c r="AL488" s="89">
        <v>119</v>
      </c>
      <c r="AM488" s="2">
        <v>47</v>
      </c>
      <c r="AN488" s="2">
        <v>1</v>
      </c>
      <c r="AO488" s="2">
        <v>4.1500000000000002E-2</v>
      </c>
      <c r="AX488" s="89">
        <v>127</v>
      </c>
      <c r="AY488" s="2">
        <v>49</v>
      </c>
      <c r="AZ488" s="2">
        <v>1</v>
      </c>
      <c r="BA488" s="2">
        <v>7.7464789999999997E-3</v>
      </c>
      <c r="BJ488" s="89">
        <v>126</v>
      </c>
      <c r="BK488" s="2">
        <v>49</v>
      </c>
      <c r="BL488" s="2">
        <v>0</v>
      </c>
      <c r="BM488" s="2">
        <v>4.1065419999999998E-2</v>
      </c>
      <c r="BV488" s="89">
        <v>124</v>
      </c>
      <c r="BW488" s="2">
        <v>49</v>
      </c>
      <c r="BX488" s="2">
        <v>0</v>
      </c>
      <c r="BY488" s="2">
        <v>0.30199700000000002</v>
      </c>
      <c r="CH488" s="89">
        <v>122</v>
      </c>
      <c r="CI488" s="2">
        <v>49</v>
      </c>
      <c r="CJ488" s="2">
        <v>0</v>
      </c>
      <c r="CK488" s="2">
        <v>0.51798149999999998</v>
      </c>
      <c r="CT488" s="89">
        <v>114</v>
      </c>
      <c r="CU488" s="2">
        <v>49</v>
      </c>
      <c r="CV488" s="2">
        <v>0</v>
      </c>
      <c r="CW488" s="2">
        <v>3.9809999999999998E-2</v>
      </c>
      <c r="DF488" s="89">
        <v>121</v>
      </c>
      <c r="DG488" s="2">
        <v>49</v>
      </c>
      <c r="DH488" s="2">
        <v>0</v>
      </c>
      <c r="DI488" s="2">
        <v>2.0329489999999999</v>
      </c>
      <c r="DR488" s="89">
        <v>120</v>
      </c>
      <c r="DS488" s="2">
        <v>47</v>
      </c>
      <c r="DT488" s="2">
        <v>0</v>
      </c>
      <c r="DU488" s="2">
        <v>6.6666950000000003E-2</v>
      </c>
      <c r="ED488" s="89">
        <v>121</v>
      </c>
      <c r="EE488" s="2">
        <v>49</v>
      </c>
      <c r="EF488" s="2">
        <v>0</v>
      </c>
      <c r="EG488" s="2">
        <v>2.7096800000000001</v>
      </c>
      <c r="ES488">
        <v>121</v>
      </c>
      <c r="ET488">
        <v>49</v>
      </c>
      <c r="EU488">
        <v>0</v>
      </c>
      <c r="EV488">
        <v>2.7096800000000001</v>
      </c>
    </row>
    <row r="489" spans="14:152" x14ac:dyDescent="0.4">
      <c r="N489" s="89">
        <v>113</v>
      </c>
      <c r="O489" s="2">
        <v>48</v>
      </c>
      <c r="P489" s="2">
        <v>0</v>
      </c>
      <c r="Q489" s="2">
        <v>1.8432189999999999</v>
      </c>
      <c r="Z489" s="89">
        <v>117</v>
      </c>
      <c r="AA489" s="2">
        <v>48</v>
      </c>
      <c r="AB489" s="2">
        <v>1</v>
      </c>
      <c r="AC489" s="2">
        <v>0.89044270000000003</v>
      </c>
      <c r="AL489" s="89">
        <v>120</v>
      </c>
      <c r="AM489" s="2">
        <v>47</v>
      </c>
      <c r="AN489" s="2">
        <v>0</v>
      </c>
      <c r="AO489" s="2">
        <v>7.2900009999999999E-3</v>
      </c>
      <c r="AX489" s="89">
        <v>128</v>
      </c>
      <c r="AY489" s="2">
        <v>49</v>
      </c>
      <c r="AZ489" s="2">
        <v>0</v>
      </c>
      <c r="BA489" s="2">
        <v>2.514286E-2</v>
      </c>
      <c r="BJ489" s="89">
        <v>126</v>
      </c>
      <c r="BK489" s="2">
        <v>49</v>
      </c>
      <c r="BL489" s="2">
        <v>1</v>
      </c>
      <c r="BM489" s="2">
        <v>5.5934579999999998E-2</v>
      </c>
      <c r="BV489" s="89">
        <v>124</v>
      </c>
      <c r="BW489" s="2">
        <v>49</v>
      </c>
      <c r="BX489" s="2">
        <v>1</v>
      </c>
      <c r="BY489" s="2">
        <v>0.66800000000000004</v>
      </c>
      <c r="CH489" s="89">
        <v>122</v>
      </c>
      <c r="CI489" s="2">
        <v>49</v>
      </c>
      <c r="CJ489" s="2">
        <v>1</v>
      </c>
      <c r="CK489" s="2">
        <v>0.86699999999999999</v>
      </c>
      <c r="CT489" s="89">
        <v>114</v>
      </c>
      <c r="CU489" s="2">
        <v>49</v>
      </c>
      <c r="CV489" s="2">
        <v>1</v>
      </c>
      <c r="CW489" s="2">
        <v>3.4000000000000002E-2</v>
      </c>
      <c r="DF489" s="89">
        <v>121</v>
      </c>
      <c r="DG489" s="2">
        <v>49</v>
      </c>
      <c r="DH489" s="2">
        <v>1</v>
      </c>
      <c r="DI489" s="2">
        <v>0.47351179999999998</v>
      </c>
      <c r="DR489" s="89">
        <v>120</v>
      </c>
      <c r="DS489" s="2">
        <v>47</v>
      </c>
      <c r="DT489" s="2">
        <v>1</v>
      </c>
      <c r="DU489" s="2">
        <v>0.1067239</v>
      </c>
      <c r="ED489" s="89">
        <v>121</v>
      </c>
      <c r="EE489" s="2">
        <v>49</v>
      </c>
      <c r="EF489" s="2">
        <v>1</v>
      </c>
      <c r="EG489" s="2">
        <v>0.2745803</v>
      </c>
      <c r="ES489">
        <v>121</v>
      </c>
      <c r="ET489">
        <v>49</v>
      </c>
      <c r="EU489">
        <v>1</v>
      </c>
      <c r="EV489">
        <v>0.2745803</v>
      </c>
    </row>
    <row r="490" spans="14:152" x14ac:dyDescent="0.4">
      <c r="N490" s="89">
        <v>113</v>
      </c>
      <c r="O490" s="2">
        <v>48</v>
      </c>
      <c r="P490" s="2">
        <v>1</v>
      </c>
      <c r="Q490" s="2">
        <v>0.36220960000000002</v>
      </c>
      <c r="Z490" s="89">
        <v>118</v>
      </c>
      <c r="AA490" s="2">
        <v>48</v>
      </c>
      <c r="AB490" s="2">
        <v>0</v>
      </c>
      <c r="AC490" s="2">
        <v>0.85391249999999996</v>
      </c>
      <c r="AL490" s="89">
        <v>120</v>
      </c>
      <c r="AM490" s="2">
        <v>47</v>
      </c>
      <c r="AN490" s="2">
        <v>1</v>
      </c>
      <c r="AO490" s="2">
        <v>1.7000000000000001E-2</v>
      </c>
      <c r="AX490" s="89">
        <v>128</v>
      </c>
      <c r="AY490" s="2">
        <v>49</v>
      </c>
      <c r="AZ490" s="2">
        <v>1</v>
      </c>
      <c r="BA490" s="2">
        <v>3.7857149999999998E-3</v>
      </c>
      <c r="BJ490" s="89">
        <v>127</v>
      </c>
      <c r="BK490" s="2">
        <v>49</v>
      </c>
      <c r="BL490" s="2">
        <v>0</v>
      </c>
      <c r="BM490" s="2">
        <v>3.5076919999999998E-2</v>
      </c>
      <c r="BV490" s="89">
        <v>125</v>
      </c>
      <c r="BW490" s="2">
        <v>49</v>
      </c>
      <c r="BX490" s="2">
        <v>0</v>
      </c>
      <c r="BY490" s="2">
        <v>0.53556760000000003</v>
      </c>
      <c r="CH490" s="89">
        <v>123</v>
      </c>
      <c r="CI490" s="2">
        <v>49</v>
      </c>
      <c r="CJ490" s="2">
        <v>0</v>
      </c>
      <c r="CK490" s="2">
        <v>0.76600619999999997</v>
      </c>
      <c r="CT490" s="89">
        <v>114</v>
      </c>
      <c r="CU490" s="2">
        <v>49</v>
      </c>
      <c r="CV490" s="2">
        <v>2</v>
      </c>
      <c r="CW490" s="2">
        <v>2.9000000000000001E-2</v>
      </c>
      <c r="DF490" s="89">
        <v>122</v>
      </c>
      <c r="DG490" s="2">
        <v>49</v>
      </c>
      <c r="DH490" s="2">
        <v>0</v>
      </c>
      <c r="DI490" s="2">
        <v>1.349834</v>
      </c>
      <c r="DR490" s="89">
        <v>121</v>
      </c>
      <c r="DS490" s="2">
        <v>47</v>
      </c>
      <c r="DT490" s="2">
        <v>0</v>
      </c>
      <c r="DU490" s="2">
        <v>6.3978400000000005E-2</v>
      </c>
      <c r="ED490" s="89">
        <v>122</v>
      </c>
      <c r="EE490" s="2">
        <v>49</v>
      </c>
      <c r="EF490" s="2">
        <v>0</v>
      </c>
      <c r="EG490" s="2">
        <v>0.94495609999999997</v>
      </c>
      <c r="ES490">
        <v>122</v>
      </c>
      <c r="ET490">
        <v>49</v>
      </c>
      <c r="EU490">
        <v>0</v>
      </c>
      <c r="EV490">
        <v>0.94495609999999997</v>
      </c>
    </row>
    <row r="491" spans="14:152" x14ac:dyDescent="0.4">
      <c r="N491" s="89">
        <v>114</v>
      </c>
      <c r="O491" s="2">
        <v>48</v>
      </c>
      <c r="P491" s="2">
        <v>0</v>
      </c>
      <c r="Q491" s="2">
        <v>2.041588</v>
      </c>
      <c r="Z491" s="89">
        <v>119</v>
      </c>
      <c r="AA491" s="2">
        <v>48</v>
      </c>
      <c r="AB491" s="2">
        <v>0</v>
      </c>
      <c r="AC491" s="2">
        <v>9.1836150000000005E-2</v>
      </c>
      <c r="AL491" s="89">
        <v>121</v>
      </c>
      <c r="AM491" s="2">
        <v>47</v>
      </c>
      <c r="AN491" s="2">
        <v>0</v>
      </c>
      <c r="AO491" s="2">
        <v>6.0000000000000001E-3</v>
      </c>
      <c r="AX491" s="89">
        <v>128</v>
      </c>
      <c r="AY491" s="2">
        <v>49</v>
      </c>
      <c r="AZ491" s="2">
        <v>2</v>
      </c>
      <c r="BA491" s="2">
        <v>1.485714E-2</v>
      </c>
      <c r="BJ491" s="89">
        <v>127</v>
      </c>
      <c r="BK491" s="2">
        <v>49</v>
      </c>
      <c r="BL491" s="2">
        <v>1</v>
      </c>
      <c r="BM491" s="2">
        <v>4.9230769999999997E-3</v>
      </c>
      <c r="BV491" s="89">
        <v>125</v>
      </c>
      <c r="BW491" s="2">
        <v>49</v>
      </c>
      <c r="BX491" s="2">
        <v>1</v>
      </c>
      <c r="BY491" s="2">
        <v>2.0432410000000002E-2</v>
      </c>
      <c r="CH491" s="89">
        <v>123</v>
      </c>
      <c r="CI491" s="2">
        <v>49</v>
      </c>
      <c r="CJ491" s="2">
        <v>1</v>
      </c>
      <c r="CK491" s="2">
        <v>3.6994810000000003E-2</v>
      </c>
      <c r="CT491" s="89">
        <v>115</v>
      </c>
      <c r="CU491" s="2">
        <v>49</v>
      </c>
      <c r="CV491" s="2">
        <v>0</v>
      </c>
      <c r="CW491" s="2">
        <v>3.922777</v>
      </c>
      <c r="DF491" s="89">
        <v>122</v>
      </c>
      <c r="DG491" s="2">
        <v>49</v>
      </c>
      <c r="DH491" s="2">
        <v>1</v>
      </c>
      <c r="DI491" s="2">
        <v>0.78400000000000003</v>
      </c>
      <c r="DR491" s="89">
        <v>122</v>
      </c>
      <c r="DS491" s="2">
        <v>47</v>
      </c>
      <c r="DT491" s="2">
        <v>0</v>
      </c>
      <c r="DU491" s="2">
        <v>1.0625000000000001E-2</v>
      </c>
      <c r="ED491" s="89">
        <v>122</v>
      </c>
      <c r="EE491" s="2">
        <v>49</v>
      </c>
      <c r="EF491" s="2">
        <v>1</v>
      </c>
      <c r="EG491" s="2">
        <v>1.2110000000000001</v>
      </c>
      <c r="ES491">
        <v>122</v>
      </c>
      <c r="ET491">
        <v>49</v>
      </c>
      <c r="EU491">
        <v>1</v>
      </c>
      <c r="EV491">
        <v>1.2110000000000001</v>
      </c>
    </row>
    <row r="492" spans="14:152" x14ac:dyDescent="0.4">
      <c r="N492" s="89">
        <v>115</v>
      </c>
      <c r="O492" s="2">
        <v>48</v>
      </c>
      <c r="P492" s="2">
        <v>0</v>
      </c>
      <c r="Q492" s="2">
        <v>1.0350010000000001</v>
      </c>
      <c r="Z492" s="89">
        <v>119</v>
      </c>
      <c r="AA492" s="2">
        <v>48</v>
      </c>
      <c r="AB492" s="2">
        <v>1</v>
      </c>
      <c r="AC492" s="2">
        <v>0.32422319999999999</v>
      </c>
      <c r="AL492" s="89">
        <v>108</v>
      </c>
      <c r="AM492" s="2">
        <v>48</v>
      </c>
      <c r="AN492" s="2">
        <v>0</v>
      </c>
      <c r="AO492" s="2">
        <v>2.2409660000000001E-2</v>
      </c>
      <c r="AX492" s="89">
        <v>129</v>
      </c>
      <c r="AY492" s="2">
        <v>49</v>
      </c>
      <c r="AZ492" s="2">
        <v>0</v>
      </c>
      <c r="BA492" s="2">
        <v>2.0166670000000001E-2</v>
      </c>
      <c r="BJ492" s="89">
        <v>128</v>
      </c>
      <c r="BK492" s="2">
        <v>49</v>
      </c>
      <c r="BL492" s="2">
        <v>0</v>
      </c>
      <c r="BM492" s="2">
        <v>1.7812499999999998E-2</v>
      </c>
      <c r="BV492" s="89">
        <v>126</v>
      </c>
      <c r="BW492" s="2">
        <v>49</v>
      </c>
      <c r="BX492" s="2">
        <v>0</v>
      </c>
      <c r="BY492" s="2">
        <v>0.10759290000000001</v>
      </c>
      <c r="CH492" s="89">
        <v>124</v>
      </c>
      <c r="CI492" s="2">
        <v>49</v>
      </c>
      <c r="CJ492" s="2">
        <v>0</v>
      </c>
      <c r="CK492" s="2">
        <v>0.113999</v>
      </c>
      <c r="CT492" s="89">
        <v>115</v>
      </c>
      <c r="CU492" s="2">
        <v>49</v>
      </c>
      <c r="CV492" s="2">
        <v>1</v>
      </c>
      <c r="CW492" s="2">
        <v>3.104527</v>
      </c>
      <c r="DF492" s="89">
        <v>123</v>
      </c>
      <c r="DG492" s="2">
        <v>49</v>
      </c>
      <c r="DH492" s="2">
        <v>0</v>
      </c>
      <c r="DI492" s="2">
        <v>1.672949</v>
      </c>
      <c r="DR492" s="89">
        <v>122</v>
      </c>
      <c r="DS492" s="2">
        <v>47</v>
      </c>
      <c r="DT492" s="2">
        <v>1</v>
      </c>
      <c r="DU492" s="2">
        <v>1.4375000000000001E-2</v>
      </c>
      <c r="ED492" s="89">
        <v>123</v>
      </c>
      <c r="EE492" s="2">
        <v>49</v>
      </c>
      <c r="EF492" s="2">
        <v>0</v>
      </c>
      <c r="EG492" s="2">
        <v>1.325108</v>
      </c>
      <c r="ES492">
        <v>123</v>
      </c>
      <c r="ET492">
        <v>49</v>
      </c>
      <c r="EU492">
        <v>0</v>
      </c>
      <c r="EV492">
        <v>1.325108</v>
      </c>
    </row>
    <row r="493" spans="14:152" x14ac:dyDescent="0.4">
      <c r="N493" s="89">
        <v>115</v>
      </c>
      <c r="O493" s="2">
        <v>48</v>
      </c>
      <c r="P493" s="2">
        <v>1</v>
      </c>
      <c r="Q493" s="2">
        <v>0.72500509999999996</v>
      </c>
      <c r="Z493" s="89">
        <v>120</v>
      </c>
      <c r="AA493" s="2">
        <v>48</v>
      </c>
      <c r="AB493" s="2">
        <v>0</v>
      </c>
      <c r="AC493" s="2">
        <v>0.2099461</v>
      </c>
      <c r="AL493" s="89">
        <v>109</v>
      </c>
      <c r="AM493" s="2">
        <v>48</v>
      </c>
      <c r="AN493" s="2">
        <v>0</v>
      </c>
      <c r="AO493" s="2">
        <v>1.9E-2</v>
      </c>
      <c r="AX493" s="89">
        <v>129</v>
      </c>
      <c r="AY493" s="2">
        <v>49</v>
      </c>
      <c r="AZ493" s="2">
        <v>1</v>
      </c>
      <c r="BA493" s="2">
        <v>2.8333339999999999E-3</v>
      </c>
      <c r="BJ493" s="89">
        <v>128</v>
      </c>
      <c r="BK493" s="2">
        <v>49</v>
      </c>
      <c r="BL493" s="2">
        <v>1</v>
      </c>
      <c r="BM493" s="2">
        <v>3.7499999999999999E-3</v>
      </c>
      <c r="BV493" s="89">
        <v>126</v>
      </c>
      <c r="BW493" s="2">
        <v>49</v>
      </c>
      <c r="BX493" s="2">
        <v>1</v>
      </c>
      <c r="BY493" s="2">
        <v>0.1644071</v>
      </c>
      <c r="CH493" s="89">
        <v>124</v>
      </c>
      <c r="CI493" s="2">
        <v>49</v>
      </c>
      <c r="CJ493" s="2">
        <v>1</v>
      </c>
      <c r="CK493" s="2">
        <v>0.28100000000000003</v>
      </c>
      <c r="CT493" s="89">
        <v>116</v>
      </c>
      <c r="CU493" s="2">
        <v>49</v>
      </c>
      <c r="CV493" s="2">
        <v>0</v>
      </c>
      <c r="CW493" s="2">
        <v>2.0081000000000002E-2</v>
      </c>
      <c r="DF493" s="89">
        <v>123</v>
      </c>
      <c r="DG493" s="2">
        <v>49</v>
      </c>
      <c r="DH493" s="2">
        <v>1</v>
      </c>
      <c r="DI493" s="2">
        <v>0.15107039999999999</v>
      </c>
      <c r="DR493" s="89">
        <v>123</v>
      </c>
      <c r="DS493" s="2">
        <v>47</v>
      </c>
      <c r="DT493" s="2">
        <v>0</v>
      </c>
      <c r="DU493" s="2">
        <v>6.0000000000000001E-3</v>
      </c>
      <c r="ED493" s="89">
        <v>123</v>
      </c>
      <c r="EE493" s="2">
        <v>49</v>
      </c>
      <c r="EF493" s="2">
        <v>1</v>
      </c>
      <c r="EG493" s="2">
        <v>6.4896869999999995E-2</v>
      </c>
      <c r="ES493">
        <v>123</v>
      </c>
      <c r="ET493">
        <v>49</v>
      </c>
      <c r="EU493">
        <v>1</v>
      </c>
      <c r="EV493">
        <v>6.4896869999999995E-2</v>
      </c>
    </row>
    <row r="494" spans="14:152" x14ac:dyDescent="0.4">
      <c r="N494" s="89">
        <v>116</v>
      </c>
      <c r="O494" s="2">
        <v>48</v>
      </c>
      <c r="P494" s="2">
        <v>0</v>
      </c>
      <c r="Q494" s="2">
        <v>1.259989</v>
      </c>
      <c r="Z494" s="89">
        <v>121</v>
      </c>
      <c r="AA494" s="2">
        <v>48</v>
      </c>
      <c r="AB494" s="2">
        <v>0</v>
      </c>
      <c r="AC494" s="2">
        <v>1.095616E-2</v>
      </c>
      <c r="AL494" s="89">
        <v>110</v>
      </c>
      <c r="AM494" s="2">
        <v>48</v>
      </c>
      <c r="AN494" s="2">
        <v>0</v>
      </c>
      <c r="AO494" s="2">
        <v>0.74169390000000002</v>
      </c>
      <c r="AX494" s="89">
        <v>130</v>
      </c>
      <c r="AY494" s="2">
        <v>49</v>
      </c>
      <c r="AZ494" s="2">
        <v>0</v>
      </c>
      <c r="BA494" s="2">
        <v>5.0769229999999997E-3</v>
      </c>
      <c r="BJ494" s="89">
        <v>128</v>
      </c>
      <c r="BK494" s="2">
        <v>49</v>
      </c>
      <c r="BL494" s="2">
        <v>2</v>
      </c>
      <c r="BM494" s="2">
        <v>1.21875E-2</v>
      </c>
      <c r="BV494" s="89">
        <v>127</v>
      </c>
      <c r="BW494" s="2">
        <v>49</v>
      </c>
      <c r="BX494" s="2">
        <v>0</v>
      </c>
      <c r="BY494" s="2">
        <v>0.13299359999999999</v>
      </c>
      <c r="CH494" s="89">
        <v>125</v>
      </c>
      <c r="CI494" s="2">
        <v>49</v>
      </c>
      <c r="CJ494" s="2">
        <v>0</v>
      </c>
      <c r="CK494" s="2">
        <v>0.19465460000000001</v>
      </c>
      <c r="CT494" s="89">
        <v>116</v>
      </c>
      <c r="CU494" s="2">
        <v>49</v>
      </c>
      <c r="CV494" s="2">
        <v>1</v>
      </c>
      <c r="CW494" s="2">
        <v>0.27291900000000002</v>
      </c>
      <c r="DF494" s="89">
        <v>124</v>
      </c>
      <c r="DG494" s="2">
        <v>49</v>
      </c>
      <c r="DH494" s="2">
        <v>0</v>
      </c>
      <c r="DI494" s="2">
        <v>0.48498059999999998</v>
      </c>
      <c r="DR494" s="89">
        <v>124</v>
      </c>
      <c r="DS494" s="2">
        <v>47</v>
      </c>
      <c r="DT494" s="2">
        <v>0</v>
      </c>
      <c r="DU494" s="2">
        <v>1E-3</v>
      </c>
      <c r="ED494" s="89">
        <v>124</v>
      </c>
      <c r="EE494" s="2">
        <v>49</v>
      </c>
      <c r="EF494" s="2">
        <v>0</v>
      </c>
      <c r="EG494" s="2">
        <v>0.20399519999999999</v>
      </c>
      <c r="ES494">
        <v>124</v>
      </c>
      <c r="ET494">
        <v>49</v>
      </c>
      <c r="EU494">
        <v>0</v>
      </c>
      <c r="EV494">
        <v>0.20399519999999999</v>
      </c>
    </row>
    <row r="495" spans="14:152" x14ac:dyDescent="0.4">
      <c r="N495" s="89">
        <v>117</v>
      </c>
      <c r="O495" s="2">
        <v>48</v>
      </c>
      <c r="P495" s="2">
        <v>0</v>
      </c>
      <c r="Q495" s="2">
        <v>0.24972659999999999</v>
      </c>
      <c r="Z495" s="89">
        <v>121</v>
      </c>
      <c r="AA495" s="2">
        <v>48</v>
      </c>
      <c r="AB495" s="2">
        <v>1</v>
      </c>
      <c r="AC495" s="2">
        <v>7.6038439999999999E-2</v>
      </c>
      <c r="AL495" s="89">
        <v>111</v>
      </c>
      <c r="AM495" s="2">
        <v>48</v>
      </c>
      <c r="AN495" s="2">
        <v>0</v>
      </c>
      <c r="AO495" s="2">
        <v>3.7019899999999999</v>
      </c>
      <c r="AX495" s="89">
        <v>130</v>
      </c>
      <c r="AY495" s="2">
        <v>49</v>
      </c>
      <c r="AZ495" s="2">
        <v>1</v>
      </c>
      <c r="BA495" s="2">
        <v>4.2307689999999997E-3</v>
      </c>
      <c r="BJ495" s="89">
        <v>129</v>
      </c>
      <c r="BK495" s="2">
        <v>49</v>
      </c>
      <c r="BL495" s="2">
        <v>0</v>
      </c>
      <c r="BM495" s="2">
        <v>1.9173909999999999E-2</v>
      </c>
      <c r="BV495" s="89">
        <v>127</v>
      </c>
      <c r="BW495" s="2">
        <v>49</v>
      </c>
      <c r="BX495" s="2">
        <v>1</v>
      </c>
      <c r="BY495" s="2">
        <v>1.700637E-2</v>
      </c>
      <c r="CH495" s="89">
        <v>125</v>
      </c>
      <c r="CI495" s="2">
        <v>49</v>
      </c>
      <c r="CJ495" s="2">
        <v>1</v>
      </c>
      <c r="CK495" s="2">
        <v>7.3454159999999996E-3</v>
      </c>
      <c r="CT495" s="89">
        <v>116</v>
      </c>
      <c r="CU495" s="2">
        <v>49</v>
      </c>
      <c r="CV495" s="2">
        <v>2</v>
      </c>
      <c r="CW495" s="2">
        <v>0.20080999999999999</v>
      </c>
      <c r="DF495" s="89">
        <v>124</v>
      </c>
      <c r="DG495" s="2">
        <v>49</v>
      </c>
      <c r="DH495" s="2">
        <v>1</v>
      </c>
      <c r="DI495" s="2">
        <v>0.81599999999999995</v>
      </c>
      <c r="DR495" s="89">
        <v>124</v>
      </c>
      <c r="DS495" s="2">
        <v>47</v>
      </c>
      <c r="DT495" s="2">
        <v>1</v>
      </c>
      <c r="DU495" s="2">
        <v>2E-3</v>
      </c>
      <c r="ED495" s="89">
        <v>124</v>
      </c>
      <c r="EE495" s="2">
        <v>49</v>
      </c>
      <c r="EF495" s="2">
        <v>1</v>
      </c>
      <c r="EG495" s="2">
        <v>0.52400000000000002</v>
      </c>
      <c r="ES495">
        <v>124</v>
      </c>
      <c r="ET495">
        <v>49</v>
      </c>
      <c r="EU495">
        <v>1</v>
      </c>
      <c r="EV495">
        <v>0.52400000000000002</v>
      </c>
    </row>
    <row r="496" spans="14:152" x14ac:dyDescent="0.4">
      <c r="N496" s="89">
        <v>117</v>
      </c>
      <c r="O496" s="2">
        <v>48</v>
      </c>
      <c r="P496" s="2">
        <v>1</v>
      </c>
      <c r="Q496" s="2">
        <v>0.58133179999999995</v>
      </c>
      <c r="Z496" s="89">
        <v>122</v>
      </c>
      <c r="AA496" s="2">
        <v>48</v>
      </c>
      <c r="AB496" s="2">
        <v>0</v>
      </c>
      <c r="AC496" s="2">
        <v>3.7994E-2</v>
      </c>
      <c r="AL496" s="89">
        <v>111</v>
      </c>
      <c r="AM496" s="2">
        <v>48</v>
      </c>
      <c r="AN496" s="2">
        <v>1</v>
      </c>
      <c r="AO496" s="2">
        <v>0.19100030000000001</v>
      </c>
      <c r="AX496" s="89">
        <v>130</v>
      </c>
      <c r="AY496" s="2">
        <v>49</v>
      </c>
      <c r="AZ496" s="2">
        <v>2</v>
      </c>
      <c r="BA496" s="2">
        <v>1.692308E-3</v>
      </c>
      <c r="BJ496" s="89">
        <v>129</v>
      </c>
      <c r="BK496" s="2">
        <v>49</v>
      </c>
      <c r="BL496" s="2">
        <v>1</v>
      </c>
      <c r="BM496" s="2">
        <v>1.8260869999999999E-3</v>
      </c>
      <c r="BV496" s="89">
        <v>128</v>
      </c>
      <c r="BW496" s="2">
        <v>49</v>
      </c>
      <c r="BX496" s="2">
        <v>0</v>
      </c>
      <c r="BY496" s="2">
        <v>4.7382029999999999E-2</v>
      </c>
      <c r="CH496" s="89">
        <v>126</v>
      </c>
      <c r="CI496" s="2">
        <v>49</v>
      </c>
      <c r="CJ496" s="2">
        <v>0</v>
      </c>
      <c r="CK496" s="2">
        <v>3.4736839999999998E-2</v>
      </c>
      <c r="CT496" s="89">
        <v>117</v>
      </c>
      <c r="CU496" s="2">
        <v>49</v>
      </c>
      <c r="CV496" s="2">
        <v>0</v>
      </c>
      <c r="CW496" s="2">
        <v>3.1436000000000002</v>
      </c>
      <c r="DF496" s="89">
        <v>125</v>
      </c>
      <c r="DG496" s="2">
        <v>49</v>
      </c>
      <c r="DH496" s="2">
        <v>0</v>
      </c>
      <c r="DI496" s="2">
        <v>0.91261420000000004</v>
      </c>
      <c r="DR496" s="89">
        <v>108</v>
      </c>
      <c r="DS496" s="2">
        <v>48</v>
      </c>
      <c r="DT496" s="2">
        <v>0</v>
      </c>
      <c r="DU496" s="2">
        <v>9.3116770000000002E-4</v>
      </c>
      <c r="ED496" s="89">
        <v>125</v>
      </c>
      <c r="EE496" s="2">
        <v>49</v>
      </c>
      <c r="EF496" s="2">
        <v>0</v>
      </c>
      <c r="EG496" s="2">
        <v>0.3700078</v>
      </c>
      <c r="ES496">
        <v>125</v>
      </c>
      <c r="ET496">
        <v>49</v>
      </c>
      <c r="EU496">
        <v>0</v>
      </c>
      <c r="EV496">
        <v>0.3700078</v>
      </c>
    </row>
    <row r="497" spans="14:152" x14ac:dyDescent="0.4">
      <c r="N497" s="89">
        <v>118</v>
      </c>
      <c r="O497" s="2">
        <v>48</v>
      </c>
      <c r="P497" s="2">
        <v>0</v>
      </c>
      <c r="Q497" s="2">
        <v>0.46794160000000001</v>
      </c>
      <c r="Z497" s="89">
        <v>123</v>
      </c>
      <c r="AA497" s="2">
        <v>48</v>
      </c>
      <c r="AB497" s="2">
        <v>0</v>
      </c>
      <c r="AC497" s="2">
        <v>1.6366499999999999E-3</v>
      </c>
      <c r="AL497" s="89">
        <v>112</v>
      </c>
      <c r="AM497" s="2">
        <v>48</v>
      </c>
      <c r="AN497" s="2">
        <v>0</v>
      </c>
      <c r="AO497" s="2">
        <v>3.507784</v>
      </c>
      <c r="AX497" s="89">
        <v>131</v>
      </c>
      <c r="AY497" s="2">
        <v>49</v>
      </c>
      <c r="AZ497" s="2">
        <v>0</v>
      </c>
      <c r="BA497" s="2">
        <v>3.0000000000000001E-3</v>
      </c>
      <c r="BJ497" s="89">
        <v>130</v>
      </c>
      <c r="BK497" s="2">
        <v>49</v>
      </c>
      <c r="BL497" s="2">
        <v>0</v>
      </c>
      <c r="BM497" s="2">
        <v>1E-3</v>
      </c>
      <c r="BV497" s="89">
        <v>128</v>
      </c>
      <c r="BW497" s="2">
        <v>49</v>
      </c>
      <c r="BX497" s="2">
        <v>1</v>
      </c>
      <c r="BY497" s="2">
        <v>4.8651689999999999E-3</v>
      </c>
      <c r="CH497" s="89">
        <v>126</v>
      </c>
      <c r="CI497" s="2">
        <v>49</v>
      </c>
      <c r="CJ497" s="2">
        <v>1</v>
      </c>
      <c r="CK497" s="2">
        <v>4.2263160000000001E-2</v>
      </c>
      <c r="CT497" s="89">
        <v>117</v>
      </c>
      <c r="CU497" s="2">
        <v>49</v>
      </c>
      <c r="CV497" s="2">
        <v>1</v>
      </c>
      <c r="CW497" s="2">
        <v>1.3967989999999999</v>
      </c>
      <c r="DF497" s="89">
        <v>125</v>
      </c>
      <c r="DG497" s="2">
        <v>49</v>
      </c>
      <c r="DH497" s="2">
        <v>1</v>
      </c>
      <c r="DI497" s="2">
        <v>4.6385820000000001E-2</v>
      </c>
      <c r="DR497" s="89">
        <v>110</v>
      </c>
      <c r="DS497" s="2">
        <v>48</v>
      </c>
      <c r="DT497" s="2">
        <v>0</v>
      </c>
      <c r="DU497" s="2">
        <v>3.5978379999999997E-2</v>
      </c>
      <c r="ED497" s="89">
        <v>125</v>
      </c>
      <c r="EE497" s="2">
        <v>49</v>
      </c>
      <c r="EF497" s="2">
        <v>1</v>
      </c>
      <c r="EG497" s="2">
        <v>1.5992159999999998E-2</v>
      </c>
      <c r="ES497">
        <v>125</v>
      </c>
      <c r="ET497">
        <v>49</v>
      </c>
      <c r="EU497">
        <v>1</v>
      </c>
      <c r="EV497">
        <v>1.5992159999999998E-2</v>
      </c>
    </row>
    <row r="498" spans="14:152" x14ac:dyDescent="0.4">
      <c r="N498" s="89">
        <v>119</v>
      </c>
      <c r="O498" s="2">
        <v>48</v>
      </c>
      <c r="P498" s="2">
        <v>0</v>
      </c>
      <c r="Q498" s="2">
        <v>5.9048780000000002E-2</v>
      </c>
      <c r="Z498" s="89">
        <v>123</v>
      </c>
      <c r="AA498" s="2">
        <v>48</v>
      </c>
      <c r="AB498" s="2">
        <v>1</v>
      </c>
      <c r="AC498" s="2">
        <v>1.0363850000000001E-2</v>
      </c>
      <c r="AL498" s="89">
        <v>113</v>
      </c>
      <c r="AM498" s="2">
        <v>48</v>
      </c>
      <c r="AN498" s="2">
        <v>0</v>
      </c>
      <c r="AO498" s="2">
        <v>2.4550109999999998</v>
      </c>
      <c r="AX498" s="89">
        <v>114</v>
      </c>
      <c r="AY498" s="2">
        <v>50</v>
      </c>
      <c r="AZ498" s="2">
        <v>0</v>
      </c>
      <c r="BA498" s="2">
        <v>4.8705249999999997E-3</v>
      </c>
      <c r="BJ498" s="89">
        <v>130</v>
      </c>
      <c r="BK498" s="2">
        <v>49</v>
      </c>
      <c r="BL498" s="2">
        <v>1</v>
      </c>
      <c r="BM498" s="2">
        <v>2E-3</v>
      </c>
      <c r="BV498" s="89">
        <v>128</v>
      </c>
      <c r="BW498" s="2">
        <v>49</v>
      </c>
      <c r="BX498" s="2">
        <v>2</v>
      </c>
      <c r="BY498" s="2">
        <v>3.9617979999999997E-2</v>
      </c>
      <c r="CH498" s="89">
        <v>127</v>
      </c>
      <c r="CI498" s="2">
        <v>49</v>
      </c>
      <c r="CJ498" s="2">
        <v>0</v>
      </c>
      <c r="CK498" s="2">
        <v>2.8033329999999999E-2</v>
      </c>
      <c r="CT498" s="89">
        <v>118</v>
      </c>
      <c r="CU498" s="2">
        <v>49</v>
      </c>
      <c r="CV498" s="2">
        <v>0</v>
      </c>
      <c r="CW498" s="2">
        <v>2.8699129999999999</v>
      </c>
      <c r="DF498" s="89">
        <v>126</v>
      </c>
      <c r="DG498" s="2">
        <v>49</v>
      </c>
      <c r="DH498" s="2">
        <v>0</v>
      </c>
      <c r="DI498" s="2">
        <v>0.2137589</v>
      </c>
      <c r="DR498" s="89">
        <v>111</v>
      </c>
      <c r="DS498" s="2">
        <v>48</v>
      </c>
      <c r="DT498" s="2">
        <v>0</v>
      </c>
      <c r="DU498" s="2">
        <v>3.7937470000000002</v>
      </c>
      <c r="ED498" s="89">
        <v>126</v>
      </c>
      <c r="EE498" s="2">
        <v>49</v>
      </c>
      <c r="EF498" s="2">
        <v>0</v>
      </c>
      <c r="EG498" s="2">
        <v>5.9692309999999998E-2</v>
      </c>
      <c r="ES498">
        <v>126</v>
      </c>
      <c r="ET498">
        <v>49</v>
      </c>
      <c r="EU498">
        <v>0</v>
      </c>
      <c r="EV498">
        <v>5.9692309999999998E-2</v>
      </c>
    </row>
    <row r="499" spans="14:152" x14ac:dyDescent="0.4">
      <c r="N499" s="89">
        <v>119</v>
      </c>
      <c r="O499" s="2">
        <v>48</v>
      </c>
      <c r="P499" s="2">
        <v>1</v>
      </c>
      <c r="Q499" s="2">
        <v>0.1769512</v>
      </c>
      <c r="Z499" s="89">
        <v>124</v>
      </c>
      <c r="AA499" s="2">
        <v>48</v>
      </c>
      <c r="AB499" s="2">
        <v>0</v>
      </c>
      <c r="AC499" s="2">
        <v>7.9994999999999997E-3</v>
      </c>
      <c r="AL499" s="89">
        <v>113</v>
      </c>
      <c r="AM499" s="2">
        <v>48</v>
      </c>
      <c r="AN499" s="2">
        <v>1</v>
      </c>
      <c r="AO499" s="2">
        <v>0.74495359999999999</v>
      </c>
      <c r="AX499" s="89">
        <v>115</v>
      </c>
      <c r="AY499" s="2">
        <v>50</v>
      </c>
      <c r="AZ499" s="2">
        <v>0</v>
      </c>
      <c r="BA499" s="2">
        <v>0.22015979999999999</v>
      </c>
      <c r="BJ499" s="89">
        <v>130</v>
      </c>
      <c r="BK499" s="2">
        <v>49</v>
      </c>
      <c r="BL499" s="2">
        <v>2</v>
      </c>
      <c r="BM499" s="2">
        <v>1E-3</v>
      </c>
      <c r="BV499" s="89">
        <v>129</v>
      </c>
      <c r="BW499" s="2">
        <v>49</v>
      </c>
      <c r="BX499" s="2">
        <v>0</v>
      </c>
      <c r="BY499" s="2">
        <v>3.9136369999999997E-2</v>
      </c>
      <c r="CH499" s="89">
        <v>127</v>
      </c>
      <c r="CI499" s="2">
        <v>49</v>
      </c>
      <c r="CJ499" s="2">
        <v>1</v>
      </c>
      <c r="CK499" s="2">
        <v>2.9666670000000001E-3</v>
      </c>
      <c r="CT499" s="89">
        <v>118</v>
      </c>
      <c r="CU499" s="2">
        <v>49</v>
      </c>
      <c r="CV499" s="2">
        <v>1</v>
      </c>
      <c r="CW499" s="2">
        <v>0.90487790000000001</v>
      </c>
      <c r="DF499" s="89">
        <v>126</v>
      </c>
      <c r="DG499" s="2">
        <v>49</v>
      </c>
      <c r="DH499" s="2">
        <v>1</v>
      </c>
      <c r="DI499" s="2">
        <v>0.3202411</v>
      </c>
      <c r="DR499" s="89">
        <v>111</v>
      </c>
      <c r="DS499" s="2">
        <v>48</v>
      </c>
      <c r="DT499" s="2">
        <v>1</v>
      </c>
      <c r="DU499" s="2">
        <v>5.0000000000000001E-3</v>
      </c>
      <c r="ED499" s="89">
        <v>126</v>
      </c>
      <c r="EE499" s="2">
        <v>49</v>
      </c>
      <c r="EF499" s="2">
        <v>1</v>
      </c>
      <c r="EG499" s="2">
        <v>0.1043077</v>
      </c>
      <c r="ES499">
        <v>126</v>
      </c>
      <c r="ET499">
        <v>49</v>
      </c>
      <c r="EU499">
        <v>1</v>
      </c>
      <c r="EV499">
        <v>0.1043077</v>
      </c>
    </row>
    <row r="500" spans="14:152" x14ac:dyDescent="0.4">
      <c r="N500" s="89">
        <v>120</v>
      </c>
      <c r="O500" s="2">
        <v>48</v>
      </c>
      <c r="P500" s="2">
        <v>0</v>
      </c>
      <c r="Q500" s="2">
        <v>0.106</v>
      </c>
      <c r="Z500" s="89">
        <v>125</v>
      </c>
      <c r="AA500" s="2">
        <v>48</v>
      </c>
      <c r="AB500" s="2">
        <v>1</v>
      </c>
      <c r="AC500" s="2">
        <v>2E-3</v>
      </c>
      <c r="AL500" s="89">
        <v>114</v>
      </c>
      <c r="AM500" s="2">
        <v>48</v>
      </c>
      <c r="AN500" s="2">
        <v>0</v>
      </c>
      <c r="AO500" s="2">
        <v>2.8019500000000002</v>
      </c>
      <c r="AX500" s="89">
        <v>116</v>
      </c>
      <c r="AY500" s="2">
        <v>50</v>
      </c>
      <c r="AZ500" s="2">
        <v>0</v>
      </c>
      <c r="BA500" s="2">
        <v>7.6999999999999999E-2</v>
      </c>
      <c r="BJ500" s="89">
        <v>131</v>
      </c>
      <c r="BK500" s="2">
        <v>49</v>
      </c>
      <c r="BL500" s="2">
        <v>0</v>
      </c>
      <c r="BM500" s="2">
        <v>4.0000000000000001E-3</v>
      </c>
      <c r="BV500" s="89">
        <v>129</v>
      </c>
      <c r="BW500" s="2">
        <v>49</v>
      </c>
      <c r="BX500" s="2">
        <v>1</v>
      </c>
      <c r="BY500" s="2">
        <v>2.8636360000000001E-3</v>
      </c>
      <c r="CH500" s="89">
        <v>128</v>
      </c>
      <c r="CI500" s="2">
        <v>49</v>
      </c>
      <c r="CJ500" s="2">
        <v>0</v>
      </c>
      <c r="CK500" s="2">
        <v>1.238095E-2</v>
      </c>
      <c r="CT500" s="89">
        <v>118</v>
      </c>
      <c r="CU500" s="2">
        <v>49</v>
      </c>
      <c r="CV500" s="2">
        <v>2</v>
      </c>
      <c r="CW500" s="2">
        <v>0.69016549999999999</v>
      </c>
      <c r="DF500" s="89">
        <v>127</v>
      </c>
      <c r="DG500" s="2">
        <v>49</v>
      </c>
      <c r="DH500" s="2">
        <v>0</v>
      </c>
      <c r="DI500" s="2">
        <v>0.31183480000000002</v>
      </c>
      <c r="DR500" s="89">
        <v>112</v>
      </c>
      <c r="DS500" s="2">
        <v>48</v>
      </c>
      <c r="DT500" s="2">
        <v>0</v>
      </c>
      <c r="DU500" s="2">
        <v>3.568228</v>
      </c>
      <c r="ED500" s="89">
        <v>127</v>
      </c>
      <c r="EE500" s="2">
        <v>49</v>
      </c>
      <c r="EF500" s="2">
        <v>0</v>
      </c>
      <c r="EG500" s="2">
        <v>7.4629219999999996E-2</v>
      </c>
      <c r="ES500">
        <v>127</v>
      </c>
      <c r="ET500">
        <v>49</v>
      </c>
      <c r="EU500">
        <v>0</v>
      </c>
      <c r="EV500">
        <v>7.4629219999999996E-2</v>
      </c>
    </row>
    <row r="501" spans="14:152" x14ac:dyDescent="0.4">
      <c r="N501" s="89">
        <v>121</v>
      </c>
      <c r="O501" s="2">
        <v>48</v>
      </c>
      <c r="P501" s="2">
        <v>0</v>
      </c>
      <c r="Q501" s="2">
        <v>9.2727E-3</v>
      </c>
      <c r="Z501" s="89">
        <v>113</v>
      </c>
      <c r="AA501" s="2">
        <v>49</v>
      </c>
      <c r="AB501" s="2">
        <v>0</v>
      </c>
      <c r="AC501" s="2">
        <v>0.32738820000000002</v>
      </c>
      <c r="AL501" s="89">
        <v>115</v>
      </c>
      <c r="AM501" s="2">
        <v>48</v>
      </c>
      <c r="AN501" s="2">
        <v>0</v>
      </c>
      <c r="AO501" s="2">
        <v>1.1624289999999999</v>
      </c>
      <c r="AX501" s="89">
        <v>117</v>
      </c>
      <c r="AY501" s="2">
        <v>50</v>
      </c>
      <c r="AZ501" s="2">
        <v>0</v>
      </c>
      <c r="BA501" s="2">
        <v>4.6687770000000004</v>
      </c>
      <c r="BJ501" s="89">
        <v>114</v>
      </c>
      <c r="BK501" s="2">
        <v>50</v>
      </c>
      <c r="BL501" s="2">
        <v>0</v>
      </c>
      <c r="BM501" s="2">
        <v>1.5536919999999999E-2</v>
      </c>
      <c r="BV501" s="89">
        <v>130</v>
      </c>
      <c r="BW501" s="2">
        <v>49</v>
      </c>
      <c r="BX501" s="2">
        <v>0</v>
      </c>
      <c r="BY501" s="2">
        <v>1.142105E-2</v>
      </c>
      <c r="CH501" s="89">
        <v>128</v>
      </c>
      <c r="CI501" s="2">
        <v>49</v>
      </c>
      <c r="CJ501" s="2">
        <v>1</v>
      </c>
      <c r="CK501" s="2">
        <v>9.5238099999999997E-4</v>
      </c>
      <c r="CT501" s="89">
        <v>119</v>
      </c>
      <c r="CU501" s="2">
        <v>49</v>
      </c>
      <c r="CV501" s="2">
        <v>0</v>
      </c>
      <c r="CW501" s="2">
        <v>2.7804190000000002</v>
      </c>
      <c r="DF501" s="89">
        <v>127</v>
      </c>
      <c r="DG501" s="2">
        <v>49</v>
      </c>
      <c r="DH501" s="2">
        <v>1</v>
      </c>
      <c r="DI501" s="2">
        <v>4.1165220000000002E-2</v>
      </c>
      <c r="DR501" s="89">
        <v>113</v>
      </c>
      <c r="DS501" s="2">
        <v>48</v>
      </c>
      <c r="DT501" s="2">
        <v>0</v>
      </c>
      <c r="DU501" s="2">
        <v>3.1407959999999999</v>
      </c>
      <c r="ED501" s="89">
        <v>127</v>
      </c>
      <c r="EE501" s="2">
        <v>49</v>
      </c>
      <c r="EF501" s="2">
        <v>1</v>
      </c>
      <c r="EG501" s="2">
        <v>1.137079E-2</v>
      </c>
      <c r="ES501">
        <v>127</v>
      </c>
      <c r="ET501">
        <v>49</v>
      </c>
      <c r="EU501">
        <v>1</v>
      </c>
      <c r="EV501">
        <v>1.137079E-2</v>
      </c>
    </row>
    <row r="502" spans="14:152" x14ac:dyDescent="0.4">
      <c r="N502" s="89">
        <v>121</v>
      </c>
      <c r="O502" s="2">
        <v>48</v>
      </c>
      <c r="P502" s="2">
        <v>1</v>
      </c>
      <c r="Q502" s="2">
        <v>3.2727300000000001E-2</v>
      </c>
      <c r="Z502" s="89">
        <v>114</v>
      </c>
      <c r="AA502" s="2">
        <v>49</v>
      </c>
      <c r="AB502" s="2">
        <v>0</v>
      </c>
      <c r="AC502" s="2">
        <v>4.6460000000000001E-2</v>
      </c>
      <c r="AL502" s="89">
        <v>115</v>
      </c>
      <c r="AM502" s="2">
        <v>48</v>
      </c>
      <c r="AN502" s="2">
        <v>1</v>
      </c>
      <c r="AO502" s="2">
        <v>1.095577</v>
      </c>
      <c r="AX502" s="89">
        <v>117</v>
      </c>
      <c r="AY502" s="2">
        <v>50</v>
      </c>
      <c r="AZ502" s="2">
        <v>1</v>
      </c>
      <c r="BA502" s="2">
        <v>2.1071469999999998E-2</v>
      </c>
      <c r="BJ502" s="89">
        <v>115</v>
      </c>
      <c r="BK502" s="2">
        <v>50</v>
      </c>
      <c r="BL502" s="2">
        <v>0</v>
      </c>
      <c r="BM502" s="2">
        <v>0.21467020000000001</v>
      </c>
      <c r="BV502" s="89">
        <v>130</v>
      </c>
      <c r="BW502" s="2">
        <v>49</v>
      </c>
      <c r="BX502" s="2">
        <v>1</v>
      </c>
      <c r="BY502" s="2">
        <v>1.142105E-2</v>
      </c>
      <c r="CH502" s="89">
        <v>128</v>
      </c>
      <c r="CI502" s="2">
        <v>49</v>
      </c>
      <c r="CJ502" s="2">
        <v>2</v>
      </c>
      <c r="CK502" s="2">
        <v>7.6190479999999998E-3</v>
      </c>
      <c r="CT502" s="89">
        <v>119</v>
      </c>
      <c r="CU502" s="2">
        <v>49</v>
      </c>
      <c r="CV502" s="2">
        <v>1</v>
      </c>
      <c r="CW502" s="2">
        <v>0.66805179999999997</v>
      </c>
      <c r="DF502" s="89">
        <v>128</v>
      </c>
      <c r="DG502" s="2">
        <v>49</v>
      </c>
      <c r="DH502" s="2">
        <v>0</v>
      </c>
      <c r="DI502" s="2">
        <v>0.11647739999999999</v>
      </c>
      <c r="DR502" s="89">
        <v>113</v>
      </c>
      <c r="DS502" s="2">
        <v>48</v>
      </c>
      <c r="DT502" s="2">
        <v>1</v>
      </c>
      <c r="DU502" s="2">
        <v>0.1064645</v>
      </c>
      <c r="ED502" s="89">
        <v>128</v>
      </c>
      <c r="EE502" s="2">
        <v>49</v>
      </c>
      <c r="EF502" s="2">
        <v>0</v>
      </c>
      <c r="EG502" s="2">
        <v>3.040816E-2</v>
      </c>
      <c r="ES502">
        <v>128</v>
      </c>
      <c r="ET502">
        <v>49</v>
      </c>
      <c r="EU502">
        <v>0</v>
      </c>
      <c r="EV502">
        <v>3.040816E-2</v>
      </c>
    </row>
    <row r="503" spans="14:152" x14ac:dyDescent="0.4">
      <c r="N503" s="89">
        <v>122</v>
      </c>
      <c r="O503" s="2">
        <v>48</v>
      </c>
      <c r="P503" s="2">
        <v>0</v>
      </c>
      <c r="Q503" s="2">
        <v>1.0999999999999999E-2</v>
      </c>
      <c r="Z503" s="89">
        <v>114</v>
      </c>
      <c r="AA503" s="2">
        <v>49</v>
      </c>
      <c r="AB503" s="2">
        <v>1</v>
      </c>
      <c r="AC503" s="2">
        <v>4.3999999999999997E-2</v>
      </c>
      <c r="AL503" s="89">
        <v>116</v>
      </c>
      <c r="AM503" s="2">
        <v>48</v>
      </c>
      <c r="AN503" s="2">
        <v>0</v>
      </c>
      <c r="AO503" s="2">
        <v>1.632989</v>
      </c>
      <c r="AX503" s="89">
        <v>118</v>
      </c>
      <c r="AY503" s="2">
        <v>50</v>
      </c>
      <c r="AZ503" s="2">
        <v>0</v>
      </c>
      <c r="BA503" s="2">
        <v>4.3981830000000004</v>
      </c>
      <c r="BJ503" s="89">
        <v>116</v>
      </c>
      <c r="BK503" s="2">
        <v>50</v>
      </c>
      <c r="BL503" s="2">
        <v>0</v>
      </c>
      <c r="BM503" s="2">
        <v>0.21299999999999999</v>
      </c>
      <c r="BV503" s="89">
        <v>130</v>
      </c>
      <c r="BW503" s="2">
        <v>49</v>
      </c>
      <c r="BX503" s="2">
        <v>2</v>
      </c>
      <c r="BY503" s="2">
        <v>8.1578959999999996E-3</v>
      </c>
      <c r="CH503" s="89">
        <v>129</v>
      </c>
      <c r="CI503" s="2">
        <v>49</v>
      </c>
      <c r="CJ503" s="2">
        <v>0</v>
      </c>
      <c r="CK503" s="2">
        <v>1.008333E-2</v>
      </c>
      <c r="CT503" s="89">
        <v>120</v>
      </c>
      <c r="CU503" s="2">
        <v>49</v>
      </c>
      <c r="CV503" s="2">
        <v>0</v>
      </c>
      <c r="CW503" s="2">
        <v>1.503836</v>
      </c>
      <c r="DF503" s="89">
        <v>128</v>
      </c>
      <c r="DG503" s="2">
        <v>49</v>
      </c>
      <c r="DH503" s="2">
        <v>1</v>
      </c>
      <c r="DI503" s="2">
        <v>1.822613E-2</v>
      </c>
      <c r="DR503" s="89">
        <v>114</v>
      </c>
      <c r="DS503" s="2">
        <v>48</v>
      </c>
      <c r="DT503" s="2">
        <v>0</v>
      </c>
      <c r="DU503" s="2">
        <v>3.042376</v>
      </c>
      <c r="ED503" s="89">
        <v>128</v>
      </c>
      <c r="EE503" s="2">
        <v>49</v>
      </c>
      <c r="EF503" s="2">
        <v>1</v>
      </c>
      <c r="EG503" s="2">
        <v>3.9591840000000001E-3</v>
      </c>
      <c r="ES503">
        <v>128</v>
      </c>
      <c r="ET503">
        <v>49</v>
      </c>
      <c r="EU503">
        <v>1</v>
      </c>
      <c r="EV503">
        <v>3.9591840000000001E-3</v>
      </c>
    </row>
    <row r="504" spans="14:152" x14ac:dyDescent="0.4">
      <c r="N504" s="89">
        <v>124</v>
      </c>
      <c r="O504" s="2">
        <v>48</v>
      </c>
      <c r="P504" s="2">
        <v>0</v>
      </c>
      <c r="Q504" s="2">
        <v>2E-3</v>
      </c>
      <c r="Z504" s="89">
        <v>114</v>
      </c>
      <c r="AA504" s="2">
        <v>49</v>
      </c>
      <c r="AB504" s="2">
        <v>2</v>
      </c>
      <c r="AC504" s="2">
        <v>3.3000000000000002E-2</v>
      </c>
      <c r="AL504" s="89">
        <v>117</v>
      </c>
      <c r="AM504" s="2">
        <v>48</v>
      </c>
      <c r="AN504" s="2">
        <v>0</v>
      </c>
      <c r="AO504" s="2">
        <v>0.25580150000000001</v>
      </c>
      <c r="AX504" s="89">
        <v>119</v>
      </c>
      <c r="AY504" s="2">
        <v>50</v>
      </c>
      <c r="AZ504" s="2">
        <v>0</v>
      </c>
      <c r="BA504" s="2">
        <v>4.1301779999999999</v>
      </c>
      <c r="BJ504" s="89">
        <v>117</v>
      </c>
      <c r="BK504" s="2">
        <v>50</v>
      </c>
      <c r="BL504" s="2">
        <v>0</v>
      </c>
      <c r="BM504" s="2">
        <v>4.9423409999999999</v>
      </c>
      <c r="BV504" s="89">
        <v>131</v>
      </c>
      <c r="BW504" s="2">
        <v>49</v>
      </c>
      <c r="BX504" s="2">
        <v>0</v>
      </c>
      <c r="BY504" s="2">
        <v>1.323565E-2</v>
      </c>
      <c r="CH504" s="89">
        <v>129</v>
      </c>
      <c r="CI504" s="2">
        <v>49</v>
      </c>
      <c r="CJ504" s="2">
        <v>1</v>
      </c>
      <c r="CK504" s="2">
        <v>9.1666679999999996E-4</v>
      </c>
      <c r="CT504" s="89">
        <v>120</v>
      </c>
      <c r="CU504" s="2">
        <v>49</v>
      </c>
      <c r="CV504" s="2">
        <v>1</v>
      </c>
      <c r="CW504" s="2">
        <v>0.34876079999999998</v>
      </c>
      <c r="DF504" s="89">
        <v>128</v>
      </c>
      <c r="DG504" s="2">
        <v>49</v>
      </c>
      <c r="DH504" s="2">
        <v>2</v>
      </c>
      <c r="DI504" s="2">
        <v>7.652262E-2</v>
      </c>
      <c r="DR504" s="89">
        <v>115</v>
      </c>
      <c r="DS504" s="2">
        <v>48</v>
      </c>
      <c r="DT504" s="2">
        <v>0</v>
      </c>
      <c r="DU504" s="2">
        <v>2.2427779999999999</v>
      </c>
      <c r="ED504" s="89">
        <v>128</v>
      </c>
      <c r="EE504" s="2">
        <v>49</v>
      </c>
      <c r="EF504" s="2">
        <v>2</v>
      </c>
      <c r="EG504" s="2">
        <v>1.9591839999999999E-2</v>
      </c>
      <c r="ES504">
        <v>128</v>
      </c>
      <c r="ET504">
        <v>49</v>
      </c>
      <c r="EU504">
        <v>2</v>
      </c>
      <c r="EV504">
        <v>1.9591839999999999E-2</v>
      </c>
    </row>
    <row r="505" spans="14:152" x14ac:dyDescent="0.4">
      <c r="N505" s="89">
        <v>112</v>
      </c>
      <c r="O505" s="2">
        <v>49</v>
      </c>
      <c r="P505" s="2">
        <v>0</v>
      </c>
      <c r="Q505" s="2">
        <v>6.0000000000000001E-3</v>
      </c>
      <c r="Z505" s="89">
        <v>115</v>
      </c>
      <c r="AA505" s="2">
        <v>49</v>
      </c>
      <c r="AB505" s="2">
        <v>0</v>
      </c>
      <c r="AC505" s="2">
        <v>2.3834</v>
      </c>
      <c r="AL505" s="89">
        <v>117</v>
      </c>
      <c r="AM505" s="2">
        <v>48</v>
      </c>
      <c r="AN505" s="2">
        <v>1</v>
      </c>
      <c r="AO505" s="2">
        <v>0.76222780000000001</v>
      </c>
      <c r="AX505" s="89">
        <v>119</v>
      </c>
      <c r="AY505" s="2">
        <v>50</v>
      </c>
      <c r="AZ505" s="2">
        <v>1</v>
      </c>
      <c r="BA505" s="2">
        <v>2.844713</v>
      </c>
      <c r="BJ505" s="89">
        <v>117</v>
      </c>
      <c r="BK505" s="2">
        <v>50</v>
      </c>
      <c r="BL505" s="2">
        <v>1</v>
      </c>
      <c r="BM505" s="2">
        <v>4.6527579999999999E-2</v>
      </c>
      <c r="BV505" s="89">
        <v>131</v>
      </c>
      <c r="BW505" s="2">
        <v>49</v>
      </c>
      <c r="BX505" s="2">
        <v>1</v>
      </c>
      <c r="BY505" s="2">
        <v>1.764706E-3</v>
      </c>
      <c r="CH505" s="89">
        <v>130</v>
      </c>
      <c r="CI505" s="2">
        <v>49</v>
      </c>
      <c r="CJ505" s="2">
        <v>1</v>
      </c>
      <c r="CK505" s="2">
        <v>1E-3</v>
      </c>
      <c r="CT505" s="89">
        <v>120</v>
      </c>
      <c r="CU505" s="2">
        <v>49</v>
      </c>
      <c r="CV505" s="2">
        <v>2</v>
      </c>
      <c r="CW505" s="2">
        <v>1.04535</v>
      </c>
      <c r="DF505" s="89">
        <v>129</v>
      </c>
      <c r="DG505" s="2">
        <v>49</v>
      </c>
      <c r="DH505" s="2">
        <v>0</v>
      </c>
      <c r="DI505" s="2">
        <v>0.1051725</v>
      </c>
      <c r="DR505" s="89">
        <v>115</v>
      </c>
      <c r="DS505" s="2">
        <v>48</v>
      </c>
      <c r="DT505" s="2">
        <v>1</v>
      </c>
      <c r="DU505" s="2">
        <v>0.56364389999999998</v>
      </c>
      <c r="ED505" s="89">
        <v>129</v>
      </c>
      <c r="EE505" s="2">
        <v>49</v>
      </c>
      <c r="EF505" s="2">
        <v>0</v>
      </c>
      <c r="EG505" s="2">
        <v>2.0125000000000001E-2</v>
      </c>
      <c r="ES505">
        <v>129</v>
      </c>
      <c r="ET505">
        <v>49</v>
      </c>
      <c r="EU505">
        <v>0</v>
      </c>
      <c r="EV505">
        <v>2.0125000000000001E-2</v>
      </c>
    </row>
    <row r="506" spans="14:152" x14ac:dyDescent="0.4">
      <c r="N506" s="89">
        <v>112</v>
      </c>
      <c r="O506" s="2">
        <v>49</v>
      </c>
      <c r="P506" s="2">
        <v>1</v>
      </c>
      <c r="Q506" s="2">
        <v>6.0000000000000001E-3</v>
      </c>
      <c r="Z506" s="89">
        <v>115</v>
      </c>
      <c r="AA506" s="2">
        <v>49</v>
      </c>
      <c r="AB506" s="2">
        <v>1</v>
      </c>
      <c r="AC506" s="2">
        <v>1.492985</v>
      </c>
      <c r="AL506" s="89">
        <v>118</v>
      </c>
      <c r="AM506" s="2">
        <v>48</v>
      </c>
      <c r="AN506" s="2">
        <v>0</v>
      </c>
      <c r="AO506" s="2">
        <v>0.58197080000000001</v>
      </c>
      <c r="AX506" s="89">
        <v>120</v>
      </c>
      <c r="AY506" s="2">
        <v>50</v>
      </c>
      <c r="AZ506" s="2">
        <v>0</v>
      </c>
      <c r="BA506" s="2">
        <v>3.9938389999999999</v>
      </c>
      <c r="BJ506" s="89">
        <v>118</v>
      </c>
      <c r="BK506" s="2">
        <v>50</v>
      </c>
      <c r="BL506" s="2">
        <v>0</v>
      </c>
      <c r="BM506" s="2">
        <v>4.9516390000000001</v>
      </c>
      <c r="BV506" s="89">
        <v>132</v>
      </c>
      <c r="BW506" s="2">
        <v>49</v>
      </c>
      <c r="BX506" s="2">
        <v>0</v>
      </c>
      <c r="BY506" s="2">
        <v>1E-3</v>
      </c>
      <c r="CH506" s="89">
        <v>130</v>
      </c>
      <c r="CI506" s="2">
        <v>49</v>
      </c>
      <c r="CJ506" s="2">
        <v>2</v>
      </c>
      <c r="CK506" s="2">
        <v>3.0000000000000001E-3</v>
      </c>
      <c r="CT506" s="89">
        <v>121</v>
      </c>
      <c r="CU506" s="2">
        <v>49</v>
      </c>
      <c r="CV506" s="2">
        <v>0</v>
      </c>
      <c r="CW506" s="2">
        <v>2.0836890000000001</v>
      </c>
      <c r="DF506" s="89">
        <v>129</v>
      </c>
      <c r="DG506" s="2">
        <v>49</v>
      </c>
      <c r="DH506" s="2">
        <v>1</v>
      </c>
      <c r="DI506" s="2">
        <v>1.29325E-2</v>
      </c>
      <c r="DR506" s="89">
        <v>116</v>
      </c>
      <c r="DS506" s="2">
        <v>48</v>
      </c>
      <c r="DT506" s="2">
        <v>0</v>
      </c>
      <c r="DU506" s="2">
        <v>2.6579670000000002</v>
      </c>
      <c r="ED506" s="89">
        <v>129</v>
      </c>
      <c r="EE506" s="2">
        <v>49</v>
      </c>
      <c r="EF506" s="2">
        <v>1</v>
      </c>
      <c r="EG506" s="2">
        <v>3.875E-3</v>
      </c>
      <c r="ES506">
        <v>129</v>
      </c>
      <c r="ET506">
        <v>49</v>
      </c>
      <c r="EU506">
        <v>1</v>
      </c>
      <c r="EV506">
        <v>3.875E-3</v>
      </c>
    </row>
    <row r="507" spans="14:152" x14ac:dyDescent="0.4">
      <c r="N507" s="89">
        <v>113</v>
      </c>
      <c r="O507" s="2">
        <v>49</v>
      </c>
      <c r="P507" s="2">
        <v>0</v>
      </c>
      <c r="Q507" s="2">
        <v>0.3827026</v>
      </c>
      <c r="Z507" s="89">
        <v>116</v>
      </c>
      <c r="AA507" s="2">
        <v>49</v>
      </c>
      <c r="AB507" s="2">
        <v>0</v>
      </c>
      <c r="AC507" s="2">
        <v>3.113368E-2</v>
      </c>
      <c r="AL507" s="89">
        <v>119</v>
      </c>
      <c r="AM507" s="2">
        <v>48</v>
      </c>
      <c r="AN507" s="2">
        <v>0</v>
      </c>
      <c r="AO507" s="2">
        <v>6.0249999999999998E-2</v>
      </c>
      <c r="AX507" s="89">
        <v>121</v>
      </c>
      <c r="AY507" s="2">
        <v>50</v>
      </c>
      <c r="AZ507" s="2">
        <v>0</v>
      </c>
      <c r="BA507" s="2">
        <v>3.2895720000000002</v>
      </c>
      <c r="BJ507" s="89">
        <v>119</v>
      </c>
      <c r="BK507" s="2">
        <v>50</v>
      </c>
      <c r="BL507" s="2">
        <v>0</v>
      </c>
      <c r="BM507" s="2">
        <v>4.742</v>
      </c>
      <c r="BV507" s="89">
        <v>115</v>
      </c>
      <c r="BW507" s="2">
        <v>50</v>
      </c>
      <c r="BX507" s="2">
        <v>0</v>
      </c>
      <c r="BY507" s="2">
        <v>0.1868638</v>
      </c>
      <c r="CH507" s="89">
        <v>112</v>
      </c>
      <c r="CI507" s="2">
        <v>50</v>
      </c>
      <c r="CJ507" s="2">
        <v>0</v>
      </c>
      <c r="CK507" s="2">
        <v>8.8000009999999996E-4</v>
      </c>
      <c r="CT507" s="89">
        <v>121</v>
      </c>
      <c r="CU507" s="2">
        <v>49</v>
      </c>
      <c r="CV507" s="2">
        <v>1</v>
      </c>
      <c r="CW507" s="2">
        <v>0.1986898</v>
      </c>
      <c r="DF507" s="89">
        <v>130</v>
      </c>
      <c r="DG507" s="2">
        <v>49</v>
      </c>
      <c r="DH507" s="2">
        <v>0</v>
      </c>
      <c r="DI507" s="2">
        <v>3.409065E-2</v>
      </c>
      <c r="DR507" s="89">
        <v>117</v>
      </c>
      <c r="DS507" s="2">
        <v>48</v>
      </c>
      <c r="DT507" s="2">
        <v>0</v>
      </c>
      <c r="DU507" s="2">
        <v>0.95374309999999995</v>
      </c>
      <c r="ED507" s="89">
        <v>130</v>
      </c>
      <c r="EE507" s="2">
        <v>49</v>
      </c>
      <c r="EF507" s="2">
        <v>0</v>
      </c>
      <c r="EG507" s="2">
        <v>3.733334E-3</v>
      </c>
      <c r="ES507">
        <v>130</v>
      </c>
      <c r="ET507">
        <v>49</v>
      </c>
      <c r="EU507">
        <v>0</v>
      </c>
      <c r="EV507">
        <v>3.733334E-3</v>
      </c>
    </row>
    <row r="508" spans="14:152" x14ac:dyDescent="0.4">
      <c r="N508" s="89">
        <v>114</v>
      </c>
      <c r="O508" s="2">
        <v>49</v>
      </c>
      <c r="P508" s="2">
        <v>0</v>
      </c>
      <c r="Q508" s="2">
        <v>6.7690009999999995E-2</v>
      </c>
      <c r="Z508" s="89">
        <v>116</v>
      </c>
      <c r="AA508" s="2">
        <v>49</v>
      </c>
      <c r="AB508" s="2">
        <v>1</v>
      </c>
      <c r="AC508" s="2">
        <v>0.33586630000000001</v>
      </c>
      <c r="AL508" s="89">
        <v>119</v>
      </c>
      <c r="AM508" s="2">
        <v>48</v>
      </c>
      <c r="AN508" s="2">
        <v>1</v>
      </c>
      <c r="AO508" s="2">
        <v>0.22075</v>
      </c>
      <c r="AX508" s="89">
        <v>121</v>
      </c>
      <c r="AY508" s="2">
        <v>50</v>
      </c>
      <c r="AZ508" s="2">
        <v>1</v>
      </c>
      <c r="BA508" s="2">
        <v>1.042017</v>
      </c>
      <c r="BJ508" s="89">
        <v>119</v>
      </c>
      <c r="BK508" s="2">
        <v>50</v>
      </c>
      <c r="BL508" s="2">
        <v>1</v>
      </c>
      <c r="BM508" s="2">
        <v>3.5740599999999998</v>
      </c>
      <c r="BV508" s="89">
        <v>116</v>
      </c>
      <c r="BW508" s="2">
        <v>50</v>
      </c>
      <c r="BX508" s="2">
        <v>0</v>
      </c>
      <c r="BY508" s="2">
        <v>4.1000000000000002E-2</v>
      </c>
      <c r="CH508" s="89">
        <v>113</v>
      </c>
      <c r="CI508" s="2">
        <v>50</v>
      </c>
      <c r="CJ508" s="2">
        <v>0</v>
      </c>
      <c r="CK508" s="2">
        <v>9.1100009999999995E-4</v>
      </c>
      <c r="CT508" s="89">
        <v>122</v>
      </c>
      <c r="CU508" s="2">
        <v>49</v>
      </c>
      <c r="CV508" s="2">
        <v>0</v>
      </c>
      <c r="CW508" s="2">
        <v>0.67898630000000004</v>
      </c>
      <c r="DF508" s="89">
        <v>130</v>
      </c>
      <c r="DG508" s="2">
        <v>49</v>
      </c>
      <c r="DH508" s="2">
        <v>1</v>
      </c>
      <c r="DI508" s="2">
        <v>3.4760869999999999E-2</v>
      </c>
      <c r="DR508" s="89">
        <v>117</v>
      </c>
      <c r="DS508" s="2">
        <v>48</v>
      </c>
      <c r="DT508" s="2">
        <v>1</v>
      </c>
      <c r="DU508" s="2">
        <v>1.2084410000000001</v>
      </c>
      <c r="ED508" s="89">
        <v>130</v>
      </c>
      <c r="EE508" s="2">
        <v>49</v>
      </c>
      <c r="EF508" s="2">
        <v>1</v>
      </c>
      <c r="EG508" s="2">
        <v>4.6666670000000002E-3</v>
      </c>
      <c r="ES508">
        <v>130</v>
      </c>
      <c r="ET508">
        <v>49</v>
      </c>
      <c r="EU508">
        <v>1</v>
      </c>
      <c r="EV508">
        <v>4.6666670000000002E-3</v>
      </c>
    </row>
    <row r="509" spans="14:152" x14ac:dyDescent="0.4">
      <c r="N509" s="89">
        <v>114</v>
      </c>
      <c r="O509" s="2">
        <v>49</v>
      </c>
      <c r="P509" s="2">
        <v>1</v>
      </c>
      <c r="Q509" s="2">
        <v>6.6000009999999998E-2</v>
      </c>
      <c r="Z509" s="89">
        <v>116</v>
      </c>
      <c r="AA509" s="2">
        <v>49</v>
      </c>
      <c r="AB509" s="2">
        <v>2</v>
      </c>
      <c r="AC509" s="2">
        <v>0.26039079999999998</v>
      </c>
      <c r="AL509" s="89">
        <v>120</v>
      </c>
      <c r="AM509" s="2">
        <v>48</v>
      </c>
      <c r="AN509" s="2">
        <v>0</v>
      </c>
      <c r="AO509" s="2">
        <v>0.108</v>
      </c>
      <c r="AX509" s="89">
        <v>122</v>
      </c>
      <c r="AY509" s="2">
        <v>50</v>
      </c>
      <c r="AZ509" s="2">
        <v>0</v>
      </c>
      <c r="BA509" s="2">
        <v>3.2269019999999999</v>
      </c>
      <c r="BJ509" s="89">
        <v>120</v>
      </c>
      <c r="BK509" s="2">
        <v>50</v>
      </c>
      <c r="BL509" s="2">
        <v>0</v>
      </c>
      <c r="BM509" s="2">
        <v>4.4770079999999997</v>
      </c>
      <c r="BV509" s="89">
        <v>117</v>
      </c>
      <c r="BW509" s="2">
        <v>50</v>
      </c>
      <c r="BX509" s="2">
        <v>0</v>
      </c>
      <c r="BY509" s="2">
        <v>4.1950969999999996</v>
      </c>
      <c r="CH509" s="89">
        <v>113</v>
      </c>
      <c r="CI509" s="2">
        <v>50</v>
      </c>
      <c r="CJ509" s="2">
        <v>1</v>
      </c>
      <c r="CK509" s="2">
        <v>1E-3</v>
      </c>
      <c r="CT509" s="89">
        <v>122</v>
      </c>
      <c r="CU509" s="2">
        <v>49</v>
      </c>
      <c r="CV509" s="2">
        <v>1</v>
      </c>
      <c r="CW509" s="2">
        <v>0.91300000000000003</v>
      </c>
      <c r="DF509" s="89">
        <v>130</v>
      </c>
      <c r="DG509" s="2">
        <v>49</v>
      </c>
      <c r="DH509" s="2">
        <v>2</v>
      </c>
      <c r="DI509" s="2">
        <v>1.6043479999999999E-2</v>
      </c>
      <c r="DR509" s="89">
        <v>118</v>
      </c>
      <c r="DS509" s="2">
        <v>48</v>
      </c>
      <c r="DT509" s="2">
        <v>0</v>
      </c>
      <c r="DU509" s="2">
        <v>1.688796</v>
      </c>
      <c r="ED509" s="89">
        <v>130</v>
      </c>
      <c r="EE509" s="2">
        <v>49</v>
      </c>
      <c r="EF509" s="2">
        <v>2</v>
      </c>
      <c r="EG509" s="2">
        <v>5.5999999999999999E-3</v>
      </c>
      <c r="ES509">
        <v>130</v>
      </c>
      <c r="ET509">
        <v>49</v>
      </c>
      <c r="EU509">
        <v>2</v>
      </c>
      <c r="EV509">
        <v>5.5999999999999999E-3</v>
      </c>
    </row>
    <row r="510" spans="14:152" x14ac:dyDescent="0.4">
      <c r="N510" s="89">
        <v>114</v>
      </c>
      <c r="O510" s="2">
        <v>49</v>
      </c>
      <c r="P510" s="2">
        <v>2</v>
      </c>
      <c r="Q510" s="2">
        <v>5.4000010000000001E-2</v>
      </c>
      <c r="Z510" s="89">
        <v>117</v>
      </c>
      <c r="AA510" s="2">
        <v>49</v>
      </c>
      <c r="AB510" s="2">
        <v>0</v>
      </c>
      <c r="AC510" s="2">
        <v>1.756186</v>
      </c>
      <c r="AL510" s="89">
        <v>121</v>
      </c>
      <c r="AM510" s="2">
        <v>48</v>
      </c>
      <c r="AN510" s="2">
        <v>0</v>
      </c>
      <c r="AO510" s="2">
        <v>1.1376600000000001E-2</v>
      </c>
      <c r="AX510" s="89">
        <v>123</v>
      </c>
      <c r="AY510" s="2">
        <v>50</v>
      </c>
      <c r="AZ510" s="2">
        <v>0</v>
      </c>
      <c r="BA510" s="2">
        <v>1.2538009999999999</v>
      </c>
      <c r="BJ510" s="89">
        <v>121</v>
      </c>
      <c r="BK510" s="2">
        <v>50</v>
      </c>
      <c r="BL510" s="2">
        <v>0</v>
      </c>
      <c r="BM510" s="2">
        <v>3.7766679999999999</v>
      </c>
      <c r="BV510" s="89">
        <v>117</v>
      </c>
      <c r="BW510" s="2">
        <v>50</v>
      </c>
      <c r="BX510" s="2">
        <v>1</v>
      </c>
      <c r="BY510" s="2">
        <v>1.3330649999999999E-2</v>
      </c>
      <c r="CH510" s="89">
        <v>114</v>
      </c>
      <c r="CI510" s="2">
        <v>50</v>
      </c>
      <c r="CJ510" s="2">
        <v>0</v>
      </c>
      <c r="CK510" s="2">
        <v>3.4815079999999998E-2</v>
      </c>
      <c r="CT510" s="89">
        <v>123</v>
      </c>
      <c r="CU510" s="2">
        <v>49</v>
      </c>
      <c r="CV510" s="2">
        <v>0</v>
      </c>
      <c r="CW510" s="2">
        <v>1.028699</v>
      </c>
      <c r="DF510" s="89">
        <v>131</v>
      </c>
      <c r="DG510" s="2">
        <v>49</v>
      </c>
      <c r="DH510" s="2">
        <v>0</v>
      </c>
      <c r="DI510" s="2">
        <v>2.9756979999999999E-2</v>
      </c>
      <c r="DR510" s="89">
        <v>119</v>
      </c>
      <c r="DS510" s="2">
        <v>48</v>
      </c>
      <c r="DT510" s="2">
        <v>0</v>
      </c>
      <c r="DU510" s="2">
        <v>0.34535169999999998</v>
      </c>
      <c r="ED510" s="89">
        <v>131</v>
      </c>
      <c r="EE510" s="2">
        <v>49</v>
      </c>
      <c r="EF510" s="2">
        <v>0</v>
      </c>
      <c r="EG510" s="2">
        <v>7.0000000000000001E-3</v>
      </c>
      <c r="ES510">
        <v>131</v>
      </c>
      <c r="ET510">
        <v>49</v>
      </c>
      <c r="EU510">
        <v>0</v>
      </c>
      <c r="EV510">
        <v>7.0000000000000001E-3</v>
      </c>
    </row>
    <row r="511" spans="14:152" x14ac:dyDescent="0.4">
      <c r="N511" s="89">
        <v>115</v>
      </c>
      <c r="O511" s="2">
        <v>49</v>
      </c>
      <c r="P511" s="2">
        <v>0</v>
      </c>
      <c r="Q511" s="2">
        <v>1.949006</v>
      </c>
      <c r="Z511" s="89">
        <v>117</v>
      </c>
      <c r="AA511" s="2">
        <v>49</v>
      </c>
      <c r="AB511" s="2">
        <v>1</v>
      </c>
      <c r="AC511" s="2">
        <v>0.43837789999999999</v>
      </c>
      <c r="AL511" s="89">
        <v>121</v>
      </c>
      <c r="AM511" s="2">
        <v>48</v>
      </c>
      <c r="AN511" s="2">
        <v>1</v>
      </c>
      <c r="AO511" s="2">
        <v>3.0623399999999999E-2</v>
      </c>
      <c r="AX511" s="89">
        <v>123</v>
      </c>
      <c r="AY511" s="2">
        <v>50</v>
      </c>
      <c r="AZ511" s="2">
        <v>1</v>
      </c>
      <c r="BA511" s="2">
        <v>1.2822009999999999</v>
      </c>
      <c r="BJ511" s="89">
        <v>121</v>
      </c>
      <c r="BK511" s="2">
        <v>50</v>
      </c>
      <c r="BL511" s="2">
        <v>1</v>
      </c>
      <c r="BM511" s="2">
        <v>1.572873</v>
      </c>
      <c r="BV511" s="89">
        <v>118</v>
      </c>
      <c r="BW511" s="2">
        <v>50</v>
      </c>
      <c r="BX511" s="2">
        <v>0</v>
      </c>
      <c r="BY511" s="2">
        <v>4.2608220000000001</v>
      </c>
      <c r="CH511" s="89">
        <v>115</v>
      </c>
      <c r="CI511" s="2">
        <v>50</v>
      </c>
      <c r="CJ511" s="2">
        <v>0</v>
      </c>
      <c r="CK511" s="2">
        <v>0.16548570000000001</v>
      </c>
      <c r="CT511" s="89">
        <v>123</v>
      </c>
      <c r="CU511" s="2">
        <v>49</v>
      </c>
      <c r="CV511" s="2">
        <v>1</v>
      </c>
      <c r="CW511" s="2">
        <v>6.0302429999999997E-2</v>
      </c>
      <c r="DF511" s="89">
        <v>131</v>
      </c>
      <c r="DG511" s="2">
        <v>49</v>
      </c>
      <c r="DH511" s="2">
        <v>1</v>
      </c>
      <c r="DI511" s="2">
        <v>6.6086959999999998E-3</v>
      </c>
      <c r="DR511" s="89">
        <v>119</v>
      </c>
      <c r="DS511" s="2">
        <v>48</v>
      </c>
      <c r="DT511" s="2">
        <v>1</v>
      </c>
      <c r="DU511" s="2">
        <v>0.72076689999999999</v>
      </c>
      <c r="ED511" s="89">
        <v>114</v>
      </c>
      <c r="EE511" s="2">
        <v>50</v>
      </c>
      <c r="EF511" s="2">
        <v>0</v>
      </c>
      <c r="EG511" s="2">
        <v>3.8406999999999998E-3</v>
      </c>
      <c r="ES511">
        <v>114</v>
      </c>
      <c r="ET511">
        <v>50</v>
      </c>
      <c r="EU511">
        <v>0</v>
      </c>
      <c r="EV511">
        <v>3.8406999999999998E-3</v>
      </c>
    </row>
    <row r="512" spans="14:152" x14ac:dyDescent="0.4">
      <c r="N512" s="89">
        <v>115</v>
      </c>
      <c r="O512" s="2">
        <v>49</v>
      </c>
      <c r="P512" s="2">
        <v>1</v>
      </c>
      <c r="Q512" s="2">
        <v>1.0400119999999999</v>
      </c>
      <c r="Z512" s="89">
        <v>118</v>
      </c>
      <c r="AA512" s="2">
        <v>49</v>
      </c>
      <c r="AB512" s="2">
        <v>0</v>
      </c>
      <c r="AC512" s="2">
        <v>0.91537449999999998</v>
      </c>
      <c r="AL512" s="89">
        <v>122</v>
      </c>
      <c r="AM512" s="2">
        <v>48</v>
      </c>
      <c r="AN512" s="2">
        <v>0</v>
      </c>
      <c r="AO512" s="2">
        <v>1.7999999999999999E-2</v>
      </c>
      <c r="AX512" s="89">
        <v>124</v>
      </c>
      <c r="AY512" s="2">
        <v>50</v>
      </c>
      <c r="AZ512" s="2">
        <v>0</v>
      </c>
      <c r="BA512" s="2">
        <v>1.9109989999999999</v>
      </c>
      <c r="BJ512" s="89">
        <v>122</v>
      </c>
      <c r="BK512" s="2">
        <v>50</v>
      </c>
      <c r="BL512" s="2">
        <v>0</v>
      </c>
      <c r="BM512" s="2">
        <v>3.6922899999999998</v>
      </c>
      <c r="BV512" s="89">
        <v>119</v>
      </c>
      <c r="BW512" s="2">
        <v>50</v>
      </c>
      <c r="BX512" s="2">
        <v>0</v>
      </c>
      <c r="BY512" s="2">
        <v>4.0031780000000001</v>
      </c>
      <c r="CH512" s="89">
        <v>116</v>
      </c>
      <c r="CI512" s="2">
        <v>50</v>
      </c>
      <c r="CJ512" s="2">
        <v>0</v>
      </c>
      <c r="CK512" s="2">
        <v>0.371</v>
      </c>
      <c r="CT512" s="89">
        <v>124</v>
      </c>
      <c r="CU512" s="2">
        <v>49</v>
      </c>
      <c r="CV512" s="2">
        <v>0</v>
      </c>
      <c r="CW512" s="2">
        <v>0.17699870000000001</v>
      </c>
      <c r="DF512" s="89">
        <v>131</v>
      </c>
      <c r="DG512" s="2">
        <v>49</v>
      </c>
      <c r="DH512" s="2">
        <v>2</v>
      </c>
      <c r="DI512" s="2">
        <v>1.652174E-3</v>
      </c>
      <c r="DR512" s="89">
        <v>120</v>
      </c>
      <c r="DS512" s="2">
        <v>48</v>
      </c>
      <c r="DT512" s="2">
        <v>0</v>
      </c>
      <c r="DU512" s="2">
        <v>0.69090309999999999</v>
      </c>
      <c r="ED512" s="89">
        <v>115</v>
      </c>
      <c r="EE512" s="2">
        <v>50</v>
      </c>
      <c r="EF512" s="2">
        <v>0</v>
      </c>
      <c r="EG512" s="2">
        <v>0.18916740000000001</v>
      </c>
      <c r="ES512">
        <v>115</v>
      </c>
      <c r="ET512">
        <v>50</v>
      </c>
      <c r="EU512">
        <v>0</v>
      </c>
      <c r="EV512">
        <v>0.18916740000000001</v>
      </c>
    </row>
    <row r="513" spans="14:152" x14ac:dyDescent="0.4">
      <c r="N513" s="89">
        <v>116</v>
      </c>
      <c r="O513" s="2">
        <v>49</v>
      </c>
      <c r="P513" s="2">
        <v>0</v>
      </c>
      <c r="Q513" s="2">
        <v>2.2849319999999999E-2</v>
      </c>
      <c r="Z513" s="89">
        <v>118</v>
      </c>
      <c r="AA513" s="2">
        <v>49</v>
      </c>
      <c r="AB513" s="2">
        <v>1</v>
      </c>
      <c r="AC513" s="2">
        <v>0.70281990000000005</v>
      </c>
      <c r="AL513" s="89">
        <v>123</v>
      </c>
      <c r="AM513" s="2">
        <v>48</v>
      </c>
      <c r="AN513" s="2">
        <v>0</v>
      </c>
      <c r="AO513" s="2">
        <v>1E-3</v>
      </c>
      <c r="AX513" s="89">
        <v>125</v>
      </c>
      <c r="AY513" s="2">
        <v>50</v>
      </c>
      <c r="AZ513" s="2">
        <v>0</v>
      </c>
      <c r="BA513" s="2">
        <v>0.75717210000000001</v>
      </c>
      <c r="BJ513" s="89">
        <v>123</v>
      </c>
      <c r="BK513" s="2">
        <v>50</v>
      </c>
      <c r="BL513" s="2">
        <v>0</v>
      </c>
      <c r="BM513" s="2">
        <v>1.646766</v>
      </c>
      <c r="BV513" s="89">
        <v>119</v>
      </c>
      <c r="BW513" s="2">
        <v>50</v>
      </c>
      <c r="BX513" s="2">
        <v>1</v>
      </c>
      <c r="BY513" s="2">
        <v>2.5560700000000001</v>
      </c>
      <c r="CH513" s="89">
        <v>117</v>
      </c>
      <c r="CI513" s="2">
        <v>50</v>
      </c>
      <c r="CJ513" s="2">
        <v>0</v>
      </c>
      <c r="CK513" s="2">
        <v>4.3611259999999996</v>
      </c>
      <c r="CT513" s="89">
        <v>124</v>
      </c>
      <c r="CU513" s="2">
        <v>49</v>
      </c>
      <c r="CV513" s="2">
        <v>1</v>
      </c>
      <c r="CW513" s="2">
        <v>0.48199999999999998</v>
      </c>
      <c r="DF513" s="89">
        <v>132</v>
      </c>
      <c r="DG513" s="2">
        <v>49</v>
      </c>
      <c r="DH513" s="2">
        <v>0</v>
      </c>
      <c r="DI513" s="2">
        <v>1.7000000000000001E-2</v>
      </c>
      <c r="DR513" s="89">
        <v>121</v>
      </c>
      <c r="DS513" s="2">
        <v>48</v>
      </c>
      <c r="DT513" s="2">
        <v>0</v>
      </c>
      <c r="DU513" s="2">
        <v>9.9331050000000004E-2</v>
      </c>
      <c r="ED513" s="89">
        <v>116</v>
      </c>
      <c r="EE513" s="2">
        <v>50</v>
      </c>
      <c r="EF513" s="2">
        <v>0</v>
      </c>
      <c r="EG513" s="2">
        <v>0.11</v>
      </c>
      <c r="ES513">
        <v>116</v>
      </c>
      <c r="ET513">
        <v>50</v>
      </c>
      <c r="EU513">
        <v>0</v>
      </c>
      <c r="EV513">
        <v>0.11</v>
      </c>
    </row>
    <row r="514" spans="14:152" x14ac:dyDescent="0.4">
      <c r="N514" s="89">
        <v>116</v>
      </c>
      <c r="O514" s="2">
        <v>49</v>
      </c>
      <c r="P514" s="2">
        <v>1</v>
      </c>
      <c r="Q514" s="2">
        <v>0.39415070000000002</v>
      </c>
      <c r="Z514" s="89">
        <v>118</v>
      </c>
      <c r="AA514" s="2">
        <v>49</v>
      </c>
      <c r="AB514" s="2">
        <v>2</v>
      </c>
      <c r="AC514" s="2">
        <v>0.5512956</v>
      </c>
      <c r="AL514" s="89">
        <v>123</v>
      </c>
      <c r="AM514" s="2">
        <v>48</v>
      </c>
      <c r="AN514" s="2">
        <v>1</v>
      </c>
      <c r="AO514" s="2">
        <v>1E-3</v>
      </c>
      <c r="AX514" s="89">
        <v>125</v>
      </c>
      <c r="AY514" s="2">
        <v>50</v>
      </c>
      <c r="AZ514" s="2">
        <v>1</v>
      </c>
      <c r="BA514" s="2">
        <v>0.36382799999999998</v>
      </c>
      <c r="BJ514" s="89">
        <v>123</v>
      </c>
      <c r="BK514" s="2">
        <v>50</v>
      </c>
      <c r="BL514" s="2">
        <v>1</v>
      </c>
      <c r="BM514" s="2">
        <v>1.137235</v>
      </c>
      <c r="BV514" s="89">
        <v>120</v>
      </c>
      <c r="BW514" s="2">
        <v>50</v>
      </c>
      <c r="BX514" s="2">
        <v>0</v>
      </c>
      <c r="BY514" s="2">
        <v>3.9320059999999999</v>
      </c>
      <c r="CH514" s="89">
        <v>117</v>
      </c>
      <c r="CI514" s="2">
        <v>50</v>
      </c>
      <c r="CJ514" s="2">
        <v>1</v>
      </c>
      <c r="CK514" s="2">
        <v>7.5950500000000004E-2</v>
      </c>
      <c r="CT514" s="89">
        <v>125</v>
      </c>
      <c r="CU514" s="2">
        <v>49</v>
      </c>
      <c r="CV514" s="2">
        <v>0</v>
      </c>
      <c r="CW514" s="2">
        <v>0.38411410000000001</v>
      </c>
      <c r="DF514" s="89">
        <v>133</v>
      </c>
      <c r="DG514" s="2">
        <v>49</v>
      </c>
      <c r="DH514" s="2">
        <v>0</v>
      </c>
      <c r="DI514" s="2">
        <v>2E-3</v>
      </c>
      <c r="DR514" s="89">
        <v>121</v>
      </c>
      <c r="DS514" s="2">
        <v>48</v>
      </c>
      <c r="DT514" s="2">
        <v>1</v>
      </c>
      <c r="DU514" s="2">
        <v>0.24064740000000001</v>
      </c>
      <c r="ED514" s="89">
        <v>117</v>
      </c>
      <c r="EE514" s="2">
        <v>50</v>
      </c>
      <c r="EF514" s="2">
        <v>0</v>
      </c>
      <c r="EG514" s="2">
        <v>4.5652429999999997</v>
      </c>
      <c r="ES514">
        <v>117</v>
      </c>
      <c r="ET514">
        <v>50</v>
      </c>
      <c r="EU514">
        <v>0</v>
      </c>
      <c r="EV514">
        <v>4.5652429999999997</v>
      </c>
    </row>
    <row r="515" spans="14:152" x14ac:dyDescent="0.4">
      <c r="N515" s="89">
        <v>116</v>
      </c>
      <c r="O515" s="2">
        <v>49</v>
      </c>
      <c r="P515" s="2">
        <v>2</v>
      </c>
      <c r="Q515" s="2">
        <v>0.31036989999999998</v>
      </c>
      <c r="Z515" s="89">
        <v>119</v>
      </c>
      <c r="AA515" s="2">
        <v>49</v>
      </c>
      <c r="AB515" s="2">
        <v>0</v>
      </c>
      <c r="AC515" s="2">
        <v>1.144102</v>
      </c>
      <c r="AL515" s="89">
        <v>110</v>
      </c>
      <c r="AM515" s="2">
        <v>49</v>
      </c>
      <c r="AN515" s="2">
        <v>0</v>
      </c>
      <c r="AO515" s="2">
        <v>1E-3</v>
      </c>
      <c r="AX515" s="89">
        <v>126</v>
      </c>
      <c r="AY515" s="2">
        <v>50</v>
      </c>
      <c r="AZ515" s="2">
        <v>0</v>
      </c>
      <c r="BA515" s="2">
        <v>0.78105349999999996</v>
      </c>
      <c r="BJ515" s="89">
        <v>124</v>
      </c>
      <c r="BK515" s="2">
        <v>50</v>
      </c>
      <c r="BL515" s="2">
        <v>0</v>
      </c>
      <c r="BM515" s="2">
        <v>1.986999</v>
      </c>
      <c r="BV515" s="89">
        <v>121</v>
      </c>
      <c r="BW515" s="2">
        <v>50</v>
      </c>
      <c r="BX515" s="2">
        <v>0</v>
      </c>
      <c r="BY515" s="2">
        <v>3.5923850000000002</v>
      </c>
      <c r="CH515" s="89">
        <v>118</v>
      </c>
      <c r="CI515" s="2">
        <v>50</v>
      </c>
      <c r="CJ515" s="2">
        <v>0</v>
      </c>
      <c r="CK515" s="2">
        <v>4.398854</v>
      </c>
      <c r="CT515" s="89">
        <v>125</v>
      </c>
      <c r="CU515" s="2">
        <v>49</v>
      </c>
      <c r="CV515" s="2">
        <v>1</v>
      </c>
      <c r="CW515" s="2">
        <v>1.388588E-2</v>
      </c>
      <c r="DF515" s="89">
        <v>115</v>
      </c>
      <c r="DG515" s="2">
        <v>50</v>
      </c>
      <c r="DH515" s="2">
        <v>0</v>
      </c>
      <c r="DI515" s="2">
        <v>0.13293830000000001</v>
      </c>
      <c r="DR515" s="89">
        <v>122</v>
      </c>
      <c r="DS515" s="2">
        <v>48</v>
      </c>
      <c r="DT515" s="2">
        <v>0</v>
      </c>
      <c r="DU515" s="2">
        <v>0.14697879999999999</v>
      </c>
      <c r="ED515" s="89">
        <v>117</v>
      </c>
      <c r="EE515" s="2">
        <v>50</v>
      </c>
      <c r="EF515" s="2">
        <v>1</v>
      </c>
      <c r="EG515" s="2">
        <v>2.445319E-2</v>
      </c>
      <c r="ES515">
        <v>117</v>
      </c>
      <c r="ET515">
        <v>50</v>
      </c>
      <c r="EU515">
        <v>1</v>
      </c>
      <c r="EV515">
        <v>2.445319E-2</v>
      </c>
    </row>
    <row r="516" spans="14:152" x14ac:dyDescent="0.4">
      <c r="N516" s="89">
        <v>117</v>
      </c>
      <c r="O516" s="2">
        <v>49</v>
      </c>
      <c r="P516" s="2">
        <v>0</v>
      </c>
      <c r="Q516" s="2">
        <v>1.3145070000000001</v>
      </c>
      <c r="Z516" s="89">
        <v>119</v>
      </c>
      <c r="AA516" s="2">
        <v>49</v>
      </c>
      <c r="AB516" s="2">
        <v>1</v>
      </c>
      <c r="AC516" s="2">
        <v>9.635341E-2</v>
      </c>
      <c r="AL516" s="89">
        <v>111</v>
      </c>
      <c r="AM516" s="2">
        <v>49</v>
      </c>
      <c r="AN516" s="2">
        <v>0</v>
      </c>
      <c r="AO516" s="2">
        <v>3.0000000000000001E-3</v>
      </c>
      <c r="AX516" s="89">
        <v>127</v>
      </c>
      <c r="AY516" s="2">
        <v>50</v>
      </c>
      <c r="AZ516" s="2">
        <v>0</v>
      </c>
      <c r="BA516" s="2">
        <v>0.30068279999999997</v>
      </c>
      <c r="BJ516" s="89">
        <v>125</v>
      </c>
      <c r="BK516" s="2">
        <v>50</v>
      </c>
      <c r="BL516" s="2">
        <v>0</v>
      </c>
      <c r="BM516" s="2">
        <v>0.83142000000000005</v>
      </c>
      <c r="BV516" s="89">
        <v>121</v>
      </c>
      <c r="BW516" s="2">
        <v>50</v>
      </c>
      <c r="BX516" s="2">
        <v>1</v>
      </c>
      <c r="BY516" s="2">
        <v>0.90370919999999999</v>
      </c>
      <c r="CH516" s="89">
        <v>119</v>
      </c>
      <c r="CI516" s="2">
        <v>50</v>
      </c>
      <c r="CJ516" s="2">
        <v>0</v>
      </c>
      <c r="CK516" s="2">
        <v>4.2220000000000004</v>
      </c>
      <c r="CT516" s="89">
        <v>126</v>
      </c>
      <c r="CU516" s="2">
        <v>49</v>
      </c>
      <c r="CV516" s="2">
        <v>0</v>
      </c>
      <c r="CW516" s="2">
        <v>7.4816759999999996E-2</v>
      </c>
      <c r="DF516" s="89">
        <v>116</v>
      </c>
      <c r="DG516" s="2">
        <v>50</v>
      </c>
      <c r="DH516" s="2">
        <v>0</v>
      </c>
      <c r="DI516" s="2">
        <v>3.0000000000000001E-3</v>
      </c>
      <c r="DR516" s="89">
        <v>123</v>
      </c>
      <c r="DS516" s="2">
        <v>48</v>
      </c>
      <c r="DT516" s="2">
        <v>0</v>
      </c>
      <c r="DU516" s="2">
        <v>1.49097E-2</v>
      </c>
      <c r="ED516" s="89">
        <v>118</v>
      </c>
      <c r="EE516" s="2">
        <v>50</v>
      </c>
      <c r="EF516" s="2">
        <v>0</v>
      </c>
      <c r="EG516" s="2">
        <v>4.3897380000000004</v>
      </c>
      <c r="ES516">
        <v>118</v>
      </c>
      <c r="ET516">
        <v>50</v>
      </c>
      <c r="EU516">
        <v>0</v>
      </c>
      <c r="EV516">
        <v>4.3897380000000004</v>
      </c>
    </row>
    <row r="517" spans="14:152" x14ac:dyDescent="0.4">
      <c r="N517" s="89">
        <v>117</v>
      </c>
      <c r="O517" s="2">
        <v>49</v>
      </c>
      <c r="P517" s="2">
        <v>1</v>
      </c>
      <c r="Q517" s="2">
        <v>0.25056899999999999</v>
      </c>
      <c r="Z517" s="89">
        <v>120</v>
      </c>
      <c r="AA517" s="2">
        <v>49</v>
      </c>
      <c r="AB517" s="2">
        <v>0</v>
      </c>
      <c r="AC517" s="2">
        <v>0.26638489999999998</v>
      </c>
      <c r="AL517" s="89">
        <v>112</v>
      </c>
      <c r="AM517" s="2">
        <v>49</v>
      </c>
      <c r="AN517" s="2">
        <v>0</v>
      </c>
      <c r="AO517" s="2">
        <v>1.9E-2</v>
      </c>
      <c r="AX517" s="89">
        <v>127</v>
      </c>
      <c r="AY517" s="2">
        <v>50</v>
      </c>
      <c r="AZ517" s="2">
        <v>1</v>
      </c>
      <c r="BA517" s="2">
        <v>0.13926379999999999</v>
      </c>
      <c r="BJ517" s="89">
        <v>125</v>
      </c>
      <c r="BK517" s="2">
        <v>50</v>
      </c>
      <c r="BL517" s="2">
        <v>1</v>
      </c>
      <c r="BM517" s="2">
        <v>0.30858010000000002</v>
      </c>
      <c r="BV517" s="89">
        <v>122</v>
      </c>
      <c r="BW517" s="2">
        <v>50</v>
      </c>
      <c r="BX517" s="2">
        <v>0</v>
      </c>
      <c r="BY517" s="2">
        <v>3.688259</v>
      </c>
      <c r="CH517" s="89">
        <v>119</v>
      </c>
      <c r="CI517" s="2">
        <v>50</v>
      </c>
      <c r="CJ517" s="2">
        <v>1</v>
      </c>
      <c r="CK517" s="2">
        <v>3.315477</v>
      </c>
      <c r="CT517" s="89">
        <v>126</v>
      </c>
      <c r="CU517" s="2">
        <v>49</v>
      </c>
      <c r="CV517" s="2">
        <v>1</v>
      </c>
      <c r="CW517" s="2">
        <v>0.1151832</v>
      </c>
      <c r="DF517" s="89">
        <v>117</v>
      </c>
      <c r="DG517" s="2">
        <v>50</v>
      </c>
      <c r="DH517" s="2">
        <v>0</v>
      </c>
      <c r="DI517" s="2">
        <v>2.8753660000000001</v>
      </c>
      <c r="DR517" s="89">
        <v>123</v>
      </c>
      <c r="DS517" s="2">
        <v>48</v>
      </c>
      <c r="DT517" s="2">
        <v>1</v>
      </c>
      <c r="DU517" s="2">
        <v>5.1091299999999999E-2</v>
      </c>
      <c r="ED517" s="89">
        <v>119</v>
      </c>
      <c r="EE517" s="2">
        <v>50</v>
      </c>
      <c r="EF517" s="2">
        <v>0</v>
      </c>
      <c r="EG517" s="2">
        <v>4.3849999999999998</v>
      </c>
      <c r="ES517">
        <v>119</v>
      </c>
      <c r="ET517">
        <v>50</v>
      </c>
      <c r="EU517">
        <v>0</v>
      </c>
      <c r="EV517">
        <v>4.3849999999999998</v>
      </c>
    </row>
    <row r="518" spans="14:152" x14ac:dyDescent="0.4">
      <c r="N518" s="89">
        <v>118</v>
      </c>
      <c r="O518" s="2">
        <v>49</v>
      </c>
      <c r="P518" s="2">
        <v>0</v>
      </c>
      <c r="Q518" s="2">
        <v>0.50334009999999996</v>
      </c>
      <c r="Z518" s="89">
        <v>120</v>
      </c>
      <c r="AA518" s="2">
        <v>49</v>
      </c>
      <c r="AB518" s="2">
        <v>1</v>
      </c>
      <c r="AC518" s="2">
        <v>0.10426820000000001</v>
      </c>
      <c r="AL518" s="89">
        <v>112</v>
      </c>
      <c r="AM518" s="2">
        <v>49</v>
      </c>
      <c r="AN518" s="2">
        <v>1</v>
      </c>
      <c r="AO518" s="2">
        <v>1.7000000000000001E-2</v>
      </c>
      <c r="AX518" s="89">
        <v>128</v>
      </c>
      <c r="AY518" s="2">
        <v>50</v>
      </c>
      <c r="AZ518" s="2">
        <v>0</v>
      </c>
      <c r="BA518" s="2">
        <v>0.36099999999999999</v>
      </c>
      <c r="BJ518" s="89">
        <v>126</v>
      </c>
      <c r="BK518" s="2">
        <v>50</v>
      </c>
      <c r="BL518" s="2">
        <v>0</v>
      </c>
      <c r="BM518" s="2">
        <v>0.649034</v>
      </c>
      <c r="BV518" s="89">
        <v>123</v>
      </c>
      <c r="BW518" s="2">
        <v>50</v>
      </c>
      <c r="BX518" s="2">
        <v>0</v>
      </c>
      <c r="BY518" s="2">
        <v>1.3275969999999999</v>
      </c>
      <c r="CH518" s="89">
        <v>120</v>
      </c>
      <c r="CI518" s="2">
        <v>50</v>
      </c>
      <c r="CJ518" s="2">
        <v>0</v>
      </c>
      <c r="CK518" s="2">
        <v>4.3560059999999998</v>
      </c>
      <c r="CT518" s="89">
        <v>127</v>
      </c>
      <c r="CU518" s="2">
        <v>49</v>
      </c>
      <c r="CV518" s="2">
        <v>0</v>
      </c>
      <c r="CW518" s="2">
        <v>9.1042109999999996E-2</v>
      </c>
      <c r="DF518" s="89">
        <v>117</v>
      </c>
      <c r="DG518" s="2">
        <v>50</v>
      </c>
      <c r="DH518" s="2">
        <v>1</v>
      </c>
      <c r="DI518" s="2">
        <v>6.5467499999999996E-3</v>
      </c>
      <c r="DR518" s="89">
        <v>124</v>
      </c>
      <c r="DS518" s="2">
        <v>48</v>
      </c>
      <c r="DT518" s="2">
        <v>0</v>
      </c>
      <c r="DU518" s="2">
        <v>1.3998999999999999E-2</v>
      </c>
      <c r="ED518" s="89">
        <v>119</v>
      </c>
      <c r="EE518" s="2">
        <v>50</v>
      </c>
      <c r="EF518" s="2">
        <v>1</v>
      </c>
      <c r="EG518" s="2">
        <v>3.0885820000000002</v>
      </c>
      <c r="ES518">
        <v>119</v>
      </c>
      <c r="ET518">
        <v>50</v>
      </c>
      <c r="EU518">
        <v>1</v>
      </c>
      <c r="EV518">
        <v>3.0885820000000002</v>
      </c>
    </row>
    <row r="519" spans="14:152" x14ac:dyDescent="0.4">
      <c r="N519" s="89">
        <v>118</v>
      </c>
      <c r="O519" s="2">
        <v>49</v>
      </c>
      <c r="P519" s="2">
        <v>1</v>
      </c>
      <c r="Q519" s="2">
        <v>0.59878399999999998</v>
      </c>
      <c r="Z519" s="89">
        <v>120</v>
      </c>
      <c r="AA519" s="2">
        <v>49</v>
      </c>
      <c r="AB519" s="2">
        <v>2</v>
      </c>
      <c r="AC519" s="2">
        <v>0.456293</v>
      </c>
      <c r="AL519" s="89">
        <v>113</v>
      </c>
      <c r="AM519" s="2">
        <v>49</v>
      </c>
      <c r="AN519" s="2">
        <v>0</v>
      </c>
      <c r="AO519" s="2">
        <v>0.83435570000000003</v>
      </c>
      <c r="AX519" s="89">
        <v>128</v>
      </c>
      <c r="AY519" s="2">
        <v>50</v>
      </c>
      <c r="AZ519" s="2">
        <v>1</v>
      </c>
      <c r="BA519" s="2">
        <v>0.15690889999999999</v>
      </c>
      <c r="BJ519" s="89">
        <v>127</v>
      </c>
      <c r="BK519" s="2">
        <v>50</v>
      </c>
      <c r="BL519" s="2">
        <v>0</v>
      </c>
      <c r="BM519" s="2">
        <v>0.26997379999999999</v>
      </c>
      <c r="BV519" s="89">
        <v>123</v>
      </c>
      <c r="BW519" s="2">
        <v>50</v>
      </c>
      <c r="BX519" s="2">
        <v>1</v>
      </c>
      <c r="BY519" s="2">
        <v>1.864406</v>
      </c>
      <c r="CH519" s="89">
        <v>121</v>
      </c>
      <c r="CI519" s="2">
        <v>50</v>
      </c>
      <c r="CJ519" s="2">
        <v>0</v>
      </c>
      <c r="CK519" s="2">
        <v>3.4967199999999998</v>
      </c>
      <c r="CT519" s="89">
        <v>127</v>
      </c>
      <c r="CU519" s="2">
        <v>49</v>
      </c>
      <c r="CV519" s="2">
        <v>1</v>
      </c>
      <c r="CW519" s="2">
        <v>8.9578950000000004E-3</v>
      </c>
      <c r="DF519" s="89">
        <v>118</v>
      </c>
      <c r="DG519" s="2">
        <v>50</v>
      </c>
      <c r="DH519" s="2">
        <v>0</v>
      </c>
      <c r="DI519" s="2">
        <v>2.855353</v>
      </c>
      <c r="DR519" s="89">
        <v>125</v>
      </c>
      <c r="DS519" s="2">
        <v>48</v>
      </c>
      <c r="DT519" s="2">
        <v>0</v>
      </c>
      <c r="DU519" s="2">
        <v>1E-3</v>
      </c>
      <c r="ED519" s="89">
        <v>120</v>
      </c>
      <c r="EE519" s="2">
        <v>50</v>
      </c>
      <c r="EF519" s="2">
        <v>0</v>
      </c>
      <c r="EG519" s="2">
        <v>4.4200350000000004</v>
      </c>
      <c r="ES519">
        <v>120</v>
      </c>
      <c r="ET519">
        <v>50</v>
      </c>
      <c r="EU519">
        <v>0</v>
      </c>
      <c r="EV519">
        <v>4.4200350000000004</v>
      </c>
    </row>
    <row r="520" spans="14:152" x14ac:dyDescent="0.4">
      <c r="N520" s="89">
        <v>118</v>
      </c>
      <c r="O520" s="2">
        <v>49</v>
      </c>
      <c r="P520" s="2">
        <v>2</v>
      </c>
      <c r="Q520" s="2">
        <v>0.48696869999999998</v>
      </c>
      <c r="Z520" s="89">
        <v>121</v>
      </c>
      <c r="AA520" s="2">
        <v>49</v>
      </c>
      <c r="AB520" s="2">
        <v>0</v>
      </c>
      <c r="AC520" s="2">
        <v>0.49890620000000002</v>
      </c>
      <c r="AL520" s="89">
        <v>113</v>
      </c>
      <c r="AM520" s="2">
        <v>49</v>
      </c>
      <c r="AN520" s="2">
        <v>1</v>
      </c>
      <c r="AO520" s="2">
        <v>5.555E-3</v>
      </c>
      <c r="AX520" s="89">
        <v>129</v>
      </c>
      <c r="AY520" s="2">
        <v>50</v>
      </c>
      <c r="AZ520" s="2">
        <v>0</v>
      </c>
      <c r="BA520" s="2">
        <v>9.6843760000000001E-2</v>
      </c>
      <c r="BJ520" s="89">
        <v>127</v>
      </c>
      <c r="BK520" s="2">
        <v>50</v>
      </c>
      <c r="BL520" s="2">
        <v>1</v>
      </c>
      <c r="BM520" s="2">
        <v>9.0992210000000004E-2</v>
      </c>
      <c r="BV520" s="89">
        <v>124</v>
      </c>
      <c r="BW520" s="2">
        <v>50</v>
      </c>
      <c r="BX520" s="2">
        <v>0</v>
      </c>
      <c r="BY520" s="2">
        <v>2.6889970000000001</v>
      </c>
      <c r="CH520" s="89">
        <v>121</v>
      </c>
      <c r="CI520" s="2">
        <v>50</v>
      </c>
      <c r="CJ520" s="2">
        <v>1</v>
      </c>
      <c r="CK520" s="2">
        <v>1.6931909999999999</v>
      </c>
      <c r="CT520" s="89">
        <v>128</v>
      </c>
      <c r="CU520" s="2">
        <v>49</v>
      </c>
      <c r="CV520" s="2">
        <v>0</v>
      </c>
      <c r="CW520" s="2">
        <v>1.9695649999999999E-2</v>
      </c>
      <c r="DF520" s="89">
        <v>119</v>
      </c>
      <c r="DG520" s="2">
        <v>50</v>
      </c>
      <c r="DH520" s="2">
        <v>0</v>
      </c>
      <c r="DI520" s="2">
        <v>2.8443870000000002</v>
      </c>
      <c r="DR520" s="89">
        <v>125</v>
      </c>
      <c r="DS520" s="2">
        <v>48</v>
      </c>
      <c r="DT520" s="2">
        <v>1</v>
      </c>
      <c r="DU520" s="2">
        <v>4.0000000000000001E-3</v>
      </c>
      <c r="ED520" s="89">
        <v>121</v>
      </c>
      <c r="EE520" s="2">
        <v>50</v>
      </c>
      <c r="EF520" s="2">
        <v>0</v>
      </c>
      <c r="EG520" s="2">
        <v>3.7987220000000002</v>
      </c>
      <c r="ES520">
        <v>121</v>
      </c>
      <c r="ET520">
        <v>50</v>
      </c>
      <c r="EU520">
        <v>0</v>
      </c>
      <c r="EV520">
        <v>3.7987220000000002</v>
      </c>
    </row>
    <row r="521" spans="14:152" x14ac:dyDescent="0.4">
      <c r="N521" s="89">
        <v>119</v>
      </c>
      <c r="O521" s="2">
        <v>49</v>
      </c>
      <c r="P521" s="2">
        <v>0</v>
      </c>
      <c r="Q521" s="2">
        <v>0.75304780000000004</v>
      </c>
      <c r="Z521" s="89">
        <v>121</v>
      </c>
      <c r="AA521" s="2">
        <v>49</v>
      </c>
      <c r="AB521" s="2">
        <v>1</v>
      </c>
      <c r="AC521" s="2">
        <v>1.6283809999999999E-2</v>
      </c>
      <c r="AL521" s="89">
        <v>114</v>
      </c>
      <c r="AM521" s="2">
        <v>49</v>
      </c>
      <c r="AN521" s="2">
        <v>0</v>
      </c>
      <c r="AO521" s="2">
        <v>0.21607000000000001</v>
      </c>
      <c r="AX521" s="89">
        <v>129</v>
      </c>
      <c r="AY521" s="2">
        <v>50</v>
      </c>
      <c r="AZ521" s="2">
        <v>1</v>
      </c>
      <c r="BA521" s="2">
        <v>0.16814779999999999</v>
      </c>
      <c r="BJ521" s="89">
        <v>128</v>
      </c>
      <c r="BK521" s="2">
        <v>50</v>
      </c>
      <c r="BL521" s="2">
        <v>0</v>
      </c>
      <c r="BM521" s="2">
        <v>0.26600000000000001</v>
      </c>
      <c r="BV521" s="89">
        <v>125</v>
      </c>
      <c r="BW521" s="2">
        <v>50</v>
      </c>
      <c r="BX521" s="2">
        <v>0</v>
      </c>
      <c r="BY521" s="2">
        <v>1.2964990000000001</v>
      </c>
      <c r="CH521" s="89">
        <v>122</v>
      </c>
      <c r="CI521" s="2">
        <v>50</v>
      </c>
      <c r="CJ521" s="2">
        <v>0</v>
      </c>
      <c r="CK521" s="2">
        <v>3.363283</v>
      </c>
      <c r="CT521" s="89">
        <v>128</v>
      </c>
      <c r="CU521" s="2">
        <v>49</v>
      </c>
      <c r="CV521" s="2">
        <v>1</v>
      </c>
      <c r="CW521" s="2">
        <v>3.8043479999999999E-3</v>
      </c>
      <c r="DF521" s="89">
        <v>119</v>
      </c>
      <c r="DG521" s="2">
        <v>50</v>
      </c>
      <c r="DH521" s="2">
        <v>1</v>
      </c>
      <c r="DI521" s="2">
        <v>1.4004650000000001</v>
      </c>
      <c r="DR521" s="89">
        <v>126</v>
      </c>
      <c r="DS521" s="2">
        <v>48</v>
      </c>
      <c r="DT521" s="2">
        <v>0</v>
      </c>
      <c r="DU521" s="2">
        <v>3.0000000000000001E-3</v>
      </c>
      <c r="ED521" s="89">
        <v>121</v>
      </c>
      <c r="EE521" s="2">
        <v>50</v>
      </c>
      <c r="EF521" s="2">
        <v>1</v>
      </c>
      <c r="EG521" s="2">
        <v>1.255549</v>
      </c>
      <c r="ES521">
        <v>121</v>
      </c>
      <c r="ET521">
        <v>50</v>
      </c>
      <c r="EU521">
        <v>1</v>
      </c>
      <c r="EV521">
        <v>1.255549</v>
      </c>
    </row>
    <row r="522" spans="14:152" x14ac:dyDescent="0.4">
      <c r="N522" s="89">
        <v>119</v>
      </c>
      <c r="O522" s="2">
        <v>49</v>
      </c>
      <c r="P522" s="2">
        <v>1</v>
      </c>
      <c r="Q522" s="2">
        <v>6.3508690000000007E-2</v>
      </c>
      <c r="Z522" s="89">
        <v>122</v>
      </c>
      <c r="AA522" s="2">
        <v>49</v>
      </c>
      <c r="AB522" s="2">
        <v>0</v>
      </c>
      <c r="AC522" s="2">
        <v>8.2994009999999993E-2</v>
      </c>
      <c r="AL522" s="89">
        <v>114</v>
      </c>
      <c r="AM522" s="2">
        <v>49</v>
      </c>
      <c r="AN522" s="2">
        <v>1</v>
      </c>
      <c r="AO522" s="2">
        <v>0.19800000000000001</v>
      </c>
      <c r="AX522" s="89">
        <v>130</v>
      </c>
      <c r="AY522" s="2">
        <v>50</v>
      </c>
      <c r="AZ522" s="2">
        <v>0</v>
      </c>
      <c r="BA522" s="2">
        <v>0.153613</v>
      </c>
      <c r="BJ522" s="89">
        <v>128</v>
      </c>
      <c r="BK522" s="2">
        <v>50</v>
      </c>
      <c r="BL522" s="2">
        <v>1</v>
      </c>
      <c r="BM522" s="2">
        <v>0.1209688</v>
      </c>
      <c r="BV522" s="89">
        <v>125</v>
      </c>
      <c r="BW522" s="2">
        <v>50</v>
      </c>
      <c r="BX522" s="2">
        <v>1</v>
      </c>
      <c r="BY522" s="2">
        <v>0.61150099999999996</v>
      </c>
      <c r="CH522" s="89">
        <v>123</v>
      </c>
      <c r="CI522" s="2">
        <v>50</v>
      </c>
      <c r="CJ522" s="2">
        <v>0</v>
      </c>
      <c r="CK522" s="2">
        <v>1.5446249999999999</v>
      </c>
      <c r="CT522" s="89">
        <v>128</v>
      </c>
      <c r="CU522" s="2">
        <v>49</v>
      </c>
      <c r="CV522" s="2">
        <v>2</v>
      </c>
      <c r="CW522" s="2">
        <v>2.4304349999999999E-2</v>
      </c>
      <c r="DF522" s="89">
        <v>120</v>
      </c>
      <c r="DG522" s="2">
        <v>50</v>
      </c>
      <c r="DH522" s="2">
        <v>0</v>
      </c>
      <c r="DI522" s="2">
        <v>2.6487470000000002</v>
      </c>
      <c r="DR522" s="89">
        <v>113</v>
      </c>
      <c r="DS522" s="2">
        <v>49</v>
      </c>
      <c r="DT522" s="2">
        <v>0</v>
      </c>
      <c r="DU522" s="2">
        <v>0.10631549999999999</v>
      </c>
      <c r="ED522" s="89">
        <v>122</v>
      </c>
      <c r="EE522" s="2">
        <v>50</v>
      </c>
      <c r="EF522" s="2">
        <v>0</v>
      </c>
      <c r="EG522" s="2">
        <v>3.8715639999999998</v>
      </c>
      <c r="ES522">
        <v>122</v>
      </c>
      <c r="ET522">
        <v>50</v>
      </c>
      <c r="EU522">
        <v>0</v>
      </c>
      <c r="EV522">
        <v>3.8715639999999998</v>
      </c>
    </row>
    <row r="523" spans="14:152" x14ac:dyDescent="0.4">
      <c r="N523" s="89">
        <v>120</v>
      </c>
      <c r="O523" s="2">
        <v>49</v>
      </c>
      <c r="P523" s="2">
        <v>0</v>
      </c>
      <c r="Q523" s="2">
        <v>0.12689739999999999</v>
      </c>
      <c r="Z523" s="89">
        <v>122</v>
      </c>
      <c r="AA523" s="2">
        <v>49</v>
      </c>
      <c r="AB523" s="2">
        <v>1</v>
      </c>
      <c r="AC523" s="2">
        <v>0.19</v>
      </c>
      <c r="AL523" s="89">
        <v>114</v>
      </c>
      <c r="AM523" s="2">
        <v>49</v>
      </c>
      <c r="AN523" s="2">
        <v>2</v>
      </c>
      <c r="AO523" s="2">
        <v>0.154</v>
      </c>
      <c r="AX523" s="89">
        <v>130</v>
      </c>
      <c r="AY523" s="2">
        <v>50</v>
      </c>
      <c r="AZ523" s="2">
        <v>1</v>
      </c>
      <c r="BA523" s="2">
        <v>6.5386990000000006E-2</v>
      </c>
      <c r="BJ523" s="89">
        <v>129</v>
      </c>
      <c r="BK523" s="2">
        <v>50</v>
      </c>
      <c r="BL523" s="2">
        <v>0</v>
      </c>
      <c r="BM523" s="2">
        <v>6.3952510000000004E-2</v>
      </c>
      <c r="BV523" s="89">
        <v>126</v>
      </c>
      <c r="BW523" s="2">
        <v>50</v>
      </c>
      <c r="BX523" s="2">
        <v>0</v>
      </c>
      <c r="BY523" s="2">
        <v>1.2781169999999999</v>
      </c>
      <c r="CH523" s="89">
        <v>123</v>
      </c>
      <c r="CI523" s="2">
        <v>50</v>
      </c>
      <c r="CJ523" s="2">
        <v>1</v>
      </c>
      <c r="CK523" s="2">
        <v>0.97737580000000002</v>
      </c>
      <c r="CT523" s="89">
        <v>129</v>
      </c>
      <c r="CU523" s="2">
        <v>49</v>
      </c>
      <c r="CV523" s="2">
        <v>0</v>
      </c>
      <c r="CW523" s="2">
        <v>2.033333E-2</v>
      </c>
      <c r="DF523" s="89">
        <v>121</v>
      </c>
      <c r="DG523" s="2">
        <v>50</v>
      </c>
      <c r="DH523" s="2">
        <v>0</v>
      </c>
      <c r="DI523" s="2">
        <v>2.5670929999999998</v>
      </c>
      <c r="DR523" s="89">
        <v>114</v>
      </c>
      <c r="DS523" s="2">
        <v>49</v>
      </c>
      <c r="DT523" s="2">
        <v>0</v>
      </c>
      <c r="DU523" s="2">
        <v>1E-3</v>
      </c>
      <c r="ED523" s="89">
        <v>123</v>
      </c>
      <c r="EE523" s="2">
        <v>50</v>
      </c>
      <c r="EF523" s="2">
        <v>0</v>
      </c>
      <c r="EG523" s="2">
        <v>1.550956</v>
      </c>
      <c r="ES523">
        <v>123</v>
      </c>
      <c r="ET523">
        <v>50</v>
      </c>
      <c r="EU523">
        <v>0</v>
      </c>
      <c r="EV523">
        <v>1.550956</v>
      </c>
    </row>
    <row r="524" spans="14:152" x14ac:dyDescent="0.4">
      <c r="N524" s="89">
        <v>120</v>
      </c>
      <c r="O524" s="2">
        <v>49</v>
      </c>
      <c r="P524" s="2">
        <v>1</v>
      </c>
      <c r="Q524" s="2">
        <v>7.124105E-2</v>
      </c>
      <c r="Z524" s="89">
        <v>123</v>
      </c>
      <c r="AA524" s="2">
        <v>49</v>
      </c>
      <c r="AB524" s="2">
        <v>0</v>
      </c>
      <c r="AC524" s="2">
        <v>0.12083430000000001</v>
      </c>
      <c r="AL524" s="89">
        <v>115</v>
      </c>
      <c r="AM524" s="2">
        <v>49</v>
      </c>
      <c r="AN524" s="2">
        <v>0</v>
      </c>
      <c r="AO524" s="2">
        <v>2.6993369999999999</v>
      </c>
      <c r="AX524" s="89">
        <v>131</v>
      </c>
      <c r="AY524" s="2">
        <v>50</v>
      </c>
      <c r="AZ524" s="2">
        <v>0</v>
      </c>
      <c r="BA524" s="2">
        <v>4.8461400000000002E-2</v>
      </c>
      <c r="BJ524" s="89">
        <v>129</v>
      </c>
      <c r="BK524" s="2">
        <v>50</v>
      </c>
      <c r="BL524" s="2">
        <v>1</v>
      </c>
      <c r="BM524" s="2">
        <v>0.114042</v>
      </c>
      <c r="BV524" s="89">
        <v>127</v>
      </c>
      <c r="BW524" s="2">
        <v>50</v>
      </c>
      <c r="BX524" s="2">
        <v>0</v>
      </c>
      <c r="BY524" s="2">
        <v>0.55620420000000004</v>
      </c>
      <c r="CH524" s="89">
        <v>124</v>
      </c>
      <c r="CI524" s="2">
        <v>50</v>
      </c>
      <c r="CJ524" s="2">
        <v>0</v>
      </c>
      <c r="CK524" s="2">
        <v>1.7799990000000001</v>
      </c>
      <c r="CT524" s="89">
        <v>129</v>
      </c>
      <c r="CU524" s="2">
        <v>49</v>
      </c>
      <c r="CV524" s="2">
        <v>1</v>
      </c>
      <c r="CW524" s="2">
        <v>6.6666670000000003E-4</v>
      </c>
      <c r="DF524" s="89">
        <v>121</v>
      </c>
      <c r="DG524" s="2">
        <v>50</v>
      </c>
      <c r="DH524" s="2">
        <v>1</v>
      </c>
      <c r="DI524" s="2">
        <v>0.35573969999999999</v>
      </c>
      <c r="DR524" s="89">
        <v>115</v>
      </c>
      <c r="DS524" s="2">
        <v>49</v>
      </c>
      <c r="DT524" s="2">
        <v>0</v>
      </c>
      <c r="DU524" s="2">
        <v>2.7131500000000002</v>
      </c>
      <c r="ED524" s="89">
        <v>123</v>
      </c>
      <c r="EE524" s="2">
        <v>50</v>
      </c>
      <c r="EF524" s="2">
        <v>1</v>
      </c>
      <c r="EG524" s="2">
        <v>1.5270490000000001</v>
      </c>
      <c r="ES524">
        <v>123</v>
      </c>
      <c r="ET524">
        <v>50</v>
      </c>
      <c r="EU524">
        <v>1</v>
      </c>
      <c r="EV524">
        <v>1.5270490000000001</v>
      </c>
    </row>
    <row r="525" spans="14:152" x14ac:dyDescent="0.4">
      <c r="N525" s="89">
        <v>120</v>
      </c>
      <c r="O525" s="2">
        <v>49</v>
      </c>
      <c r="P525" s="2">
        <v>2</v>
      </c>
      <c r="Q525" s="2">
        <v>0.30586160000000001</v>
      </c>
      <c r="Z525" s="89">
        <v>123</v>
      </c>
      <c r="AA525" s="2">
        <v>49</v>
      </c>
      <c r="AB525" s="2">
        <v>1</v>
      </c>
      <c r="AC525" s="2">
        <v>5.1662269999999998E-3</v>
      </c>
      <c r="AL525" s="89">
        <v>115</v>
      </c>
      <c r="AM525" s="2">
        <v>49</v>
      </c>
      <c r="AN525" s="2">
        <v>1</v>
      </c>
      <c r="AO525" s="2">
        <v>1.173387</v>
      </c>
      <c r="AX525" s="89">
        <v>131</v>
      </c>
      <c r="AY525" s="2">
        <v>50</v>
      </c>
      <c r="AZ525" s="2">
        <v>1</v>
      </c>
      <c r="BA525" s="2">
        <v>5.2538609999999999E-2</v>
      </c>
      <c r="BJ525" s="89">
        <v>130</v>
      </c>
      <c r="BK525" s="2">
        <v>50</v>
      </c>
      <c r="BL525" s="2">
        <v>0</v>
      </c>
      <c r="BM525" s="2">
        <v>7.3442750000000001E-2</v>
      </c>
      <c r="BV525" s="89">
        <v>127</v>
      </c>
      <c r="BW525" s="2">
        <v>50</v>
      </c>
      <c r="BX525" s="2">
        <v>1</v>
      </c>
      <c r="BY525" s="2">
        <v>0.2236785</v>
      </c>
      <c r="CH525" s="89">
        <v>125</v>
      </c>
      <c r="CI525" s="2">
        <v>50</v>
      </c>
      <c r="CJ525" s="2">
        <v>0</v>
      </c>
      <c r="CK525" s="2">
        <v>0.75151840000000003</v>
      </c>
      <c r="CT525" s="89">
        <v>130</v>
      </c>
      <c r="CU525" s="2">
        <v>49</v>
      </c>
      <c r="CV525" s="2">
        <v>0</v>
      </c>
      <c r="CW525" s="2">
        <v>2.7000000000000001E-3</v>
      </c>
      <c r="DF525" s="89">
        <v>122</v>
      </c>
      <c r="DG525" s="2">
        <v>50</v>
      </c>
      <c r="DH525" s="2">
        <v>0</v>
      </c>
      <c r="DI525" s="2">
        <v>2.5150950000000001</v>
      </c>
      <c r="DR525" s="89">
        <v>115</v>
      </c>
      <c r="DS525" s="2">
        <v>49</v>
      </c>
      <c r="DT525" s="2">
        <v>1</v>
      </c>
      <c r="DU525" s="2">
        <v>2.245425</v>
      </c>
      <c r="ED525" s="89">
        <v>124</v>
      </c>
      <c r="EE525" s="2">
        <v>50</v>
      </c>
      <c r="EF525" s="2">
        <v>0</v>
      </c>
      <c r="EG525" s="2">
        <v>2.4509949999999998</v>
      </c>
      <c r="ES525">
        <v>124</v>
      </c>
      <c r="ET525">
        <v>50</v>
      </c>
      <c r="EU525">
        <v>0</v>
      </c>
      <c r="EV525">
        <v>2.4509949999999998</v>
      </c>
    </row>
    <row r="526" spans="14:152" x14ac:dyDescent="0.4">
      <c r="N526" s="89">
        <v>121</v>
      </c>
      <c r="O526" s="2">
        <v>49</v>
      </c>
      <c r="P526" s="2">
        <v>0</v>
      </c>
      <c r="Q526" s="2">
        <v>0.23686570000000001</v>
      </c>
      <c r="Z526" s="89">
        <v>124</v>
      </c>
      <c r="AA526" s="2">
        <v>49</v>
      </c>
      <c r="AB526" s="2">
        <v>0</v>
      </c>
      <c r="AC526" s="2">
        <v>1.2999500000000001E-2</v>
      </c>
      <c r="AL526" s="89">
        <v>116</v>
      </c>
      <c r="AM526" s="2">
        <v>49</v>
      </c>
      <c r="AN526" s="2">
        <v>0</v>
      </c>
      <c r="AO526" s="2">
        <v>5.342409E-2</v>
      </c>
      <c r="AX526" s="89">
        <v>132</v>
      </c>
      <c r="AY526" s="2">
        <v>50</v>
      </c>
      <c r="AZ526" s="2">
        <v>0</v>
      </c>
      <c r="BA526" s="2">
        <v>4.8000000000000001E-2</v>
      </c>
      <c r="BJ526" s="89">
        <v>130</v>
      </c>
      <c r="BK526" s="2">
        <v>50</v>
      </c>
      <c r="BL526" s="2">
        <v>1</v>
      </c>
      <c r="BM526" s="2">
        <v>3.3557259999999998E-2</v>
      </c>
      <c r="BV526" s="89">
        <v>128</v>
      </c>
      <c r="BW526" s="2">
        <v>50</v>
      </c>
      <c r="BX526" s="2">
        <v>0</v>
      </c>
      <c r="BY526" s="2">
        <v>0.625</v>
      </c>
      <c r="CH526" s="89">
        <v>125</v>
      </c>
      <c r="CI526" s="2">
        <v>50</v>
      </c>
      <c r="CJ526" s="2">
        <v>1</v>
      </c>
      <c r="CK526" s="2">
        <v>0.25848159999999998</v>
      </c>
      <c r="CT526" s="89">
        <v>130</v>
      </c>
      <c r="CU526" s="2">
        <v>49</v>
      </c>
      <c r="CV526" s="2">
        <v>1</v>
      </c>
      <c r="CW526" s="2">
        <v>4.4999999999999997E-3</v>
      </c>
      <c r="DF526" s="89">
        <v>123</v>
      </c>
      <c r="DG526" s="2">
        <v>50</v>
      </c>
      <c r="DH526" s="2">
        <v>0</v>
      </c>
      <c r="DI526" s="2">
        <v>0.64563380000000004</v>
      </c>
      <c r="DR526" s="89">
        <v>116</v>
      </c>
      <c r="DS526" s="2">
        <v>49</v>
      </c>
      <c r="DT526" s="2">
        <v>0</v>
      </c>
      <c r="DU526" s="2">
        <v>8.1899999999999994E-3</v>
      </c>
      <c r="ED526" s="89">
        <v>125</v>
      </c>
      <c r="EE526" s="2">
        <v>50</v>
      </c>
      <c r="EF526" s="2">
        <v>0</v>
      </c>
      <c r="EG526" s="2">
        <v>1.0760160000000001</v>
      </c>
      <c r="ES526">
        <v>125</v>
      </c>
      <c r="ET526">
        <v>50</v>
      </c>
      <c r="EU526">
        <v>0</v>
      </c>
      <c r="EV526">
        <v>1.0760160000000001</v>
      </c>
    </row>
    <row r="527" spans="14:152" x14ac:dyDescent="0.4">
      <c r="N527" s="89">
        <v>121</v>
      </c>
      <c r="O527" s="2">
        <v>49</v>
      </c>
      <c r="P527" s="2">
        <v>1</v>
      </c>
      <c r="Q527" s="2">
        <v>8.2330690000000008E-3</v>
      </c>
      <c r="Z527" s="89">
        <v>124</v>
      </c>
      <c r="AA527" s="2">
        <v>49</v>
      </c>
      <c r="AB527" s="2">
        <v>1</v>
      </c>
      <c r="AC527" s="2">
        <v>3.6999999999999998E-2</v>
      </c>
      <c r="AL527" s="89">
        <v>116</v>
      </c>
      <c r="AM527" s="2">
        <v>49</v>
      </c>
      <c r="AN527" s="2">
        <v>1</v>
      </c>
      <c r="AO527" s="2">
        <v>0.69357599999999997</v>
      </c>
      <c r="AX527" s="89">
        <v>133</v>
      </c>
      <c r="AY527" s="2">
        <v>50</v>
      </c>
      <c r="AZ527" s="2">
        <v>0</v>
      </c>
      <c r="BA527" s="2">
        <v>1.2E-2</v>
      </c>
      <c r="BJ527" s="89">
        <v>131</v>
      </c>
      <c r="BK527" s="2">
        <v>50</v>
      </c>
      <c r="BL527" s="2">
        <v>0</v>
      </c>
      <c r="BM527" s="2">
        <v>2.606033E-2</v>
      </c>
      <c r="BV527" s="89">
        <v>128</v>
      </c>
      <c r="BW527" s="2">
        <v>50</v>
      </c>
      <c r="BX527" s="2">
        <v>1</v>
      </c>
      <c r="BY527" s="2">
        <v>0.32704260000000002</v>
      </c>
      <c r="CH527" s="89">
        <v>126</v>
      </c>
      <c r="CI527" s="2">
        <v>50</v>
      </c>
      <c r="CJ527" s="2">
        <v>0</v>
      </c>
      <c r="CK527" s="2">
        <v>0.65102040000000005</v>
      </c>
      <c r="CT527" s="89">
        <v>130</v>
      </c>
      <c r="CU527" s="2">
        <v>49</v>
      </c>
      <c r="CV527" s="2">
        <v>2</v>
      </c>
      <c r="CW527" s="2">
        <v>1.8E-3</v>
      </c>
      <c r="DF527" s="89">
        <v>123</v>
      </c>
      <c r="DG527" s="2">
        <v>50</v>
      </c>
      <c r="DH527" s="2">
        <v>1</v>
      </c>
      <c r="DI527" s="2">
        <v>1.8523860000000001</v>
      </c>
      <c r="DR527" s="89">
        <v>116</v>
      </c>
      <c r="DS527" s="2">
        <v>49</v>
      </c>
      <c r="DT527" s="2">
        <v>1</v>
      </c>
      <c r="DU527" s="2">
        <v>8.2810010000000003E-2</v>
      </c>
      <c r="ED527" s="89">
        <v>125</v>
      </c>
      <c r="EE527" s="2">
        <v>50</v>
      </c>
      <c r="EF527" s="2">
        <v>1</v>
      </c>
      <c r="EG527" s="2">
        <v>0.45298450000000001</v>
      </c>
      <c r="ES527">
        <v>125</v>
      </c>
      <c r="ET527">
        <v>50</v>
      </c>
      <c r="EU527">
        <v>1</v>
      </c>
      <c r="EV527">
        <v>0.45298450000000001</v>
      </c>
    </row>
    <row r="528" spans="14:152" x14ac:dyDescent="0.4">
      <c r="N528" s="89">
        <v>122</v>
      </c>
      <c r="O528" s="2">
        <v>49</v>
      </c>
      <c r="P528" s="2">
        <v>0</v>
      </c>
      <c r="Q528" s="2">
        <v>3.1E-2</v>
      </c>
      <c r="Z528" s="89">
        <v>125</v>
      </c>
      <c r="AA528" s="2">
        <v>49</v>
      </c>
      <c r="AB528" s="2">
        <v>0</v>
      </c>
      <c r="AC528" s="2">
        <v>1.0999999999999999E-2</v>
      </c>
      <c r="AL528" s="89">
        <v>116</v>
      </c>
      <c r="AM528" s="2">
        <v>49</v>
      </c>
      <c r="AN528" s="2">
        <v>2</v>
      </c>
      <c r="AO528" s="2">
        <v>0.53424099999999997</v>
      </c>
      <c r="AX528" s="89">
        <v>134</v>
      </c>
      <c r="AY528" s="2">
        <v>50</v>
      </c>
      <c r="AZ528" s="2">
        <v>0</v>
      </c>
      <c r="BA528" s="2">
        <v>1E-3</v>
      </c>
      <c r="BJ528" s="89">
        <v>131</v>
      </c>
      <c r="BK528" s="2">
        <v>50</v>
      </c>
      <c r="BL528" s="2">
        <v>1</v>
      </c>
      <c r="BM528" s="2">
        <v>2.6939669999999999E-2</v>
      </c>
      <c r="BV528" s="89">
        <v>129</v>
      </c>
      <c r="BW528" s="2">
        <v>50</v>
      </c>
      <c r="BX528" s="2">
        <v>0</v>
      </c>
      <c r="BY528" s="2">
        <v>0.13682340000000001</v>
      </c>
      <c r="CH528" s="89">
        <v>127</v>
      </c>
      <c r="CI528" s="2">
        <v>50</v>
      </c>
      <c r="CJ528" s="2">
        <v>0</v>
      </c>
      <c r="CK528" s="2">
        <v>0.23731840000000001</v>
      </c>
      <c r="CT528" s="89">
        <v>112</v>
      </c>
      <c r="CU528" s="2">
        <v>50</v>
      </c>
      <c r="CV528" s="2">
        <v>0</v>
      </c>
      <c r="CW528" s="2">
        <v>1.32E-3</v>
      </c>
      <c r="DF528" s="89">
        <v>124</v>
      </c>
      <c r="DG528" s="2">
        <v>50</v>
      </c>
      <c r="DH528" s="2">
        <v>0</v>
      </c>
      <c r="DI528" s="2">
        <v>2.362981</v>
      </c>
      <c r="DR528" s="89">
        <v>116</v>
      </c>
      <c r="DS528" s="2">
        <v>49</v>
      </c>
      <c r="DT528" s="2">
        <v>2</v>
      </c>
      <c r="DU528" s="2">
        <v>6.4610000000000001E-2</v>
      </c>
      <c r="ED528" s="89">
        <v>126</v>
      </c>
      <c r="EE528" s="2">
        <v>50</v>
      </c>
      <c r="EF528" s="2">
        <v>0</v>
      </c>
      <c r="EG528" s="2">
        <v>1.010078</v>
      </c>
      <c r="ES528">
        <v>126</v>
      </c>
      <c r="ET528">
        <v>50</v>
      </c>
      <c r="EU528">
        <v>0</v>
      </c>
      <c r="EV528">
        <v>1.010078</v>
      </c>
    </row>
    <row r="529" spans="14:152" x14ac:dyDescent="0.4">
      <c r="N529" s="89">
        <v>122</v>
      </c>
      <c r="O529" s="2">
        <v>49</v>
      </c>
      <c r="P529" s="2">
        <v>1</v>
      </c>
      <c r="Q529" s="2">
        <v>8.6999999999999994E-2</v>
      </c>
      <c r="Z529" s="89">
        <v>126</v>
      </c>
      <c r="AA529" s="2">
        <v>49</v>
      </c>
      <c r="AB529" s="2">
        <v>0</v>
      </c>
      <c r="AC529" s="2">
        <v>3.0000000000000001E-3</v>
      </c>
      <c r="AL529" s="89">
        <v>117</v>
      </c>
      <c r="AM529" s="2">
        <v>49</v>
      </c>
      <c r="AN529" s="2">
        <v>0</v>
      </c>
      <c r="AO529" s="2">
        <v>1.8089189999999999</v>
      </c>
      <c r="AX529" s="89">
        <v>119</v>
      </c>
      <c r="AY529" s="2">
        <v>51</v>
      </c>
      <c r="AZ529" s="2">
        <v>0</v>
      </c>
      <c r="BA529" s="2">
        <v>3.0000000000000001E-3</v>
      </c>
      <c r="BJ529" s="89">
        <v>132</v>
      </c>
      <c r="BK529" s="2">
        <v>50</v>
      </c>
      <c r="BL529" s="2">
        <v>0</v>
      </c>
      <c r="BM529" s="2">
        <v>2.1000000000000001E-2</v>
      </c>
      <c r="BV529" s="89">
        <v>129</v>
      </c>
      <c r="BW529" s="2">
        <v>50</v>
      </c>
      <c r="BX529" s="2">
        <v>1</v>
      </c>
      <c r="BY529" s="2">
        <v>0.26916800000000002</v>
      </c>
      <c r="CH529" s="89">
        <v>127</v>
      </c>
      <c r="CI529" s="2">
        <v>50</v>
      </c>
      <c r="CJ529" s="2">
        <v>1</v>
      </c>
      <c r="CK529" s="2">
        <v>6.8661150000000004E-2</v>
      </c>
      <c r="CT529" s="89">
        <v>114</v>
      </c>
      <c r="CU529" s="2">
        <v>50</v>
      </c>
      <c r="CV529" s="2">
        <v>0</v>
      </c>
      <c r="CW529" s="2">
        <v>4.1610950000000001E-2</v>
      </c>
      <c r="DF529" s="89">
        <v>125</v>
      </c>
      <c r="DG529" s="2">
        <v>50</v>
      </c>
      <c r="DH529" s="2">
        <v>0</v>
      </c>
      <c r="DI529" s="2">
        <v>1.084808</v>
      </c>
      <c r="DR529" s="89">
        <v>117</v>
      </c>
      <c r="DS529" s="2">
        <v>49</v>
      </c>
      <c r="DT529" s="2">
        <v>0</v>
      </c>
      <c r="DU529" s="2">
        <v>1.9819610000000001</v>
      </c>
      <c r="ED529" s="89">
        <v>127</v>
      </c>
      <c r="EE529" s="2">
        <v>50</v>
      </c>
      <c r="EF529" s="2">
        <v>0</v>
      </c>
      <c r="EG529" s="2">
        <v>0.39830690000000002</v>
      </c>
      <c r="ES529">
        <v>127</v>
      </c>
      <c r="ET529">
        <v>50</v>
      </c>
      <c r="EU529">
        <v>0</v>
      </c>
      <c r="EV529">
        <v>0.39830690000000002</v>
      </c>
    </row>
    <row r="530" spans="14:152" x14ac:dyDescent="0.4">
      <c r="N530" s="89">
        <v>123</v>
      </c>
      <c r="O530" s="2">
        <v>49</v>
      </c>
      <c r="P530" s="2">
        <v>0</v>
      </c>
      <c r="Q530" s="2">
        <v>5.2018519999999999E-2</v>
      </c>
      <c r="Z530" s="89">
        <v>126</v>
      </c>
      <c r="AA530" s="2">
        <v>49</v>
      </c>
      <c r="AB530" s="2">
        <v>1</v>
      </c>
      <c r="AC530" s="2">
        <v>3.0000000000000001E-3</v>
      </c>
      <c r="AL530" s="89">
        <v>117</v>
      </c>
      <c r="AM530" s="2">
        <v>49</v>
      </c>
      <c r="AN530" s="2">
        <v>1</v>
      </c>
      <c r="AO530" s="2">
        <v>0.27052939999999998</v>
      </c>
      <c r="AX530" s="89">
        <v>120</v>
      </c>
      <c r="AY530" s="2">
        <v>51</v>
      </c>
      <c r="AZ530" s="2">
        <v>0</v>
      </c>
      <c r="BA530" s="2">
        <v>3.0000000000000001E-3</v>
      </c>
      <c r="BJ530" s="89">
        <v>133</v>
      </c>
      <c r="BK530" s="2">
        <v>50</v>
      </c>
      <c r="BL530" s="2">
        <v>0</v>
      </c>
      <c r="BM530" s="2">
        <v>3.0000000000000001E-3</v>
      </c>
      <c r="BV530" s="89">
        <v>130</v>
      </c>
      <c r="BW530" s="2">
        <v>50</v>
      </c>
      <c r="BX530" s="2">
        <v>0</v>
      </c>
      <c r="BY530" s="2">
        <v>0.1694457</v>
      </c>
      <c r="CH530" s="89">
        <v>128</v>
      </c>
      <c r="CI530" s="2">
        <v>50</v>
      </c>
      <c r="CJ530" s="2">
        <v>0</v>
      </c>
      <c r="CK530" s="2">
        <v>0.20499999999999999</v>
      </c>
      <c r="CT530" s="89">
        <v>115</v>
      </c>
      <c r="CU530" s="2">
        <v>50</v>
      </c>
      <c r="CV530" s="2">
        <v>0</v>
      </c>
      <c r="CW530" s="2">
        <v>0.16222639999999999</v>
      </c>
      <c r="DF530" s="89">
        <v>125</v>
      </c>
      <c r="DG530" s="2">
        <v>50</v>
      </c>
      <c r="DH530" s="2">
        <v>1</v>
      </c>
      <c r="DI530" s="2">
        <v>0.92419180000000001</v>
      </c>
      <c r="DR530" s="89">
        <v>117</v>
      </c>
      <c r="DS530" s="2">
        <v>49</v>
      </c>
      <c r="DT530" s="2">
        <v>1</v>
      </c>
      <c r="DU530" s="2">
        <v>0.89456250000000004</v>
      </c>
      <c r="ED530" s="89">
        <v>127</v>
      </c>
      <c r="EE530" s="2">
        <v>50</v>
      </c>
      <c r="EF530" s="2">
        <v>1</v>
      </c>
      <c r="EG530" s="2">
        <v>0.14861469999999999</v>
      </c>
      <c r="ES530">
        <v>127</v>
      </c>
      <c r="ET530">
        <v>50</v>
      </c>
      <c r="EU530">
        <v>1</v>
      </c>
      <c r="EV530">
        <v>0.14861469999999999</v>
      </c>
    </row>
    <row r="531" spans="14:152" x14ac:dyDescent="0.4">
      <c r="N531" s="89">
        <v>123</v>
      </c>
      <c r="O531" s="2">
        <v>49</v>
      </c>
      <c r="P531" s="2">
        <v>1</v>
      </c>
      <c r="Q531" s="2">
        <v>9.8148149999999993E-4</v>
      </c>
      <c r="Z531" s="89">
        <v>127</v>
      </c>
      <c r="AA531" s="2">
        <v>49</v>
      </c>
      <c r="AB531" s="2">
        <v>0</v>
      </c>
      <c r="AC531" s="2">
        <v>1E-3</v>
      </c>
      <c r="AL531" s="89">
        <v>118</v>
      </c>
      <c r="AM531" s="2">
        <v>49</v>
      </c>
      <c r="AN531" s="2">
        <v>0</v>
      </c>
      <c r="AO531" s="2">
        <v>0.64421030000000001</v>
      </c>
      <c r="AX531" s="89">
        <v>120</v>
      </c>
      <c r="AY531" s="2">
        <v>51</v>
      </c>
      <c r="AZ531" s="2">
        <v>1</v>
      </c>
      <c r="BA531" s="2">
        <v>1.6E-2</v>
      </c>
      <c r="BJ531" s="89">
        <v>119</v>
      </c>
      <c r="BK531" s="2">
        <v>51</v>
      </c>
      <c r="BL531" s="2">
        <v>0</v>
      </c>
      <c r="BM531" s="2">
        <v>1.4E-2</v>
      </c>
      <c r="BV531" s="89">
        <v>130</v>
      </c>
      <c r="BW531" s="2">
        <v>50</v>
      </c>
      <c r="BX531" s="2">
        <v>1</v>
      </c>
      <c r="BY531" s="2">
        <v>0.14158960000000001</v>
      </c>
      <c r="CH531" s="89">
        <v>128</v>
      </c>
      <c r="CI531" s="2">
        <v>50</v>
      </c>
      <c r="CJ531" s="2">
        <v>1</v>
      </c>
      <c r="CK531" s="2">
        <v>9.7371529999999998E-2</v>
      </c>
      <c r="CT531" s="89">
        <v>116</v>
      </c>
      <c r="CU531" s="2">
        <v>50</v>
      </c>
      <c r="CV531" s="2">
        <v>0</v>
      </c>
      <c r="CW531" s="2">
        <v>0.309</v>
      </c>
      <c r="DF531" s="89">
        <v>126</v>
      </c>
      <c r="DG531" s="2">
        <v>50</v>
      </c>
      <c r="DH531" s="2">
        <v>0</v>
      </c>
      <c r="DI531" s="2">
        <v>1.7302839999999999</v>
      </c>
      <c r="DR531" s="89">
        <v>118</v>
      </c>
      <c r="DS531" s="2">
        <v>49</v>
      </c>
      <c r="DT531" s="2">
        <v>0</v>
      </c>
      <c r="DU531" s="2">
        <v>1.723074</v>
      </c>
      <c r="ED531" s="89">
        <v>128</v>
      </c>
      <c r="EE531" s="2">
        <v>50</v>
      </c>
      <c r="EF531" s="2">
        <v>0</v>
      </c>
      <c r="EG531" s="2">
        <v>0.4</v>
      </c>
      <c r="ES531">
        <v>128</v>
      </c>
      <c r="ET531">
        <v>50</v>
      </c>
      <c r="EU531">
        <v>0</v>
      </c>
      <c r="EV531">
        <v>0.4</v>
      </c>
    </row>
    <row r="532" spans="14:152" x14ac:dyDescent="0.4">
      <c r="N532" s="89">
        <v>124</v>
      </c>
      <c r="O532" s="2">
        <v>49</v>
      </c>
      <c r="P532" s="2">
        <v>0</v>
      </c>
      <c r="Q532" s="2">
        <v>5.0000000000000001E-3</v>
      </c>
      <c r="Z532" s="89">
        <v>129</v>
      </c>
      <c r="AA532" s="2">
        <v>49</v>
      </c>
      <c r="AB532" s="2">
        <v>0</v>
      </c>
      <c r="AC532" s="2">
        <v>1E-3</v>
      </c>
      <c r="AL532" s="89">
        <v>118</v>
      </c>
      <c r="AM532" s="2">
        <v>49</v>
      </c>
      <c r="AN532" s="2">
        <v>1</v>
      </c>
      <c r="AO532" s="2">
        <v>0.74060139999999997</v>
      </c>
      <c r="AX532" s="89">
        <v>121</v>
      </c>
      <c r="AY532" s="2">
        <v>51</v>
      </c>
      <c r="AZ532" s="2">
        <v>0</v>
      </c>
      <c r="BA532" s="2">
        <v>3.6019839999999999</v>
      </c>
      <c r="BJ532" s="89">
        <v>119</v>
      </c>
      <c r="BK532" s="2">
        <v>51</v>
      </c>
      <c r="BL532" s="2">
        <v>1</v>
      </c>
      <c r="BM532" s="2">
        <v>3.0000000000000001E-3</v>
      </c>
      <c r="BV532" s="89">
        <v>131</v>
      </c>
      <c r="BW532" s="2">
        <v>50</v>
      </c>
      <c r="BX532" s="2">
        <v>0</v>
      </c>
      <c r="BY532" s="2">
        <v>7.6064999999999994E-2</v>
      </c>
      <c r="CH532" s="89">
        <v>129</v>
      </c>
      <c r="CI532" s="2">
        <v>50</v>
      </c>
      <c r="CJ532" s="2">
        <v>0</v>
      </c>
      <c r="CK532" s="2">
        <v>4.592338E-2</v>
      </c>
      <c r="CT532" s="89">
        <v>117</v>
      </c>
      <c r="CU532" s="2">
        <v>50</v>
      </c>
      <c r="CV532" s="2">
        <v>0</v>
      </c>
      <c r="CW532" s="2">
        <v>3.9505059999999999</v>
      </c>
      <c r="DF532" s="89">
        <v>127</v>
      </c>
      <c r="DG532" s="2">
        <v>50</v>
      </c>
      <c r="DH532" s="2">
        <v>0</v>
      </c>
      <c r="DI532" s="2">
        <v>0.88221400000000005</v>
      </c>
      <c r="DR532" s="89">
        <v>118</v>
      </c>
      <c r="DS532" s="2">
        <v>49</v>
      </c>
      <c r="DT532" s="2">
        <v>1</v>
      </c>
      <c r="DU532" s="2">
        <v>0.39904279999999998</v>
      </c>
      <c r="ED532" s="89">
        <v>128</v>
      </c>
      <c r="EE532" s="2">
        <v>50</v>
      </c>
      <c r="EF532" s="2">
        <v>1</v>
      </c>
      <c r="EG532" s="2">
        <v>0.21050089999999999</v>
      </c>
      <c r="ES532">
        <v>128</v>
      </c>
      <c r="ET532">
        <v>50</v>
      </c>
      <c r="EU532">
        <v>1</v>
      </c>
      <c r="EV532">
        <v>0.21050089999999999</v>
      </c>
    </row>
    <row r="533" spans="14:152" x14ac:dyDescent="0.4">
      <c r="N533" s="89">
        <v>124</v>
      </c>
      <c r="O533" s="2">
        <v>49</v>
      </c>
      <c r="P533" s="2">
        <v>1</v>
      </c>
      <c r="Q533" s="2">
        <v>1.6E-2</v>
      </c>
      <c r="Z533" s="89">
        <v>114</v>
      </c>
      <c r="AA533" s="2">
        <v>50</v>
      </c>
      <c r="AB533" s="2">
        <v>0</v>
      </c>
      <c r="AC533" s="2">
        <v>4.7227699999999997E-2</v>
      </c>
      <c r="AL533" s="89">
        <v>118</v>
      </c>
      <c r="AM533" s="2">
        <v>49</v>
      </c>
      <c r="AN533" s="2">
        <v>2</v>
      </c>
      <c r="AO533" s="2">
        <v>0.58278830000000004</v>
      </c>
      <c r="AX533" s="89">
        <v>122</v>
      </c>
      <c r="AY533" s="2">
        <v>51</v>
      </c>
      <c r="AZ533" s="2">
        <v>0</v>
      </c>
      <c r="BA533" s="2">
        <v>0.20799999999999999</v>
      </c>
      <c r="BJ533" s="89">
        <v>120</v>
      </c>
      <c r="BK533" s="2">
        <v>51</v>
      </c>
      <c r="BL533" s="2">
        <v>0</v>
      </c>
      <c r="BM533" s="2">
        <v>0.02</v>
      </c>
      <c r="BV533" s="89">
        <v>131</v>
      </c>
      <c r="BW533" s="2">
        <v>50</v>
      </c>
      <c r="BX533" s="2">
        <v>1</v>
      </c>
      <c r="BY533" s="2">
        <v>0.1068997</v>
      </c>
      <c r="CH533" s="89">
        <v>129</v>
      </c>
      <c r="CI533" s="2">
        <v>50</v>
      </c>
      <c r="CJ533" s="2">
        <v>1</v>
      </c>
      <c r="CK533" s="2">
        <v>6.9073880000000004E-2</v>
      </c>
      <c r="CT533" s="89">
        <v>117</v>
      </c>
      <c r="CU533" s="2">
        <v>50</v>
      </c>
      <c r="CV533" s="2">
        <v>1</v>
      </c>
      <c r="CW533" s="2">
        <v>6.5173540000000002E-2</v>
      </c>
      <c r="DF533" s="89">
        <v>127</v>
      </c>
      <c r="DG533" s="2">
        <v>50</v>
      </c>
      <c r="DH533" s="2">
        <v>1</v>
      </c>
      <c r="DI533" s="2">
        <v>0.45350200000000002</v>
      </c>
      <c r="DR533" s="89">
        <v>118</v>
      </c>
      <c r="DS533" s="2">
        <v>49</v>
      </c>
      <c r="DT533" s="2">
        <v>2</v>
      </c>
      <c r="DU533" s="2">
        <v>0.33421299999999998</v>
      </c>
      <c r="ED533" s="89">
        <v>129</v>
      </c>
      <c r="EE533" s="2">
        <v>50</v>
      </c>
      <c r="EF533" s="2">
        <v>0</v>
      </c>
      <c r="EG533" s="2">
        <v>7.4845060000000005E-2</v>
      </c>
      <c r="ES533">
        <v>129</v>
      </c>
      <c r="ET533">
        <v>50</v>
      </c>
      <c r="EU533">
        <v>0</v>
      </c>
      <c r="EV533">
        <v>7.4845060000000005E-2</v>
      </c>
    </row>
    <row r="534" spans="14:152" x14ac:dyDescent="0.4">
      <c r="N534" s="89">
        <v>125</v>
      </c>
      <c r="O534" s="2">
        <v>49</v>
      </c>
      <c r="P534" s="2">
        <v>0</v>
      </c>
      <c r="Q534" s="2">
        <v>5.1428569999999998E-3</v>
      </c>
      <c r="Z534" s="89">
        <v>115</v>
      </c>
      <c r="AA534" s="2">
        <v>50</v>
      </c>
      <c r="AB534" s="2">
        <v>0</v>
      </c>
      <c r="AC534" s="2">
        <v>7.8649250000000004E-2</v>
      </c>
      <c r="AL534" s="89">
        <v>119</v>
      </c>
      <c r="AM534" s="2">
        <v>49</v>
      </c>
      <c r="AN534" s="2">
        <v>0</v>
      </c>
      <c r="AO534" s="2">
        <v>0.90680970000000005</v>
      </c>
      <c r="AX534" s="89">
        <v>122</v>
      </c>
      <c r="AY534" s="2">
        <v>51</v>
      </c>
      <c r="AZ534" s="2">
        <v>1</v>
      </c>
      <c r="BA534" s="2">
        <v>0.15210570000000001</v>
      </c>
      <c r="BJ534" s="89">
        <v>120</v>
      </c>
      <c r="BK534" s="2">
        <v>51</v>
      </c>
      <c r="BL534" s="2">
        <v>1</v>
      </c>
      <c r="BM534" s="2">
        <v>4.4999999999999998E-2</v>
      </c>
      <c r="BV534" s="89">
        <v>132</v>
      </c>
      <c r="BW534" s="2">
        <v>50</v>
      </c>
      <c r="BX534" s="2">
        <v>0</v>
      </c>
      <c r="BY534" s="2">
        <v>0.115</v>
      </c>
      <c r="CH534" s="89">
        <v>130</v>
      </c>
      <c r="CI534" s="2">
        <v>50</v>
      </c>
      <c r="CJ534" s="2">
        <v>0</v>
      </c>
      <c r="CK534" s="2">
        <v>3.6566670000000003E-2</v>
      </c>
      <c r="CT534" s="89">
        <v>118</v>
      </c>
      <c r="CU534" s="2">
        <v>50</v>
      </c>
      <c r="CV534" s="2">
        <v>0</v>
      </c>
      <c r="CW534" s="2">
        <v>3.9854530000000001</v>
      </c>
      <c r="DF534" s="89">
        <v>128</v>
      </c>
      <c r="DG534" s="2">
        <v>50</v>
      </c>
      <c r="DH534" s="2">
        <v>0</v>
      </c>
      <c r="DI534" s="2">
        <v>1.069</v>
      </c>
      <c r="DR534" s="89">
        <v>119</v>
      </c>
      <c r="DS534" s="2">
        <v>49</v>
      </c>
      <c r="DT534" s="2">
        <v>0</v>
      </c>
      <c r="DU534" s="2">
        <v>1.501377</v>
      </c>
      <c r="ED534" s="89">
        <v>129</v>
      </c>
      <c r="EE534" s="2">
        <v>50</v>
      </c>
      <c r="EF534" s="2">
        <v>1</v>
      </c>
      <c r="EG534" s="2">
        <v>0.18214330000000001</v>
      </c>
      <c r="ES534">
        <v>129</v>
      </c>
      <c r="ET534">
        <v>50</v>
      </c>
      <c r="EU534">
        <v>1</v>
      </c>
      <c r="EV534">
        <v>0.18214330000000001</v>
      </c>
    </row>
    <row r="535" spans="14:152" x14ac:dyDescent="0.4">
      <c r="N535" s="89">
        <v>125</v>
      </c>
      <c r="O535" s="2">
        <v>49</v>
      </c>
      <c r="P535" s="2">
        <v>1</v>
      </c>
      <c r="Q535" s="2">
        <v>8.5714299999999999E-4</v>
      </c>
      <c r="Z535" s="89">
        <v>116</v>
      </c>
      <c r="AA535" s="2">
        <v>50</v>
      </c>
      <c r="AB535" s="2">
        <v>0</v>
      </c>
      <c r="AC535" s="2">
        <v>0.39100000000000001</v>
      </c>
      <c r="AL535" s="89">
        <v>119</v>
      </c>
      <c r="AM535" s="2">
        <v>49</v>
      </c>
      <c r="AN535" s="2">
        <v>1</v>
      </c>
      <c r="AO535" s="2">
        <v>6.3760949999999997E-2</v>
      </c>
      <c r="AX535" s="89">
        <v>123</v>
      </c>
      <c r="AY535" s="2">
        <v>51</v>
      </c>
      <c r="AZ535" s="2">
        <v>0</v>
      </c>
      <c r="BA535" s="2">
        <v>3.0630009999999999</v>
      </c>
      <c r="BJ535" s="89">
        <v>121</v>
      </c>
      <c r="BK535" s="2">
        <v>51</v>
      </c>
      <c r="BL535" s="2">
        <v>0</v>
      </c>
      <c r="BM535" s="2">
        <v>4.3449920000000004</v>
      </c>
      <c r="BV535" s="89">
        <v>133</v>
      </c>
      <c r="BW535" s="2">
        <v>50</v>
      </c>
      <c r="BX535" s="2">
        <v>0</v>
      </c>
      <c r="BY535" s="2">
        <v>2.3E-2</v>
      </c>
      <c r="CH535" s="89">
        <v>130</v>
      </c>
      <c r="CI535" s="2">
        <v>50</v>
      </c>
      <c r="CJ535" s="2">
        <v>1</v>
      </c>
      <c r="CK535" s="2">
        <v>2.043333E-2</v>
      </c>
      <c r="CT535" s="89">
        <v>119</v>
      </c>
      <c r="CU535" s="2">
        <v>50</v>
      </c>
      <c r="CV535" s="2">
        <v>0</v>
      </c>
      <c r="CW535" s="2">
        <v>3.8390599999999999</v>
      </c>
      <c r="DF535" s="89">
        <v>128</v>
      </c>
      <c r="DG535" s="2">
        <v>50</v>
      </c>
      <c r="DH535" s="2">
        <v>1</v>
      </c>
      <c r="DI535" s="2">
        <v>0.54102720000000004</v>
      </c>
      <c r="DR535" s="89">
        <v>119</v>
      </c>
      <c r="DS535" s="2">
        <v>49</v>
      </c>
      <c r="DT535" s="2">
        <v>1</v>
      </c>
      <c r="DU535" s="2">
        <v>0.32599739999999999</v>
      </c>
      <c r="ED535" s="89">
        <v>130</v>
      </c>
      <c r="EE535" s="2">
        <v>50</v>
      </c>
      <c r="EF535" s="2">
        <v>0</v>
      </c>
      <c r="EG535" s="2">
        <v>0.1067584</v>
      </c>
      <c r="ES535">
        <v>130</v>
      </c>
      <c r="ET535">
        <v>50</v>
      </c>
      <c r="EU535">
        <v>0</v>
      </c>
      <c r="EV535">
        <v>0.1067584</v>
      </c>
    </row>
    <row r="536" spans="14:152" x14ac:dyDescent="0.4">
      <c r="N536" s="89">
        <v>126</v>
      </c>
      <c r="O536" s="2">
        <v>49</v>
      </c>
      <c r="P536" s="2">
        <v>0</v>
      </c>
      <c r="Q536" s="2">
        <v>1E-3</v>
      </c>
      <c r="Z536" s="89">
        <v>117</v>
      </c>
      <c r="AA536" s="2">
        <v>50</v>
      </c>
      <c r="AB536" s="2">
        <v>0</v>
      </c>
      <c r="AC536" s="2">
        <v>2.071088</v>
      </c>
      <c r="AL536" s="89">
        <v>120</v>
      </c>
      <c r="AM536" s="2">
        <v>49</v>
      </c>
      <c r="AN536" s="2">
        <v>0</v>
      </c>
      <c r="AO536" s="2">
        <v>0.1409839</v>
      </c>
      <c r="AX536" s="89">
        <v>124</v>
      </c>
      <c r="AY536" s="2">
        <v>51</v>
      </c>
      <c r="AZ536" s="2">
        <v>0</v>
      </c>
      <c r="BA536" s="2">
        <v>0.7226863</v>
      </c>
      <c r="BJ536" s="89">
        <v>122</v>
      </c>
      <c r="BK536" s="2">
        <v>51</v>
      </c>
      <c r="BL536" s="2">
        <v>0</v>
      </c>
      <c r="BM536" s="2">
        <v>0.51900000000000002</v>
      </c>
      <c r="BV536" s="89">
        <v>134</v>
      </c>
      <c r="BW536" s="2">
        <v>50</v>
      </c>
      <c r="BX536" s="2">
        <v>0</v>
      </c>
      <c r="BY536" s="2">
        <v>6.0000000000000001E-3</v>
      </c>
      <c r="CH536" s="89">
        <v>131</v>
      </c>
      <c r="CI536" s="2">
        <v>50</v>
      </c>
      <c r="CJ536" s="2">
        <v>0</v>
      </c>
      <c r="CK536" s="2">
        <v>1.004348E-2</v>
      </c>
      <c r="CT536" s="89">
        <v>119</v>
      </c>
      <c r="CU536" s="2">
        <v>50</v>
      </c>
      <c r="CV536" s="2">
        <v>1</v>
      </c>
      <c r="CW536" s="2">
        <v>2.86883</v>
      </c>
      <c r="DF536" s="89">
        <v>129</v>
      </c>
      <c r="DG536" s="2">
        <v>50</v>
      </c>
      <c r="DH536" s="2">
        <v>0</v>
      </c>
      <c r="DI536" s="2">
        <v>0.28386529999999999</v>
      </c>
      <c r="DR536" s="89">
        <v>120</v>
      </c>
      <c r="DS536" s="2">
        <v>49</v>
      </c>
      <c r="DT536" s="2">
        <v>0</v>
      </c>
      <c r="DU536" s="2">
        <v>0.73829210000000001</v>
      </c>
      <c r="ED536" s="89">
        <v>130</v>
      </c>
      <c r="EE536" s="2">
        <v>50</v>
      </c>
      <c r="EF536" s="2">
        <v>1</v>
      </c>
      <c r="EG536" s="2">
        <v>7.3241600000000004E-2</v>
      </c>
      <c r="ES536">
        <v>130</v>
      </c>
      <c r="ET536">
        <v>50</v>
      </c>
      <c r="EU536">
        <v>1</v>
      </c>
      <c r="EV536">
        <v>7.3241600000000004E-2</v>
      </c>
    </row>
    <row r="537" spans="14:152" x14ac:dyDescent="0.4">
      <c r="N537" s="89">
        <v>126</v>
      </c>
      <c r="O537" s="2">
        <v>49</v>
      </c>
      <c r="P537" s="2">
        <v>1</v>
      </c>
      <c r="Q537" s="2">
        <v>3.0000000000000001E-3</v>
      </c>
      <c r="Z537" s="89">
        <v>117</v>
      </c>
      <c r="AA537" s="2">
        <v>50</v>
      </c>
      <c r="AB537" s="2">
        <v>1</v>
      </c>
      <c r="AC537" s="2">
        <v>8.3090079999999997E-2</v>
      </c>
      <c r="AL537" s="89">
        <v>120</v>
      </c>
      <c r="AM537" s="2">
        <v>49</v>
      </c>
      <c r="AN537" s="2">
        <v>1</v>
      </c>
      <c r="AO537" s="2">
        <v>8.2930879999999998E-2</v>
      </c>
      <c r="AX537" s="89">
        <v>124</v>
      </c>
      <c r="AY537" s="2">
        <v>51</v>
      </c>
      <c r="AZ537" s="2">
        <v>1</v>
      </c>
      <c r="BA537" s="2">
        <v>0.75325520000000001</v>
      </c>
      <c r="BJ537" s="89">
        <v>122</v>
      </c>
      <c r="BK537" s="2">
        <v>51</v>
      </c>
      <c r="BL537" s="2">
        <v>1</v>
      </c>
      <c r="BM537" s="2">
        <v>0.35895189999999999</v>
      </c>
      <c r="BV537" s="89">
        <v>135</v>
      </c>
      <c r="BW537" s="2">
        <v>50</v>
      </c>
      <c r="BX537" s="2">
        <v>0</v>
      </c>
      <c r="BY537" s="2">
        <v>1E-3</v>
      </c>
      <c r="CH537" s="89">
        <v>131</v>
      </c>
      <c r="CI537" s="2">
        <v>50</v>
      </c>
      <c r="CJ537" s="2">
        <v>1</v>
      </c>
      <c r="CK537" s="2">
        <v>1.0956520000000001E-2</v>
      </c>
      <c r="CT537" s="89">
        <v>120</v>
      </c>
      <c r="CU537" s="2">
        <v>50</v>
      </c>
      <c r="CV537" s="2">
        <v>0</v>
      </c>
      <c r="CW537" s="2">
        <v>3.8649460000000002</v>
      </c>
      <c r="DF537" s="89">
        <v>129</v>
      </c>
      <c r="DG537" s="2">
        <v>50</v>
      </c>
      <c r="DH537" s="2">
        <v>1</v>
      </c>
      <c r="DI537" s="2">
        <v>0.54220089999999999</v>
      </c>
      <c r="DR537" s="89">
        <v>120</v>
      </c>
      <c r="DS537" s="2">
        <v>49</v>
      </c>
      <c r="DT537" s="2">
        <v>1</v>
      </c>
      <c r="DU537" s="2">
        <v>0.13268930000000001</v>
      </c>
      <c r="ED537" s="89">
        <v>131</v>
      </c>
      <c r="EE537" s="2">
        <v>50</v>
      </c>
      <c r="EF537" s="2">
        <v>0</v>
      </c>
      <c r="EG537" s="2">
        <v>5.1199729999999999E-2</v>
      </c>
      <c r="ES537">
        <v>131</v>
      </c>
      <c r="ET537">
        <v>50</v>
      </c>
      <c r="EU537">
        <v>0</v>
      </c>
      <c r="EV537">
        <v>5.1199729999999999E-2</v>
      </c>
    </row>
    <row r="538" spans="14:152" x14ac:dyDescent="0.4">
      <c r="N538" s="89">
        <v>127</v>
      </c>
      <c r="O538" s="2">
        <v>49</v>
      </c>
      <c r="P538" s="2">
        <v>0</v>
      </c>
      <c r="Q538" s="2">
        <v>2E-3</v>
      </c>
      <c r="Z538" s="89">
        <v>118</v>
      </c>
      <c r="AA538" s="2">
        <v>50</v>
      </c>
      <c r="AB538" s="2">
        <v>0</v>
      </c>
      <c r="AC538" s="2">
        <v>1.8379129999999999</v>
      </c>
      <c r="AL538" s="89">
        <v>120</v>
      </c>
      <c r="AM538" s="2">
        <v>49</v>
      </c>
      <c r="AN538" s="2">
        <v>2</v>
      </c>
      <c r="AO538" s="2">
        <v>0.29308529999999999</v>
      </c>
      <c r="AX538" s="89">
        <v>124</v>
      </c>
      <c r="AY538" s="2">
        <v>51</v>
      </c>
      <c r="AZ538" s="2">
        <v>2</v>
      </c>
      <c r="BA538" s="2">
        <v>0.56284120000000004</v>
      </c>
      <c r="BJ538" s="89">
        <v>123</v>
      </c>
      <c r="BK538" s="2">
        <v>51</v>
      </c>
      <c r="BL538" s="2">
        <v>0</v>
      </c>
      <c r="BM538" s="2">
        <v>3.828001</v>
      </c>
      <c r="BV538" s="89">
        <v>119</v>
      </c>
      <c r="BW538" s="2">
        <v>51</v>
      </c>
      <c r="BX538" s="2">
        <v>0</v>
      </c>
      <c r="BY538" s="2">
        <v>2E-3</v>
      </c>
      <c r="CH538" s="89">
        <v>132</v>
      </c>
      <c r="CI538" s="2">
        <v>50</v>
      </c>
      <c r="CJ538" s="2">
        <v>0</v>
      </c>
      <c r="CK538" s="2">
        <v>4.0000000000000001E-3</v>
      </c>
      <c r="CT538" s="89">
        <v>121</v>
      </c>
      <c r="CU538" s="2">
        <v>50</v>
      </c>
      <c r="CV538" s="2">
        <v>0</v>
      </c>
      <c r="CW538" s="2">
        <v>3.186963</v>
      </c>
      <c r="DF538" s="89">
        <v>130</v>
      </c>
      <c r="DG538" s="2">
        <v>50</v>
      </c>
      <c r="DH538" s="2">
        <v>0</v>
      </c>
      <c r="DI538" s="2">
        <v>0.3874302</v>
      </c>
      <c r="DR538" s="89">
        <v>120</v>
      </c>
      <c r="DS538" s="2">
        <v>49</v>
      </c>
      <c r="DT538" s="2">
        <v>2</v>
      </c>
      <c r="DU538" s="2">
        <v>0.54592169999999995</v>
      </c>
      <c r="ED538" s="89">
        <v>131</v>
      </c>
      <c r="EE538" s="2">
        <v>50</v>
      </c>
      <c r="EF538" s="2">
        <v>1</v>
      </c>
      <c r="EG538" s="2">
        <v>5.7800270000000001E-2</v>
      </c>
      <c r="ES538">
        <v>131</v>
      </c>
      <c r="ET538">
        <v>50</v>
      </c>
      <c r="EU538">
        <v>1</v>
      </c>
      <c r="EV538">
        <v>5.7800270000000001E-2</v>
      </c>
    </row>
    <row r="539" spans="14:152" x14ac:dyDescent="0.4">
      <c r="N539" s="89">
        <v>112</v>
      </c>
      <c r="O539" s="2">
        <v>50</v>
      </c>
      <c r="P539" s="2">
        <v>0</v>
      </c>
      <c r="Q539" s="2">
        <v>2.64E-3</v>
      </c>
      <c r="Z539" s="89">
        <v>119</v>
      </c>
      <c r="AA539" s="2">
        <v>50</v>
      </c>
      <c r="AB539" s="2">
        <v>0</v>
      </c>
      <c r="AC539" s="2">
        <v>1.6040589999999999</v>
      </c>
      <c r="AL539" s="89">
        <v>121</v>
      </c>
      <c r="AM539" s="2">
        <v>49</v>
      </c>
      <c r="AN539" s="2">
        <v>0</v>
      </c>
      <c r="AO539" s="2">
        <v>0.2876862</v>
      </c>
      <c r="AX539" s="89">
        <v>125</v>
      </c>
      <c r="AY539" s="2">
        <v>51</v>
      </c>
      <c r="AZ539" s="2">
        <v>0</v>
      </c>
      <c r="BA539" s="2">
        <v>2.2759999999999998</v>
      </c>
      <c r="BJ539" s="89">
        <v>124</v>
      </c>
      <c r="BK539" s="2">
        <v>51</v>
      </c>
      <c r="BL539" s="2">
        <v>0</v>
      </c>
      <c r="BM539" s="2">
        <v>1.178841</v>
      </c>
      <c r="BV539" s="89">
        <v>120</v>
      </c>
      <c r="BW539" s="2">
        <v>51</v>
      </c>
      <c r="BX539" s="2">
        <v>0</v>
      </c>
      <c r="BY539" s="2">
        <v>2E-3</v>
      </c>
      <c r="CH539" s="89">
        <v>133</v>
      </c>
      <c r="CI539" s="2">
        <v>50</v>
      </c>
      <c r="CJ539" s="2">
        <v>0</v>
      </c>
      <c r="CK539" s="2">
        <v>2E-3</v>
      </c>
      <c r="CT539" s="89">
        <v>121</v>
      </c>
      <c r="CU539" s="2">
        <v>50</v>
      </c>
      <c r="CV539" s="2">
        <v>1</v>
      </c>
      <c r="CW539" s="2">
        <v>1.3304990000000001</v>
      </c>
      <c r="DF539" s="89">
        <v>130</v>
      </c>
      <c r="DG539" s="2">
        <v>50</v>
      </c>
      <c r="DH539" s="2">
        <v>1</v>
      </c>
      <c r="DI539" s="2">
        <v>0.33859739999999999</v>
      </c>
      <c r="DR539" s="89">
        <v>121</v>
      </c>
      <c r="DS539" s="2">
        <v>49</v>
      </c>
      <c r="DT539" s="2">
        <v>0</v>
      </c>
      <c r="DU539" s="2">
        <v>0.9179832</v>
      </c>
      <c r="ED539" s="89">
        <v>132</v>
      </c>
      <c r="EE539" s="2">
        <v>50</v>
      </c>
      <c r="EF539" s="2">
        <v>0</v>
      </c>
      <c r="EG539" s="2">
        <v>3.5999999999999997E-2</v>
      </c>
      <c r="ES539">
        <v>132</v>
      </c>
      <c r="ET539">
        <v>50</v>
      </c>
      <c r="EU539">
        <v>0</v>
      </c>
      <c r="EV539">
        <v>3.5999999999999997E-2</v>
      </c>
    </row>
    <row r="540" spans="14:152" x14ac:dyDescent="0.4">
      <c r="N540" s="89">
        <v>114</v>
      </c>
      <c r="O540" s="2">
        <v>50</v>
      </c>
      <c r="P540" s="2">
        <v>0</v>
      </c>
      <c r="Q540" s="2">
        <v>6.9351549999999998E-2</v>
      </c>
      <c r="Z540" s="89">
        <v>119</v>
      </c>
      <c r="AA540" s="2">
        <v>50</v>
      </c>
      <c r="AB540" s="2">
        <v>1</v>
      </c>
      <c r="AC540" s="2">
        <v>1.327582</v>
      </c>
      <c r="AL540" s="89">
        <v>121</v>
      </c>
      <c r="AM540" s="2">
        <v>49</v>
      </c>
      <c r="AN540" s="2">
        <v>1</v>
      </c>
      <c r="AO540" s="2">
        <v>1.4487720000000001E-2</v>
      </c>
      <c r="AX540" s="89">
        <v>126</v>
      </c>
      <c r="AY540" s="2">
        <v>51</v>
      </c>
      <c r="AZ540" s="2">
        <v>0</v>
      </c>
      <c r="BA540" s="2">
        <v>0.82480070000000005</v>
      </c>
      <c r="BJ540" s="89">
        <v>124</v>
      </c>
      <c r="BK540" s="2">
        <v>51</v>
      </c>
      <c r="BL540" s="2">
        <v>1</v>
      </c>
      <c r="BM540" s="2">
        <v>1.2806340000000001</v>
      </c>
      <c r="BV540" s="89">
        <v>120</v>
      </c>
      <c r="BW540" s="2">
        <v>51</v>
      </c>
      <c r="BX540" s="2">
        <v>1</v>
      </c>
      <c r="BY540" s="2">
        <v>2E-3</v>
      </c>
      <c r="CH540" s="89">
        <v>116</v>
      </c>
      <c r="CI540" s="2">
        <v>51</v>
      </c>
      <c r="CJ540" s="2">
        <v>1</v>
      </c>
      <c r="CK540" s="2">
        <v>1E-3</v>
      </c>
      <c r="CT540" s="89">
        <v>122</v>
      </c>
      <c r="CU540" s="2">
        <v>50</v>
      </c>
      <c r="CV540" s="2">
        <v>0</v>
      </c>
      <c r="CW540" s="2">
        <v>3.172145</v>
      </c>
      <c r="DF540" s="89">
        <v>131</v>
      </c>
      <c r="DG540" s="2">
        <v>50</v>
      </c>
      <c r="DH540" s="2">
        <v>0</v>
      </c>
      <c r="DI540" s="2">
        <v>0.20750250000000001</v>
      </c>
      <c r="DR540" s="89">
        <v>121</v>
      </c>
      <c r="DS540" s="2">
        <v>49</v>
      </c>
      <c r="DT540" s="2">
        <v>1</v>
      </c>
      <c r="DU540" s="2">
        <v>7.4893950000000001E-2</v>
      </c>
      <c r="ED540" s="89">
        <v>133</v>
      </c>
      <c r="EE540" s="2">
        <v>50</v>
      </c>
      <c r="EF540" s="2">
        <v>0</v>
      </c>
      <c r="EG540" s="2">
        <v>9.0000010000000005E-3</v>
      </c>
      <c r="ES540">
        <v>133</v>
      </c>
      <c r="ET540">
        <v>50</v>
      </c>
      <c r="EU540">
        <v>0</v>
      </c>
      <c r="EV540">
        <v>9.0000010000000005E-3</v>
      </c>
    </row>
    <row r="541" spans="14:152" x14ac:dyDescent="0.4">
      <c r="N541" s="89">
        <v>115</v>
      </c>
      <c r="O541" s="2">
        <v>50</v>
      </c>
      <c r="P541" s="2">
        <v>0</v>
      </c>
      <c r="Q541" s="2">
        <v>6.2000609999999998E-2</v>
      </c>
      <c r="Z541" s="89">
        <v>120</v>
      </c>
      <c r="AA541" s="2">
        <v>50</v>
      </c>
      <c r="AB541" s="2">
        <v>0</v>
      </c>
      <c r="AC541" s="2">
        <v>1.4139459999999999</v>
      </c>
      <c r="AL541" s="89">
        <v>122</v>
      </c>
      <c r="AM541" s="2">
        <v>49</v>
      </c>
      <c r="AN541" s="2">
        <v>0</v>
      </c>
      <c r="AO541" s="2">
        <v>3.2000000000000001E-2</v>
      </c>
      <c r="AX541" s="89">
        <v>126</v>
      </c>
      <c r="AY541" s="2">
        <v>51</v>
      </c>
      <c r="AZ541" s="2">
        <v>1</v>
      </c>
      <c r="BA541" s="2">
        <v>0.81274250000000003</v>
      </c>
      <c r="BJ541" s="89">
        <v>124</v>
      </c>
      <c r="BK541" s="2">
        <v>51</v>
      </c>
      <c r="BL541" s="2">
        <v>2</v>
      </c>
      <c r="BM541" s="2">
        <v>1.0470109999999999</v>
      </c>
      <c r="BV541" s="89">
        <v>121</v>
      </c>
      <c r="BW541" s="2">
        <v>51</v>
      </c>
      <c r="BX541" s="2">
        <v>0</v>
      </c>
      <c r="BY541" s="2">
        <v>3.826816</v>
      </c>
      <c r="CH541" s="89">
        <v>118</v>
      </c>
      <c r="CI541" s="2">
        <v>51</v>
      </c>
      <c r="CJ541" s="2">
        <v>0</v>
      </c>
      <c r="CK541" s="2">
        <v>1E-3</v>
      </c>
      <c r="CT541" s="89">
        <v>123</v>
      </c>
      <c r="CU541" s="2">
        <v>50</v>
      </c>
      <c r="CV541" s="2">
        <v>0</v>
      </c>
      <c r="CW541" s="2">
        <v>1.44628</v>
      </c>
      <c r="DF541" s="89">
        <v>131</v>
      </c>
      <c r="DG541" s="2">
        <v>50</v>
      </c>
      <c r="DH541" s="2">
        <v>1</v>
      </c>
      <c r="DI541" s="2">
        <v>0.27836499999999997</v>
      </c>
      <c r="DR541" s="89">
        <v>122</v>
      </c>
      <c r="DS541" s="2">
        <v>49</v>
      </c>
      <c r="DT541" s="2">
        <v>0</v>
      </c>
      <c r="DU541" s="2">
        <v>0.2169788</v>
      </c>
      <c r="ED541" s="89">
        <v>134</v>
      </c>
      <c r="EE541" s="2">
        <v>50</v>
      </c>
      <c r="EF541" s="2">
        <v>0</v>
      </c>
      <c r="EG541" s="2">
        <v>3.0000000000000001E-3</v>
      </c>
      <c r="ES541">
        <v>134</v>
      </c>
      <c r="ET541">
        <v>50</v>
      </c>
      <c r="EU541">
        <v>0</v>
      </c>
      <c r="EV541">
        <v>3.0000000000000001E-3</v>
      </c>
    </row>
    <row r="542" spans="14:152" x14ac:dyDescent="0.4">
      <c r="N542" s="89">
        <v>116</v>
      </c>
      <c r="O542" s="2">
        <v>50</v>
      </c>
      <c r="P542" s="2">
        <v>0</v>
      </c>
      <c r="Q542" s="2">
        <v>0.45400000000000001</v>
      </c>
      <c r="Z542" s="89">
        <v>121</v>
      </c>
      <c r="AA542" s="2">
        <v>50</v>
      </c>
      <c r="AB542" s="2">
        <v>0</v>
      </c>
      <c r="AC542" s="2">
        <v>0.94283039999999996</v>
      </c>
      <c r="AL542" s="89">
        <v>122</v>
      </c>
      <c r="AM542" s="2">
        <v>49</v>
      </c>
      <c r="AN542" s="2">
        <v>1</v>
      </c>
      <c r="AO542" s="2">
        <v>0.106</v>
      </c>
      <c r="AX542" s="89">
        <v>126</v>
      </c>
      <c r="AY542" s="2">
        <v>51</v>
      </c>
      <c r="AZ542" s="2">
        <v>2</v>
      </c>
      <c r="BA542" s="2">
        <v>0.1040966</v>
      </c>
      <c r="BJ542" s="89">
        <v>125</v>
      </c>
      <c r="BK542" s="2">
        <v>51</v>
      </c>
      <c r="BL542" s="2">
        <v>0</v>
      </c>
      <c r="BM542" s="2">
        <v>2.9470000000000001</v>
      </c>
      <c r="BV542" s="89">
        <v>122</v>
      </c>
      <c r="BW542" s="2">
        <v>51</v>
      </c>
      <c r="BX542" s="2">
        <v>0</v>
      </c>
      <c r="BY542" s="2">
        <v>9.8000000000000004E-2</v>
      </c>
      <c r="CH542" s="89">
        <v>118</v>
      </c>
      <c r="CI542" s="2">
        <v>51</v>
      </c>
      <c r="CJ542" s="2">
        <v>1</v>
      </c>
      <c r="CK542" s="2">
        <v>5.0000000000000001E-3</v>
      </c>
      <c r="CT542" s="89">
        <v>123</v>
      </c>
      <c r="CU542" s="2">
        <v>50</v>
      </c>
      <c r="CV542" s="2">
        <v>1</v>
      </c>
      <c r="CW542" s="2">
        <v>1.1827220000000001</v>
      </c>
      <c r="DF542" s="89">
        <v>132</v>
      </c>
      <c r="DG542" s="2">
        <v>50</v>
      </c>
      <c r="DH542" s="2">
        <v>0</v>
      </c>
      <c r="DI542" s="2">
        <v>0.29670000000000002</v>
      </c>
      <c r="DR542" s="89">
        <v>122</v>
      </c>
      <c r="DS542" s="2">
        <v>49</v>
      </c>
      <c r="DT542" s="2">
        <v>1</v>
      </c>
      <c r="DU542" s="2">
        <v>0.377</v>
      </c>
      <c r="ED542" s="89">
        <v>119</v>
      </c>
      <c r="EE542" s="2">
        <v>51</v>
      </c>
      <c r="EF542" s="2">
        <v>0</v>
      </c>
      <c r="EG542" s="2">
        <v>1E-3</v>
      </c>
      <c r="ES542">
        <v>119</v>
      </c>
      <c r="ET542">
        <v>51</v>
      </c>
      <c r="EU542">
        <v>0</v>
      </c>
      <c r="EV542">
        <v>1E-3</v>
      </c>
    </row>
    <row r="543" spans="14:152" x14ac:dyDescent="0.4">
      <c r="N543" s="89">
        <v>117</v>
      </c>
      <c r="O543" s="2">
        <v>50</v>
      </c>
      <c r="P543" s="2">
        <v>0</v>
      </c>
      <c r="Q543" s="2">
        <v>1.5600579999999999</v>
      </c>
      <c r="Z543" s="89">
        <v>121</v>
      </c>
      <c r="AA543" s="2">
        <v>50</v>
      </c>
      <c r="AB543" s="2">
        <v>1</v>
      </c>
      <c r="AC543" s="2">
        <v>0.57662590000000002</v>
      </c>
      <c r="AL543" s="89">
        <v>123</v>
      </c>
      <c r="AM543" s="2">
        <v>49</v>
      </c>
      <c r="AN543" s="2">
        <v>0</v>
      </c>
      <c r="AO543" s="2">
        <v>4.8293099999999999E-2</v>
      </c>
      <c r="AX543" s="89">
        <v>127</v>
      </c>
      <c r="AY543" s="2">
        <v>51</v>
      </c>
      <c r="AZ543" s="2">
        <v>0</v>
      </c>
      <c r="BA543" s="2">
        <v>1.5299469999999999</v>
      </c>
      <c r="BJ543" s="89">
        <v>126</v>
      </c>
      <c r="BK543" s="2">
        <v>51</v>
      </c>
      <c r="BL543" s="2">
        <v>0</v>
      </c>
      <c r="BM543" s="2">
        <v>1.131642</v>
      </c>
      <c r="BV543" s="89">
        <v>122</v>
      </c>
      <c r="BW543" s="2">
        <v>51</v>
      </c>
      <c r="BX543" s="2">
        <v>1</v>
      </c>
      <c r="BY543" s="2">
        <v>7.3742580000000002E-2</v>
      </c>
      <c r="CH543" s="89">
        <v>119</v>
      </c>
      <c r="CI543" s="2">
        <v>51</v>
      </c>
      <c r="CJ543" s="2">
        <v>0</v>
      </c>
      <c r="CK543" s="2">
        <v>2.9000000000000001E-2</v>
      </c>
      <c r="CT543" s="89">
        <v>124</v>
      </c>
      <c r="CU543" s="2">
        <v>50</v>
      </c>
      <c r="CV543" s="2">
        <v>0</v>
      </c>
      <c r="CW543" s="2">
        <v>2.046999</v>
      </c>
      <c r="DF543" s="89">
        <v>133</v>
      </c>
      <c r="DG543" s="2">
        <v>50</v>
      </c>
      <c r="DH543" s="2">
        <v>0</v>
      </c>
      <c r="DI543" s="2">
        <v>8.6300000000000002E-2</v>
      </c>
      <c r="DR543" s="89">
        <v>123</v>
      </c>
      <c r="DS543" s="2">
        <v>49</v>
      </c>
      <c r="DT543" s="2">
        <v>0</v>
      </c>
      <c r="DU543" s="2">
        <v>0.32187549999999998</v>
      </c>
      <c r="ED543" s="89">
        <v>120</v>
      </c>
      <c r="EE543" s="2">
        <v>51</v>
      </c>
      <c r="EF543" s="2">
        <v>0</v>
      </c>
      <c r="EG543" s="2">
        <v>2E-3</v>
      </c>
      <c r="ES543">
        <v>120</v>
      </c>
      <c r="ET543">
        <v>51</v>
      </c>
      <c r="EU543">
        <v>0</v>
      </c>
      <c r="EV543">
        <v>2E-3</v>
      </c>
    </row>
    <row r="544" spans="14:152" x14ac:dyDescent="0.4">
      <c r="N544" s="89">
        <v>117</v>
      </c>
      <c r="O544" s="2">
        <v>50</v>
      </c>
      <c r="P544" s="2">
        <v>1</v>
      </c>
      <c r="Q544" s="2">
        <v>9.9737190000000003E-2</v>
      </c>
      <c r="Z544" s="89">
        <v>122</v>
      </c>
      <c r="AA544" s="2">
        <v>50</v>
      </c>
      <c r="AB544" s="2">
        <v>0</v>
      </c>
      <c r="AC544" s="2">
        <v>0.74543119999999996</v>
      </c>
      <c r="AL544" s="89">
        <v>123</v>
      </c>
      <c r="AM544" s="2">
        <v>49</v>
      </c>
      <c r="AN544" s="2">
        <v>1</v>
      </c>
      <c r="AO544" s="2">
        <v>7.069E-4</v>
      </c>
      <c r="AX544" s="89">
        <v>128</v>
      </c>
      <c r="AY544" s="2">
        <v>51</v>
      </c>
      <c r="AZ544" s="2">
        <v>0</v>
      </c>
      <c r="BA544" s="2">
        <v>0.82940539999999996</v>
      </c>
      <c r="BJ544" s="89">
        <v>126</v>
      </c>
      <c r="BK544" s="2">
        <v>51</v>
      </c>
      <c r="BL544" s="2">
        <v>1</v>
      </c>
      <c r="BM544" s="2">
        <v>0.85320510000000005</v>
      </c>
      <c r="BV544" s="89">
        <v>123</v>
      </c>
      <c r="BW544" s="2">
        <v>51</v>
      </c>
      <c r="BX544" s="2">
        <v>0</v>
      </c>
      <c r="BY544" s="2">
        <v>3.5740029999999998</v>
      </c>
      <c r="CH544" s="89">
        <v>119</v>
      </c>
      <c r="CI544" s="2">
        <v>51</v>
      </c>
      <c r="CJ544" s="2">
        <v>1</v>
      </c>
      <c r="CK544" s="2">
        <v>1.0999999999999999E-2</v>
      </c>
      <c r="CT544" s="89">
        <v>125</v>
      </c>
      <c r="CU544" s="2">
        <v>50</v>
      </c>
      <c r="CV544" s="2">
        <v>0</v>
      </c>
      <c r="CW544" s="2">
        <v>0.96072460000000004</v>
      </c>
      <c r="DF544" s="89">
        <v>134</v>
      </c>
      <c r="DG544" s="2">
        <v>50</v>
      </c>
      <c r="DH544" s="2">
        <v>0</v>
      </c>
      <c r="DI544" s="2">
        <v>2.1000000000000001E-2</v>
      </c>
      <c r="DR544" s="89">
        <v>123</v>
      </c>
      <c r="DS544" s="2">
        <v>49</v>
      </c>
      <c r="DT544" s="2">
        <v>1</v>
      </c>
      <c r="DU544" s="2">
        <v>1.312552E-2</v>
      </c>
      <c r="ED544" s="89">
        <v>120</v>
      </c>
      <c r="EE544" s="2">
        <v>51</v>
      </c>
      <c r="EF544" s="2">
        <v>1</v>
      </c>
      <c r="EG544" s="2">
        <v>2.1999999999999999E-2</v>
      </c>
      <c r="ES544">
        <v>120</v>
      </c>
      <c r="ET544">
        <v>51</v>
      </c>
      <c r="EU544">
        <v>1</v>
      </c>
      <c r="EV544">
        <v>2.1999999999999999E-2</v>
      </c>
    </row>
    <row r="545" spans="14:152" x14ac:dyDescent="0.4">
      <c r="N545" s="89">
        <v>118</v>
      </c>
      <c r="O545" s="2">
        <v>50</v>
      </c>
      <c r="P545" s="2">
        <v>0</v>
      </c>
      <c r="Q545" s="2">
        <v>1.3509420000000001</v>
      </c>
      <c r="Z545" s="89">
        <v>123</v>
      </c>
      <c r="AA545" s="2">
        <v>50</v>
      </c>
      <c r="AB545" s="2">
        <v>0</v>
      </c>
      <c r="AC545" s="2">
        <v>0.25123210000000001</v>
      </c>
      <c r="AL545" s="89">
        <v>124</v>
      </c>
      <c r="AM545" s="2">
        <v>49</v>
      </c>
      <c r="AN545" s="2">
        <v>0</v>
      </c>
      <c r="AO545" s="2">
        <v>2E-3</v>
      </c>
      <c r="AX545" s="89">
        <v>128</v>
      </c>
      <c r="AY545" s="2">
        <v>51</v>
      </c>
      <c r="AZ545" s="2">
        <v>1</v>
      </c>
      <c r="BA545" s="2">
        <v>0.28277459999999999</v>
      </c>
      <c r="BJ545" s="89">
        <v>126</v>
      </c>
      <c r="BK545" s="2">
        <v>51</v>
      </c>
      <c r="BL545" s="2">
        <v>2</v>
      </c>
      <c r="BM545" s="2">
        <v>0.1448644</v>
      </c>
      <c r="BV545" s="89">
        <v>124</v>
      </c>
      <c r="BW545" s="2">
        <v>51</v>
      </c>
      <c r="BX545" s="2">
        <v>0</v>
      </c>
      <c r="BY545" s="2">
        <v>0.58987270000000003</v>
      </c>
      <c r="CH545" s="89">
        <v>120</v>
      </c>
      <c r="CI545" s="2">
        <v>51</v>
      </c>
      <c r="CJ545" s="2">
        <v>0</v>
      </c>
      <c r="CK545" s="2">
        <v>1.7000000000000001E-2</v>
      </c>
      <c r="CT545" s="89">
        <v>125</v>
      </c>
      <c r="CU545" s="2">
        <v>50</v>
      </c>
      <c r="CV545" s="2">
        <v>1</v>
      </c>
      <c r="CW545" s="2">
        <v>0.43827549999999998</v>
      </c>
      <c r="DF545" s="89">
        <v>135</v>
      </c>
      <c r="DG545" s="2">
        <v>50</v>
      </c>
      <c r="DH545" s="2">
        <v>0</v>
      </c>
      <c r="DI545" s="2">
        <v>1.0999999999999999E-2</v>
      </c>
      <c r="DR545" s="89">
        <v>124</v>
      </c>
      <c r="DS545" s="2">
        <v>49</v>
      </c>
      <c r="DT545" s="2">
        <v>0</v>
      </c>
      <c r="DU545" s="2">
        <v>3.3999000000000001E-2</v>
      </c>
      <c r="ED545" s="89">
        <v>121</v>
      </c>
      <c r="EE545" s="2">
        <v>51</v>
      </c>
      <c r="EF545" s="2">
        <v>0</v>
      </c>
      <c r="EG545" s="2">
        <v>4.1959650000000002</v>
      </c>
      <c r="ES545">
        <v>121</v>
      </c>
      <c r="ET545">
        <v>51</v>
      </c>
      <c r="EU545">
        <v>0</v>
      </c>
      <c r="EV545">
        <v>4.1959650000000002</v>
      </c>
    </row>
    <row r="546" spans="14:152" x14ac:dyDescent="0.4">
      <c r="N546" s="89">
        <v>119</v>
      </c>
      <c r="O546" s="2">
        <v>50</v>
      </c>
      <c r="P546" s="2">
        <v>0</v>
      </c>
      <c r="Q546" s="2">
        <v>1.208</v>
      </c>
      <c r="Z546" s="89">
        <v>123</v>
      </c>
      <c r="AA546" s="2">
        <v>50</v>
      </c>
      <c r="AB546" s="2">
        <v>1</v>
      </c>
      <c r="AC546" s="2">
        <v>0.14776839999999999</v>
      </c>
      <c r="AL546" s="89">
        <v>124</v>
      </c>
      <c r="AM546" s="2">
        <v>49</v>
      </c>
      <c r="AN546" s="2">
        <v>1</v>
      </c>
      <c r="AO546" s="2">
        <v>1.9E-2</v>
      </c>
      <c r="AX546" s="89">
        <v>129</v>
      </c>
      <c r="AY546" s="2">
        <v>51</v>
      </c>
      <c r="AZ546" s="2">
        <v>0</v>
      </c>
      <c r="BA546" s="2">
        <v>0.7298152</v>
      </c>
      <c r="BJ546" s="89">
        <v>127</v>
      </c>
      <c r="BK546" s="2">
        <v>51</v>
      </c>
      <c r="BL546" s="2">
        <v>0</v>
      </c>
      <c r="BM546" s="2">
        <v>1.472966</v>
      </c>
      <c r="BV546" s="89">
        <v>124</v>
      </c>
      <c r="BW546" s="2">
        <v>51</v>
      </c>
      <c r="BX546" s="2">
        <v>1</v>
      </c>
      <c r="BY546" s="2">
        <v>0.6365094</v>
      </c>
      <c r="CH546" s="89">
        <v>120</v>
      </c>
      <c r="CI546" s="2">
        <v>51</v>
      </c>
      <c r="CJ546" s="2">
        <v>1</v>
      </c>
      <c r="CK546" s="2">
        <v>9.1000010000000006E-2</v>
      </c>
      <c r="CT546" s="89">
        <v>126</v>
      </c>
      <c r="CU546" s="2">
        <v>50</v>
      </c>
      <c r="CV546" s="2">
        <v>0</v>
      </c>
      <c r="CW546" s="2">
        <v>0.92706189999999999</v>
      </c>
      <c r="DF546" s="89">
        <v>136</v>
      </c>
      <c r="DG546" s="2">
        <v>50</v>
      </c>
      <c r="DH546" s="2">
        <v>0</v>
      </c>
      <c r="DI546" s="2">
        <v>2E-3</v>
      </c>
      <c r="DR546" s="89">
        <v>124</v>
      </c>
      <c r="DS546" s="2">
        <v>49</v>
      </c>
      <c r="DT546" s="2">
        <v>1</v>
      </c>
      <c r="DU546" s="2">
        <v>0.13300000000000001</v>
      </c>
      <c r="ED546" s="89">
        <v>122</v>
      </c>
      <c r="EE546" s="2">
        <v>51</v>
      </c>
      <c r="EF546" s="2">
        <v>0</v>
      </c>
      <c r="EG546" s="2">
        <v>0.32100000000000001</v>
      </c>
      <c r="ES546">
        <v>122</v>
      </c>
      <c r="ET546">
        <v>51</v>
      </c>
      <c r="EU546">
        <v>0</v>
      </c>
      <c r="EV546">
        <v>0.32100000000000001</v>
      </c>
    </row>
    <row r="547" spans="14:152" x14ac:dyDescent="0.4">
      <c r="N547" s="89">
        <v>119</v>
      </c>
      <c r="O547" s="2">
        <v>50</v>
      </c>
      <c r="P547" s="2">
        <v>1</v>
      </c>
      <c r="Q547" s="2">
        <v>0.97630329999999999</v>
      </c>
      <c r="Z547" s="89">
        <v>124</v>
      </c>
      <c r="AA547" s="2">
        <v>50</v>
      </c>
      <c r="AB547" s="2">
        <v>0</v>
      </c>
      <c r="AC547" s="2">
        <v>0.22399949999999999</v>
      </c>
      <c r="AL547" s="89">
        <v>125</v>
      </c>
      <c r="AM547" s="2">
        <v>49</v>
      </c>
      <c r="AN547" s="2">
        <v>0</v>
      </c>
      <c r="AO547" s="2">
        <v>8.0000000000000002E-3</v>
      </c>
      <c r="AX547" s="89">
        <v>129</v>
      </c>
      <c r="AY547" s="2">
        <v>51</v>
      </c>
      <c r="AZ547" s="2">
        <v>1</v>
      </c>
      <c r="BA547" s="2">
        <v>0.32256040000000002</v>
      </c>
      <c r="BJ547" s="89">
        <v>128</v>
      </c>
      <c r="BK547" s="2">
        <v>51</v>
      </c>
      <c r="BL547" s="2">
        <v>0</v>
      </c>
      <c r="BM547" s="2">
        <v>0.69789080000000003</v>
      </c>
      <c r="BV547" s="89">
        <v>124</v>
      </c>
      <c r="BW547" s="2">
        <v>51</v>
      </c>
      <c r="BX547" s="2">
        <v>2</v>
      </c>
      <c r="BY547" s="2">
        <v>0.49777100000000002</v>
      </c>
      <c r="CH547" s="89">
        <v>121</v>
      </c>
      <c r="CI547" s="2">
        <v>51</v>
      </c>
      <c r="CJ547" s="2">
        <v>0</v>
      </c>
      <c r="CK547" s="2">
        <v>4.2009949999999998</v>
      </c>
      <c r="CT547" s="89">
        <v>127</v>
      </c>
      <c r="CU547" s="2">
        <v>50</v>
      </c>
      <c r="CV547" s="2">
        <v>0</v>
      </c>
      <c r="CW547" s="2">
        <v>0.39657419999999999</v>
      </c>
      <c r="DF547" s="89">
        <v>120</v>
      </c>
      <c r="DG547" s="2">
        <v>51</v>
      </c>
      <c r="DH547" s="2">
        <v>1</v>
      </c>
      <c r="DI547" s="2">
        <v>1E-3</v>
      </c>
      <c r="DR547" s="89">
        <v>125</v>
      </c>
      <c r="DS547" s="2">
        <v>49</v>
      </c>
      <c r="DT547" s="2">
        <v>0</v>
      </c>
      <c r="DU547" s="2">
        <v>6.3522090000000003E-2</v>
      </c>
      <c r="ED547" s="89">
        <v>122</v>
      </c>
      <c r="EE547" s="2">
        <v>51</v>
      </c>
      <c r="EF547" s="2">
        <v>1</v>
      </c>
      <c r="EG547" s="2">
        <v>0.23866860000000001</v>
      </c>
      <c r="ES547">
        <v>122</v>
      </c>
      <c r="ET547">
        <v>51</v>
      </c>
      <c r="EU547">
        <v>1</v>
      </c>
      <c r="EV547">
        <v>0.23866860000000001</v>
      </c>
    </row>
    <row r="548" spans="14:152" x14ac:dyDescent="0.4">
      <c r="N548" s="89">
        <v>120</v>
      </c>
      <c r="O548" s="2">
        <v>50</v>
      </c>
      <c r="P548" s="2">
        <v>0</v>
      </c>
      <c r="Q548" s="2">
        <v>1.046</v>
      </c>
      <c r="Z548" s="89">
        <v>125</v>
      </c>
      <c r="AA548" s="2">
        <v>50</v>
      </c>
      <c r="AB548" s="2">
        <v>0</v>
      </c>
      <c r="AC548" s="2">
        <v>7.0055900000000004E-2</v>
      </c>
      <c r="AL548" s="89">
        <v>125</v>
      </c>
      <c r="AM548" s="2">
        <v>49</v>
      </c>
      <c r="AN548" s="2">
        <v>1</v>
      </c>
      <c r="AO548" s="2">
        <v>1E-3</v>
      </c>
      <c r="AX548" s="89">
        <v>130</v>
      </c>
      <c r="AY548" s="2">
        <v>51</v>
      </c>
      <c r="AZ548" s="2">
        <v>0</v>
      </c>
      <c r="BA548" s="2">
        <v>0.57392509999999997</v>
      </c>
      <c r="BJ548" s="89">
        <v>128</v>
      </c>
      <c r="BK548" s="2">
        <v>51</v>
      </c>
      <c r="BL548" s="2">
        <v>1</v>
      </c>
      <c r="BM548" s="2">
        <v>0.2480386</v>
      </c>
      <c r="BV548" s="89">
        <v>125</v>
      </c>
      <c r="BW548" s="2">
        <v>51</v>
      </c>
      <c r="BX548" s="2">
        <v>0</v>
      </c>
      <c r="BY548" s="2">
        <v>3.117</v>
      </c>
      <c r="CH548" s="89">
        <v>122</v>
      </c>
      <c r="CI548" s="2">
        <v>51</v>
      </c>
      <c r="CJ548" s="2">
        <v>0</v>
      </c>
      <c r="CK548" s="2">
        <v>0.73</v>
      </c>
      <c r="CT548" s="89">
        <v>127</v>
      </c>
      <c r="CU548" s="2">
        <v>50</v>
      </c>
      <c r="CV548" s="2">
        <v>1</v>
      </c>
      <c r="CW548" s="2">
        <v>0.13536400000000001</v>
      </c>
      <c r="DF548" s="89">
        <v>121</v>
      </c>
      <c r="DG548" s="2">
        <v>51</v>
      </c>
      <c r="DH548" s="2">
        <v>0</v>
      </c>
      <c r="DI548" s="2">
        <v>2.649778</v>
      </c>
      <c r="DR548" s="89">
        <v>125</v>
      </c>
      <c r="DS548" s="2">
        <v>49</v>
      </c>
      <c r="DT548" s="2">
        <v>1</v>
      </c>
      <c r="DU548" s="2">
        <v>2.477908E-3</v>
      </c>
      <c r="ED548" s="89">
        <v>123</v>
      </c>
      <c r="EE548" s="2">
        <v>51</v>
      </c>
      <c r="EF548" s="2">
        <v>0</v>
      </c>
      <c r="EG548" s="2">
        <v>3.8460049999999999</v>
      </c>
      <c r="ES548">
        <v>123</v>
      </c>
      <c r="ET548">
        <v>51</v>
      </c>
      <c r="EU548">
        <v>0</v>
      </c>
      <c r="EV548">
        <v>3.8460049999999999</v>
      </c>
    </row>
    <row r="549" spans="14:152" x14ac:dyDescent="0.4">
      <c r="N549" s="89">
        <v>121</v>
      </c>
      <c r="O549" s="2">
        <v>50</v>
      </c>
      <c r="P549" s="2">
        <v>0</v>
      </c>
      <c r="Q549" s="2">
        <v>0.52781800000000001</v>
      </c>
      <c r="Z549" s="89">
        <v>125</v>
      </c>
      <c r="AA549" s="2">
        <v>50</v>
      </c>
      <c r="AB549" s="2">
        <v>1</v>
      </c>
      <c r="AC549" s="2">
        <v>1.1944099999999999E-2</v>
      </c>
      <c r="AL549" s="89">
        <v>126</v>
      </c>
      <c r="AM549" s="2">
        <v>49</v>
      </c>
      <c r="AN549" s="2">
        <v>0</v>
      </c>
      <c r="AO549" s="2">
        <v>6.6666670000000003E-4</v>
      </c>
      <c r="AX549" s="89">
        <v>130</v>
      </c>
      <c r="AY549" s="2">
        <v>51</v>
      </c>
      <c r="AZ549" s="2">
        <v>1</v>
      </c>
      <c r="BA549" s="2">
        <v>0.37007489999999998</v>
      </c>
      <c r="BJ549" s="89">
        <v>129</v>
      </c>
      <c r="BK549" s="2">
        <v>51</v>
      </c>
      <c r="BL549" s="2">
        <v>0</v>
      </c>
      <c r="BM549" s="2">
        <v>0.52649489999999999</v>
      </c>
      <c r="BV549" s="89">
        <v>126</v>
      </c>
      <c r="BW549" s="2">
        <v>51</v>
      </c>
      <c r="BX549" s="2">
        <v>0</v>
      </c>
      <c r="BY549" s="2">
        <v>1.1343559999999999</v>
      </c>
      <c r="CH549" s="89">
        <v>122</v>
      </c>
      <c r="CI549" s="2">
        <v>51</v>
      </c>
      <c r="CJ549" s="2">
        <v>1</v>
      </c>
      <c r="CK549" s="2">
        <v>0.54583879999999996</v>
      </c>
      <c r="CT549" s="89">
        <v>128</v>
      </c>
      <c r="CU549" s="2">
        <v>50</v>
      </c>
      <c r="CV549" s="2">
        <v>0</v>
      </c>
      <c r="CW549" s="2">
        <v>0.34399999999999997</v>
      </c>
      <c r="DF549" s="89">
        <v>122</v>
      </c>
      <c r="DG549" s="2">
        <v>51</v>
      </c>
      <c r="DH549" s="2">
        <v>0</v>
      </c>
      <c r="DI549" s="2">
        <v>1.0999999999999999E-2</v>
      </c>
      <c r="DR549" s="89">
        <v>126</v>
      </c>
      <c r="DS549" s="2">
        <v>49</v>
      </c>
      <c r="DT549" s="2">
        <v>0</v>
      </c>
      <c r="DU549" s="2">
        <v>8.0000000000000002E-3</v>
      </c>
      <c r="ED549" s="89">
        <v>124</v>
      </c>
      <c r="EE549" s="2">
        <v>51</v>
      </c>
      <c r="EF549" s="2">
        <v>0</v>
      </c>
      <c r="EG549" s="2">
        <v>0.91135390000000005</v>
      </c>
      <c r="ES549">
        <v>124</v>
      </c>
      <c r="ET549">
        <v>51</v>
      </c>
      <c r="EU549">
        <v>0</v>
      </c>
      <c r="EV549">
        <v>0.91135390000000005</v>
      </c>
    </row>
    <row r="550" spans="14:152" x14ac:dyDescent="0.4">
      <c r="N550" s="89">
        <v>121</v>
      </c>
      <c r="O550" s="2">
        <v>50</v>
      </c>
      <c r="P550" s="2">
        <v>1</v>
      </c>
      <c r="Q550" s="2">
        <v>0.3668843</v>
      </c>
      <c r="Z550" s="89">
        <v>126</v>
      </c>
      <c r="AA550" s="2">
        <v>50</v>
      </c>
      <c r="AB550" s="2">
        <v>0</v>
      </c>
      <c r="AC550" s="2">
        <v>3.3000000000000002E-2</v>
      </c>
      <c r="AL550" s="89">
        <v>126</v>
      </c>
      <c r="AM550" s="2">
        <v>49</v>
      </c>
      <c r="AN550" s="2">
        <v>1</v>
      </c>
      <c r="AO550" s="2">
        <v>1.3333329999999999E-3</v>
      </c>
      <c r="AX550" s="89">
        <v>131</v>
      </c>
      <c r="AY550" s="2">
        <v>51</v>
      </c>
      <c r="AZ550" s="2">
        <v>0</v>
      </c>
      <c r="BA550" s="2">
        <v>0.72099999999999997</v>
      </c>
      <c r="BJ550" s="89">
        <v>129</v>
      </c>
      <c r="BK550" s="2">
        <v>51</v>
      </c>
      <c r="BL550" s="2">
        <v>1</v>
      </c>
      <c r="BM550" s="2">
        <v>0.24882309999999999</v>
      </c>
      <c r="BV550" s="89">
        <v>126</v>
      </c>
      <c r="BW550" s="2">
        <v>51</v>
      </c>
      <c r="BX550" s="2">
        <v>1</v>
      </c>
      <c r="BY550" s="2">
        <v>1.207079</v>
      </c>
      <c r="CH550" s="89">
        <v>123</v>
      </c>
      <c r="CI550" s="2">
        <v>51</v>
      </c>
      <c r="CJ550" s="2">
        <v>0</v>
      </c>
      <c r="CK550" s="2">
        <v>3.844001</v>
      </c>
      <c r="CT550" s="89">
        <v>128</v>
      </c>
      <c r="CU550" s="2">
        <v>50</v>
      </c>
      <c r="CV550" s="2">
        <v>1</v>
      </c>
      <c r="CW550" s="2">
        <v>0.21329519999999999</v>
      </c>
      <c r="DF550" s="89">
        <v>122</v>
      </c>
      <c r="DG550" s="2">
        <v>51</v>
      </c>
      <c r="DH550" s="2">
        <v>1</v>
      </c>
      <c r="DI550" s="2">
        <v>9.0000010000000005E-3</v>
      </c>
      <c r="DR550" s="89">
        <v>126</v>
      </c>
      <c r="DS550" s="2">
        <v>49</v>
      </c>
      <c r="DT550" s="2">
        <v>1</v>
      </c>
      <c r="DU550" s="2">
        <v>1.4999999999999999E-2</v>
      </c>
      <c r="ED550" s="89">
        <v>124</v>
      </c>
      <c r="EE550" s="2">
        <v>51</v>
      </c>
      <c r="EF550" s="2">
        <v>1</v>
      </c>
      <c r="EG550" s="2">
        <v>1.0145850000000001</v>
      </c>
      <c r="ES550">
        <v>124</v>
      </c>
      <c r="ET550">
        <v>51</v>
      </c>
      <c r="EU550">
        <v>1</v>
      </c>
      <c r="EV550">
        <v>1.0145850000000001</v>
      </c>
    </row>
    <row r="551" spans="14:152" x14ac:dyDescent="0.4">
      <c r="N551" s="89">
        <v>122</v>
      </c>
      <c r="O551" s="2">
        <v>50</v>
      </c>
      <c r="P551" s="2">
        <v>0</v>
      </c>
      <c r="Q551" s="2">
        <v>0.4321528</v>
      </c>
      <c r="Z551" s="89">
        <v>127</v>
      </c>
      <c r="AA551" s="2">
        <v>50</v>
      </c>
      <c r="AB551" s="2">
        <v>0</v>
      </c>
      <c r="AC551" s="2">
        <v>5.1728E-3</v>
      </c>
      <c r="AL551" s="89">
        <v>112</v>
      </c>
      <c r="AM551" s="2">
        <v>50</v>
      </c>
      <c r="AN551" s="2">
        <v>0</v>
      </c>
      <c r="AO551" s="2">
        <v>8.3599999999999994E-3</v>
      </c>
      <c r="AX551" s="89">
        <v>132</v>
      </c>
      <c r="AY551" s="2">
        <v>51</v>
      </c>
      <c r="AZ551" s="2">
        <v>0</v>
      </c>
      <c r="BA551" s="2">
        <v>0.3236832</v>
      </c>
      <c r="BJ551" s="89">
        <v>130</v>
      </c>
      <c r="BK551" s="2">
        <v>51</v>
      </c>
      <c r="BL551" s="2">
        <v>0</v>
      </c>
      <c r="BM551" s="2">
        <v>0.35718810000000001</v>
      </c>
      <c r="BV551" s="89">
        <v>126</v>
      </c>
      <c r="BW551" s="2">
        <v>51</v>
      </c>
      <c r="BX551" s="2">
        <v>2</v>
      </c>
      <c r="BY551" s="2">
        <v>0.13058069999999999</v>
      </c>
      <c r="CH551" s="89">
        <v>124</v>
      </c>
      <c r="CI551" s="2">
        <v>51</v>
      </c>
      <c r="CJ551" s="2">
        <v>0</v>
      </c>
      <c r="CK551" s="2">
        <v>1.2741610000000001</v>
      </c>
      <c r="CT551" s="89">
        <v>129</v>
      </c>
      <c r="CU551" s="2">
        <v>50</v>
      </c>
      <c r="CV551" s="2">
        <v>0</v>
      </c>
      <c r="CW551" s="2">
        <v>4.8832500000000001E-2</v>
      </c>
      <c r="DF551" s="89">
        <v>123</v>
      </c>
      <c r="DG551" s="2">
        <v>51</v>
      </c>
      <c r="DH551" s="2">
        <v>0</v>
      </c>
      <c r="DI551" s="2">
        <v>2.5680200000000002</v>
      </c>
      <c r="DR551" s="89">
        <v>127</v>
      </c>
      <c r="DS551" s="2">
        <v>49</v>
      </c>
      <c r="DT551" s="2">
        <v>0</v>
      </c>
      <c r="DU551" s="2">
        <v>1.2E-2</v>
      </c>
      <c r="ED551" s="89">
        <v>124</v>
      </c>
      <c r="EE551" s="2">
        <v>51</v>
      </c>
      <c r="EF551" s="2">
        <v>2</v>
      </c>
      <c r="EG551" s="2">
        <v>0.81530849999999999</v>
      </c>
      <c r="ES551">
        <v>124</v>
      </c>
      <c r="ET551">
        <v>51</v>
      </c>
      <c r="EU551">
        <v>2</v>
      </c>
      <c r="EV551">
        <v>0.81530849999999999</v>
      </c>
    </row>
    <row r="552" spans="14:152" x14ac:dyDescent="0.4">
      <c r="N552" s="89">
        <v>123</v>
      </c>
      <c r="O552" s="2">
        <v>50</v>
      </c>
      <c r="P552" s="2">
        <v>0</v>
      </c>
      <c r="Q552" s="2">
        <v>0.16307430000000001</v>
      </c>
      <c r="Z552" s="89">
        <v>127</v>
      </c>
      <c r="AA552" s="2">
        <v>50</v>
      </c>
      <c r="AB552" s="2">
        <v>1</v>
      </c>
      <c r="AC552" s="2">
        <v>8.2720000000000005E-4</v>
      </c>
      <c r="AL552" s="89">
        <v>113</v>
      </c>
      <c r="AM552" s="2">
        <v>50</v>
      </c>
      <c r="AN552" s="2">
        <v>0</v>
      </c>
      <c r="AO552" s="2">
        <v>5.555E-3</v>
      </c>
      <c r="AX552" s="89">
        <v>132</v>
      </c>
      <c r="AY552" s="2">
        <v>51</v>
      </c>
      <c r="AZ552" s="2">
        <v>1</v>
      </c>
      <c r="BA552" s="2">
        <v>0.1223168</v>
      </c>
      <c r="BJ552" s="89">
        <v>130</v>
      </c>
      <c r="BK552" s="2">
        <v>51</v>
      </c>
      <c r="BL552" s="2">
        <v>1</v>
      </c>
      <c r="BM552" s="2">
        <v>0.19081190000000001</v>
      </c>
      <c r="BV552" s="89">
        <v>127</v>
      </c>
      <c r="BW552" s="2">
        <v>51</v>
      </c>
      <c r="BX552" s="2">
        <v>0</v>
      </c>
      <c r="BY552" s="2">
        <v>2.1878829999999998</v>
      </c>
      <c r="CH552" s="89">
        <v>124</v>
      </c>
      <c r="CI552" s="2">
        <v>51</v>
      </c>
      <c r="CJ552" s="2">
        <v>1</v>
      </c>
      <c r="CK552" s="2">
        <v>1.3593569999999999</v>
      </c>
      <c r="CT552" s="89">
        <v>129</v>
      </c>
      <c r="CU552" s="2">
        <v>50</v>
      </c>
      <c r="CV552" s="2">
        <v>1</v>
      </c>
      <c r="CW552" s="2">
        <v>0.13316549999999999</v>
      </c>
      <c r="DF552" s="89">
        <v>124</v>
      </c>
      <c r="DG552" s="2">
        <v>51</v>
      </c>
      <c r="DH552" s="2">
        <v>0</v>
      </c>
      <c r="DI552" s="2">
        <v>0.1492232</v>
      </c>
      <c r="DR552" s="89">
        <v>128</v>
      </c>
      <c r="DS552" s="2">
        <v>49</v>
      </c>
      <c r="DT552" s="2">
        <v>2</v>
      </c>
      <c r="DU552" s="2">
        <v>3.0000000000000001E-3</v>
      </c>
      <c r="ED552" s="89">
        <v>125</v>
      </c>
      <c r="EE552" s="2">
        <v>51</v>
      </c>
      <c r="EF552" s="2">
        <v>0</v>
      </c>
      <c r="EG552" s="2">
        <v>3.2719999999999998</v>
      </c>
      <c r="ES552">
        <v>125</v>
      </c>
      <c r="ET552">
        <v>51</v>
      </c>
      <c r="EU552">
        <v>0</v>
      </c>
      <c r="EV552">
        <v>3.2719999999999998</v>
      </c>
    </row>
    <row r="553" spans="14:152" x14ac:dyDescent="0.4">
      <c r="N553" s="89">
        <v>123</v>
      </c>
      <c r="O553" s="2">
        <v>50</v>
      </c>
      <c r="P553" s="2">
        <v>1</v>
      </c>
      <c r="Q553" s="2">
        <v>6.4925720000000006E-2</v>
      </c>
      <c r="Z553" s="89">
        <v>128</v>
      </c>
      <c r="AA553" s="2">
        <v>50</v>
      </c>
      <c r="AB553" s="2">
        <v>0</v>
      </c>
      <c r="AC553" s="2">
        <v>4.0000000000000001E-3</v>
      </c>
      <c r="AL553" s="89">
        <v>113</v>
      </c>
      <c r="AM553" s="2">
        <v>50</v>
      </c>
      <c r="AN553" s="2">
        <v>1</v>
      </c>
      <c r="AO553" s="2">
        <v>5.0000000000000001E-3</v>
      </c>
      <c r="AX553" s="89">
        <v>133</v>
      </c>
      <c r="AY553" s="2">
        <v>51</v>
      </c>
      <c r="AZ553" s="2">
        <v>0</v>
      </c>
      <c r="BA553" s="2">
        <v>0.20116999999999999</v>
      </c>
      <c r="BJ553" s="89">
        <v>131</v>
      </c>
      <c r="BK553" s="2">
        <v>51</v>
      </c>
      <c r="BL553" s="2">
        <v>0</v>
      </c>
      <c r="BM553" s="2">
        <v>0.39300000000000002</v>
      </c>
      <c r="BV553" s="89">
        <v>128</v>
      </c>
      <c r="BW553" s="2">
        <v>51</v>
      </c>
      <c r="BX553" s="2">
        <v>0</v>
      </c>
      <c r="BY553" s="2">
        <v>1.375605</v>
      </c>
      <c r="CH553" s="89">
        <v>124</v>
      </c>
      <c r="CI553" s="2">
        <v>51</v>
      </c>
      <c r="CJ553" s="2">
        <v>2</v>
      </c>
      <c r="CK553" s="2">
        <v>1.068743</v>
      </c>
      <c r="CT553" s="89">
        <v>130</v>
      </c>
      <c r="CU553" s="2">
        <v>50</v>
      </c>
      <c r="CV553" s="2">
        <v>0</v>
      </c>
      <c r="CW553" s="2">
        <v>5.5007880000000002E-2</v>
      </c>
      <c r="DF553" s="89">
        <v>124</v>
      </c>
      <c r="DG553" s="2">
        <v>51</v>
      </c>
      <c r="DH553" s="2">
        <v>1</v>
      </c>
      <c r="DI553" s="2">
        <v>0.1591071</v>
      </c>
      <c r="DR553" s="89">
        <v>131</v>
      </c>
      <c r="DS553" s="2">
        <v>49</v>
      </c>
      <c r="DT553" s="2">
        <v>0</v>
      </c>
      <c r="DU553" s="2">
        <v>1E-3</v>
      </c>
      <c r="ED553" s="89">
        <v>126</v>
      </c>
      <c r="EE553" s="2">
        <v>51</v>
      </c>
      <c r="EF553" s="2">
        <v>0</v>
      </c>
      <c r="EG553" s="2">
        <v>1.2337130000000001</v>
      </c>
      <c r="ES553">
        <v>126</v>
      </c>
      <c r="ET553">
        <v>51</v>
      </c>
      <c r="EU553">
        <v>0</v>
      </c>
      <c r="EV553">
        <v>1.2337130000000001</v>
      </c>
    </row>
    <row r="554" spans="14:152" x14ac:dyDescent="0.4">
      <c r="N554" s="89">
        <v>124</v>
      </c>
      <c r="O554" s="2">
        <v>50</v>
      </c>
      <c r="P554" s="2">
        <v>0</v>
      </c>
      <c r="Q554" s="2">
        <v>9.8000009999999999E-2</v>
      </c>
      <c r="Z554" s="89">
        <v>128</v>
      </c>
      <c r="AA554" s="2">
        <v>50</v>
      </c>
      <c r="AB554" s="2">
        <v>1</v>
      </c>
      <c r="AC554" s="2">
        <v>3.2000000000000002E-3</v>
      </c>
      <c r="AL554" s="89">
        <v>114</v>
      </c>
      <c r="AM554" s="2">
        <v>50</v>
      </c>
      <c r="AN554" s="2">
        <v>0</v>
      </c>
      <c r="AO554" s="2">
        <v>0.22598969999999999</v>
      </c>
      <c r="AX554" s="89">
        <v>134</v>
      </c>
      <c r="AY554" s="2">
        <v>51</v>
      </c>
      <c r="AZ554" s="2">
        <v>0</v>
      </c>
      <c r="BA554" s="2">
        <v>2.5011820000000001E-2</v>
      </c>
      <c r="BJ554" s="89">
        <v>132</v>
      </c>
      <c r="BK554" s="2">
        <v>51</v>
      </c>
      <c r="BL554" s="2">
        <v>0</v>
      </c>
      <c r="BM554" s="2">
        <v>0.17159050000000001</v>
      </c>
      <c r="BV554" s="89">
        <v>128</v>
      </c>
      <c r="BW554" s="2">
        <v>51</v>
      </c>
      <c r="BX554" s="2">
        <v>1</v>
      </c>
      <c r="BY554" s="2">
        <v>0.36866670000000001</v>
      </c>
      <c r="CH554" s="89">
        <v>125</v>
      </c>
      <c r="CI554" s="2">
        <v>51</v>
      </c>
      <c r="CJ554" s="2">
        <v>0</v>
      </c>
      <c r="CK554" s="2">
        <v>2.8580000000000001</v>
      </c>
      <c r="CT554" s="89">
        <v>130</v>
      </c>
      <c r="CU554" s="2">
        <v>50</v>
      </c>
      <c r="CV554" s="2">
        <v>1</v>
      </c>
      <c r="CW554" s="2">
        <v>6.0992129999999999E-2</v>
      </c>
      <c r="DF554" s="89">
        <v>124</v>
      </c>
      <c r="DG554" s="2">
        <v>51</v>
      </c>
      <c r="DH554" s="2">
        <v>2</v>
      </c>
      <c r="DI554" s="2">
        <v>0.1263214</v>
      </c>
      <c r="DR554" s="89">
        <v>114</v>
      </c>
      <c r="DS554" s="2">
        <v>50</v>
      </c>
      <c r="DT554" s="2">
        <v>0</v>
      </c>
      <c r="DU554" s="2">
        <v>9.9500000000000001E-4</v>
      </c>
      <c r="ED554" s="89">
        <v>126</v>
      </c>
      <c r="EE554" s="2">
        <v>51</v>
      </c>
      <c r="EF554" s="2">
        <v>1</v>
      </c>
      <c r="EG554" s="2">
        <v>1.0678289999999999</v>
      </c>
      <c r="ES554">
        <v>126</v>
      </c>
      <c r="ET554">
        <v>51</v>
      </c>
      <c r="EU554">
        <v>1</v>
      </c>
      <c r="EV554">
        <v>1.0678289999999999</v>
      </c>
    </row>
    <row r="555" spans="14:152" x14ac:dyDescent="0.4">
      <c r="N555" s="89">
        <v>125</v>
      </c>
      <c r="O555" s="2">
        <v>50</v>
      </c>
      <c r="P555" s="2">
        <v>0</v>
      </c>
      <c r="Q555" s="2">
        <v>3.0961200000000001E-2</v>
      </c>
      <c r="Z555" s="89">
        <v>129</v>
      </c>
      <c r="AA555" s="2">
        <v>50</v>
      </c>
      <c r="AB555" s="2">
        <v>0</v>
      </c>
      <c r="AC555" s="2">
        <v>1.8935E-3</v>
      </c>
      <c r="AL555" s="89">
        <v>115</v>
      </c>
      <c r="AM555" s="2">
        <v>50</v>
      </c>
      <c r="AN555" s="2">
        <v>0</v>
      </c>
      <c r="AO555" s="2">
        <v>0.1226694</v>
      </c>
      <c r="AX555" s="89">
        <v>134</v>
      </c>
      <c r="AY555" s="2">
        <v>51</v>
      </c>
      <c r="AZ555" s="2">
        <v>1</v>
      </c>
      <c r="BA555" s="2">
        <v>3.2818180000000002E-2</v>
      </c>
      <c r="BJ555" s="89">
        <v>132</v>
      </c>
      <c r="BK555" s="2">
        <v>51</v>
      </c>
      <c r="BL555" s="2">
        <v>1</v>
      </c>
      <c r="BM555" s="2">
        <v>6.6409480000000007E-2</v>
      </c>
      <c r="BV555" s="89">
        <v>129</v>
      </c>
      <c r="BW555" s="2">
        <v>51</v>
      </c>
      <c r="BX555" s="2">
        <v>0</v>
      </c>
      <c r="BY555" s="2">
        <v>1.007639</v>
      </c>
      <c r="CH555" s="89">
        <v>126</v>
      </c>
      <c r="CI555" s="2">
        <v>51</v>
      </c>
      <c r="CJ555" s="2">
        <v>0</v>
      </c>
      <c r="CK555" s="2">
        <v>1.0820270000000001</v>
      </c>
      <c r="CT555" s="89">
        <v>131</v>
      </c>
      <c r="CU555" s="2">
        <v>50</v>
      </c>
      <c r="CV555" s="2">
        <v>0</v>
      </c>
      <c r="CW555" s="2">
        <v>1.257143E-2</v>
      </c>
      <c r="DF555" s="89">
        <v>125</v>
      </c>
      <c r="DG555" s="2">
        <v>51</v>
      </c>
      <c r="DH555" s="2">
        <v>0</v>
      </c>
      <c r="DI555" s="2">
        <v>2.4390000000000001</v>
      </c>
      <c r="DR555" s="89">
        <v>115</v>
      </c>
      <c r="DS555" s="2">
        <v>50</v>
      </c>
      <c r="DT555" s="2">
        <v>0</v>
      </c>
      <c r="DU555" s="2">
        <v>0.11327130000000001</v>
      </c>
      <c r="ED555" s="89">
        <v>126</v>
      </c>
      <c r="EE555" s="2">
        <v>51</v>
      </c>
      <c r="EF555" s="2">
        <v>2</v>
      </c>
      <c r="EG555" s="2">
        <v>0.1399898</v>
      </c>
      <c r="ES555">
        <v>126</v>
      </c>
      <c r="ET555">
        <v>51</v>
      </c>
      <c r="EU555">
        <v>2</v>
      </c>
      <c r="EV555">
        <v>0.1399898</v>
      </c>
    </row>
    <row r="556" spans="14:152" x14ac:dyDescent="0.4">
      <c r="N556" s="89">
        <v>125</v>
      </c>
      <c r="O556" s="2">
        <v>50</v>
      </c>
      <c r="P556" s="2">
        <v>1</v>
      </c>
      <c r="Q556" s="2">
        <v>8.0388000000000005E-3</v>
      </c>
      <c r="Z556" s="89">
        <v>129</v>
      </c>
      <c r="AA556" s="2">
        <v>50</v>
      </c>
      <c r="AB556" s="2">
        <v>1</v>
      </c>
      <c r="AC556" s="2">
        <v>1.065E-4</v>
      </c>
      <c r="AL556" s="89">
        <v>116</v>
      </c>
      <c r="AM556" s="2">
        <v>50</v>
      </c>
      <c r="AN556" s="2">
        <v>0</v>
      </c>
      <c r="AO556" s="2">
        <v>0.89700000000000002</v>
      </c>
      <c r="AX556" s="89">
        <v>135</v>
      </c>
      <c r="AY556" s="2">
        <v>51</v>
      </c>
      <c r="AZ556" s="2">
        <v>0</v>
      </c>
      <c r="BA556" s="2">
        <v>9.0000010000000005E-3</v>
      </c>
      <c r="BJ556" s="89">
        <v>133</v>
      </c>
      <c r="BK556" s="2">
        <v>51</v>
      </c>
      <c r="BL556" s="2">
        <v>0</v>
      </c>
      <c r="BM556" s="2">
        <v>0.115</v>
      </c>
      <c r="BV556" s="89">
        <v>129</v>
      </c>
      <c r="BW556" s="2">
        <v>51</v>
      </c>
      <c r="BX556" s="2">
        <v>1</v>
      </c>
      <c r="BY556" s="2">
        <v>0.55217970000000005</v>
      </c>
      <c r="CH556" s="89">
        <v>126</v>
      </c>
      <c r="CI556" s="2">
        <v>51</v>
      </c>
      <c r="CJ556" s="2">
        <v>1</v>
      </c>
      <c r="CK556" s="2">
        <v>0.80546600000000002</v>
      </c>
      <c r="CT556" s="89">
        <v>131</v>
      </c>
      <c r="CU556" s="2">
        <v>50</v>
      </c>
      <c r="CV556" s="2">
        <v>1</v>
      </c>
      <c r="CW556" s="2">
        <v>3.1428579999999998E-2</v>
      </c>
      <c r="DF556" s="89">
        <v>126</v>
      </c>
      <c r="DG556" s="2">
        <v>51</v>
      </c>
      <c r="DH556" s="2">
        <v>0</v>
      </c>
      <c r="DI556" s="2">
        <v>0.67385379999999995</v>
      </c>
      <c r="DR556" s="89">
        <v>116</v>
      </c>
      <c r="DS556" s="2">
        <v>50</v>
      </c>
      <c r="DT556" s="2">
        <v>0</v>
      </c>
      <c r="DU556" s="2">
        <v>9.2999999999999999E-2</v>
      </c>
      <c r="ED556" s="89">
        <v>127</v>
      </c>
      <c r="EE556" s="2">
        <v>51</v>
      </c>
      <c r="EF556" s="2">
        <v>0</v>
      </c>
      <c r="EG556" s="2">
        <v>1.9609220000000001</v>
      </c>
      <c r="ES556">
        <v>127</v>
      </c>
      <c r="ET556">
        <v>51</v>
      </c>
      <c r="EU556">
        <v>0</v>
      </c>
      <c r="EV556">
        <v>1.9609220000000001</v>
      </c>
    </row>
    <row r="557" spans="14:152" x14ac:dyDescent="0.4">
      <c r="N557" s="89">
        <v>126</v>
      </c>
      <c r="O557" s="2">
        <v>50</v>
      </c>
      <c r="P557" s="2">
        <v>0</v>
      </c>
      <c r="Q557" s="2">
        <v>1.7000000000000001E-2</v>
      </c>
      <c r="Z557" s="89">
        <v>130</v>
      </c>
      <c r="AA557" s="2">
        <v>50</v>
      </c>
      <c r="AB557" s="2">
        <v>1</v>
      </c>
      <c r="AC557" s="2">
        <v>1E-3</v>
      </c>
      <c r="AL557" s="89">
        <v>117</v>
      </c>
      <c r="AM557" s="2">
        <v>50</v>
      </c>
      <c r="AN557" s="2">
        <v>0</v>
      </c>
      <c r="AO557" s="2">
        <v>2.3170289999999998</v>
      </c>
      <c r="AX557" s="89">
        <v>136</v>
      </c>
      <c r="AY557" s="2">
        <v>51</v>
      </c>
      <c r="AZ557" s="2">
        <v>0</v>
      </c>
      <c r="BA557" s="2">
        <v>2E-3</v>
      </c>
      <c r="BJ557" s="89">
        <v>134</v>
      </c>
      <c r="BK557" s="2">
        <v>51</v>
      </c>
      <c r="BL557" s="2">
        <v>0</v>
      </c>
      <c r="BM557" s="2">
        <v>8.4193549999999999E-3</v>
      </c>
      <c r="BV557" s="89">
        <v>130</v>
      </c>
      <c r="BW557" s="2">
        <v>51</v>
      </c>
      <c r="BX557" s="2">
        <v>0</v>
      </c>
      <c r="BY557" s="2">
        <v>0.82093519999999998</v>
      </c>
      <c r="CH557" s="89">
        <v>126</v>
      </c>
      <c r="CI557" s="2">
        <v>51</v>
      </c>
      <c r="CJ557" s="2">
        <v>2</v>
      </c>
      <c r="CK557" s="2">
        <v>0.13522390000000001</v>
      </c>
      <c r="CT557" s="89">
        <v>132</v>
      </c>
      <c r="CU557" s="2">
        <v>50</v>
      </c>
      <c r="CV557" s="2">
        <v>0</v>
      </c>
      <c r="CW557" s="2">
        <v>1.4E-2</v>
      </c>
      <c r="DF557" s="89">
        <v>126</v>
      </c>
      <c r="DG557" s="2">
        <v>51</v>
      </c>
      <c r="DH557" s="2">
        <v>1</v>
      </c>
      <c r="DI557" s="2">
        <v>1.3351459999999999</v>
      </c>
      <c r="DR557" s="89">
        <v>117</v>
      </c>
      <c r="DS557" s="2">
        <v>50</v>
      </c>
      <c r="DT557" s="2">
        <v>0</v>
      </c>
      <c r="DU557" s="2">
        <v>2.4661840000000002</v>
      </c>
      <c r="ED557" s="89">
        <v>128</v>
      </c>
      <c r="EE557" s="2">
        <v>51</v>
      </c>
      <c r="EF557" s="2">
        <v>0</v>
      </c>
      <c r="EG557" s="2">
        <v>1.070549</v>
      </c>
      <c r="ES557">
        <v>128</v>
      </c>
      <c r="ET557">
        <v>51</v>
      </c>
      <c r="EU557">
        <v>0</v>
      </c>
      <c r="EV557">
        <v>1.070549</v>
      </c>
    </row>
    <row r="558" spans="14:152" x14ac:dyDescent="0.4">
      <c r="N558" s="89">
        <v>127</v>
      </c>
      <c r="O558" s="2">
        <v>50</v>
      </c>
      <c r="P558" s="2">
        <v>0</v>
      </c>
      <c r="Q558" s="2">
        <v>2.3456000000000002E-3</v>
      </c>
      <c r="Z558" s="89">
        <v>117</v>
      </c>
      <c r="AA558" s="2">
        <v>51</v>
      </c>
      <c r="AB558" s="2">
        <v>0</v>
      </c>
      <c r="AC558" s="2">
        <v>1E-3</v>
      </c>
      <c r="AL558" s="89">
        <v>117</v>
      </c>
      <c r="AM558" s="2">
        <v>50</v>
      </c>
      <c r="AN558" s="2">
        <v>1</v>
      </c>
      <c r="AO558" s="2">
        <v>0.30751270000000003</v>
      </c>
      <c r="AX558" s="89">
        <v>137</v>
      </c>
      <c r="AY558" s="2">
        <v>51</v>
      </c>
      <c r="AZ558" s="2">
        <v>0</v>
      </c>
      <c r="BA558" s="2">
        <v>1E-3</v>
      </c>
      <c r="BJ558" s="89">
        <v>134</v>
      </c>
      <c r="BK558" s="2">
        <v>51</v>
      </c>
      <c r="BL558" s="2">
        <v>1</v>
      </c>
      <c r="BM558" s="2">
        <v>2.0580649999999999E-2</v>
      </c>
      <c r="BV558" s="89">
        <v>130</v>
      </c>
      <c r="BW558" s="2">
        <v>51</v>
      </c>
      <c r="BX558" s="2">
        <v>1</v>
      </c>
      <c r="BY558" s="2">
        <v>0.36909999999999998</v>
      </c>
      <c r="CH558" s="89">
        <v>127</v>
      </c>
      <c r="CI558" s="2">
        <v>51</v>
      </c>
      <c r="CJ558" s="2">
        <v>0</v>
      </c>
      <c r="CK558" s="2">
        <v>1.40198</v>
      </c>
      <c r="CT558" s="89">
        <v>133</v>
      </c>
      <c r="CU558" s="2">
        <v>50</v>
      </c>
      <c r="CV558" s="2">
        <v>0</v>
      </c>
      <c r="CW558" s="2">
        <v>1E-3</v>
      </c>
      <c r="DF558" s="89">
        <v>126</v>
      </c>
      <c r="DG558" s="2">
        <v>51</v>
      </c>
      <c r="DH558" s="2">
        <v>2</v>
      </c>
      <c r="DI558" s="2">
        <v>6.3103549999999994E-2</v>
      </c>
      <c r="DR558" s="89">
        <v>117</v>
      </c>
      <c r="DS558" s="2">
        <v>50</v>
      </c>
      <c r="DT558" s="2">
        <v>1</v>
      </c>
      <c r="DU558" s="2">
        <v>1.4988670000000001E-2</v>
      </c>
      <c r="ED558" s="89">
        <v>128</v>
      </c>
      <c r="EE558" s="2">
        <v>51</v>
      </c>
      <c r="EF558" s="2">
        <v>1</v>
      </c>
      <c r="EG558" s="2">
        <v>0.31893310000000002</v>
      </c>
      <c r="ES558">
        <v>128</v>
      </c>
      <c r="ET558">
        <v>51</v>
      </c>
      <c r="EU558">
        <v>1</v>
      </c>
      <c r="EV558">
        <v>0.31893310000000002</v>
      </c>
    </row>
    <row r="559" spans="14:152" x14ac:dyDescent="0.4">
      <c r="N559" s="89">
        <v>127</v>
      </c>
      <c r="O559" s="2">
        <v>50</v>
      </c>
      <c r="P559" s="2">
        <v>1</v>
      </c>
      <c r="Q559" s="2">
        <v>1.6544000000000001E-3</v>
      </c>
      <c r="Z559" s="89">
        <v>118</v>
      </c>
      <c r="AA559" s="2">
        <v>51</v>
      </c>
      <c r="AB559" s="2">
        <v>0</v>
      </c>
      <c r="AC559" s="2">
        <v>1E-3</v>
      </c>
      <c r="AL559" s="89">
        <v>118</v>
      </c>
      <c r="AM559" s="2">
        <v>50</v>
      </c>
      <c r="AN559" s="2">
        <v>0</v>
      </c>
      <c r="AO559" s="2">
        <v>2.0019710000000002</v>
      </c>
      <c r="AX559" s="89">
        <v>120</v>
      </c>
      <c r="AY559" s="2">
        <v>52</v>
      </c>
      <c r="AZ559" s="2">
        <v>0</v>
      </c>
      <c r="BA559" s="2">
        <v>1E-3</v>
      </c>
      <c r="BJ559" s="89">
        <v>135</v>
      </c>
      <c r="BK559" s="2">
        <v>51</v>
      </c>
      <c r="BL559" s="2">
        <v>0</v>
      </c>
      <c r="BM559" s="2">
        <v>8.0000000000000002E-3</v>
      </c>
      <c r="BV559" s="89">
        <v>131</v>
      </c>
      <c r="BW559" s="2">
        <v>51</v>
      </c>
      <c r="BX559" s="2">
        <v>0</v>
      </c>
      <c r="BY559" s="2">
        <v>0.92096480000000003</v>
      </c>
      <c r="CH559" s="89">
        <v>128</v>
      </c>
      <c r="CI559" s="2">
        <v>51</v>
      </c>
      <c r="CJ559" s="2">
        <v>0</v>
      </c>
      <c r="CK559" s="2">
        <v>0.68274109999999999</v>
      </c>
      <c r="CT559" s="89">
        <v>116</v>
      </c>
      <c r="CU559" s="2">
        <v>51</v>
      </c>
      <c r="CV559" s="2">
        <v>1</v>
      </c>
      <c r="CW559" s="2">
        <v>1E-3</v>
      </c>
      <c r="DF559" s="89">
        <v>127</v>
      </c>
      <c r="DG559" s="2">
        <v>51</v>
      </c>
      <c r="DH559" s="2">
        <v>0</v>
      </c>
      <c r="DI559" s="2">
        <v>2.3017159999999999</v>
      </c>
      <c r="DR559" s="89">
        <v>118</v>
      </c>
      <c r="DS559" s="2">
        <v>50</v>
      </c>
      <c r="DT559" s="2">
        <v>0</v>
      </c>
      <c r="DU559" s="2">
        <v>2.190795</v>
      </c>
      <c r="ED559" s="89">
        <v>129</v>
      </c>
      <c r="EE559" s="2">
        <v>51</v>
      </c>
      <c r="EF559" s="2">
        <v>0</v>
      </c>
      <c r="EG559" s="2">
        <v>0.71032660000000003</v>
      </c>
      <c r="ES559">
        <v>129</v>
      </c>
      <c r="ET559">
        <v>51</v>
      </c>
      <c r="EU559">
        <v>0</v>
      </c>
      <c r="EV559">
        <v>0.71032660000000003</v>
      </c>
    </row>
    <row r="560" spans="14:152" x14ac:dyDescent="0.4">
      <c r="N560" s="89">
        <v>128</v>
      </c>
      <c r="O560" s="2">
        <v>50</v>
      </c>
      <c r="P560" s="2">
        <v>0</v>
      </c>
      <c r="Q560" s="2">
        <v>2E-3</v>
      </c>
      <c r="Z560" s="89">
        <v>118</v>
      </c>
      <c r="AA560" s="2">
        <v>51</v>
      </c>
      <c r="AB560" s="2">
        <v>1</v>
      </c>
      <c r="AC560" s="2">
        <v>5.0000000000000001E-3</v>
      </c>
      <c r="AL560" s="89">
        <v>119</v>
      </c>
      <c r="AM560" s="2">
        <v>50</v>
      </c>
      <c r="AN560" s="2">
        <v>0</v>
      </c>
      <c r="AO560" s="2">
        <v>1.8220000000000001</v>
      </c>
      <c r="AX560" s="89">
        <v>121</v>
      </c>
      <c r="AY560" s="2">
        <v>52</v>
      </c>
      <c r="AZ560" s="2">
        <v>0</v>
      </c>
      <c r="BA560" s="2">
        <v>8.8699999999999998E-4</v>
      </c>
      <c r="BJ560" s="89">
        <v>121</v>
      </c>
      <c r="BK560" s="2">
        <v>52</v>
      </c>
      <c r="BL560" s="2">
        <v>0</v>
      </c>
      <c r="BM560" s="2">
        <v>3.5479999999999999E-3</v>
      </c>
      <c r="BV560" s="89">
        <v>132</v>
      </c>
      <c r="BW560" s="2">
        <v>51</v>
      </c>
      <c r="BX560" s="2">
        <v>0</v>
      </c>
      <c r="BY560" s="2">
        <v>0.44835720000000001</v>
      </c>
      <c r="CH560" s="89">
        <v>128</v>
      </c>
      <c r="CI560" s="2">
        <v>51</v>
      </c>
      <c r="CJ560" s="2">
        <v>1</v>
      </c>
      <c r="CK560" s="2">
        <v>0.22640959999999999</v>
      </c>
      <c r="CT560" s="89">
        <v>117</v>
      </c>
      <c r="CU560" s="2">
        <v>51</v>
      </c>
      <c r="CV560" s="2">
        <v>0</v>
      </c>
      <c r="CW560" s="2">
        <v>3.0000000000000001E-3</v>
      </c>
      <c r="DF560" s="89">
        <v>128</v>
      </c>
      <c r="DG560" s="2">
        <v>51</v>
      </c>
      <c r="DH560" s="2">
        <v>0</v>
      </c>
      <c r="DI560" s="2">
        <v>1.7667980000000001</v>
      </c>
      <c r="DR560" s="89">
        <v>119</v>
      </c>
      <c r="DS560" s="2">
        <v>50</v>
      </c>
      <c r="DT560" s="2">
        <v>0</v>
      </c>
      <c r="DU560" s="2">
        <v>1.9731179999999999</v>
      </c>
      <c r="ED560" s="89">
        <v>129</v>
      </c>
      <c r="EE560" s="2">
        <v>51</v>
      </c>
      <c r="EF560" s="2">
        <v>1</v>
      </c>
      <c r="EG560" s="2">
        <v>0.40195510000000001</v>
      </c>
      <c r="ES560">
        <v>129</v>
      </c>
      <c r="ET560">
        <v>51</v>
      </c>
      <c r="EU560">
        <v>1</v>
      </c>
      <c r="EV560">
        <v>0.40195510000000001</v>
      </c>
    </row>
    <row r="561" spans="14:152" x14ac:dyDescent="0.4">
      <c r="N561" s="89">
        <v>117</v>
      </c>
      <c r="O561" s="2">
        <v>51</v>
      </c>
      <c r="P561" s="2">
        <v>0</v>
      </c>
      <c r="Q561" s="2">
        <v>3.0000000000000001E-3</v>
      </c>
      <c r="Z561" s="89">
        <v>119</v>
      </c>
      <c r="AA561" s="2">
        <v>51</v>
      </c>
      <c r="AB561" s="2">
        <v>0</v>
      </c>
      <c r="AC561" s="2">
        <v>4.1000000000000002E-2</v>
      </c>
      <c r="AL561" s="89">
        <v>119</v>
      </c>
      <c r="AM561" s="2">
        <v>50</v>
      </c>
      <c r="AN561" s="2">
        <v>1</v>
      </c>
      <c r="AO561" s="2">
        <v>1.491212</v>
      </c>
      <c r="AX561" s="89">
        <v>121</v>
      </c>
      <c r="AY561" s="2">
        <v>52</v>
      </c>
      <c r="AZ561" s="2">
        <v>1</v>
      </c>
      <c r="BA561" s="2">
        <v>1E-3</v>
      </c>
      <c r="BJ561" s="89">
        <v>121</v>
      </c>
      <c r="BK561" s="2">
        <v>52</v>
      </c>
      <c r="BL561" s="2">
        <v>1</v>
      </c>
      <c r="BM561" s="2">
        <v>4.0000000000000001E-3</v>
      </c>
      <c r="BV561" s="89">
        <v>132</v>
      </c>
      <c r="BW561" s="2">
        <v>51</v>
      </c>
      <c r="BX561" s="2">
        <v>1</v>
      </c>
      <c r="BY561" s="2">
        <v>0.19964290000000001</v>
      </c>
      <c r="CH561" s="89">
        <v>129</v>
      </c>
      <c r="CI561" s="2">
        <v>51</v>
      </c>
      <c r="CJ561" s="2">
        <v>0</v>
      </c>
      <c r="CK561" s="2">
        <v>0.46246429999999999</v>
      </c>
      <c r="CT561" s="89">
        <v>118</v>
      </c>
      <c r="CU561" s="2">
        <v>51</v>
      </c>
      <c r="CV561" s="2">
        <v>0</v>
      </c>
      <c r="CW561" s="2">
        <v>2E-3</v>
      </c>
      <c r="DF561" s="89">
        <v>128</v>
      </c>
      <c r="DG561" s="2">
        <v>51</v>
      </c>
      <c r="DH561" s="2">
        <v>1</v>
      </c>
      <c r="DI561" s="2">
        <v>0.33215990000000001</v>
      </c>
      <c r="DR561" s="89">
        <v>119</v>
      </c>
      <c r="DS561" s="2">
        <v>50</v>
      </c>
      <c r="DT561" s="2">
        <v>1</v>
      </c>
      <c r="DU561" s="2">
        <v>1.5063439999999999</v>
      </c>
      <c r="ED561" s="89">
        <v>130</v>
      </c>
      <c r="EE561" s="2">
        <v>51</v>
      </c>
      <c r="EF561" s="2">
        <v>0</v>
      </c>
      <c r="EG561" s="2">
        <v>0.54152299999999998</v>
      </c>
      <c r="ES561">
        <v>130</v>
      </c>
      <c r="ET561">
        <v>51</v>
      </c>
      <c r="EU561">
        <v>0</v>
      </c>
      <c r="EV561">
        <v>0.54152299999999998</v>
      </c>
    </row>
    <row r="562" spans="14:152" x14ac:dyDescent="0.4">
      <c r="N562" s="89">
        <v>118</v>
      </c>
      <c r="O562" s="2">
        <v>51</v>
      </c>
      <c r="P562" s="2">
        <v>0</v>
      </c>
      <c r="Q562" s="2">
        <v>3.0000000000000001E-3</v>
      </c>
      <c r="Z562" s="89">
        <v>119</v>
      </c>
      <c r="AA562" s="2">
        <v>51</v>
      </c>
      <c r="AB562" s="2">
        <v>1</v>
      </c>
      <c r="AC562" s="2">
        <v>1.0999999999999999E-2</v>
      </c>
      <c r="AL562" s="89">
        <v>120</v>
      </c>
      <c r="AM562" s="2">
        <v>50</v>
      </c>
      <c r="AN562" s="2">
        <v>0</v>
      </c>
      <c r="AO562" s="2">
        <v>1.5469999999999999</v>
      </c>
      <c r="AX562" s="89">
        <v>122</v>
      </c>
      <c r="AY562" s="2">
        <v>52</v>
      </c>
      <c r="AZ562" s="2">
        <v>0</v>
      </c>
      <c r="BA562" s="2">
        <v>0.21107039999999999</v>
      </c>
      <c r="BJ562" s="89">
        <v>122</v>
      </c>
      <c r="BK562" s="2">
        <v>52</v>
      </c>
      <c r="BL562" s="2">
        <v>0</v>
      </c>
      <c r="BM562" s="2">
        <v>0.54169970000000001</v>
      </c>
      <c r="BV562" s="89">
        <v>133</v>
      </c>
      <c r="BW562" s="2">
        <v>51</v>
      </c>
      <c r="BX562" s="2">
        <v>0</v>
      </c>
      <c r="BY562" s="2">
        <v>0.39601999999999998</v>
      </c>
      <c r="CH562" s="89">
        <v>129</v>
      </c>
      <c r="CI562" s="2">
        <v>51</v>
      </c>
      <c r="CJ562" s="2">
        <v>1</v>
      </c>
      <c r="CK562" s="2">
        <v>0.25356820000000002</v>
      </c>
      <c r="CT562" s="89">
        <v>118</v>
      </c>
      <c r="CU562" s="2">
        <v>51</v>
      </c>
      <c r="CV562" s="2">
        <v>1</v>
      </c>
      <c r="CW562" s="2">
        <v>6.0000000000000001E-3</v>
      </c>
      <c r="DF562" s="89">
        <v>129</v>
      </c>
      <c r="DG562" s="2">
        <v>51</v>
      </c>
      <c r="DH562" s="2">
        <v>0</v>
      </c>
      <c r="DI562" s="2">
        <v>1.5090399999999999</v>
      </c>
      <c r="DR562" s="89">
        <v>120</v>
      </c>
      <c r="DS562" s="2">
        <v>50</v>
      </c>
      <c r="DT562" s="2">
        <v>0</v>
      </c>
      <c r="DU562" s="2">
        <v>1.771903</v>
      </c>
      <c r="ED562" s="89">
        <v>130</v>
      </c>
      <c r="EE562" s="2">
        <v>51</v>
      </c>
      <c r="EF562" s="2">
        <v>1</v>
      </c>
      <c r="EG562" s="2">
        <v>0.24747710000000001</v>
      </c>
      <c r="ES562">
        <v>130</v>
      </c>
      <c r="ET562">
        <v>51</v>
      </c>
      <c r="EU562">
        <v>1</v>
      </c>
      <c r="EV562">
        <v>0.24747710000000001</v>
      </c>
    </row>
    <row r="563" spans="14:152" x14ac:dyDescent="0.4">
      <c r="N563" s="89">
        <v>118</v>
      </c>
      <c r="O563" s="2">
        <v>51</v>
      </c>
      <c r="P563" s="2">
        <v>1</v>
      </c>
      <c r="Q563" s="2">
        <v>8.0000000000000002E-3</v>
      </c>
      <c r="Z563" s="89">
        <v>120</v>
      </c>
      <c r="AA563" s="2">
        <v>51</v>
      </c>
      <c r="AB563" s="2">
        <v>0</v>
      </c>
      <c r="AC563" s="2">
        <v>0.01</v>
      </c>
      <c r="AL563" s="89">
        <v>121</v>
      </c>
      <c r="AM563" s="2">
        <v>50</v>
      </c>
      <c r="AN563" s="2">
        <v>0</v>
      </c>
      <c r="AO563" s="2">
        <v>0.74854989999999999</v>
      </c>
      <c r="AX563" s="89">
        <v>123</v>
      </c>
      <c r="AY563" s="2">
        <v>52</v>
      </c>
      <c r="AZ563" s="2">
        <v>0</v>
      </c>
      <c r="BA563" s="2">
        <v>3.1E-2</v>
      </c>
      <c r="BJ563" s="89">
        <v>123</v>
      </c>
      <c r="BK563" s="2">
        <v>52</v>
      </c>
      <c r="BL563" s="2">
        <v>0</v>
      </c>
      <c r="BM563" s="2">
        <v>0.11600000000000001</v>
      </c>
      <c r="BV563" s="89">
        <v>134</v>
      </c>
      <c r="BW563" s="2">
        <v>51</v>
      </c>
      <c r="BX563" s="2">
        <v>0</v>
      </c>
      <c r="BY563" s="2">
        <v>7.819943E-2</v>
      </c>
      <c r="CH563" s="89">
        <v>130</v>
      </c>
      <c r="CI563" s="2">
        <v>51</v>
      </c>
      <c r="CJ563" s="2">
        <v>0</v>
      </c>
      <c r="CK563" s="2">
        <v>0.32916400000000001</v>
      </c>
      <c r="CT563" s="89">
        <v>119</v>
      </c>
      <c r="CU563" s="2">
        <v>51</v>
      </c>
      <c r="CV563" s="2">
        <v>0</v>
      </c>
      <c r="CW563" s="2">
        <v>3.2000000000000001E-2</v>
      </c>
      <c r="DF563" s="89">
        <v>129</v>
      </c>
      <c r="DG563" s="2">
        <v>51</v>
      </c>
      <c r="DH563" s="2">
        <v>1</v>
      </c>
      <c r="DI563" s="2">
        <v>0.71767749999999997</v>
      </c>
      <c r="DR563" s="89">
        <v>121</v>
      </c>
      <c r="DS563" s="2">
        <v>50</v>
      </c>
      <c r="DT563" s="2">
        <v>0</v>
      </c>
      <c r="DU563" s="2">
        <v>1.357928</v>
      </c>
      <c r="ED563" s="89">
        <v>131</v>
      </c>
      <c r="EE563" s="2">
        <v>51</v>
      </c>
      <c r="EF563" s="2">
        <v>0</v>
      </c>
      <c r="EG563" s="2">
        <v>0.61900010000000005</v>
      </c>
      <c r="ES563">
        <v>131</v>
      </c>
      <c r="ET563">
        <v>51</v>
      </c>
      <c r="EU563">
        <v>0</v>
      </c>
      <c r="EV563">
        <v>0.61900010000000005</v>
      </c>
    </row>
    <row r="564" spans="14:152" x14ac:dyDescent="0.4">
      <c r="N564" s="89">
        <v>119</v>
      </c>
      <c r="O564" s="2">
        <v>51</v>
      </c>
      <c r="P564" s="2">
        <v>0</v>
      </c>
      <c r="Q564" s="2">
        <v>6.6000000000000003E-2</v>
      </c>
      <c r="Z564" s="89">
        <v>120</v>
      </c>
      <c r="AA564" s="2">
        <v>51</v>
      </c>
      <c r="AB564" s="2">
        <v>1</v>
      </c>
      <c r="AC564" s="2">
        <v>7.1999999999999995E-2</v>
      </c>
      <c r="AL564" s="89">
        <v>121</v>
      </c>
      <c r="AM564" s="2">
        <v>50</v>
      </c>
      <c r="AN564" s="2">
        <v>1</v>
      </c>
      <c r="AO564" s="2">
        <v>0.54665240000000004</v>
      </c>
      <c r="AX564" s="89">
        <v>123</v>
      </c>
      <c r="AY564" s="2">
        <v>52</v>
      </c>
      <c r="AZ564" s="2">
        <v>1</v>
      </c>
      <c r="BA564" s="2">
        <v>2.9062500000000002E-2</v>
      </c>
      <c r="BJ564" s="89">
        <v>123</v>
      </c>
      <c r="BK564" s="2">
        <v>52</v>
      </c>
      <c r="BL564" s="2">
        <v>1</v>
      </c>
      <c r="BM564" s="2">
        <v>9.4957990000000006E-2</v>
      </c>
      <c r="BV564" s="89">
        <v>134</v>
      </c>
      <c r="BW564" s="2">
        <v>51</v>
      </c>
      <c r="BX564" s="2">
        <v>1</v>
      </c>
      <c r="BY564" s="2">
        <v>9.3990580000000004E-2</v>
      </c>
      <c r="CH564" s="89">
        <v>130</v>
      </c>
      <c r="CI564" s="2">
        <v>51</v>
      </c>
      <c r="CJ564" s="2">
        <v>1</v>
      </c>
      <c r="CK564" s="2">
        <v>0.120836</v>
      </c>
      <c r="CT564" s="89">
        <v>119</v>
      </c>
      <c r="CU564" s="2">
        <v>51</v>
      </c>
      <c r="CV564" s="2">
        <v>1</v>
      </c>
      <c r="CW564" s="2">
        <v>1.6E-2</v>
      </c>
      <c r="DF564" s="89">
        <v>130</v>
      </c>
      <c r="DG564" s="2">
        <v>51</v>
      </c>
      <c r="DH564" s="2">
        <v>0</v>
      </c>
      <c r="DI564" s="2">
        <v>1.352422</v>
      </c>
      <c r="DR564" s="89">
        <v>121</v>
      </c>
      <c r="DS564" s="2">
        <v>50</v>
      </c>
      <c r="DT564" s="2">
        <v>1</v>
      </c>
      <c r="DU564" s="2">
        <v>0.56719109999999995</v>
      </c>
      <c r="ED564" s="89">
        <v>132</v>
      </c>
      <c r="EE564" s="2">
        <v>51</v>
      </c>
      <c r="EF564" s="2">
        <v>0</v>
      </c>
      <c r="EG564" s="2">
        <v>0.26619799999999999</v>
      </c>
      <c r="ES564">
        <v>132</v>
      </c>
      <c r="ET564">
        <v>51</v>
      </c>
      <c r="EU564">
        <v>0</v>
      </c>
      <c r="EV564">
        <v>0.26619799999999999</v>
      </c>
    </row>
    <row r="565" spans="14:152" x14ac:dyDescent="0.4">
      <c r="N565" s="89">
        <v>119</v>
      </c>
      <c r="O565" s="2">
        <v>51</v>
      </c>
      <c r="P565" s="2">
        <v>1</v>
      </c>
      <c r="Q565" s="2">
        <v>3.1E-2</v>
      </c>
      <c r="Z565" s="89">
        <v>121</v>
      </c>
      <c r="AA565" s="2">
        <v>51</v>
      </c>
      <c r="AB565" s="2">
        <v>0</v>
      </c>
      <c r="AC565" s="2">
        <v>1.3209949999999999</v>
      </c>
      <c r="AL565" s="89">
        <v>122</v>
      </c>
      <c r="AM565" s="2">
        <v>50</v>
      </c>
      <c r="AN565" s="2">
        <v>0</v>
      </c>
      <c r="AO565" s="2">
        <v>0.55063669999999998</v>
      </c>
      <c r="AX565" s="89">
        <v>124</v>
      </c>
      <c r="AY565" s="2">
        <v>52</v>
      </c>
      <c r="AZ565" s="2">
        <v>0</v>
      </c>
      <c r="BA565" s="2">
        <v>1.0429999999999999</v>
      </c>
      <c r="BJ565" s="89">
        <v>124</v>
      </c>
      <c r="BK565" s="2">
        <v>52</v>
      </c>
      <c r="BL565" s="2">
        <v>0</v>
      </c>
      <c r="BM565" s="2">
        <v>1.825</v>
      </c>
      <c r="BV565" s="89">
        <v>135</v>
      </c>
      <c r="BW565" s="2">
        <v>51</v>
      </c>
      <c r="BX565" s="2">
        <v>0</v>
      </c>
      <c r="BY565" s="2">
        <v>4.6789999999999998E-2</v>
      </c>
      <c r="CH565" s="89">
        <v>131</v>
      </c>
      <c r="CI565" s="2">
        <v>51</v>
      </c>
      <c r="CJ565" s="2">
        <v>0</v>
      </c>
      <c r="CK565" s="2">
        <v>0.29199999999999998</v>
      </c>
      <c r="CT565" s="89">
        <v>120</v>
      </c>
      <c r="CU565" s="2">
        <v>51</v>
      </c>
      <c r="CV565" s="2">
        <v>0</v>
      </c>
      <c r="CW565" s="2">
        <v>0.01</v>
      </c>
      <c r="DF565" s="89">
        <v>130</v>
      </c>
      <c r="DG565" s="2">
        <v>51</v>
      </c>
      <c r="DH565" s="2">
        <v>1</v>
      </c>
      <c r="DI565" s="2">
        <v>0.65860580000000002</v>
      </c>
      <c r="DR565" s="89">
        <v>122</v>
      </c>
      <c r="DS565" s="2">
        <v>50</v>
      </c>
      <c r="DT565" s="2">
        <v>0</v>
      </c>
      <c r="DU565" s="2">
        <v>1.274297</v>
      </c>
      <c r="ED565" s="89">
        <v>132</v>
      </c>
      <c r="EE565" s="2">
        <v>51</v>
      </c>
      <c r="EF565" s="2">
        <v>1</v>
      </c>
      <c r="EG565" s="2">
        <v>0.14480199999999999</v>
      </c>
      <c r="ES565">
        <v>132</v>
      </c>
      <c r="ET565">
        <v>51</v>
      </c>
      <c r="EU565">
        <v>1</v>
      </c>
      <c r="EV565">
        <v>0.14480199999999999</v>
      </c>
    </row>
    <row r="566" spans="14:152" x14ac:dyDescent="0.4">
      <c r="N566" s="89">
        <v>120</v>
      </c>
      <c r="O566" s="2">
        <v>51</v>
      </c>
      <c r="P566" s="2">
        <v>0</v>
      </c>
      <c r="Q566" s="2">
        <v>1.6E-2</v>
      </c>
      <c r="Z566" s="89">
        <v>122</v>
      </c>
      <c r="AA566" s="2">
        <v>51</v>
      </c>
      <c r="AB566" s="2">
        <v>0</v>
      </c>
      <c r="AC566" s="2">
        <v>0.35599999999999998</v>
      </c>
      <c r="AL566" s="89">
        <v>123</v>
      </c>
      <c r="AM566" s="2">
        <v>50</v>
      </c>
      <c r="AN566" s="2">
        <v>0</v>
      </c>
      <c r="AO566" s="2">
        <v>0.2261407</v>
      </c>
      <c r="AX566" s="89">
        <v>125</v>
      </c>
      <c r="AY566" s="2">
        <v>52</v>
      </c>
      <c r="AZ566" s="2">
        <v>0</v>
      </c>
      <c r="BA566" s="2">
        <v>2.5609999999999999</v>
      </c>
      <c r="BJ566" s="89">
        <v>125</v>
      </c>
      <c r="BK566" s="2">
        <v>52</v>
      </c>
      <c r="BL566" s="2">
        <v>0</v>
      </c>
      <c r="BM566" s="2">
        <v>3.6120000000000001</v>
      </c>
      <c r="BV566" s="89">
        <v>136</v>
      </c>
      <c r="BW566" s="2">
        <v>51</v>
      </c>
      <c r="BX566" s="2">
        <v>0</v>
      </c>
      <c r="BY566" s="2">
        <v>8.0000000000000002E-3</v>
      </c>
      <c r="CH566" s="89">
        <v>132</v>
      </c>
      <c r="CI566" s="2">
        <v>51</v>
      </c>
      <c r="CJ566" s="2">
        <v>0</v>
      </c>
      <c r="CK566" s="2">
        <v>8.9795780000000006E-2</v>
      </c>
      <c r="CT566" s="89">
        <v>120</v>
      </c>
      <c r="CU566" s="2">
        <v>51</v>
      </c>
      <c r="CV566" s="2">
        <v>1</v>
      </c>
      <c r="CW566" s="2">
        <v>6.6000009999999998E-2</v>
      </c>
      <c r="DF566" s="89">
        <v>131</v>
      </c>
      <c r="DG566" s="2">
        <v>51</v>
      </c>
      <c r="DH566" s="2">
        <v>0</v>
      </c>
      <c r="DI566" s="2">
        <v>1.8978680000000001</v>
      </c>
      <c r="DR566" s="89">
        <v>123</v>
      </c>
      <c r="DS566" s="2">
        <v>50</v>
      </c>
      <c r="DT566" s="2">
        <v>0</v>
      </c>
      <c r="DU566" s="2">
        <v>0.55309549999999996</v>
      </c>
      <c r="ED566" s="89">
        <v>133</v>
      </c>
      <c r="EE566" s="2">
        <v>51</v>
      </c>
      <c r="EF566" s="2">
        <v>0</v>
      </c>
      <c r="EG566" s="2">
        <v>0.23651</v>
      </c>
      <c r="ES566">
        <v>133</v>
      </c>
      <c r="ET566">
        <v>51</v>
      </c>
      <c r="EU566">
        <v>0</v>
      </c>
      <c r="EV566">
        <v>0.23651</v>
      </c>
    </row>
    <row r="567" spans="14:152" x14ac:dyDescent="0.4">
      <c r="N567" s="89">
        <v>120</v>
      </c>
      <c r="O567" s="2">
        <v>51</v>
      </c>
      <c r="P567" s="2">
        <v>1</v>
      </c>
      <c r="Q567" s="2">
        <v>0.12</v>
      </c>
      <c r="Z567" s="89">
        <v>122</v>
      </c>
      <c r="AA567" s="2">
        <v>51</v>
      </c>
      <c r="AB567" s="2">
        <v>1</v>
      </c>
      <c r="AC567" s="2">
        <v>0.30145159999999999</v>
      </c>
      <c r="AL567" s="89">
        <v>123</v>
      </c>
      <c r="AM567" s="2">
        <v>50</v>
      </c>
      <c r="AN567" s="2">
        <v>1</v>
      </c>
      <c r="AO567" s="2">
        <v>6.4859310000000003E-2</v>
      </c>
      <c r="AX567" s="89">
        <v>125</v>
      </c>
      <c r="AY567" s="2">
        <v>52</v>
      </c>
      <c r="AZ567" s="2">
        <v>1</v>
      </c>
      <c r="BA567" s="2">
        <v>0.773756</v>
      </c>
      <c r="BJ567" s="89">
        <v>125</v>
      </c>
      <c r="BK567" s="2">
        <v>52</v>
      </c>
      <c r="BL567" s="2">
        <v>1</v>
      </c>
      <c r="BM567" s="2">
        <v>1.2407570000000001</v>
      </c>
      <c r="BV567" s="89">
        <v>137</v>
      </c>
      <c r="BW567" s="2">
        <v>51</v>
      </c>
      <c r="BX567" s="2">
        <v>0</v>
      </c>
      <c r="BY567" s="2">
        <v>3.0000000000000001E-3</v>
      </c>
      <c r="CH567" s="89">
        <v>132</v>
      </c>
      <c r="CI567" s="2">
        <v>51</v>
      </c>
      <c r="CJ567" s="2">
        <v>1</v>
      </c>
      <c r="CK567" s="2">
        <v>4.5204229999999998E-2</v>
      </c>
      <c r="CT567" s="89">
        <v>121</v>
      </c>
      <c r="CU567" s="2">
        <v>51</v>
      </c>
      <c r="CV567" s="2">
        <v>0</v>
      </c>
      <c r="CW567" s="2">
        <v>3.7409949999999998</v>
      </c>
      <c r="DF567" s="89">
        <v>132</v>
      </c>
      <c r="DG567" s="2">
        <v>51</v>
      </c>
      <c r="DH567" s="2">
        <v>0</v>
      </c>
      <c r="DI567" s="2">
        <v>0.95789690000000005</v>
      </c>
      <c r="DR567" s="89">
        <v>123</v>
      </c>
      <c r="DS567" s="2">
        <v>50</v>
      </c>
      <c r="DT567" s="2">
        <v>1</v>
      </c>
      <c r="DU567" s="2">
        <v>0.3739056</v>
      </c>
      <c r="ED567" s="89">
        <v>134</v>
      </c>
      <c r="EE567" s="2">
        <v>51</v>
      </c>
      <c r="EF567" s="2">
        <v>0</v>
      </c>
      <c r="EG567" s="2">
        <v>3.034883E-2</v>
      </c>
      <c r="ES567">
        <v>134</v>
      </c>
      <c r="ET567">
        <v>51</v>
      </c>
      <c r="EU567">
        <v>0</v>
      </c>
      <c r="EV567">
        <v>3.034883E-2</v>
      </c>
    </row>
    <row r="568" spans="14:152" x14ac:dyDescent="0.4">
      <c r="N568" s="89">
        <v>121</v>
      </c>
      <c r="O568" s="2">
        <v>51</v>
      </c>
      <c r="P568" s="2">
        <v>0</v>
      </c>
      <c r="Q568" s="2">
        <v>0.86799999999999999</v>
      </c>
      <c r="Z568" s="89">
        <v>123</v>
      </c>
      <c r="AA568" s="2">
        <v>51</v>
      </c>
      <c r="AB568" s="2">
        <v>0</v>
      </c>
      <c r="AC568" s="2">
        <v>0.89100049999999997</v>
      </c>
      <c r="AL568" s="89">
        <v>124</v>
      </c>
      <c r="AM568" s="2">
        <v>50</v>
      </c>
      <c r="AN568" s="2">
        <v>0</v>
      </c>
      <c r="AO568" s="2">
        <v>0.14599999999999999</v>
      </c>
      <c r="AX568" s="89">
        <v>126</v>
      </c>
      <c r="AY568" s="2">
        <v>52</v>
      </c>
      <c r="AZ568" s="2">
        <v>0</v>
      </c>
      <c r="BA568" s="2">
        <v>2.095405</v>
      </c>
      <c r="BJ568" s="89">
        <v>126</v>
      </c>
      <c r="BK568" s="2">
        <v>52</v>
      </c>
      <c r="BL568" s="2">
        <v>0</v>
      </c>
      <c r="BM568" s="2">
        <v>3.1142180000000002</v>
      </c>
      <c r="BV568" s="89">
        <v>122</v>
      </c>
      <c r="BW568" s="2">
        <v>52</v>
      </c>
      <c r="BX568" s="2">
        <v>0</v>
      </c>
      <c r="BY568" s="2">
        <v>9.8677399999999998E-2</v>
      </c>
      <c r="CH568" s="89">
        <v>133</v>
      </c>
      <c r="CI568" s="2">
        <v>51</v>
      </c>
      <c r="CJ568" s="2">
        <v>0</v>
      </c>
      <c r="CK568" s="2">
        <v>6.0999999999999999E-2</v>
      </c>
      <c r="CT568" s="89">
        <v>122</v>
      </c>
      <c r="CU568" s="2">
        <v>51</v>
      </c>
      <c r="CV568" s="2">
        <v>0</v>
      </c>
      <c r="CW568" s="2">
        <v>0.51300000000000001</v>
      </c>
      <c r="DF568" s="89">
        <v>132</v>
      </c>
      <c r="DG568" s="2">
        <v>51</v>
      </c>
      <c r="DH568" s="2">
        <v>1</v>
      </c>
      <c r="DI568" s="2">
        <v>0.45980320000000002</v>
      </c>
      <c r="DR568" s="89">
        <v>124</v>
      </c>
      <c r="DS568" s="2">
        <v>50</v>
      </c>
      <c r="DT568" s="2">
        <v>0</v>
      </c>
      <c r="DU568" s="2">
        <v>0.64599910000000005</v>
      </c>
      <c r="ED568" s="89">
        <v>134</v>
      </c>
      <c r="EE568" s="2">
        <v>51</v>
      </c>
      <c r="EF568" s="2">
        <v>1</v>
      </c>
      <c r="EG568" s="2">
        <v>4.6141179999999997E-2</v>
      </c>
      <c r="ES568">
        <v>134</v>
      </c>
      <c r="ET568">
        <v>51</v>
      </c>
      <c r="EU568">
        <v>1</v>
      </c>
      <c r="EV568">
        <v>4.6141179999999997E-2</v>
      </c>
    </row>
    <row r="569" spans="14:152" x14ac:dyDescent="0.4">
      <c r="N569" s="89">
        <v>122</v>
      </c>
      <c r="O569" s="2">
        <v>51</v>
      </c>
      <c r="P569" s="2">
        <v>0</v>
      </c>
      <c r="Q569" s="2">
        <v>0.34399999999999997</v>
      </c>
      <c r="Z569" s="89">
        <v>124</v>
      </c>
      <c r="AA569" s="2">
        <v>51</v>
      </c>
      <c r="AB569" s="2">
        <v>0</v>
      </c>
      <c r="AC569" s="2">
        <v>0.34212779999999998</v>
      </c>
      <c r="AL569" s="89">
        <v>125</v>
      </c>
      <c r="AM569" s="2">
        <v>50</v>
      </c>
      <c r="AN569" s="2">
        <v>0</v>
      </c>
      <c r="AO569" s="2">
        <v>4.54952E-2</v>
      </c>
      <c r="AX569" s="89">
        <v>127</v>
      </c>
      <c r="AY569" s="2">
        <v>52</v>
      </c>
      <c r="AZ569" s="2">
        <v>0</v>
      </c>
      <c r="BA569" s="2">
        <v>2.2195930000000001</v>
      </c>
      <c r="BJ569" s="89">
        <v>127</v>
      </c>
      <c r="BK569" s="2">
        <v>52</v>
      </c>
      <c r="BL569" s="2">
        <v>0</v>
      </c>
      <c r="BM569" s="2">
        <v>2.7190919999999998</v>
      </c>
      <c r="BV569" s="89">
        <v>123</v>
      </c>
      <c r="BW569" s="2">
        <v>52</v>
      </c>
      <c r="BX569" s="2">
        <v>0</v>
      </c>
      <c r="BY569" s="2">
        <v>1.4E-2</v>
      </c>
      <c r="CH569" s="89">
        <v>134</v>
      </c>
      <c r="CI569" s="2">
        <v>51</v>
      </c>
      <c r="CJ569" s="2">
        <v>0</v>
      </c>
      <c r="CK569" s="2">
        <v>7.4285719999999996E-3</v>
      </c>
      <c r="CT569" s="89">
        <v>122</v>
      </c>
      <c r="CU569" s="2">
        <v>51</v>
      </c>
      <c r="CV569" s="2">
        <v>1</v>
      </c>
      <c r="CW569" s="2">
        <v>0.41116849999999999</v>
      </c>
      <c r="DF569" s="89">
        <v>133</v>
      </c>
      <c r="DG569" s="2">
        <v>51</v>
      </c>
      <c r="DH569" s="2">
        <v>0</v>
      </c>
      <c r="DI569" s="2">
        <v>0.98087009999999997</v>
      </c>
      <c r="DR569" s="89">
        <v>125</v>
      </c>
      <c r="DS569" s="2">
        <v>50</v>
      </c>
      <c r="DT569" s="2">
        <v>0</v>
      </c>
      <c r="DU569" s="2">
        <v>0.25352170000000002</v>
      </c>
      <c r="ED569" s="89">
        <v>135</v>
      </c>
      <c r="EE569" s="2">
        <v>51</v>
      </c>
      <c r="EF569" s="2">
        <v>0</v>
      </c>
      <c r="EG569" s="2">
        <v>2.1000000000000001E-2</v>
      </c>
      <c r="ES569">
        <v>135</v>
      </c>
      <c r="ET569">
        <v>51</v>
      </c>
      <c r="EU569">
        <v>0</v>
      </c>
      <c r="EV569">
        <v>2.1000000000000001E-2</v>
      </c>
    </row>
    <row r="570" spans="14:152" x14ac:dyDescent="0.4">
      <c r="N570" s="89">
        <v>122</v>
      </c>
      <c r="O570" s="2">
        <v>51</v>
      </c>
      <c r="P570" s="2">
        <v>1</v>
      </c>
      <c r="Q570" s="2">
        <v>0.2684878</v>
      </c>
      <c r="Z570" s="89">
        <v>124</v>
      </c>
      <c r="AA570" s="2">
        <v>51</v>
      </c>
      <c r="AB570" s="2">
        <v>1</v>
      </c>
      <c r="AC570" s="2">
        <v>0.38348910000000003</v>
      </c>
      <c r="AL570" s="89">
        <v>125</v>
      </c>
      <c r="AM570" s="2">
        <v>50</v>
      </c>
      <c r="AN570" s="2">
        <v>1</v>
      </c>
      <c r="AO570" s="2">
        <v>8.5047999999999999E-3</v>
      </c>
      <c r="AX570" s="89">
        <v>127</v>
      </c>
      <c r="AY570" s="2">
        <v>52</v>
      </c>
      <c r="AZ570" s="2">
        <v>1</v>
      </c>
      <c r="BA570" s="2">
        <v>0.85542819999999997</v>
      </c>
      <c r="BJ570" s="89">
        <v>127</v>
      </c>
      <c r="BK570" s="2">
        <v>52</v>
      </c>
      <c r="BL570" s="2">
        <v>1</v>
      </c>
      <c r="BM570" s="2">
        <v>1.3140540000000001</v>
      </c>
      <c r="BV570" s="89">
        <v>123</v>
      </c>
      <c r="BW570" s="2">
        <v>52</v>
      </c>
      <c r="BX570" s="2">
        <v>1</v>
      </c>
      <c r="BY570" s="2">
        <v>1.0999999999999999E-2</v>
      </c>
      <c r="CH570" s="89">
        <v>134</v>
      </c>
      <c r="CI570" s="2">
        <v>51</v>
      </c>
      <c r="CJ570" s="2">
        <v>1</v>
      </c>
      <c r="CK570" s="2">
        <v>5.5714290000000001E-3</v>
      </c>
      <c r="CT570" s="89">
        <v>123</v>
      </c>
      <c r="CU570" s="2">
        <v>51</v>
      </c>
      <c r="CV570" s="2">
        <v>0</v>
      </c>
      <c r="CW570" s="2">
        <v>3.5410020000000002</v>
      </c>
      <c r="DF570" s="89">
        <v>134</v>
      </c>
      <c r="DG570" s="2">
        <v>51</v>
      </c>
      <c r="DH570" s="2">
        <v>0</v>
      </c>
      <c r="DI570" s="2">
        <v>0.15582480000000001</v>
      </c>
      <c r="DR570" s="89">
        <v>125</v>
      </c>
      <c r="DS570" s="2">
        <v>50</v>
      </c>
      <c r="DT570" s="2">
        <v>1</v>
      </c>
      <c r="DU570" s="2">
        <v>7.5478279999999995E-2</v>
      </c>
      <c r="ED570" s="89">
        <v>136</v>
      </c>
      <c r="EE570" s="2">
        <v>51</v>
      </c>
      <c r="EF570" s="2">
        <v>0</v>
      </c>
      <c r="EG570" s="2">
        <v>5.0000000000000001E-3</v>
      </c>
      <c r="ES570">
        <v>136</v>
      </c>
      <c r="ET570">
        <v>51</v>
      </c>
      <c r="EU570">
        <v>0</v>
      </c>
      <c r="EV570">
        <v>5.0000000000000001E-3</v>
      </c>
    </row>
    <row r="571" spans="14:152" x14ac:dyDescent="0.4">
      <c r="N571" s="89">
        <v>123</v>
      </c>
      <c r="O571" s="2">
        <v>51</v>
      </c>
      <c r="P571" s="2">
        <v>0</v>
      </c>
      <c r="Q571" s="2">
        <v>0.58099999999999996</v>
      </c>
      <c r="Z571" s="89">
        <v>124</v>
      </c>
      <c r="AA571" s="2">
        <v>51</v>
      </c>
      <c r="AB571" s="2">
        <v>2</v>
      </c>
      <c r="AC571" s="2">
        <v>0.3146332</v>
      </c>
      <c r="AL571" s="89">
        <v>126</v>
      </c>
      <c r="AM571" s="2">
        <v>50</v>
      </c>
      <c r="AN571" s="2">
        <v>0</v>
      </c>
      <c r="AO571" s="2">
        <v>1.7999999999999999E-2</v>
      </c>
      <c r="AX571" s="89">
        <v>128</v>
      </c>
      <c r="AY571" s="2">
        <v>52</v>
      </c>
      <c r="AZ571" s="2">
        <v>0</v>
      </c>
      <c r="BA571" s="2">
        <v>2.0634579999999998</v>
      </c>
      <c r="BJ571" s="89">
        <v>128</v>
      </c>
      <c r="BK571" s="2">
        <v>52</v>
      </c>
      <c r="BL571" s="2">
        <v>0</v>
      </c>
      <c r="BM571" s="2">
        <v>2.374368</v>
      </c>
      <c r="BV571" s="89">
        <v>124</v>
      </c>
      <c r="BW571" s="2">
        <v>52</v>
      </c>
      <c r="BX571" s="2">
        <v>0</v>
      </c>
      <c r="BY571" s="2">
        <v>0.82000010000000001</v>
      </c>
      <c r="CH571" s="89">
        <v>119</v>
      </c>
      <c r="CI571" s="2">
        <v>52</v>
      </c>
      <c r="CJ571" s="2">
        <v>1</v>
      </c>
      <c r="CK571" s="2">
        <v>1E-3</v>
      </c>
      <c r="CT571" s="89">
        <v>124</v>
      </c>
      <c r="CU571" s="2">
        <v>51</v>
      </c>
      <c r="CV571" s="2">
        <v>0</v>
      </c>
      <c r="CW571" s="2">
        <v>1.0385089999999999</v>
      </c>
      <c r="DF571" s="89">
        <v>134</v>
      </c>
      <c r="DG571" s="2">
        <v>51</v>
      </c>
      <c r="DH571" s="2">
        <v>1</v>
      </c>
      <c r="DI571" s="2">
        <v>0.2429152</v>
      </c>
      <c r="DR571" s="89">
        <v>126</v>
      </c>
      <c r="DS571" s="2">
        <v>50</v>
      </c>
      <c r="DT571" s="2">
        <v>0</v>
      </c>
      <c r="DU571" s="2">
        <v>0.17399999999999999</v>
      </c>
      <c r="ED571" s="89">
        <v>121</v>
      </c>
      <c r="EE571" s="2">
        <v>52</v>
      </c>
      <c r="EF571" s="2">
        <v>0</v>
      </c>
      <c r="EG571" s="2">
        <v>3.6610000000000002E-3</v>
      </c>
      <c r="ES571">
        <v>121</v>
      </c>
      <c r="ET571">
        <v>52</v>
      </c>
      <c r="EU571">
        <v>0</v>
      </c>
      <c r="EV571">
        <v>3.6610000000000002E-3</v>
      </c>
    </row>
    <row r="572" spans="14:152" x14ac:dyDescent="0.4">
      <c r="N572" s="89">
        <v>124</v>
      </c>
      <c r="O572" s="2">
        <v>51</v>
      </c>
      <c r="P572" s="2">
        <v>0</v>
      </c>
      <c r="Q572" s="2">
        <v>0.21844</v>
      </c>
      <c r="Z572" s="89">
        <v>125</v>
      </c>
      <c r="AA572" s="2">
        <v>51</v>
      </c>
      <c r="AB572" s="2">
        <v>0</v>
      </c>
      <c r="AC572" s="2">
        <v>0.44700000000000001</v>
      </c>
      <c r="AL572" s="89">
        <v>127</v>
      </c>
      <c r="AM572" s="2">
        <v>50</v>
      </c>
      <c r="AN572" s="2">
        <v>0</v>
      </c>
      <c r="AO572" s="2">
        <v>4.0000000000000001E-3</v>
      </c>
      <c r="AX572" s="89">
        <v>129</v>
      </c>
      <c r="AY572" s="2">
        <v>52</v>
      </c>
      <c r="AZ572" s="2">
        <v>0</v>
      </c>
      <c r="BA572" s="2">
        <v>1.451702</v>
      </c>
      <c r="BJ572" s="89">
        <v>129</v>
      </c>
      <c r="BK572" s="2">
        <v>52</v>
      </c>
      <c r="BL572" s="2">
        <v>0</v>
      </c>
      <c r="BM572" s="2">
        <v>1.395564</v>
      </c>
      <c r="BV572" s="89">
        <v>125</v>
      </c>
      <c r="BW572" s="2">
        <v>52</v>
      </c>
      <c r="BX572" s="2">
        <v>0</v>
      </c>
      <c r="BY572" s="2">
        <v>3.3210000000000002</v>
      </c>
      <c r="CH572" s="89">
        <v>120</v>
      </c>
      <c r="CI572" s="2">
        <v>52</v>
      </c>
      <c r="CJ572" s="2">
        <v>0</v>
      </c>
      <c r="CK572" s="2">
        <v>1E-3</v>
      </c>
      <c r="CT572" s="89">
        <v>124</v>
      </c>
      <c r="CU572" s="2">
        <v>51</v>
      </c>
      <c r="CV572" s="2">
        <v>1</v>
      </c>
      <c r="CW572" s="2">
        <v>1.1579630000000001</v>
      </c>
      <c r="DF572" s="89">
        <v>135</v>
      </c>
      <c r="DG572" s="2">
        <v>51</v>
      </c>
      <c r="DH572" s="2">
        <v>0</v>
      </c>
      <c r="DI572" s="2">
        <v>0.13929</v>
      </c>
      <c r="DR572" s="89">
        <v>127</v>
      </c>
      <c r="DS572" s="2">
        <v>50</v>
      </c>
      <c r="DT572" s="2">
        <v>0</v>
      </c>
      <c r="DU572" s="2">
        <v>5.6401729999999997E-2</v>
      </c>
      <c r="ED572" s="89">
        <v>121</v>
      </c>
      <c r="EE572" s="2">
        <v>52</v>
      </c>
      <c r="EF572" s="2">
        <v>1</v>
      </c>
      <c r="EG572" s="2">
        <v>3.0000000000000001E-3</v>
      </c>
      <c r="ES572">
        <v>121</v>
      </c>
      <c r="ET572">
        <v>52</v>
      </c>
      <c r="EU572">
        <v>1</v>
      </c>
      <c r="EV572">
        <v>3.0000000000000001E-3</v>
      </c>
    </row>
    <row r="573" spans="14:152" x14ac:dyDescent="0.4">
      <c r="N573" s="89">
        <v>124</v>
      </c>
      <c r="O573" s="2">
        <v>51</v>
      </c>
      <c r="P573" s="2">
        <v>1</v>
      </c>
      <c r="Q573" s="2">
        <v>0.24223990000000001</v>
      </c>
      <c r="Z573" s="89">
        <v>126</v>
      </c>
      <c r="AA573" s="2">
        <v>51</v>
      </c>
      <c r="AB573" s="2">
        <v>0</v>
      </c>
      <c r="AC573" s="2">
        <v>0.1273358</v>
      </c>
      <c r="AL573" s="89">
        <v>128</v>
      </c>
      <c r="AM573" s="2">
        <v>50</v>
      </c>
      <c r="AN573" s="2">
        <v>0</v>
      </c>
      <c r="AO573" s="2">
        <v>2E-3</v>
      </c>
      <c r="AX573" s="89">
        <v>129</v>
      </c>
      <c r="AY573" s="2">
        <v>52</v>
      </c>
      <c r="AZ573" s="2">
        <v>1</v>
      </c>
      <c r="BA573" s="2">
        <v>1.079161</v>
      </c>
      <c r="BJ573" s="89">
        <v>129</v>
      </c>
      <c r="BK573" s="2">
        <v>52</v>
      </c>
      <c r="BL573" s="2">
        <v>1</v>
      </c>
      <c r="BM573" s="2">
        <v>1.1849479999999999</v>
      </c>
      <c r="BV573" s="89">
        <v>125</v>
      </c>
      <c r="BW573" s="2">
        <v>52</v>
      </c>
      <c r="BX573" s="2">
        <v>1</v>
      </c>
      <c r="BY573" s="2">
        <v>0.90102700000000002</v>
      </c>
      <c r="CH573" s="89">
        <v>121</v>
      </c>
      <c r="CI573" s="2">
        <v>52</v>
      </c>
      <c r="CJ573" s="2">
        <v>0</v>
      </c>
      <c r="CK573" s="2">
        <v>1.3531E-2</v>
      </c>
      <c r="CT573" s="89">
        <v>124</v>
      </c>
      <c r="CU573" s="2">
        <v>51</v>
      </c>
      <c r="CV573" s="2">
        <v>2</v>
      </c>
      <c r="CW573" s="2">
        <v>0.94137910000000002</v>
      </c>
      <c r="DF573" s="89">
        <v>136</v>
      </c>
      <c r="DG573" s="2">
        <v>51</v>
      </c>
      <c r="DH573" s="2">
        <v>0</v>
      </c>
      <c r="DI573" s="2">
        <v>5.9400000000000001E-2</v>
      </c>
      <c r="DR573" s="89">
        <v>127</v>
      </c>
      <c r="DS573" s="2">
        <v>50</v>
      </c>
      <c r="DT573" s="2">
        <v>1</v>
      </c>
      <c r="DU573" s="2">
        <v>1.6598269999999998E-2</v>
      </c>
      <c r="ED573" s="89">
        <v>122</v>
      </c>
      <c r="EE573" s="2">
        <v>52</v>
      </c>
      <c r="EF573" s="2">
        <v>0</v>
      </c>
      <c r="EG573" s="2">
        <v>0.32539230000000002</v>
      </c>
      <c r="ES573">
        <v>122</v>
      </c>
      <c r="ET573">
        <v>52</v>
      </c>
      <c r="EU573">
        <v>0</v>
      </c>
      <c r="EV573">
        <v>0.32539230000000002</v>
      </c>
    </row>
    <row r="574" spans="14:152" x14ac:dyDescent="0.4">
      <c r="N574" s="89">
        <v>124</v>
      </c>
      <c r="O574" s="2">
        <v>51</v>
      </c>
      <c r="P574" s="2">
        <v>2</v>
      </c>
      <c r="Q574" s="2">
        <v>0.19322639999999999</v>
      </c>
      <c r="Z574" s="89">
        <v>126</v>
      </c>
      <c r="AA574" s="2">
        <v>51</v>
      </c>
      <c r="AB574" s="2">
        <v>1</v>
      </c>
      <c r="AC574" s="2">
        <v>6.0175649999999997E-2</v>
      </c>
      <c r="AL574" s="89">
        <v>128</v>
      </c>
      <c r="AM574" s="2">
        <v>50</v>
      </c>
      <c r="AN574" s="2">
        <v>1</v>
      </c>
      <c r="AO574" s="2">
        <v>1E-3</v>
      </c>
      <c r="AX574" s="89">
        <v>130</v>
      </c>
      <c r="AY574" s="2">
        <v>52</v>
      </c>
      <c r="AZ574" s="2">
        <v>0</v>
      </c>
      <c r="BA574" s="2">
        <v>1.8640000000000001</v>
      </c>
      <c r="BJ574" s="89">
        <v>130</v>
      </c>
      <c r="BK574" s="2">
        <v>52</v>
      </c>
      <c r="BL574" s="2">
        <v>0</v>
      </c>
      <c r="BM574" s="2">
        <v>1.444</v>
      </c>
      <c r="BV574" s="89">
        <v>126</v>
      </c>
      <c r="BW574" s="2">
        <v>52</v>
      </c>
      <c r="BX574" s="2">
        <v>0</v>
      </c>
      <c r="BY574" s="2">
        <v>2.675141</v>
      </c>
      <c r="CH574" s="89">
        <v>121</v>
      </c>
      <c r="CI574" s="2">
        <v>52</v>
      </c>
      <c r="CJ574" s="2">
        <v>1</v>
      </c>
      <c r="CK574" s="2">
        <v>1.2999999999999999E-2</v>
      </c>
      <c r="CT574" s="89">
        <v>125</v>
      </c>
      <c r="CU574" s="2">
        <v>51</v>
      </c>
      <c r="CV574" s="2">
        <v>0</v>
      </c>
      <c r="CW574" s="2">
        <v>3.0329999999999999</v>
      </c>
      <c r="DF574" s="89">
        <v>137</v>
      </c>
      <c r="DG574" s="2">
        <v>51</v>
      </c>
      <c r="DH574" s="2">
        <v>0</v>
      </c>
      <c r="DI574" s="2">
        <v>8.0000000000000002E-3</v>
      </c>
      <c r="DR574" s="89">
        <v>128</v>
      </c>
      <c r="DS574" s="2">
        <v>50</v>
      </c>
      <c r="DT574" s="2">
        <v>0</v>
      </c>
      <c r="DU574" s="2">
        <v>2.5999999999999999E-2</v>
      </c>
      <c r="ED574" s="89">
        <v>123</v>
      </c>
      <c r="EE574" s="2">
        <v>52</v>
      </c>
      <c r="EF574" s="2">
        <v>0</v>
      </c>
      <c r="EG574" s="2">
        <v>4.9000000000000002E-2</v>
      </c>
      <c r="ES574">
        <v>123</v>
      </c>
      <c r="ET574">
        <v>52</v>
      </c>
      <c r="EU574">
        <v>0</v>
      </c>
      <c r="EV574">
        <v>4.9000000000000002E-2</v>
      </c>
    </row>
    <row r="575" spans="14:152" x14ac:dyDescent="0.4">
      <c r="N575" s="89">
        <v>125</v>
      </c>
      <c r="O575" s="2">
        <v>51</v>
      </c>
      <c r="P575" s="2">
        <v>0</v>
      </c>
      <c r="Q575" s="2">
        <v>0.28999999999999998</v>
      </c>
      <c r="Z575" s="89">
        <v>126</v>
      </c>
      <c r="AA575" s="2">
        <v>51</v>
      </c>
      <c r="AB575" s="2">
        <v>2</v>
      </c>
      <c r="AC575" s="2">
        <v>1.3005920000000001E-2</v>
      </c>
      <c r="AL575" s="89">
        <v>116</v>
      </c>
      <c r="AM575" s="2">
        <v>51</v>
      </c>
      <c r="AN575" s="2">
        <v>0</v>
      </c>
      <c r="AO575" s="2">
        <v>1E-3</v>
      </c>
      <c r="AX575" s="89">
        <v>131</v>
      </c>
      <c r="AY575" s="2">
        <v>52</v>
      </c>
      <c r="AZ575" s="2">
        <v>0</v>
      </c>
      <c r="BA575" s="2">
        <v>1.112217</v>
      </c>
      <c r="BJ575" s="89">
        <v>131</v>
      </c>
      <c r="BK575" s="2">
        <v>52</v>
      </c>
      <c r="BL575" s="2">
        <v>0</v>
      </c>
      <c r="BM575" s="2">
        <v>0.66931580000000002</v>
      </c>
      <c r="BV575" s="89">
        <v>127</v>
      </c>
      <c r="BW575" s="2">
        <v>52</v>
      </c>
      <c r="BX575" s="2">
        <v>0</v>
      </c>
      <c r="BY575" s="2">
        <v>2.9248940000000001</v>
      </c>
      <c r="CH575" s="89">
        <v>122</v>
      </c>
      <c r="CI575" s="2">
        <v>52</v>
      </c>
      <c r="CJ575" s="2">
        <v>0</v>
      </c>
      <c r="CK575" s="2">
        <v>0.77769900000000003</v>
      </c>
      <c r="CT575" s="89">
        <v>126</v>
      </c>
      <c r="CU575" s="2">
        <v>51</v>
      </c>
      <c r="CV575" s="2">
        <v>0</v>
      </c>
      <c r="CW575" s="2">
        <v>1.186933</v>
      </c>
      <c r="DF575" s="89">
        <v>138</v>
      </c>
      <c r="DG575" s="2">
        <v>51</v>
      </c>
      <c r="DH575" s="2">
        <v>0</v>
      </c>
      <c r="DI575" s="2">
        <v>3.0000000000000001E-3</v>
      </c>
      <c r="DR575" s="89">
        <v>128</v>
      </c>
      <c r="DS575" s="2">
        <v>50</v>
      </c>
      <c r="DT575" s="2">
        <v>1</v>
      </c>
      <c r="DU575" s="2">
        <v>2.324E-2</v>
      </c>
      <c r="ED575" s="89">
        <v>123</v>
      </c>
      <c r="EE575" s="2">
        <v>52</v>
      </c>
      <c r="EF575" s="2">
        <v>1</v>
      </c>
      <c r="EG575" s="2">
        <v>3.8111109999999997E-2</v>
      </c>
      <c r="ES575">
        <v>123</v>
      </c>
      <c r="ET575">
        <v>52</v>
      </c>
      <c r="EU575">
        <v>1</v>
      </c>
      <c r="EV575">
        <v>3.8111109999999997E-2</v>
      </c>
    </row>
    <row r="576" spans="14:152" x14ac:dyDescent="0.4">
      <c r="N576" s="89">
        <v>126</v>
      </c>
      <c r="O576" s="2">
        <v>51</v>
      </c>
      <c r="P576" s="2">
        <v>0</v>
      </c>
      <c r="Q576" s="2">
        <v>8.9686509999999997E-2</v>
      </c>
      <c r="Z576" s="89">
        <v>127</v>
      </c>
      <c r="AA576" s="2">
        <v>51</v>
      </c>
      <c r="AB576" s="2">
        <v>0</v>
      </c>
      <c r="AC576" s="2">
        <v>9.9000009999999999E-2</v>
      </c>
      <c r="AL576" s="89">
        <v>116</v>
      </c>
      <c r="AM576" s="2">
        <v>51</v>
      </c>
      <c r="AN576" s="2">
        <v>1</v>
      </c>
      <c r="AO576" s="2">
        <v>2E-3</v>
      </c>
      <c r="AX576" s="89">
        <v>131</v>
      </c>
      <c r="AY576" s="2">
        <v>52</v>
      </c>
      <c r="AZ576" s="2">
        <v>1</v>
      </c>
      <c r="BA576" s="2">
        <v>0.71997860000000002</v>
      </c>
      <c r="BJ576" s="89">
        <v>131</v>
      </c>
      <c r="BK576" s="2">
        <v>52</v>
      </c>
      <c r="BL576" s="2">
        <v>1</v>
      </c>
      <c r="BM576" s="2">
        <v>0.60846100000000003</v>
      </c>
      <c r="BV576" s="89">
        <v>127</v>
      </c>
      <c r="BW576" s="2">
        <v>52</v>
      </c>
      <c r="BX576" s="2">
        <v>1</v>
      </c>
      <c r="BY576" s="2">
        <v>1.025215</v>
      </c>
      <c r="CH576" s="89">
        <v>123</v>
      </c>
      <c r="CI576" s="2">
        <v>52</v>
      </c>
      <c r="CJ576" s="2">
        <v>0</v>
      </c>
      <c r="CK576" s="2">
        <v>0.21199999999999999</v>
      </c>
      <c r="CT576" s="89">
        <v>126</v>
      </c>
      <c r="CU576" s="2">
        <v>51</v>
      </c>
      <c r="CV576" s="2">
        <v>1</v>
      </c>
      <c r="CW576" s="2">
        <v>0.95529059999999999</v>
      </c>
      <c r="DF576" s="89">
        <v>122</v>
      </c>
      <c r="DG576" s="2">
        <v>52</v>
      </c>
      <c r="DH576" s="2">
        <v>0</v>
      </c>
      <c r="DI576" s="2">
        <v>1.07393E-2</v>
      </c>
      <c r="DR576" s="89">
        <v>129</v>
      </c>
      <c r="DS576" s="2">
        <v>50</v>
      </c>
      <c r="DT576" s="2">
        <v>1</v>
      </c>
      <c r="DU576" s="2">
        <v>7.0000000000000001E-3</v>
      </c>
      <c r="ED576" s="89">
        <v>124</v>
      </c>
      <c r="EE576" s="2">
        <v>52</v>
      </c>
      <c r="EF576" s="2">
        <v>0</v>
      </c>
      <c r="EG576" s="2">
        <v>1.345</v>
      </c>
      <c r="ES576">
        <v>124</v>
      </c>
      <c r="ET576">
        <v>52</v>
      </c>
      <c r="EU576">
        <v>0</v>
      </c>
      <c r="EV576">
        <v>1.345</v>
      </c>
    </row>
    <row r="577" spans="14:152" x14ac:dyDescent="0.4">
      <c r="N577" s="89">
        <v>126</v>
      </c>
      <c r="O577" s="2">
        <v>51</v>
      </c>
      <c r="P577" s="2">
        <v>1</v>
      </c>
      <c r="Q577" s="2">
        <v>3.2199529999999997E-2</v>
      </c>
      <c r="Z577" s="89">
        <v>128</v>
      </c>
      <c r="AA577" s="2">
        <v>51</v>
      </c>
      <c r="AB577" s="2">
        <v>0</v>
      </c>
      <c r="AC577" s="2">
        <v>2.9721500000000001E-2</v>
      </c>
      <c r="AL577" s="89">
        <v>117</v>
      </c>
      <c r="AM577" s="2">
        <v>51</v>
      </c>
      <c r="AN577" s="2">
        <v>0</v>
      </c>
      <c r="AO577" s="2">
        <v>1.4999999999999999E-2</v>
      </c>
      <c r="AX577" s="89">
        <v>132</v>
      </c>
      <c r="AY577" s="2">
        <v>52</v>
      </c>
      <c r="AZ577" s="2">
        <v>0</v>
      </c>
      <c r="BA577" s="2">
        <v>1.534</v>
      </c>
      <c r="BJ577" s="89">
        <v>132</v>
      </c>
      <c r="BK577" s="2">
        <v>52</v>
      </c>
      <c r="BL577" s="2">
        <v>0</v>
      </c>
      <c r="BM577" s="2">
        <v>0.875</v>
      </c>
      <c r="BV577" s="89">
        <v>128</v>
      </c>
      <c r="BW577" s="2">
        <v>52</v>
      </c>
      <c r="BX577" s="2">
        <v>0</v>
      </c>
      <c r="BY577" s="2">
        <v>2.8996279999999999</v>
      </c>
      <c r="CH577" s="89">
        <v>123</v>
      </c>
      <c r="CI577" s="2">
        <v>52</v>
      </c>
      <c r="CJ577" s="2">
        <v>1</v>
      </c>
      <c r="CK577" s="2">
        <v>0.1738249</v>
      </c>
      <c r="CT577" s="89">
        <v>126</v>
      </c>
      <c r="CU577" s="2">
        <v>51</v>
      </c>
      <c r="CV577" s="2">
        <v>2</v>
      </c>
      <c r="CW577" s="2">
        <v>0.10972700000000001</v>
      </c>
      <c r="DF577" s="89">
        <v>123</v>
      </c>
      <c r="DG577" s="2">
        <v>52</v>
      </c>
      <c r="DH577" s="2">
        <v>0</v>
      </c>
      <c r="DI577" s="2">
        <v>1E-3</v>
      </c>
      <c r="DR577" s="89">
        <v>130</v>
      </c>
      <c r="DS577" s="2">
        <v>50</v>
      </c>
      <c r="DT577" s="2">
        <v>0</v>
      </c>
      <c r="DU577" s="2">
        <v>1E-3</v>
      </c>
      <c r="ED577" s="89">
        <v>125</v>
      </c>
      <c r="EE577" s="2">
        <v>52</v>
      </c>
      <c r="EF577" s="2">
        <v>0</v>
      </c>
      <c r="EG577" s="2">
        <v>3.73</v>
      </c>
      <c r="ES577">
        <v>125</v>
      </c>
      <c r="ET577">
        <v>52</v>
      </c>
      <c r="EU577">
        <v>0</v>
      </c>
      <c r="EV577">
        <v>3.73</v>
      </c>
    </row>
    <row r="578" spans="14:152" x14ac:dyDescent="0.4">
      <c r="N578" s="89">
        <v>126</v>
      </c>
      <c r="O578" s="2">
        <v>51</v>
      </c>
      <c r="P578" s="2">
        <v>2</v>
      </c>
      <c r="Q578" s="2">
        <v>6.6249999999999998E-3</v>
      </c>
      <c r="Z578" s="89">
        <v>128</v>
      </c>
      <c r="AA578" s="2">
        <v>51</v>
      </c>
      <c r="AB578" s="2">
        <v>1</v>
      </c>
      <c r="AC578" s="2">
        <v>9.6250009999999993E-3</v>
      </c>
      <c r="AL578" s="89">
        <v>118</v>
      </c>
      <c r="AM578" s="2">
        <v>51</v>
      </c>
      <c r="AN578" s="2">
        <v>0</v>
      </c>
      <c r="AO578" s="2">
        <v>8.0000000000000002E-3</v>
      </c>
      <c r="AX578" s="89">
        <v>133</v>
      </c>
      <c r="AY578" s="2">
        <v>52</v>
      </c>
      <c r="AZ578" s="2">
        <v>0</v>
      </c>
      <c r="BA578" s="2">
        <v>0.59086890000000003</v>
      </c>
      <c r="BJ578" s="89">
        <v>133</v>
      </c>
      <c r="BK578" s="2">
        <v>52</v>
      </c>
      <c r="BL578" s="2">
        <v>0</v>
      </c>
      <c r="BM578" s="2">
        <v>0.3584582</v>
      </c>
      <c r="BV578" s="89">
        <v>129</v>
      </c>
      <c r="BW578" s="2">
        <v>52</v>
      </c>
      <c r="BX578" s="2">
        <v>0</v>
      </c>
      <c r="BY578" s="2">
        <v>2.0753050000000002</v>
      </c>
      <c r="CH578" s="89">
        <v>124</v>
      </c>
      <c r="CI578" s="2">
        <v>52</v>
      </c>
      <c r="CJ578" s="2">
        <v>0</v>
      </c>
      <c r="CK578" s="2">
        <v>2.1629999999999998</v>
      </c>
      <c r="CT578" s="89">
        <v>127</v>
      </c>
      <c r="CU578" s="2">
        <v>51</v>
      </c>
      <c r="CV578" s="2">
        <v>0</v>
      </c>
      <c r="CW578" s="2">
        <v>1.9079379999999999</v>
      </c>
      <c r="DF578" s="89">
        <v>123</v>
      </c>
      <c r="DG578" s="2">
        <v>52</v>
      </c>
      <c r="DH578" s="2">
        <v>1</v>
      </c>
      <c r="DI578" s="2">
        <v>1E-3</v>
      </c>
      <c r="DR578" s="89">
        <v>131</v>
      </c>
      <c r="DS578" s="2">
        <v>50</v>
      </c>
      <c r="DT578" s="2">
        <v>0</v>
      </c>
      <c r="DU578" s="2">
        <v>9.4690010000000001E-4</v>
      </c>
      <c r="ED578" s="89">
        <v>125</v>
      </c>
      <c r="EE578" s="2">
        <v>52</v>
      </c>
      <c r="EF578" s="2">
        <v>1</v>
      </c>
      <c r="EG578" s="2">
        <v>1.1588320000000001</v>
      </c>
      <c r="ES578">
        <v>125</v>
      </c>
      <c r="ET578">
        <v>52</v>
      </c>
      <c r="EU578">
        <v>1</v>
      </c>
      <c r="EV578">
        <v>1.1588320000000001</v>
      </c>
    </row>
    <row r="579" spans="14:152" x14ac:dyDescent="0.4">
      <c r="N579" s="89">
        <v>127</v>
      </c>
      <c r="O579" s="2">
        <v>51</v>
      </c>
      <c r="P579" s="2">
        <v>0</v>
      </c>
      <c r="Q579" s="2">
        <v>5.2999999999999999E-2</v>
      </c>
      <c r="Z579" s="89">
        <v>129</v>
      </c>
      <c r="AA579" s="2">
        <v>51</v>
      </c>
      <c r="AB579" s="2">
        <v>0</v>
      </c>
      <c r="AC579" s="2">
        <v>1.115376E-2</v>
      </c>
      <c r="AL579" s="89">
        <v>118</v>
      </c>
      <c r="AM579" s="2">
        <v>51</v>
      </c>
      <c r="AN579" s="2">
        <v>1</v>
      </c>
      <c r="AO579" s="2">
        <v>4.3999999999999997E-2</v>
      </c>
      <c r="AX579" s="89">
        <v>133</v>
      </c>
      <c r="AY579" s="2">
        <v>52</v>
      </c>
      <c r="AZ579" s="2">
        <v>1</v>
      </c>
      <c r="BA579" s="2">
        <v>0.5797987</v>
      </c>
      <c r="BJ579" s="89">
        <v>133</v>
      </c>
      <c r="BK579" s="2">
        <v>52</v>
      </c>
      <c r="BL579" s="2">
        <v>1</v>
      </c>
      <c r="BM579" s="2">
        <v>0.36189379999999999</v>
      </c>
      <c r="BV579" s="89">
        <v>129</v>
      </c>
      <c r="BW579" s="2">
        <v>52</v>
      </c>
      <c r="BX579" s="2">
        <v>1</v>
      </c>
      <c r="BY579" s="2">
        <v>1.647804</v>
      </c>
      <c r="CH579" s="89">
        <v>125</v>
      </c>
      <c r="CI579" s="2">
        <v>52</v>
      </c>
      <c r="CJ579" s="2">
        <v>0</v>
      </c>
      <c r="CK579" s="2">
        <v>3.831</v>
      </c>
      <c r="CT579" s="89">
        <v>128</v>
      </c>
      <c r="CU579" s="2">
        <v>51</v>
      </c>
      <c r="CV579" s="2">
        <v>0</v>
      </c>
      <c r="CW579" s="2">
        <v>0.98899090000000001</v>
      </c>
      <c r="DF579" s="89">
        <v>124</v>
      </c>
      <c r="DG579" s="2">
        <v>52</v>
      </c>
      <c r="DH579" s="2">
        <v>0</v>
      </c>
      <c r="DI579" s="2">
        <v>0.192</v>
      </c>
      <c r="DR579" s="89">
        <v>131</v>
      </c>
      <c r="DS579" s="2">
        <v>50</v>
      </c>
      <c r="DT579" s="2">
        <v>1</v>
      </c>
      <c r="DU579" s="2">
        <v>3.0531E-3</v>
      </c>
      <c r="ED579" s="89">
        <v>126</v>
      </c>
      <c r="EE579" s="2">
        <v>52</v>
      </c>
      <c r="EF579" s="2">
        <v>0</v>
      </c>
      <c r="EG579" s="2">
        <v>3.0593970000000001</v>
      </c>
      <c r="ES579">
        <v>126</v>
      </c>
      <c r="ET579">
        <v>52</v>
      </c>
      <c r="EU579">
        <v>0</v>
      </c>
      <c r="EV579">
        <v>3.0593970000000001</v>
      </c>
    </row>
    <row r="580" spans="14:152" x14ac:dyDescent="0.4">
      <c r="N580" s="89">
        <v>128</v>
      </c>
      <c r="O580" s="2">
        <v>51</v>
      </c>
      <c r="P580" s="2">
        <v>0</v>
      </c>
      <c r="Q580" s="2">
        <v>1.2144E-2</v>
      </c>
      <c r="Z580" s="89">
        <v>129</v>
      </c>
      <c r="AA580" s="2">
        <v>51</v>
      </c>
      <c r="AB580" s="2">
        <v>1</v>
      </c>
      <c r="AC580" s="2">
        <v>1.2760290000000001E-2</v>
      </c>
      <c r="AL580" s="89">
        <v>119</v>
      </c>
      <c r="AM580" s="2">
        <v>51</v>
      </c>
      <c r="AN580" s="2">
        <v>0</v>
      </c>
      <c r="AO580" s="2">
        <v>0.128</v>
      </c>
      <c r="AX580" s="89">
        <v>134</v>
      </c>
      <c r="AY580" s="2">
        <v>52</v>
      </c>
      <c r="AZ580" s="2">
        <v>0</v>
      </c>
      <c r="BA580" s="2">
        <v>0.69021580000000005</v>
      </c>
      <c r="BJ580" s="89">
        <v>134</v>
      </c>
      <c r="BK580" s="2">
        <v>52</v>
      </c>
      <c r="BL580" s="2">
        <v>0</v>
      </c>
      <c r="BM580" s="2">
        <v>0.34323540000000002</v>
      </c>
      <c r="BV580" s="89">
        <v>130</v>
      </c>
      <c r="BW580" s="2">
        <v>52</v>
      </c>
      <c r="BX580" s="2">
        <v>0</v>
      </c>
      <c r="BY580" s="2">
        <v>2.4590350000000001</v>
      </c>
      <c r="CH580" s="89">
        <v>125</v>
      </c>
      <c r="CI580" s="2">
        <v>52</v>
      </c>
      <c r="CJ580" s="2">
        <v>1</v>
      </c>
      <c r="CK580" s="2">
        <v>1.477198</v>
      </c>
      <c r="CT580" s="89">
        <v>128</v>
      </c>
      <c r="CU580" s="2">
        <v>51</v>
      </c>
      <c r="CV580" s="2">
        <v>1</v>
      </c>
      <c r="CW580" s="2">
        <v>0.22926260000000001</v>
      </c>
      <c r="DF580" s="89">
        <v>125</v>
      </c>
      <c r="DG580" s="2">
        <v>52</v>
      </c>
      <c r="DH580" s="2">
        <v>0</v>
      </c>
      <c r="DI580" s="2">
        <v>2.48</v>
      </c>
      <c r="DR580" s="89">
        <v>118</v>
      </c>
      <c r="DS580" s="2">
        <v>51</v>
      </c>
      <c r="DT580" s="2">
        <v>1</v>
      </c>
      <c r="DU580" s="2">
        <v>1E-3</v>
      </c>
      <c r="ED580" s="89">
        <v>127</v>
      </c>
      <c r="EE580" s="2">
        <v>52</v>
      </c>
      <c r="EF580" s="2">
        <v>0</v>
      </c>
      <c r="EG580" s="2">
        <v>3.1311429999999998</v>
      </c>
      <c r="ES580">
        <v>127</v>
      </c>
      <c r="ET580">
        <v>52</v>
      </c>
      <c r="EU580">
        <v>0</v>
      </c>
      <c r="EV580">
        <v>3.1311429999999998</v>
      </c>
    </row>
    <row r="581" spans="14:152" x14ac:dyDescent="0.4">
      <c r="N581" s="89">
        <v>128</v>
      </c>
      <c r="O581" s="2">
        <v>51</v>
      </c>
      <c r="P581" s="2">
        <v>1</v>
      </c>
      <c r="Q581" s="2">
        <v>4.0000000000000001E-3</v>
      </c>
      <c r="Z581" s="89">
        <v>130</v>
      </c>
      <c r="AA581" s="2">
        <v>51</v>
      </c>
      <c r="AB581" s="2">
        <v>0</v>
      </c>
      <c r="AC581" s="2">
        <v>7.8399999999999997E-3</v>
      </c>
      <c r="AL581" s="89">
        <v>119</v>
      </c>
      <c r="AM581" s="2">
        <v>51</v>
      </c>
      <c r="AN581" s="2">
        <v>1</v>
      </c>
      <c r="AO581" s="2">
        <v>5.5E-2</v>
      </c>
      <c r="AX581" s="89">
        <v>135</v>
      </c>
      <c r="AY581" s="2">
        <v>52</v>
      </c>
      <c r="AZ581" s="2">
        <v>0</v>
      </c>
      <c r="BA581" s="2">
        <v>0.253913</v>
      </c>
      <c r="BJ581" s="89">
        <v>135</v>
      </c>
      <c r="BK581" s="2">
        <v>52</v>
      </c>
      <c r="BL581" s="2">
        <v>0</v>
      </c>
      <c r="BM581" s="2">
        <v>0.131744</v>
      </c>
      <c r="BV581" s="89">
        <v>131</v>
      </c>
      <c r="BW581" s="2">
        <v>52</v>
      </c>
      <c r="BX581" s="2">
        <v>0</v>
      </c>
      <c r="BY581" s="2">
        <v>1.302235</v>
      </c>
      <c r="CH581" s="89">
        <v>126</v>
      </c>
      <c r="CI581" s="2">
        <v>52</v>
      </c>
      <c r="CJ581" s="2">
        <v>0</v>
      </c>
      <c r="CK581" s="2">
        <v>3.2487300000000001</v>
      </c>
      <c r="CT581" s="89">
        <v>129</v>
      </c>
      <c r="CU581" s="2">
        <v>51</v>
      </c>
      <c r="CV581" s="2">
        <v>0</v>
      </c>
      <c r="CW581" s="2">
        <v>0.58258169999999998</v>
      </c>
      <c r="DF581" s="89">
        <v>125</v>
      </c>
      <c r="DG581" s="2">
        <v>52</v>
      </c>
      <c r="DH581" s="2">
        <v>1</v>
      </c>
      <c r="DI581" s="2">
        <v>0.60140899999999997</v>
      </c>
      <c r="DR581" s="89">
        <v>119</v>
      </c>
      <c r="DS581" s="2">
        <v>51</v>
      </c>
      <c r="DT581" s="2">
        <v>0</v>
      </c>
      <c r="DU581" s="2">
        <v>3.0000000000000001E-3</v>
      </c>
      <c r="ED581" s="89">
        <v>127</v>
      </c>
      <c r="EE581" s="2">
        <v>52</v>
      </c>
      <c r="EF581" s="2">
        <v>1</v>
      </c>
      <c r="EG581" s="2">
        <v>1.3838379999999999</v>
      </c>
      <c r="ES581">
        <v>127</v>
      </c>
      <c r="ET581">
        <v>52</v>
      </c>
      <c r="EU581">
        <v>1</v>
      </c>
      <c r="EV581">
        <v>1.3838379999999999</v>
      </c>
    </row>
    <row r="582" spans="14:152" x14ac:dyDescent="0.4">
      <c r="N582" s="89">
        <v>129</v>
      </c>
      <c r="O582" s="2">
        <v>51</v>
      </c>
      <c r="P582" s="2">
        <v>0</v>
      </c>
      <c r="Q582" s="2">
        <v>4.5909089999999998E-3</v>
      </c>
      <c r="Z582" s="89">
        <v>130</v>
      </c>
      <c r="AA582" s="2">
        <v>51</v>
      </c>
      <c r="AB582" s="2">
        <v>1</v>
      </c>
      <c r="AC582" s="2">
        <v>1.6000000000000001E-4</v>
      </c>
      <c r="AL582" s="89">
        <v>120</v>
      </c>
      <c r="AM582" s="2">
        <v>51</v>
      </c>
      <c r="AN582" s="2">
        <v>0</v>
      </c>
      <c r="AO582" s="2">
        <v>4.2999999999999997E-2</v>
      </c>
      <c r="AX582" s="89">
        <v>136</v>
      </c>
      <c r="AY582" s="2">
        <v>52</v>
      </c>
      <c r="AZ582" s="2">
        <v>0</v>
      </c>
      <c r="BA582" s="2">
        <v>7.4158409999999994E-2</v>
      </c>
      <c r="BJ582" s="89">
        <v>136</v>
      </c>
      <c r="BK582" s="2">
        <v>52</v>
      </c>
      <c r="BL582" s="2">
        <v>0</v>
      </c>
      <c r="BM582" s="2">
        <v>4.7E-2</v>
      </c>
      <c r="BV582" s="89">
        <v>131</v>
      </c>
      <c r="BW582" s="2">
        <v>52</v>
      </c>
      <c r="BX582" s="2">
        <v>1</v>
      </c>
      <c r="BY582" s="2">
        <v>0.9439611</v>
      </c>
      <c r="CH582" s="89">
        <v>127</v>
      </c>
      <c r="CI582" s="2">
        <v>52</v>
      </c>
      <c r="CJ582" s="2">
        <v>0</v>
      </c>
      <c r="CK582" s="2">
        <v>2.8008660000000001</v>
      </c>
      <c r="CT582" s="89">
        <v>129</v>
      </c>
      <c r="CU582" s="2">
        <v>51</v>
      </c>
      <c r="CV582" s="2">
        <v>1</v>
      </c>
      <c r="CW582" s="2">
        <v>0.39813690000000002</v>
      </c>
      <c r="DF582" s="89">
        <v>126</v>
      </c>
      <c r="DG582" s="2">
        <v>52</v>
      </c>
      <c r="DH582" s="2">
        <v>0</v>
      </c>
      <c r="DI582" s="2">
        <v>1.926768</v>
      </c>
      <c r="DR582" s="89">
        <v>119</v>
      </c>
      <c r="DS582" s="2">
        <v>51</v>
      </c>
      <c r="DT582" s="2">
        <v>1</v>
      </c>
      <c r="DU582" s="2">
        <v>1E-3</v>
      </c>
      <c r="ED582" s="89">
        <v>128</v>
      </c>
      <c r="EE582" s="2">
        <v>52</v>
      </c>
      <c r="EF582" s="2">
        <v>0</v>
      </c>
      <c r="EG582" s="2">
        <v>2.943327</v>
      </c>
      <c r="ES582">
        <v>128</v>
      </c>
      <c r="ET582">
        <v>52</v>
      </c>
      <c r="EU582">
        <v>0</v>
      </c>
      <c r="EV582">
        <v>2.943327</v>
      </c>
    </row>
    <row r="583" spans="14:152" x14ac:dyDescent="0.4">
      <c r="N583" s="89">
        <v>129</v>
      </c>
      <c r="O583" s="2">
        <v>51</v>
      </c>
      <c r="P583" s="2">
        <v>1</v>
      </c>
      <c r="Q583" s="2">
        <v>6.3636359999999998E-3</v>
      </c>
      <c r="Z583" s="89">
        <v>131</v>
      </c>
      <c r="AA583" s="2">
        <v>51</v>
      </c>
      <c r="AB583" s="2">
        <v>0</v>
      </c>
      <c r="AC583" s="2">
        <v>1E-3</v>
      </c>
      <c r="AL583" s="89">
        <v>120</v>
      </c>
      <c r="AM583" s="2">
        <v>51</v>
      </c>
      <c r="AN583" s="2">
        <v>1</v>
      </c>
      <c r="AO583" s="2">
        <v>0.23899999999999999</v>
      </c>
      <c r="AX583" s="89">
        <v>137</v>
      </c>
      <c r="AY583" s="2">
        <v>52</v>
      </c>
      <c r="AZ583" s="2">
        <v>0</v>
      </c>
      <c r="BA583" s="2">
        <v>2.8510000000000001E-2</v>
      </c>
      <c r="BJ583" s="89">
        <v>137</v>
      </c>
      <c r="BK583" s="2">
        <v>52</v>
      </c>
      <c r="BL583" s="2">
        <v>0</v>
      </c>
      <c r="BM583" s="2">
        <v>0.01</v>
      </c>
      <c r="BV583" s="89">
        <v>132</v>
      </c>
      <c r="BW583" s="2">
        <v>52</v>
      </c>
      <c r="BX583" s="2">
        <v>0</v>
      </c>
      <c r="BY583" s="2">
        <v>1.8720000000000001</v>
      </c>
      <c r="CH583" s="89">
        <v>127</v>
      </c>
      <c r="CI583" s="2">
        <v>52</v>
      </c>
      <c r="CJ583" s="2">
        <v>1</v>
      </c>
      <c r="CK583" s="2">
        <v>1.4693780000000001</v>
      </c>
      <c r="CT583" s="89">
        <v>130</v>
      </c>
      <c r="CU583" s="2">
        <v>51</v>
      </c>
      <c r="CV583" s="2">
        <v>0</v>
      </c>
      <c r="CW583" s="2">
        <v>0.47323340000000003</v>
      </c>
      <c r="DF583" s="89">
        <v>127</v>
      </c>
      <c r="DG583" s="2">
        <v>52</v>
      </c>
      <c r="DH583" s="2">
        <v>0</v>
      </c>
      <c r="DI583" s="2">
        <v>2.5293929999999998</v>
      </c>
      <c r="DR583" s="89">
        <v>120</v>
      </c>
      <c r="DS583" s="2">
        <v>51</v>
      </c>
      <c r="DT583" s="2">
        <v>0</v>
      </c>
      <c r="DU583" s="2">
        <v>2E-3</v>
      </c>
      <c r="ED583" s="89">
        <v>129</v>
      </c>
      <c r="EE583" s="2">
        <v>52</v>
      </c>
      <c r="EF583" s="2">
        <v>0</v>
      </c>
      <c r="EG583" s="2">
        <v>1.8219639999999999</v>
      </c>
      <c r="ES583">
        <v>129</v>
      </c>
      <c r="ET583">
        <v>52</v>
      </c>
      <c r="EU583">
        <v>0</v>
      </c>
      <c r="EV583">
        <v>1.8219639999999999</v>
      </c>
    </row>
    <row r="584" spans="14:152" x14ac:dyDescent="0.4">
      <c r="N584" s="89">
        <v>130</v>
      </c>
      <c r="O584" s="2">
        <v>51</v>
      </c>
      <c r="P584" s="2">
        <v>0</v>
      </c>
      <c r="Q584" s="2">
        <v>3.0000000000000001E-3</v>
      </c>
      <c r="Z584" s="89">
        <v>119</v>
      </c>
      <c r="AA584" s="2">
        <v>52</v>
      </c>
      <c r="AB584" s="2">
        <v>1</v>
      </c>
      <c r="AC584" s="2">
        <v>1E-3</v>
      </c>
      <c r="AL584" s="89">
        <v>121</v>
      </c>
      <c r="AM584" s="2">
        <v>51</v>
      </c>
      <c r="AN584" s="2">
        <v>0</v>
      </c>
      <c r="AO584" s="2">
        <v>1.4179999999999999</v>
      </c>
      <c r="AX584" s="89">
        <v>138</v>
      </c>
      <c r="AY584" s="2">
        <v>52</v>
      </c>
      <c r="AZ584" s="2">
        <v>0</v>
      </c>
      <c r="BA584" s="2">
        <v>4.0000000000000001E-3</v>
      </c>
      <c r="BJ584" s="89">
        <v>138</v>
      </c>
      <c r="BK584" s="2">
        <v>52</v>
      </c>
      <c r="BL584" s="2">
        <v>0</v>
      </c>
      <c r="BM584" s="2">
        <v>3.0000000000000001E-3</v>
      </c>
      <c r="BV584" s="89">
        <v>133</v>
      </c>
      <c r="BW584" s="2">
        <v>52</v>
      </c>
      <c r="BX584" s="2">
        <v>0</v>
      </c>
      <c r="BY584" s="2">
        <v>0.81038589999999999</v>
      </c>
      <c r="CH584" s="89">
        <v>128</v>
      </c>
      <c r="CI584" s="2">
        <v>52</v>
      </c>
      <c r="CJ584" s="2">
        <v>0</v>
      </c>
      <c r="CK584" s="2">
        <v>2.4758580000000001</v>
      </c>
      <c r="CT584" s="89">
        <v>130</v>
      </c>
      <c r="CU584" s="2">
        <v>51</v>
      </c>
      <c r="CV584" s="2">
        <v>1</v>
      </c>
      <c r="CW584" s="2">
        <v>0.13476659999999999</v>
      </c>
      <c r="DF584" s="89">
        <v>127</v>
      </c>
      <c r="DG584" s="2">
        <v>52</v>
      </c>
      <c r="DH584" s="2">
        <v>1</v>
      </c>
      <c r="DI584" s="2">
        <v>0.59791910000000004</v>
      </c>
      <c r="DR584" s="89">
        <v>120</v>
      </c>
      <c r="DS584" s="2">
        <v>51</v>
      </c>
      <c r="DT584" s="2">
        <v>1</v>
      </c>
      <c r="DU584" s="2">
        <v>0.02</v>
      </c>
      <c r="ED584" s="89">
        <v>129</v>
      </c>
      <c r="EE584" s="2">
        <v>52</v>
      </c>
      <c r="EF584" s="2">
        <v>1</v>
      </c>
      <c r="EG584" s="2">
        <v>1.6054710000000001</v>
      </c>
      <c r="ES584">
        <v>129</v>
      </c>
      <c r="ET584">
        <v>52</v>
      </c>
      <c r="EU584">
        <v>1</v>
      </c>
      <c r="EV584">
        <v>1.6054710000000001</v>
      </c>
    </row>
    <row r="585" spans="14:152" x14ac:dyDescent="0.4">
      <c r="N585" s="89">
        <v>118</v>
      </c>
      <c r="O585" s="2">
        <v>52</v>
      </c>
      <c r="P585" s="2">
        <v>0</v>
      </c>
      <c r="Q585" s="2">
        <v>1E-3</v>
      </c>
      <c r="Z585" s="89">
        <v>120</v>
      </c>
      <c r="AA585" s="2">
        <v>52</v>
      </c>
      <c r="AB585" s="2">
        <v>0</v>
      </c>
      <c r="AC585" s="2">
        <v>1E-3</v>
      </c>
      <c r="AL585" s="89">
        <v>122</v>
      </c>
      <c r="AM585" s="2">
        <v>51</v>
      </c>
      <c r="AN585" s="2">
        <v>0</v>
      </c>
      <c r="AO585" s="2">
        <v>0.49099999999999999</v>
      </c>
      <c r="AX585" s="89">
        <v>125</v>
      </c>
      <c r="AY585" s="2">
        <v>53</v>
      </c>
      <c r="AZ585" s="2">
        <v>0</v>
      </c>
      <c r="BA585" s="2">
        <v>1.2E-2</v>
      </c>
      <c r="BJ585" s="89">
        <v>123</v>
      </c>
      <c r="BK585" s="2">
        <v>53</v>
      </c>
      <c r="BL585" s="2">
        <v>0</v>
      </c>
      <c r="BM585" s="2">
        <v>3.0000000000000001E-3</v>
      </c>
      <c r="BV585" s="89">
        <v>133</v>
      </c>
      <c r="BW585" s="2">
        <v>52</v>
      </c>
      <c r="BX585" s="2">
        <v>1</v>
      </c>
      <c r="BY585" s="2">
        <v>0.76451880000000005</v>
      </c>
      <c r="CH585" s="89">
        <v>129</v>
      </c>
      <c r="CI585" s="2">
        <v>52</v>
      </c>
      <c r="CJ585" s="2">
        <v>0</v>
      </c>
      <c r="CK585" s="2">
        <v>1.398069</v>
      </c>
      <c r="CT585" s="89">
        <v>131</v>
      </c>
      <c r="CU585" s="2">
        <v>51</v>
      </c>
      <c r="CV585" s="2">
        <v>0</v>
      </c>
      <c r="CW585" s="2">
        <v>0.40600000000000003</v>
      </c>
      <c r="DF585" s="89">
        <v>128</v>
      </c>
      <c r="DG585" s="2">
        <v>52</v>
      </c>
      <c r="DH585" s="2">
        <v>0</v>
      </c>
      <c r="DI585" s="2">
        <v>2.6064150000000001</v>
      </c>
      <c r="DR585" s="89">
        <v>121</v>
      </c>
      <c r="DS585" s="2">
        <v>51</v>
      </c>
      <c r="DT585" s="2">
        <v>0</v>
      </c>
      <c r="DU585" s="2">
        <v>1.542978</v>
      </c>
      <c r="ED585" s="89">
        <v>130</v>
      </c>
      <c r="EE585" s="2">
        <v>52</v>
      </c>
      <c r="EF585" s="2">
        <v>0</v>
      </c>
      <c r="EG585" s="2">
        <v>1.9790000000000001</v>
      </c>
      <c r="ES585">
        <v>130</v>
      </c>
      <c r="ET585">
        <v>52</v>
      </c>
      <c r="EU585">
        <v>0</v>
      </c>
      <c r="EV585">
        <v>1.9790000000000001</v>
      </c>
    </row>
    <row r="586" spans="14:152" x14ac:dyDescent="0.4">
      <c r="N586" s="89">
        <v>119</v>
      </c>
      <c r="O586" s="2">
        <v>52</v>
      </c>
      <c r="P586" s="2">
        <v>1</v>
      </c>
      <c r="Q586" s="2">
        <v>1E-3</v>
      </c>
      <c r="Z586" s="89">
        <v>121</v>
      </c>
      <c r="AA586" s="2">
        <v>52</v>
      </c>
      <c r="AB586" s="2">
        <v>0</v>
      </c>
      <c r="AC586" s="2">
        <v>7.2090000000000001E-3</v>
      </c>
      <c r="AL586" s="89">
        <v>122</v>
      </c>
      <c r="AM586" s="2">
        <v>51</v>
      </c>
      <c r="AN586" s="2">
        <v>1</v>
      </c>
      <c r="AO586" s="2">
        <v>0.40345740000000002</v>
      </c>
      <c r="AX586" s="89">
        <v>126</v>
      </c>
      <c r="AY586" s="2">
        <v>53</v>
      </c>
      <c r="AZ586" s="2">
        <v>0</v>
      </c>
      <c r="BA586" s="2">
        <v>4.2000000000000003E-2</v>
      </c>
      <c r="BJ586" s="89">
        <v>124</v>
      </c>
      <c r="BK586" s="2">
        <v>53</v>
      </c>
      <c r="BL586" s="2">
        <v>0</v>
      </c>
      <c r="BM586" s="2">
        <v>8.0000000000000002E-3</v>
      </c>
      <c r="BV586" s="89">
        <v>134</v>
      </c>
      <c r="BW586" s="2">
        <v>52</v>
      </c>
      <c r="BX586" s="2">
        <v>0</v>
      </c>
      <c r="BY586" s="2">
        <v>1.022465</v>
      </c>
      <c r="CH586" s="89">
        <v>129</v>
      </c>
      <c r="CI586" s="2">
        <v>52</v>
      </c>
      <c r="CJ586" s="2">
        <v>1</v>
      </c>
      <c r="CK586" s="2">
        <v>1.2619670000000001</v>
      </c>
      <c r="CT586" s="89">
        <v>132</v>
      </c>
      <c r="CU586" s="2">
        <v>51</v>
      </c>
      <c r="CV586" s="2">
        <v>0</v>
      </c>
      <c r="CW586" s="2">
        <v>0.1070131</v>
      </c>
      <c r="DF586" s="89">
        <v>129</v>
      </c>
      <c r="DG586" s="2">
        <v>52</v>
      </c>
      <c r="DH586" s="2">
        <v>0</v>
      </c>
      <c r="DI586" s="2">
        <v>2.3110240000000002</v>
      </c>
      <c r="DR586" s="89">
        <v>122</v>
      </c>
      <c r="DS586" s="2">
        <v>51</v>
      </c>
      <c r="DT586" s="2">
        <v>0</v>
      </c>
      <c r="DU586" s="2">
        <v>0.14000000000000001</v>
      </c>
      <c r="ED586" s="89">
        <v>131</v>
      </c>
      <c r="EE586" s="2">
        <v>52</v>
      </c>
      <c r="EF586" s="2">
        <v>0</v>
      </c>
      <c r="EG586" s="2">
        <v>0.94382109999999997</v>
      </c>
      <c r="ES586">
        <v>131</v>
      </c>
      <c r="ET586">
        <v>52</v>
      </c>
      <c r="EU586">
        <v>0</v>
      </c>
      <c r="EV586">
        <v>0.94382109999999997</v>
      </c>
    </row>
    <row r="587" spans="14:152" x14ac:dyDescent="0.4">
      <c r="N587" s="89">
        <v>120</v>
      </c>
      <c r="O587" s="2">
        <v>52</v>
      </c>
      <c r="P587" s="2">
        <v>0</v>
      </c>
      <c r="Q587" s="2">
        <v>4.0000000000000001E-3</v>
      </c>
      <c r="Z587" s="89">
        <v>121</v>
      </c>
      <c r="AA587" s="2">
        <v>52</v>
      </c>
      <c r="AB587" s="2">
        <v>1</v>
      </c>
      <c r="AC587" s="2">
        <v>7.0000000000000001E-3</v>
      </c>
      <c r="AL587" s="89">
        <v>123</v>
      </c>
      <c r="AM587" s="2">
        <v>51</v>
      </c>
      <c r="AN587" s="2">
        <v>0</v>
      </c>
      <c r="AO587" s="2">
        <v>0.77800000000000002</v>
      </c>
      <c r="AX587" s="89">
        <v>127</v>
      </c>
      <c r="AY587" s="2">
        <v>53</v>
      </c>
      <c r="AZ587" s="2">
        <v>0</v>
      </c>
      <c r="BA587" s="2">
        <v>2.4009469999999999</v>
      </c>
      <c r="BJ587" s="89">
        <v>125</v>
      </c>
      <c r="BK587" s="2">
        <v>53</v>
      </c>
      <c r="BL587" s="2">
        <v>0</v>
      </c>
      <c r="BM587" s="2">
        <v>4.3999999999999997E-2</v>
      </c>
      <c r="BV587" s="89">
        <v>135</v>
      </c>
      <c r="BW587" s="2">
        <v>52</v>
      </c>
      <c r="BX587" s="2">
        <v>0</v>
      </c>
      <c r="BY587" s="2">
        <v>0.410748</v>
      </c>
      <c r="CH587" s="89">
        <v>130</v>
      </c>
      <c r="CI587" s="2">
        <v>52</v>
      </c>
      <c r="CJ587" s="2">
        <v>0</v>
      </c>
      <c r="CK587" s="2">
        <v>1.458</v>
      </c>
      <c r="CT587" s="89">
        <v>132</v>
      </c>
      <c r="CU587" s="2">
        <v>51</v>
      </c>
      <c r="CV587" s="2">
        <v>1</v>
      </c>
      <c r="CW587" s="2">
        <v>0.11998689999999999</v>
      </c>
      <c r="DF587" s="89">
        <v>129</v>
      </c>
      <c r="DG587" s="2">
        <v>52</v>
      </c>
      <c r="DH587" s="2">
        <v>1</v>
      </c>
      <c r="DI587" s="2">
        <v>1.4649799999999999</v>
      </c>
      <c r="DR587" s="89">
        <v>122</v>
      </c>
      <c r="DS587" s="2">
        <v>51</v>
      </c>
      <c r="DT587" s="2">
        <v>1</v>
      </c>
      <c r="DU587" s="2">
        <v>0.1150685</v>
      </c>
      <c r="ED587" s="89">
        <v>131</v>
      </c>
      <c r="EE587" s="2">
        <v>52</v>
      </c>
      <c r="EF587" s="2">
        <v>1</v>
      </c>
      <c r="EG587" s="2">
        <v>0.77491019999999999</v>
      </c>
      <c r="ES587">
        <v>131</v>
      </c>
      <c r="ET587">
        <v>52</v>
      </c>
      <c r="EU587">
        <v>1</v>
      </c>
      <c r="EV587">
        <v>0.77491019999999999</v>
      </c>
    </row>
    <row r="588" spans="14:152" x14ac:dyDescent="0.4">
      <c r="N588" s="89">
        <v>121</v>
      </c>
      <c r="O588" s="2">
        <v>52</v>
      </c>
      <c r="P588" s="2">
        <v>0</v>
      </c>
      <c r="Q588" s="2">
        <v>1.0869999999999999E-2</v>
      </c>
      <c r="Z588" s="89">
        <v>122</v>
      </c>
      <c r="AA588" s="2">
        <v>52</v>
      </c>
      <c r="AB588" s="2">
        <v>0</v>
      </c>
      <c r="AC588" s="2">
        <v>0.38456279999999998</v>
      </c>
      <c r="AL588" s="89">
        <v>124</v>
      </c>
      <c r="AM588" s="2">
        <v>51</v>
      </c>
      <c r="AN588" s="2">
        <v>0</v>
      </c>
      <c r="AO588" s="2">
        <v>0.24878339999999999</v>
      </c>
      <c r="AX588" s="89">
        <v>128</v>
      </c>
      <c r="AY588" s="2">
        <v>53</v>
      </c>
      <c r="AZ588" s="2">
        <v>0</v>
      </c>
      <c r="BA588" s="2">
        <v>0.28199999999999997</v>
      </c>
      <c r="BJ588" s="89">
        <v>126</v>
      </c>
      <c r="BK588" s="2">
        <v>53</v>
      </c>
      <c r="BL588" s="2">
        <v>0</v>
      </c>
      <c r="BM588" s="2">
        <v>0.14000000000000001</v>
      </c>
      <c r="BV588" s="89">
        <v>136</v>
      </c>
      <c r="BW588" s="2">
        <v>52</v>
      </c>
      <c r="BX588" s="2">
        <v>0</v>
      </c>
      <c r="BY588" s="2">
        <v>0.17014360000000001</v>
      </c>
      <c r="CH588" s="89">
        <v>131</v>
      </c>
      <c r="CI588" s="2">
        <v>52</v>
      </c>
      <c r="CJ588" s="2">
        <v>0</v>
      </c>
      <c r="CK588" s="2">
        <v>0.54389350000000003</v>
      </c>
      <c r="CT588" s="89">
        <v>133</v>
      </c>
      <c r="CU588" s="2">
        <v>51</v>
      </c>
      <c r="CV588" s="2">
        <v>0</v>
      </c>
      <c r="CW588" s="2">
        <v>0.104</v>
      </c>
      <c r="DF588" s="89">
        <v>130</v>
      </c>
      <c r="DG588" s="2">
        <v>52</v>
      </c>
      <c r="DH588" s="2">
        <v>0</v>
      </c>
      <c r="DI588" s="2">
        <v>3.084028</v>
      </c>
      <c r="DR588" s="89">
        <v>123</v>
      </c>
      <c r="DS588" s="2">
        <v>51</v>
      </c>
      <c r="DT588" s="2">
        <v>0</v>
      </c>
      <c r="DU588" s="2">
        <v>1.1920010000000001</v>
      </c>
      <c r="ED588" s="89">
        <v>132</v>
      </c>
      <c r="EE588" s="2">
        <v>52</v>
      </c>
      <c r="EF588" s="2">
        <v>0</v>
      </c>
      <c r="EG588" s="2">
        <v>1.349</v>
      </c>
      <c r="ES588">
        <v>132</v>
      </c>
      <c r="ET588">
        <v>52</v>
      </c>
      <c r="EU588">
        <v>0</v>
      </c>
      <c r="EV588">
        <v>1.349</v>
      </c>
    </row>
    <row r="589" spans="14:152" x14ac:dyDescent="0.4">
      <c r="N589" s="89">
        <v>121</v>
      </c>
      <c r="O589" s="2">
        <v>52</v>
      </c>
      <c r="P589" s="2">
        <v>1</v>
      </c>
      <c r="Q589" s="2">
        <v>0.01</v>
      </c>
      <c r="Z589" s="89">
        <v>123</v>
      </c>
      <c r="AA589" s="2">
        <v>52</v>
      </c>
      <c r="AB589" s="2">
        <v>0</v>
      </c>
      <c r="AC589" s="2">
        <v>0.10299999999999999</v>
      </c>
      <c r="AL589" s="89">
        <v>124</v>
      </c>
      <c r="AM589" s="2">
        <v>51</v>
      </c>
      <c r="AN589" s="2">
        <v>1</v>
      </c>
      <c r="AO589" s="2">
        <v>0.28486650000000002</v>
      </c>
      <c r="AX589" s="89">
        <v>129</v>
      </c>
      <c r="AY589" s="2">
        <v>53</v>
      </c>
      <c r="AZ589" s="2">
        <v>0</v>
      </c>
      <c r="BA589" s="2">
        <v>2.356992</v>
      </c>
      <c r="BJ589" s="89">
        <v>127</v>
      </c>
      <c r="BK589" s="2">
        <v>53</v>
      </c>
      <c r="BL589" s="2">
        <v>0</v>
      </c>
      <c r="BM589" s="2">
        <v>3.174966</v>
      </c>
      <c r="BV589" s="89">
        <v>137</v>
      </c>
      <c r="BW589" s="2">
        <v>52</v>
      </c>
      <c r="BX589" s="2">
        <v>0</v>
      </c>
      <c r="BY589" s="2">
        <v>5.7529999999999998E-2</v>
      </c>
      <c r="CH589" s="89">
        <v>131</v>
      </c>
      <c r="CI589" s="2">
        <v>52</v>
      </c>
      <c r="CJ589" s="2">
        <v>1</v>
      </c>
      <c r="CK589" s="2">
        <v>0.54317289999999996</v>
      </c>
      <c r="CT589" s="89">
        <v>134</v>
      </c>
      <c r="CU589" s="2">
        <v>51</v>
      </c>
      <c r="CV589" s="2">
        <v>0</v>
      </c>
      <c r="CW589" s="2">
        <v>7.9615390000000001E-3</v>
      </c>
      <c r="DF589" s="89">
        <v>131</v>
      </c>
      <c r="DG589" s="2">
        <v>52</v>
      </c>
      <c r="DH589" s="2">
        <v>0</v>
      </c>
      <c r="DI589" s="2">
        <v>2.2852709999999998</v>
      </c>
      <c r="DR589" s="89">
        <v>124</v>
      </c>
      <c r="DS589" s="2">
        <v>51</v>
      </c>
      <c r="DT589" s="2">
        <v>0</v>
      </c>
      <c r="DU589" s="2">
        <v>0.28589949999999997</v>
      </c>
      <c r="ED589" s="89">
        <v>133</v>
      </c>
      <c r="EE589" s="2">
        <v>52</v>
      </c>
      <c r="EF589" s="2">
        <v>0</v>
      </c>
      <c r="EG589" s="2">
        <v>0.52120080000000002</v>
      </c>
      <c r="ES589">
        <v>133</v>
      </c>
      <c r="ET589">
        <v>52</v>
      </c>
      <c r="EU589">
        <v>0</v>
      </c>
      <c r="EV589">
        <v>0.52120080000000002</v>
      </c>
    </row>
    <row r="590" spans="14:152" x14ac:dyDescent="0.4">
      <c r="N590" s="89">
        <v>122</v>
      </c>
      <c r="O590" s="2">
        <v>52</v>
      </c>
      <c r="P590" s="2">
        <v>0</v>
      </c>
      <c r="Q590" s="2">
        <v>0.39284720000000001</v>
      </c>
      <c r="Z590" s="89">
        <v>123</v>
      </c>
      <c r="AA590" s="2">
        <v>52</v>
      </c>
      <c r="AB590" s="2">
        <v>1</v>
      </c>
      <c r="AC590" s="2">
        <v>9.0071429999999994E-2</v>
      </c>
      <c r="AL590" s="89">
        <v>124</v>
      </c>
      <c r="AM590" s="2">
        <v>51</v>
      </c>
      <c r="AN590" s="2">
        <v>2</v>
      </c>
      <c r="AO590" s="2">
        <v>0.23928779999999999</v>
      </c>
      <c r="AX590" s="89">
        <v>130</v>
      </c>
      <c r="AY590" s="2">
        <v>53</v>
      </c>
      <c r="AZ590" s="2">
        <v>0</v>
      </c>
      <c r="BA590" s="2">
        <v>0.59351549999999997</v>
      </c>
      <c r="BJ590" s="89">
        <v>128</v>
      </c>
      <c r="BK590" s="2">
        <v>53</v>
      </c>
      <c r="BL590" s="2">
        <v>0</v>
      </c>
      <c r="BM590" s="2">
        <v>0.67200009999999999</v>
      </c>
      <c r="BV590" s="89">
        <v>138</v>
      </c>
      <c r="BW590" s="2">
        <v>52</v>
      </c>
      <c r="BX590" s="2">
        <v>0</v>
      </c>
      <c r="BY590" s="2">
        <v>1.2E-2</v>
      </c>
      <c r="CH590" s="89">
        <v>132</v>
      </c>
      <c r="CI590" s="2">
        <v>52</v>
      </c>
      <c r="CJ590" s="2">
        <v>0</v>
      </c>
      <c r="CK590" s="2">
        <v>0.76400000000000001</v>
      </c>
      <c r="CT590" s="89">
        <v>134</v>
      </c>
      <c r="CU590" s="2">
        <v>51</v>
      </c>
      <c r="CV590" s="2">
        <v>1</v>
      </c>
      <c r="CW590" s="2">
        <v>1.503846E-2</v>
      </c>
      <c r="DF590" s="89">
        <v>131</v>
      </c>
      <c r="DG590" s="2">
        <v>52</v>
      </c>
      <c r="DH590" s="2">
        <v>1</v>
      </c>
      <c r="DI590" s="2">
        <v>1.2324010000000001</v>
      </c>
      <c r="DR590" s="89">
        <v>124</v>
      </c>
      <c r="DS590" s="2">
        <v>51</v>
      </c>
      <c r="DT590" s="2">
        <v>1</v>
      </c>
      <c r="DU590" s="2">
        <v>0.34040209999999999</v>
      </c>
      <c r="ED590" s="89">
        <v>133</v>
      </c>
      <c r="EE590" s="2">
        <v>52</v>
      </c>
      <c r="EF590" s="2">
        <v>1</v>
      </c>
      <c r="EG590" s="2">
        <v>0.56891570000000002</v>
      </c>
      <c r="ES590">
        <v>133</v>
      </c>
      <c r="ET590">
        <v>52</v>
      </c>
      <c r="EU590">
        <v>1</v>
      </c>
      <c r="EV590">
        <v>0.56891570000000002</v>
      </c>
    </row>
    <row r="591" spans="14:152" x14ac:dyDescent="0.4">
      <c r="N591" s="89">
        <v>123</v>
      </c>
      <c r="O591" s="2">
        <v>52</v>
      </c>
      <c r="P591" s="2">
        <v>0</v>
      </c>
      <c r="Q591" s="2">
        <v>0.11899999999999999</v>
      </c>
      <c r="Z591" s="89">
        <v>124</v>
      </c>
      <c r="AA591" s="2">
        <v>52</v>
      </c>
      <c r="AB591" s="2">
        <v>0</v>
      </c>
      <c r="AC591" s="2">
        <v>0.61400010000000005</v>
      </c>
      <c r="AL591" s="89">
        <v>125</v>
      </c>
      <c r="AM591" s="2">
        <v>51</v>
      </c>
      <c r="AN591" s="2">
        <v>0</v>
      </c>
      <c r="AO591" s="2">
        <v>0.26800000000000002</v>
      </c>
      <c r="AX591" s="89">
        <v>130</v>
      </c>
      <c r="AY591" s="2">
        <v>53</v>
      </c>
      <c r="AZ591" s="2">
        <v>1</v>
      </c>
      <c r="BA591" s="2">
        <v>6.5528299999999998E-2</v>
      </c>
      <c r="BJ591" s="89">
        <v>129</v>
      </c>
      <c r="BK591" s="2">
        <v>53</v>
      </c>
      <c r="BL591" s="2">
        <v>0</v>
      </c>
      <c r="BM591" s="2">
        <v>2.9059940000000002</v>
      </c>
      <c r="BV591" s="89">
        <v>139</v>
      </c>
      <c r="BW591" s="2">
        <v>52</v>
      </c>
      <c r="BX591" s="2">
        <v>0</v>
      </c>
      <c r="BY591" s="2">
        <v>3.0000000000000001E-3</v>
      </c>
      <c r="CH591" s="89">
        <v>133</v>
      </c>
      <c r="CI591" s="2">
        <v>52</v>
      </c>
      <c r="CJ591" s="2">
        <v>0</v>
      </c>
      <c r="CK591" s="2">
        <v>0.2482521</v>
      </c>
      <c r="CT591" s="89">
        <v>135</v>
      </c>
      <c r="CU591" s="2">
        <v>51</v>
      </c>
      <c r="CV591" s="2">
        <v>0</v>
      </c>
      <c r="CW591" s="2">
        <v>1.4E-2</v>
      </c>
      <c r="DF591" s="89">
        <v>132</v>
      </c>
      <c r="DG591" s="2">
        <v>52</v>
      </c>
      <c r="DH591" s="2">
        <v>0</v>
      </c>
      <c r="DI591" s="2">
        <v>3.3117000000000001</v>
      </c>
      <c r="DR591" s="89">
        <v>124</v>
      </c>
      <c r="DS591" s="2">
        <v>51</v>
      </c>
      <c r="DT591" s="2">
        <v>2</v>
      </c>
      <c r="DU591" s="2">
        <v>0.28876810000000003</v>
      </c>
      <c r="ED591" s="89">
        <v>134</v>
      </c>
      <c r="EE591" s="2">
        <v>52</v>
      </c>
      <c r="EF591" s="2">
        <v>0</v>
      </c>
      <c r="EG591" s="2">
        <v>0.63575490000000001</v>
      </c>
      <c r="ES591">
        <v>134</v>
      </c>
      <c r="ET591">
        <v>52</v>
      </c>
      <c r="EU591">
        <v>0</v>
      </c>
      <c r="EV591">
        <v>0.63575490000000001</v>
      </c>
    </row>
    <row r="592" spans="14:152" x14ac:dyDescent="0.4">
      <c r="N592" s="89">
        <v>123</v>
      </c>
      <c r="O592" s="2">
        <v>52</v>
      </c>
      <c r="P592" s="2">
        <v>1</v>
      </c>
      <c r="Q592" s="2">
        <v>9.8620700000000006E-2</v>
      </c>
      <c r="Z592" s="89">
        <v>125</v>
      </c>
      <c r="AA592" s="2">
        <v>52</v>
      </c>
      <c r="AB592" s="2">
        <v>0</v>
      </c>
      <c r="AC592" s="2">
        <v>0.73</v>
      </c>
      <c r="AL592" s="89">
        <v>126</v>
      </c>
      <c r="AM592" s="2">
        <v>51</v>
      </c>
      <c r="AN592" s="2">
        <v>0</v>
      </c>
      <c r="AO592" s="2">
        <v>8.1515089999999998E-2</v>
      </c>
      <c r="AX592" s="89">
        <v>131</v>
      </c>
      <c r="AY592" s="2">
        <v>53</v>
      </c>
      <c r="AZ592" s="2">
        <v>0</v>
      </c>
      <c r="BA592" s="2">
        <v>2.4119999999999999</v>
      </c>
      <c r="BJ592" s="89">
        <v>130</v>
      </c>
      <c r="BK592" s="2">
        <v>53</v>
      </c>
      <c r="BL592" s="2">
        <v>0</v>
      </c>
      <c r="BM592" s="2">
        <v>1.1072839999999999</v>
      </c>
      <c r="BV592" s="89">
        <v>140</v>
      </c>
      <c r="BW592" s="2">
        <v>52</v>
      </c>
      <c r="BX592" s="2">
        <v>0</v>
      </c>
      <c r="BY592" s="2">
        <v>1E-3</v>
      </c>
      <c r="CH592" s="89">
        <v>133</v>
      </c>
      <c r="CI592" s="2">
        <v>52</v>
      </c>
      <c r="CJ592" s="2">
        <v>1</v>
      </c>
      <c r="CK592" s="2">
        <v>0.28454970000000002</v>
      </c>
      <c r="CT592" s="89">
        <v>136</v>
      </c>
      <c r="CU592" s="2">
        <v>51</v>
      </c>
      <c r="CV592" s="2">
        <v>0</v>
      </c>
      <c r="CW592" s="2">
        <v>1E-3</v>
      </c>
      <c r="DF592" s="89">
        <v>133</v>
      </c>
      <c r="DG592" s="2">
        <v>52</v>
      </c>
      <c r="DH592" s="2">
        <v>0</v>
      </c>
      <c r="DI592" s="2">
        <v>1.6413489999999999</v>
      </c>
      <c r="DR592" s="89">
        <v>125</v>
      </c>
      <c r="DS592" s="2">
        <v>51</v>
      </c>
      <c r="DT592" s="2">
        <v>0</v>
      </c>
      <c r="DU592" s="2">
        <v>0.76500000000000001</v>
      </c>
      <c r="ED592" s="89">
        <v>135</v>
      </c>
      <c r="EE592" s="2">
        <v>52</v>
      </c>
      <c r="EF592" s="2">
        <v>0</v>
      </c>
      <c r="EG592" s="2">
        <v>0.25851800000000003</v>
      </c>
      <c r="ES592">
        <v>135</v>
      </c>
      <c r="ET592">
        <v>52</v>
      </c>
      <c r="EU592">
        <v>0</v>
      </c>
      <c r="EV592">
        <v>0.25851800000000003</v>
      </c>
    </row>
    <row r="593" spans="14:152" x14ac:dyDescent="0.4">
      <c r="N593" s="89">
        <v>124</v>
      </c>
      <c r="O593" s="2">
        <v>52</v>
      </c>
      <c r="P593" s="2">
        <v>0</v>
      </c>
      <c r="Q593" s="2">
        <v>0.46899999999999997</v>
      </c>
      <c r="Z593" s="89">
        <v>125</v>
      </c>
      <c r="AA593" s="2">
        <v>52</v>
      </c>
      <c r="AB593" s="2">
        <v>1</v>
      </c>
      <c r="AC593" s="2">
        <v>0.31925700000000001</v>
      </c>
      <c r="AL593" s="89">
        <v>126</v>
      </c>
      <c r="AM593" s="2">
        <v>51</v>
      </c>
      <c r="AN593" s="2">
        <v>1</v>
      </c>
      <c r="AO593" s="2">
        <v>3.085152E-2</v>
      </c>
      <c r="AX593" s="89">
        <v>132</v>
      </c>
      <c r="AY593" s="2">
        <v>53</v>
      </c>
      <c r="AZ593" s="2">
        <v>0</v>
      </c>
      <c r="BA593" s="2">
        <v>2.31826</v>
      </c>
      <c r="BJ593" s="89">
        <v>130</v>
      </c>
      <c r="BK593" s="2">
        <v>53</v>
      </c>
      <c r="BL593" s="2">
        <v>1</v>
      </c>
      <c r="BM593" s="2">
        <v>0.1169747</v>
      </c>
      <c r="BV593" s="89">
        <v>124</v>
      </c>
      <c r="BW593" s="2">
        <v>53</v>
      </c>
      <c r="BX593" s="2">
        <v>0</v>
      </c>
      <c r="BY593" s="2">
        <v>3.0000000000000001E-3</v>
      </c>
      <c r="CH593" s="89">
        <v>134</v>
      </c>
      <c r="CI593" s="2">
        <v>52</v>
      </c>
      <c r="CJ593" s="2">
        <v>0</v>
      </c>
      <c r="CK593" s="2">
        <v>0.24999440000000001</v>
      </c>
      <c r="CT593" s="89">
        <v>137</v>
      </c>
      <c r="CU593" s="2">
        <v>51</v>
      </c>
      <c r="CV593" s="2">
        <v>0</v>
      </c>
      <c r="CW593" s="2">
        <v>1E-3</v>
      </c>
      <c r="DF593" s="89">
        <v>133</v>
      </c>
      <c r="DG593" s="2">
        <v>52</v>
      </c>
      <c r="DH593" s="2">
        <v>1</v>
      </c>
      <c r="DI593" s="2">
        <v>1.559714</v>
      </c>
      <c r="DR593" s="89">
        <v>126</v>
      </c>
      <c r="DS593" s="2">
        <v>51</v>
      </c>
      <c r="DT593" s="2">
        <v>0</v>
      </c>
      <c r="DU593" s="2">
        <v>0.28505029999999998</v>
      </c>
      <c r="ED593" s="89">
        <v>136</v>
      </c>
      <c r="EE593" s="2">
        <v>52</v>
      </c>
      <c r="EF593" s="2">
        <v>0</v>
      </c>
      <c r="EG593" s="2">
        <v>7.9171000000000005E-2</v>
      </c>
      <c r="ES593">
        <v>136</v>
      </c>
      <c r="ET593">
        <v>52</v>
      </c>
      <c r="EU593">
        <v>0</v>
      </c>
      <c r="EV593">
        <v>7.9171000000000005E-2</v>
      </c>
    </row>
    <row r="594" spans="14:152" x14ac:dyDescent="0.4">
      <c r="N594" s="89">
        <v>125</v>
      </c>
      <c r="O594" s="2">
        <v>52</v>
      </c>
      <c r="P594" s="2">
        <v>0</v>
      </c>
      <c r="Q594" s="2">
        <v>0.56599999999999995</v>
      </c>
      <c r="Z594" s="89">
        <v>126</v>
      </c>
      <c r="AA594" s="2">
        <v>52</v>
      </c>
      <c r="AB594" s="2">
        <v>0</v>
      </c>
      <c r="AC594" s="2">
        <v>0.51369790000000004</v>
      </c>
      <c r="AL594" s="89">
        <v>126</v>
      </c>
      <c r="AM594" s="2">
        <v>51</v>
      </c>
      <c r="AN594" s="2">
        <v>2</v>
      </c>
      <c r="AO594" s="2">
        <v>6.9278350000000002E-3</v>
      </c>
      <c r="AX594" s="89">
        <v>132</v>
      </c>
      <c r="AY594" s="2">
        <v>53</v>
      </c>
      <c r="AZ594" s="2">
        <v>1</v>
      </c>
      <c r="BA594" s="2">
        <v>0.54100000000000004</v>
      </c>
      <c r="BJ594" s="89">
        <v>131</v>
      </c>
      <c r="BK594" s="2">
        <v>53</v>
      </c>
      <c r="BL594" s="2">
        <v>0</v>
      </c>
      <c r="BM594" s="2">
        <v>2.327</v>
      </c>
      <c r="BV594" s="89">
        <v>125</v>
      </c>
      <c r="BW594" s="2">
        <v>53</v>
      </c>
      <c r="BX594" s="2">
        <v>0</v>
      </c>
      <c r="BY594" s="2">
        <v>6.0000000000000001E-3</v>
      </c>
      <c r="CH594" s="89">
        <v>135</v>
      </c>
      <c r="CI594" s="2">
        <v>52</v>
      </c>
      <c r="CJ594" s="2">
        <v>0</v>
      </c>
      <c r="CK594" s="2">
        <v>7.0999999999999994E-2</v>
      </c>
      <c r="CT594" s="89">
        <v>120</v>
      </c>
      <c r="CU594" s="2">
        <v>52</v>
      </c>
      <c r="CV594" s="2">
        <v>0</v>
      </c>
      <c r="CW594" s="2">
        <v>4.0000000000000001E-3</v>
      </c>
      <c r="DF594" s="89">
        <v>134</v>
      </c>
      <c r="DG594" s="2">
        <v>52</v>
      </c>
      <c r="DH594" s="2">
        <v>0</v>
      </c>
      <c r="DI594" s="2">
        <v>2.1705320000000001</v>
      </c>
      <c r="DR594" s="89">
        <v>126</v>
      </c>
      <c r="DS594" s="2">
        <v>51</v>
      </c>
      <c r="DT594" s="2">
        <v>1</v>
      </c>
      <c r="DU594" s="2">
        <v>0.17838129999999999</v>
      </c>
      <c r="ED594" s="89">
        <v>137</v>
      </c>
      <c r="EE594" s="2">
        <v>52</v>
      </c>
      <c r="EF594" s="2">
        <v>0</v>
      </c>
      <c r="EG594" s="2">
        <v>2.8000000000000001E-2</v>
      </c>
      <c r="ES594">
        <v>137</v>
      </c>
      <c r="ET594">
        <v>52</v>
      </c>
      <c r="EU594">
        <v>0</v>
      </c>
      <c r="EV594">
        <v>2.8000000000000001E-2</v>
      </c>
    </row>
    <row r="595" spans="14:152" x14ac:dyDescent="0.4">
      <c r="N595" s="89">
        <v>125</v>
      </c>
      <c r="O595" s="2">
        <v>52</v>
      </c>
      <c r="P595" s="2">
        <v>1</v>
      </c>
      <c r="Q595" s="2">
        <v>0.27399000000000001</v>
      </c>
      <c r="Z595" s="89">
        <v>127</v>
      </c>
      <c r="AA595" s="2">
        <v>52</v>
      </c>
      <c r="AB595" s="2">
        <v>0</v>
      </c>
      <c r="AC595" s="2">
        <v>0.29366009999999998</v>
      </c>
      <c r="AL595" s="89">
        <v>127</v>
      </c>
      <c r="AM595" s="2">
        <v>51</v>
      </c>
      <c r="AN595" s="2">
        <v>0</v>
      </c>
      <c r="AO595" s="2">
        <v>5.0999999999999997E-2</v>
      </c>
      <c r="AX595" s="89">
        <v>133</v>
      </c>
      <c r="AY595" s="2">
        <v>53</v>
      </c>
      <c r="AZ595" s="2">
        <v>0</v>
      </c>
      <c r="BA595" s="2">
        <v>2.1982029999999999</v>
      </c>
      <c r="BJ595" s="89">
        <v>132</v>
      </c>
      <c r="BK595" s="2">
        <v>53</v>
      </c>
      <c r="BL595" s="2">
        <v>0</v>
      </c>
      <c r="BM595" s="2">
        <v>1.6862999999999999</v>
      </c>
      <c r="BV595" s="89">
        <v>126</v>
      </c>
      <c r="BW595" s="2">
        <v>53</v>
      </c>
      <c r="BX595" s="2">
        <v>0</v>
      </c>
      <c r="BY595" s="2">
        <v>1.9E-2</v>
      </c>
      <c r="CH595" s="89">
        <v>136</v>
      </c>
      <c r="CI595" s="2">
        <v>52</v>
      </c>
      <c r="CJ595" s="2">
        <v>0</v>
      </c>
      <c r="CK595" s="2">
        <v>1.9E-2</v>
      </c>
      <c r="CT595" s="89">
        <v>121</v>
      </c>
      <c r="CU595" s="2">
        <v>52</v>
      </c>
      <c r="CV595" s="2">
        <v>0</v>
      </c>
      <c r="CW595" s="2">
        <v>9.3220009999999999E-3</v>
      </c>
      <c r="DF595" s="89">
        <v>135</v>
      </c>
      <c r="DG595" s="2">
        <v>52</v>
      </c>
      <c r="DH595" s="2">
        <v>0</v>
      </c>
      <c r="DI595" s="2">
        <v>1.0041040000000001</v>
      </c>
      <c r="DR595" s="89">
        <v>126</v>
      </c>
      <c r="DS595" s="2">
        <v>51</v>
      </c>
      <c r="DT595" s="2">
        <v>2</v>
      </c>
      <c r="DU595" s="2">
        <v>1.9053259999999999E-2</v>
      </c>
      <c r="ED595" s="89">
        <v>138</v>
      </c>
      <c r="EE595" s="2">
        <v>52</v>
      </c>
      <c r="EF595" s="2">
        <v>0</v>
      </c>
      <c r="EG595" s="2">
        <v>8.0000000000000002E-3</v>
      </c>
      <c r="ES595">
        <v>138</v>
      </c>
      <c r="ET595">
        <v>52</v>
      </c>
      <c r="EU595">
        <v>0</v>
      </c>
      <c r="EV595">
        <v>8.0000000000000002E-3</v>
      </c>
    </row>
    <row r="596" spans="14:152" x14ac:dyDescent="0.4">
      <c r="N596" s="89">
        <v>126</v>
      </c>
      <c r="O596" s="2">
        <v>52</v>
      </c>
      <c r="P596" s="2">
        <v>0</v>
      </c>
      <c r="Q596" s="2">
        <v>0.39144210000000002</v>
      </c>
      <c r="Z596" s="89">
        <v>127</v>
      </c>
      <c r="AA596" s="2">
        <v>52</v>
      </c>
      <c r="AB596" s="2">
        <v>1</v>
      </c>
      <c r="AC596" s="2">
        <v>0.1955992</v>
      </c>
      <c r="AL596" s="89">
        <v>128</v>
      </c>
      <c r="AM596" s="2">
        <v>51</v>
      </c>
      <c r="AN596" s="2">
        <v>0</v>
      </c>
      <c r="AO596" s="2">
        <v>1.8107999999999999E-2</v>
      </c>
      <c r="AX596" s="89">
        <v>133</v>
      </c>
      <c r="AY596" s="2">
        <v>53</v>
      </c>
      <c r="AZ596" s="2">
        <v>1</v>
      </c>
      <c r="BA596" s="2">
        <v>0.38160759999999999</v>
      </c>
      <c r="BJ596" s="89">
        <v>132</v>
      </c>
      <c r="BK596" s="2">
        <v>53</v>
      </c>
      <c r="BL596" s="2">
        <v>1</v>
      </c>
      <c r="BM596" s="2">
        <v>0.60499999999999998</v>
      </c>
      <c r="BV596" s="89">
        <v>127</v>
      </c>
      <c r="BW596" s="2">
        <v>53</v>
      </c>
      <c r="BX596" s="2">
        <v>0</v>
      </c>
      <c r="BY596" s="2">
        <v>3.0318830000000001</v>
      </c>
      <c r="CH596" s="89">
        <v>137</v>
      </c>
      <c r="CI596" s="2">
        <v>52</v>
      </c>
      <c r="CJ596" s="2">
        <v>0</v>
      </c>
      <c r="CK596" s="2">
        <v>4.0000000000000001E-3</v>
      </c>
      <c r="CT596" s="89">
        <v>121</v>
      </c>
      <c r="CU596" s="2">
        <v>52</v>
      </c>
      <c r="CV596" s="2">
        <v>1</v>
      </c>
      <c r="CW596" s="2">
        <v>6.0000009999999996E-3</v>
      </c>
      <c r="DF596" s="89">
        <v>136</v>
      </c>
      <c r="DG596" s="2">
        <v>52</v>
      </c>
      <c r="DH596" s="2">
        <v>0</v>
      </c>
      <c r="DI596" s="2">
        <v>0.45447149999999997</v>
      </c>
      <c r="DR596" s="89">
        <v>127</v>
      </c>
      <c r="DS596" s="2">
        <v>51</v>
      </c>
      <c r="DT596" s="2">
        <v>0</v>
      </c>
      <c r="DU596" s="2">
        <v>0.30299999999999999</v>
      </c>
      <c r="ED596" s="89">
        <v>139</v>
      </c>
      <c r="EE596" s="2">
        <v>52</v>
      </c>
      <c r="EF596" s="2">
        <v>0</v>
      </c>
      <c r="EG596" s="2">
        <v>3.0000000000000001E-3</v>
      </c>
      <c r="ES596">
        <v>139</v>
      </c>
      <c r="ET596">
        <v>52</v>
      </c>
      <c r="EU596">
        <v>0</v>
      </c>
      <c r="EV596">
        <v>3.0000000000000001E-3</v>
      </c>
    </row>
    <row r="597" spans="14:152" x14ac:dyDescent="0.4">
      <c r="N597" s="89">
        <v>127</v>
      </c>
      <c r="O597" s="2">
        <v>52</v>
      </c>
      <c r="P597" s="2">
        <v>0</v>
      </c>
      <c r="Q597" s="2">
        <v>0.1981974</v>
      </c>
      <c r="Z597" s="89">
        <v>128</v>
      </c>
      <c r="AA597" s="2">
        <v>52</v>
      </c>
      <c r="AB597" s="2">
        <v>0</v>
      </c>
      <c r="AC597" s="2">
        <v>0.20566300000000001</v>
      </c>
      <c r="AL597" s="89">
        <v>128</v>
      </c>
      <c r="AM597" s="2">
        <v>51</v>
      </c>
      <c r="AN597" s="2">
        <v>1</v>
      </c>
      <c r="AO597" s="2">
        <v>3.0000000000000001E-3</v>
      </c>
      <c r="AX597" s="89">
        <v>134</v>
      </c>
      <c r="AY597" s="2">
        <v>53</v>
      </c>
      <c r="AZ597" s="2">
        <v>0</v>
      </c>
      <c r="BA597" s="2">
        <v>1.7677130000000001</v>
      </c>
      <c r="BJ597" s="89">
        <v>133</v>
      </c>
      <c r="BK597" s="2">
        <v>53</v>
      </c>
      <c r="BL597" s="2">
        <v>0</v>
      </c>
      <c r="BM597" s="2">
        <v>1.5660210000000001</v>
      </c>
      <c r="BV597" s="89">
        <v>128</v>
      </c>
      <c r="BW597" s="2">
        <v>53</v>
      </c>
      <c r="BX597" s="2">
        <v>0</v>
      </c>
      <c r="BY597" s="2">
        <v>0.21199999999999999</v>
      </c>
      <c r="CH597" s="89">
        <v>122</v>
      </c>
      <c r="CI597" s="2">
        <v>53</v>
      </c>
      <c r="CJ597" s="2">
        <v>0</v>
      </c>
      <c r="CK597" s="2">
        <v>2E-3</v>
      </c>
      <c r="CT597" s="89">
        <v>122</v>
      </c>
      <c r="CU597" s="2">
        <v>52</v>
      </c>
      <c r="CV597" s="2">
        <v>0</v>
      </c>
      <c r="CW597" s="2">
        <v>0.5508419</v>
      </c>
      <c r="DF597" s="89">
        <v>137</v>
      </c>
      <c r="DG597" s="2">
        <v>52</v>
      </c>
      <c r="DH597" s="2">
        <v>0</v>
      </c>
      <c r="DI597" s="2">
        <v>0.16908000000000001</v>
      </c>
      <c r="DR597" s="89">
        <v>128</v>
      </c>
      <c r="DS597" s="2">
        <v>51</v>
      </c>
      <c r="DT597" s="2">
        <v>0</v>
      </c>
      <c r="DU597" s="2">
        <v>0.1006908</v>
      </c>
      <c r="ED597" s="89">
        <v>124</v>
      </c>
      <c r="EE597" s="2">
        <v>53</v>
      </c>
      <c r="EF597" s="2">
        <v>0</v>
      </c>
      <c r="EG597" s="2">
        <v>3.0000000000000001E-3</v>
      </c>
      <c r="ES597">
        <v>124</v>
      </c>
      <c r="ET597">
        <v>53</v>
      </c>
      <c r="EU597">
        <v>0</v>
      </c>
      <c r="EV597">
        <v>3.0000000000000001E-3</v>
      </c>
    </row>
    <row r="598" spans="14:152" x14ac:dyDescent="0.4">
      <c r="N598" s="89">
        <v>127</v>
      </c>
      <c r="O598" s="2">
        <v>52</v>
      </c>
      <c r="P598" s="2">
        <v>1</v>
      </c>
      <c r="Q598" s="2">
        <v>0.13928960000000001</v>
      </c>
      <c r="Z598" s="89">
        <v>129</v>
      </c>
      <c r="AA598" s="2">
        <v>52</v>
      </c>
      <c r="AB598" s="2">
        <v>0</v>
      </c>
      <c r="AC598" s="2">
        <v>7.0407719999999993E-2</v>
      </c>
      <c r="AL598" s="89">
        <v>129</v>
      </c>
      <c r="AM598" s="2">
        <v>51</v>
      </c>
      <c r="AN598" s="2">
        <v>0</v>
      </c>
      <c r="AO598" s="2">
        <v>6.1500010000000004E-3</v>
      </c>
      <c r="AX598" s="89">
        <v>134</v>
      </c>
      <c r="AY598" s="2">
        <v>53</v>
      </c>
      <c r="AZ598" s="2">
        <v>1</v>
      </c>
      <c r="BA598" s="2">
        <v>0.54361800000000005</v>
      </c>
      <c r="BJ598" s="89">
        <v>133</v>
      </c>
      <c r="BK598" s="2">
        <v>53</v>
      </c>
      <c r="BL598" s="2">
        <v>1</v>
      </c>
      <c r="BM598" s="2">
        <v>0.39050570000000001</v>
      </c>
      <c r="BV598" s="89">
        <v>129</v>
      </c>
      <c r="BW598" s="2">
        <v>53</v>
      </c>
      <c r="BX598" s="2">
        <v>0</v>
      </c>
      <c r="BY598" s="2">
        <v>3.174992</v>
      </c>
      <c r="CH598" s="89">
        <v>123</v>
      </c>
      <c r="CI598" s="2">
        <v>53</v>
      </c>
      <c r="CJ598" s="2">
        <v>0</v>
      </c>
      <c r="CK598" s="2">
        <v>7.0000000000000001E-3</v>
      </c>
      <c r="CT598" s="89">
        <v>123</v>
      </c>
      <c r="CU598" s="2">
        <v>52</v>
      </c>
      <c r="CV598" s="2">
        <v>0</v>
      </c>
      <c r="CW598" s="2">
        <v>0.121</v>
      </c>
      <c r="DF598" s="89">
        <v>138</v>
      </c>
      <c r="DG598" s="2">
        <v>52</v>
      </c>
      <c r="DH598" s="2">
        <v>0</v>
      </c>
      <c r="DI598" s="2">
        <v>6.6000000000000003E-2</v>
      </c>
      <c r="DR598" s="89">
        <v>128</v>
      </c>
      <c r="DS598" s="2">
        <v>51</v>
      </c>
      <c r="DT598" s="2">
        <v>1</v>
      </c>
      <c r="DU598" s="2">
        <v>2.521698E-2</v>
      </c>
      <c r="ED598" s="89">
        <v>125</v>
      </c>
      <c r="EE598" s="2">
        <v>53</v>
      </c>
      <c r="EF598" s="2">
        <v>0</v>
      </c>
      <c r="EG598" s="2">
        <v>1.7000000000000001E-2</v>
      </c>
      <c r="ES598">
        <v>125</v>
      </c>
      <c r="ET598">
        <v>53</v>
      </c>
      <c r="EU598">
        <v>0</v>
      </c>
      <c r="EV598">
        <v>1.7000000000000001E-2</v>
      </c>
    </row>
    <row r="599" spans="14:152" x14ac:dyDescent="0.4">
      <c r="N599" s="89">
        <v>128</v>
      </c>
      <c r="O599" s="2">
        <v>52</v>
      </c>
      <c r="P599" s="2">
        <v>0</v>
      </c>
      <c r="Q599" s="2">
        <v>0.10162599999999999</v>
      </c>
      <c r="Z599" s="89">
        <v>129</v>
      </c>
      <c r="AA599" s="2">
        <v>52</v>
      </c>
      <c r="AB599" s="2">
        <v>1</v>
      </c>
      <c r="AC599" s="2">
        <v>7.9979149999999999E-2</v>
      </c>
      <c r="AL599" s="89">
        <v>129</v>
      </c>
      <c r="AM599" s="2">
        <v>51</v>
      </c>
      <c r="AN599" s="2">
        <v>1</v>
      </c>
      <c r="AO599" s="2">
        <v>1E-3</v>
      </c>
      <c r="AX599" s="89">
        <v>135</v>
      </c>
      <c r="AY599" s="2">
        <v>53</v>
      </c>
      <c r="AZ599" s="2">
        <v>0</v>
      </c>
      <c r="BA599" s="2">
        <v>1.320913</v>
      </c>
      <c r="BJ599" s="89">
        <v>134</v>
      </c>
      <c r="BK599" s="2">
        <v>53</v>
      </c>
      <c r="BL599" s="2">
        <v>0</v>
      </c>
      <c r="BM599" s="2">
        <v>1.124692</v>
      </c>
      <c r="BV599" s="89">
        <v>130</v>
      </c>
      <c r="BW599" s="2">
        <v>53</v>
      </c>
      <c r="BX599" s="2">
        <v>0</v>
      </c>
      <c r="BY599" s="2">
        <v>0.72810850000000005</v>
      </c>
      <c r="CH599" s="89">
        <v>124</v>
      </c>
      <c r="CI599" s="2">
        <v>53</v>
      </c>
      <c r="CJ599" s="2">
        <v>0</v>
      </c>
      <c r="CK599" s="2">
        <v>2.4E-2</v>
      </c>
      <c r="CT599" s="89">
        <v>123</v>
      </c>
      <c r="CU599" s="2">
        <v>52</v>
      </c>
      <c r="CV599" s="2">
        <v>1</v>
      </c>
      <c r="CW599" s="2">
        <v>0.1012689</v>
      </c>
      <c r="DF599" s="89">
        <v>139</v>
      </c>
      <c r="DG599" s="2">
        <v>52</v>
      </c>
      <c r="DH599" s="2">
        <v>0</v>
      </c>
      <c r="DI599" s="2">
        <v>0.01</v>
      </c>
      <c r="DR599" s="89">
        <v>129</v>
      </c>
      <c r="DS599" s="2">
        <v>51</v>
      </c>
      <c r="DT599" s="2">
        <v>0</v>
      </c>
      <c r="DU599" s="2">
        <v>3.7616169999999997E-2</v>
      </c>
      <c r="ED599" s="89">
        <v>126</v>
      </c>
      <c r="EE599" s="2">
        <v>53</v>
      </c>
      <c r="EF599" s="2">
        <v>0</v>
      </c>
      <c r="EG599" s="2">
        <v>7.7000009999999994E-2</v>
      </c>
      <c r="ES599">
        <v>126</v>
      </c>
      <c r="ET599">
        <v>53</v>
      </c>
      <c r="EU599">
        <v>0</v>
      </c>
      <c r="EV599">
        <v>7.7000009999999994E-2</v>
      </c>
    </row>
    <row r="600" spans="14:152" x14ac:dyDescent="0.4">
      <c r="N600" s="89">
        <v>129</v>
      </c>
      <c r="O600" s="2">
        <v>52</v>
      </c>
      <c r="P600" s="2">
        <v>0</v>
      </c>
      <c r="Q600" s="2">
        <v>3.3776750000000001E-2</v>
      </c>
      <c r="Z600" s="89">
        <v>130</v>
      </c>
      <c r="AA600" s="2">
        <v>52</v>
      </c>
      <c r="AB600" s="2">
        <v>0</v>
      </c>
      <c r="AC600" s="2">
        <v>3.5999999999999997E-2</v>
      </c>
      <c r="AL600" s="89">
        <v>130</v>
      </c>
      <c r="AM600" s="2">
        <v>51</v>
      </c>
      <c r="AN600" s="2">
        <v>0</v>
      </c>
      <c r="AO600" s="2">
        <v>1E-3</v>
      </c>
      <c r="AX600" s="89">
        <v>136</v>
      </c>
      <c r="AY600" s="2">
        <v>53</v>
      </c>
      <c r="AZ600" s="2">
        <v>0</v>
      </c>
      <c r="BA600" s="2">
        <v>0.2703642</v>
      </c>
      <c r="BJ600" s="89">
        <v>134</v>
      </c>
      <c r="BK600" s="2">
        <v>53</v>
      </c>
      <c r="BL600" s="2">
        <v>1</v>
      </c>
      <c r="BM600" s="2">
        <v>0.41495080000000001</v>
      </c>
      <c r="BV600" s="89">
        <v>130</v>
      </c>
      <c r="BW600" s="2">
        <v>53</v>
      </c>
      <c r="BX600" s="2">
        <v>1</v>
      </c>
      <c r="BY600" s="2">
        <v>6.182199E-2</v>
      </c>
      <c r="CH600" s="89">
        <v>125</v>
      </c>
      <c r="CI600" s="2">
        <v>53</v>
      </c>
      <c r="CJ600" s="2">
        <v>0</v>
      </c>
      <c r="CK600" s="2">
        <v>8.0000009999999996E-2</v>
      </c>
      <c r="CT600" s="89">
        <v>124</v>
      </c>
      <c r="CU600" s="2">
        <v>52</v>
      </c>
      <c r="CV600" s="2">
        <v>0</v>
      </c>
      <c r="CW600" s="2">
        <v>1.7050000000000001</v>
      </c>
      <c r="DF600" s="89">
        <v>140</v>
      </c>
      <c r="DG600" s="2">
        <v>52</v>
      </c>
      <c r="DH600" s="2">
        <v>0</v>
      </c>
      <c r="DI600" s="2">
        <v>4.0000000000000001E-3</v>
      </c>
      <c r="DR600" s="89">
        <v>129</v>
      </c>
      <c r="DS600" s="2">
        <v>51</v>
      </c>
      <c r="DT600" s="2">
        <v>1</v>
      </c>
      <c r="DU600" s="2">
        <v>4.9863329999999997E-2</v>
      </c>
      <c r="ED600" s="89">
        <v>127</v>
      </c>
      <c r="EE600" s="2">
        <v>53</v>
      </c>
      <c r="EF600" s="2">
        <v>0</v>
      </c>
      <c r="EG600" s="2">
        <v>3.4129209999999999</v>
      </c>
      <c r="ES600">
        <v>127</v>
      </c>
      <c r="ET600">
        <v>53</v>
      </c>
      <c r="EU600">
        <v>0</v>
      </c>
      <c r="EV600">
        <v>3.4129209999999999</v>
      </c>
    </row>
    <row r="601" spans="14:152" x14ac:dyDescent="0.4">
      <c r="N601" s="89">
        <v>129</v>
      </c>
      <c r="O601" s="2">
        <v>52</v>
      </c>
      <c r="P601" s="2">
        <v>1</v>
      </c>
      <c r="Q601" s="2">
        <v>4.1143909999999999E-2</v>
      </c>
      <c r="Z601" s="89">
        <v>131</v>
      </c>
      <c r="AA601" s="2">
        <v>52</v>
      </c>
      <c r="AB601" s="2">
        <v>0</v>
      </c>
      <c r="AC601" s="2">
        <v>4.4067209999999997E-3</v>
      </c>
      <c r="AL601" s="89">
        <v>130</v>
      </c>
      <c r="AM601" s="2">
        <v>51</v>
      </c>
      <c r="AN601" s="2">
        <v>1</v>
      </c>
      <c r="AO601" s="2">
        <v>1E-3</v>
      </c>
      <c r="AX601" s="89">
        <v>136</v>
      </c>
      <c r="AY601" s="2">
        <v>53</v>
      </c>
      <c r="AZ601" s="2">
        <v>1</v>
      </c>
      <c r="BA601" s="2">
        <v>0.35464950000000001</v>
      </c>
      <c r="BJ601" s="89">
        <v>135</v>
      </c>
      <c r="BK601" s="2">
        <v>53</v>
      </c>
      <c r="BL601" s="2">
        <v>0</v>
      </c>
      <c r="BM601" s="2">
        <v>0.78274410000000005</v>
      </c>
      <c r="BV601" s="89">
        <v>131</v>
      </c>
      <c r="BW601" s="2">
        <v>53</v>
      </c>
      <c r="BX601" s="2">
        <v>0</v>
      </c>
      <c r="BY601" s="2">
        <v>3.0839650000000001</v>
      </c>
      <c r="CH601" s="89">
        <v>126</v>
      </c>
      <c r="CI601" s="2">
        <v>53</v>
      </c>
      <c r="CJ601" s="2">
        <v>0</v>
      </c>
      <c r="CK601" s="2">
        <v>0.254</v>
      </c>
      <c r="CT601" s="89">
        <v>125</v>
      </c>
      <c r="CU601" s="2">
        <v>52</v>
      </c>
      <c r="CV601" s="2">
        <v>0</v>
      </c>
      <c r="CW601" s="2">
        <v>3.7530000000000001</v>
      </c>
      <c r="DF601" s="89">
        <v>125</v>
      </c>
      <c r="DG601" s="2">
        <v>53</v>
      </c>
      <c r="DH601" s="2">
        <v>0</v>
      </c>
      <c r="DI601" s="2">
        <v>1E-3</v>
      </c>
      <c r="DR601" s="89">
        <v>130</v>
      </c>
      <c r="DS601" s="2">
        <v>51</v>
      </c>
      <c r="DT601" s="2">
        <v>0</v>
      </c>
      <c r="DU601" s="2">
        <v>1.4999999999999999E-2</v>
      </c>
      <c r="ED601" s="89">
        <v>128</v>
      </c>
      <c r="EE601" s="2">
        <v>53</v>
      </c>
      <c r="EF601" s="2">
        <v>0</v>
      </c>
      <c r="EG601" s="2">
        <v>0.48299999999999998</v>
      </c>
      <c r="ES601">
        <v>128</v>
      </c>
      <c r="ET601">
        <v>53</v>
      </c>
      <c r="EU601">
        <v>0</v>
      </c>
      <c r="EV601">
        <v>0.48299999999999998</v>
      </c>
    </row>
    <row r="602" spans="14:152" x14ac:dyDescent="0.4">
      <c r="N602" s="89">
        <v>130</v>
      </c>
      <c r="O602" s="2">
        <v>52</v>
      </c>
      <c r="P602" s="2">
        <v>0</v>
      </c>
      <c r="Q602" s="2">
        <v>2.7E-2</v>
      </c>
      <c r="Z602" s="89">
        <v>131</v>
      </c>
      <c r="AA602" s="2">
        <v>52</v>
      </c>
      <c r="AB602" s="2">
        <v>1</v>
      </c>
      <c r="AC602" s="2">
        <v>7.0800999999999998E-3</v>
      </c>
      <c r="AL602" s="89">
        <v>131</v>
      </c>
      <c r="AM602" s="2">
        <v>51</v>
      </c>
      <c r="AN602" s="2">
        <v>0</v>
      </c>
      <c r="AO602" s="2">
        <v>1E-3</v>
      </c>
      <c r="AX602" s="89">
        <v>137</v>
      </c>
      <c r="AY602" s="2">
        <v>53</v>
      </c>
      <c r="AZ602" s="2">
        <v>0</v>
      </c>
      <c r="BA602" s="2">
        <v>0.27490959999999998</v>
      </c>
      <c r="BJ602" s="89">
        <v>136</v>
      </c>
      <c r="BK602" s="2">
        <v>53</v>
      </c>
      <c r="BL602" s="2">
        <v>0</v>
      </c>
      <c r="BM602" s="2">
        <v>0.15264720000000001</v>
      </c>
      <c r="BV602" s="89">
        <v>132</v>
      </c>
      <c r="BW602" s="2">
        <v>53</v>
      </c>
      <c r="BX602" s="2">
        <v>0</v>
      </c>
      <c r="BY602" s="2">
        <v>2.9227400000000001</v>
      </c>
      <c r="CH602" s="89">
        <v>127</v>
      </c>
      <c r="CI602" s="2">
        <v>53</v>
      </c>
      <c r="CJ602" s="2">
        <v>0</v>
      </c>
      <c r="CK602" s="2">
        <v>3.4649800000000002</v>
      </c>
      <c r="CT602" s="89">
        <v>125</v>
      </c>
      <c r="CU602" s="2">
        <v>52</v>
      </c>
      <c r="CV602" s="2">
        <v>1</v>
      </c>
      <c r="CW602" s="2">
        <v>1.309623</v>
      </c>
      <c r="DF602" s="89">
        <v>126</v>
      </c>
      <c r="DG602" s="2">
        <v>53</v>
      </c>
      <c r="DH602" s="2">
        <v>0</v>
      </c>
      <c r="DI602" s="2">
        <v>3.0000000000000001E-3</v>
      </c>
      <c r="DR602" s="89">
        <v>130</v>
      </c>
      <c r="DS602" s="2">
        <v>51</v>
      </c>
      <c r="DT602" s="2">
        <v>1</v>
      </c>
      <c r="DU602" s="2">
        <v>5.0000000000000001E-3</v>
      </c>
      <c r="ED602" s="89">
        <v>129</v>
      </c>
      <c r="EE602" s="2">
        <v>53</v>
      </c>
      <c r="EF602" s="2">
        <v>0</v>
      </c>
      <c r="EG602" s="2">
        <v>3.279989</v>
      </c>
      <c r="ES602">
        <v>129</v>
      </c>
      <c r="ET602">
        <v>53</v>
      </c>
      <c r="EU602">
        <v>0</v>
      </c>
      <c r="EV602">
        <v>3.279989</v>
      </c>
    </row>
    <row r="603" spans="14:152" x14ac:dyDescent="0.4">
      <c r="N603" s="89">
        <v>131</v>
      </c>
      <c r="O603" s="2">
        <v>52</v>
      </c>
      <c r="P603" s="2">
        <v>0</v>
      </c>
      <c r="Q603" s="2">
        <v>4.2000000000000002E-4</v>
      </c>
      <c r="Z603" s="89">
        <v>132</v>
      </c>
      <c r="AA603" s="2">
        <v>52</v>
      </c>
      <c r="AB603" s="2">
        <v>0</v>
      </c>
      <c r="AC603" s="2">
        <v>3.0000000000000001E-3</v>
      </c>
      <c r="AL603" s="89">
        <v>117</v>
      </c>
      <c r="AM603" s="2">
        <v>52</v>
      </c>
      <c r="AN603" s="2">
        <v>0</v>
      </c>
      <c r="AO603" s="2">
        <v>1E-3</v>
      </c>
      <c r="AX603" s="89">
        <v>138</v>
      </c>
      <c r="AY603" s="2">
        <v>53</v>
      </c>
      <c r="AZ603" s="2">
        <v>0</v>
      </c>
      <c r="BA603" s="2">
        <v>0.10474799999999999</v>
      </c>
      <c r="BJ603" s="89">
        <v>136</v>
      </c>
      <c r="BK603" s="2">
        <v>53</v>
      </c>
      <c r="BL603" s="2">
        <v>1</v>
      </c>
      <c r="BM603" s="2">
        <v>0.22965279999999999</v>
      </c>
      <c r="BV603" s="89">
        <v>132</v>
      </c>
      <c r="BW603" s="2">
        <v>53</v>
      </c>
      <c r="BX603" s="2">
        <v>1</v>
      </c>
      <c r="BY603" s="2">
        <v>0.80900000000000005</v>
      </c>
      <c r="CH603" s="89">
        <v>128</v>
      </c>
      <c r="CI603" s="2">
        <v>53</v>
      </c>
      <c r="CJ603" s="2">
        <v>0</v>
      </c>
      <c r="CK603" s="2">
        <v>0.88200000000000001</v>
      </c>
      <c r="CT603" s="89">
        <v>126</v>
      </c>
      <c r="CU603" s="2">
        <v>52</v>
      </c>
      <c r="CV603" s="2">
        <v>0</v>
      </c>
      <c r="CW603" s="2">
        <v>3.2595109999999998</v>
      </c>
      <c r="DF603" s="89">
        <v>127</v>
      </c>
      <c r="DG603" s="2">
        <v>53</v>
      </c>
      <c r="DH603" s="2">
        <v>0</v>
      </c>
      <c r="DI603" s="2">
        <v>2.5597159999999999</v>
      </c>
      <c r="DR603" s="89">
        <v>131</v>
      </c>
      <c r="DS603" s="2">
        <v>51</v>
      </c>
      <c r="DT603" s="2">
        <v>0</v>
      </c>
      <c r="DU603" s="2">
        <v>1.7000000000000001E-2</v>
      </c>
      <c r="ED603" s="89">
        <v>130</v>
      </c>
      <c r="EE603" s="2">
        <v>53</v>
      </c>
      <c r="EF603" s="2">
        <v>0</v>
      </c>
      <c r="EG603" s="2">
        <v>1.105027</v>
      </c>
      <c r="ES603">
        <v>130</v>
      </c>
      <c r="ET603">
        <v>53</v>
      </c>
      <c r="EU603">
        <v>0</v>
      </c>
      <c r="EV603">
        <v>1.105027</v>
      </c>
    </row>
    <row r="604" spans="14:152" x14ac:dyDescent="0.4">
      <c r="N604" s="89">
        <v>131</v>
      </c>
      <c r="O604" s="2">
        <v>52</v>
      </c>
      <c r="P604" s="2">
        <v>1</v>
      </c>
      <c r="Q604" s="2">
        <v>2E-3</v>
      </c>
      <c r="Z604" s="89">
        <v>134</v>
      </c>
      <c r="AA604" s="2">
        <v>52</v>
      </c>
      <c r="AB604" s="2">
        <v>0</v>
      </c>
      <c r="AC604" s="2">
        <v>1E-3</v>
      </c>
      <c r="AL604" s="89">
        <v>117</v>
      </c>
      <c r="AM604" s="2">
        <v>52</v>
      </c>
      <c r="AN604" s="2">
        <v>1</v>
      </c>
      <c r="AO604" s="2">
        <v>1E-3</v>
      </c>
      <c r="AX604" s="89">
        <v>139</v>
      </c>
      <c r="AY604" s="2">
        <v>53</v>
      </c>
      <c r="AZ604" s="2">
        <v>0</v>
      </c>
      <c r="BA604" s="2">
        <v>3.6999999999999998E-2</v>
      </c>
      <c r="BJ604" s="89">
        <v>137</v>
      </c>
      <c r="BK604" s="2">
        <v>53</v>
      </c>
      <c r="BL604" s="2">
        <v>0</v>
      </c>
      <c r="BM604" s="2">
        <v>0.14888999999999999</v>
      </c>
      <c r="BV604" s="89">
        <v>133</v>
      </c>
      <c r="BW604" s="2">
        <v>53</v>
      </c>
      <c r="BX604" s="2">
        <v>0</v>
      </c>
      <c r="BY604" s="2">
        <v>2.8591139999999999</v>
      </c>
      <c r="CH604" s="89">
        <v>129</v>
      </c>
      <c r="CI604" s="2">
        <v>53</v>
      </c>
      <c r="CJ604" s="2">
        <v>0</v>
      </c>
      <c r="CK604" s="2">
        <v>3.1729970000000001</v>
      </c>
      <c r="CT604" s="89">
        <v>127</v>
      </c>
      <c r="CU604" s="2">
        <v>52</v>
      </c>
      <c r="CV604" s="2">
        <v>0</v>
      </c>
      <c r="CW604" s="2">
        <v>3.1935190000000002</v>
      </c>
      <c r="DF604" s="89">
        <v>128</v>
      </c>
      <c r="DG604" s="2">
        <v>53</v>
      </c>
      <c r="DH604" s="2">
        <v>0</v>
      </c>
      <c r="DI604" s="2">
        <v>3.5000000000000003E-2</v>
      </c>
      <c r="DR604" s="89">
        <v>132</v>
      </c>
      <c r="DS604" s="2">
        <v>51</v>
      </c>
      <c r="DT604" s="2">
        <v>0</v>
      </c>
      <c r="DU604" s="2">
        <v>5.0000000000000001E-4</v>
      </c>
      <c r="ED604" s="89">
        <v>130</v>
      </c>
      <c r="EE604" s="2">
        <v>53</v>
      </c>
      <c r="EF604" s="2">
        <v>1</v>
      </c>
      <c r="EG604" s="2">
        <v>9.9834610000000004E-2</v>
      </c>
      <c r="ES604">
        <v>130</v>
      </c>
      <c r="ET604">
        <v>53</v>
      </c>
      <c r="EU604">
        <v>1</v>
      </c>
      <c r="EV604">
        <v>9.9834610000000004E-2</v>
      </c>
    </row>
    <row r="605" spans="14:152" x14ac:dyDescent="0.4">
      <c r="N605" s="89">
        <v>132</v>
      </c>
      <c r="O605" s="2">
        <v>52</v>
      </c>
      <c r="P605" s="2">
        <v>0</v>
      </c>
      <c r="Q605" s="2">
        <v>5.0000000000000001E-3</v>
      </c>
      <c r="Z605" s="89">
        <v>123</v>
      </c>
      <c r="AA605" s="2">
        <v>53</v>
      </c>
      <c r="AB605" s="2">
        <v>0</v>
      </c>
      <c r="AC605" s="2">
        <v>6.0000000000000001E-3</v>
      </c>
      <c r="AL605" s="89">
        <v>119</v>
      </c>
      <c r="AM605" s="2">
        <v>52</v>
      </c>
      <c r="AN605" s="2">
        <v>1</v>
      </c>
      <c r="AO605" s="2">
        <v>8.0000000000000002E-3</v>
      </c>
      <c r="AX605" s="89">
        <v>140</v>
      </c>
      <c r="AY605" s="2">
        <v>53</v>
      </c>
      <c r="AZ605" s="2">
        <v>0</v>
      </c>
      <c r="BA605" s="2">
        <v>1.7000000000000001E-2</v>
      </c>
      <c r="BJ605" s="89">
        <v>138</v>
      </c>
      <c r="BK605" s="2">
        <v>53</v>
      </c>
      <c r="BL605" s="2">
        <v>0</v>
      </c>
      <c r="BM605" s="2">
        <v>4.8811E-2</v>
      </c>
      <c r="BV605" s="89">
        <v>133</v>
      </c>
      <c r="BW605" s="2">
        <v>53</v>
      </c>
      <c r="BX605" s="2">
        <v>1</v>
      </c>
      <c r="BY605" s="2">
        <v>0.6329032</v>
      </c>
      <c r="CH605" s="89">
        <v>130</v>
      </c>
      <c r="CI605" s="2">
        <v>53</v>
      </c>
      <c r="CJ605" s="2">
        <v>0</v>
      </c>
      <c r="CK605" s="2">
        <v>1.3149679999999999</v>
      </c>
      <c r="CT605" s="89">
        <v>127</v>
      </c>
      <c r="CU605" s="2">
        <v>52</v>
      </c>
      <c r="CV605" s="2">
        <v>1</v>
      </c>
      <c r="CW605" s="2">
        <v>1.4805680000000001</v>
      </c>
      <c r="DF605" s="89">
        <v>129</v>
      </c>
      <c r="DG605" s="2">
        <v>53</v>
      </c>
      <c r="DH605" s="2">
        <v>0</v>
      </c>
      <c r="DI605" s="2">
        <v>2.951066</v>
      </c>
      <c r="DR605" s="89">
        <v>132</v>
      </c>
      <c r="DS605" s="2">
        <v>51</v>
      </c>
      <c r="DT605" s="2">
        <v>1</v>
      </c>
      <c r="DU605" s="2">
        <v>5.0000000000000001E-4</v>
      </c>
      <c r="ED605" s="89">
        <v>131</v>
      </c>
      <c r="EE605" s="2">
        <v>53</v>
      </c>
      <c r="EF605" s="2">
        <v>0</v>
      </c>
      <c r="EG605" s="2">
        <v>2.7730000000000001</v>
      </c>
      <c r="ES605">
        <v>131</v>
      </c>
      <c r="ET605">
        <v>53</v>
      </c>
      <c r="EU605">
        <v>0</v>
      </c>
      <c r="EV605">
        <v>2.7730000000000001</v>
      </c>
    </row>
    <row r="606" spans="14:152" x14ac:dyDescent="0.4">
      <c r="N606" s="89">
        <v>133</v>
      </c>
      <c r="O606" s="2">
        <v>52</v>
      </c>
      <c r="P606" s="2">
        <v>0</v>
      </c>
      <c r="Q606" s="2">
        <v>3.5E-4</v>
      </c>
      <c r="Z606" s="89">
        <v>124</v>
      </c>
      <c r="AA606" s="2">
        <v>53</v>
      </c>
      <c r="AB606" s="2">
        <v>0</v>
      </c>
      <c r="AC606" s="2">
        <v>8.0000000000000002E-3</v>
      </c>
      <c r="AL606" s="89">
        <v>120</v>
      </c>
      <c r="AM606" s="2">
        <v>52</v>
      </c>
      <c r="AN606" s="2">
        <v>0</v>
      </c>
      <c r="AO606" s="2">
        <v>3.1E-2</v>
      </c>
      <c r="AX606" s="89">
        <v>141</v>
      </c>
      <c r="AY606" s="2">
        <v>53</v>
      </c>
      <c r="AZ606" s="2">
        <v>0</v>
      </c>
      <c r="BA606" s="2">
        <v>9.0000010000000005E-3</v>
      </c>
      <c r="BJ606" s="89">
        <v>139</v>
      </c>
      <c r="BK606" s="2">
        <v>53</v>
      </c>
      <c r="BL606" s="2">
        <v>0</v>
      </c>
      <c r="BM606" s="2">
        <v>1.6E-2</v>
      </c>
      <c r="BV606" s="89">
        <v>134</v>
      </c>
      <c r="BW606" s="2">
        <v>53</v>
      </c>
      <c r="BX606" s="2">
        <v>0</v>
      </c>
      <c r="BY606" s="2">
        <v>2.4381789999999999</v>
      </c>
      <c r="CH606" s="89">
        <v>130</v>
      </c>
      <c r="CI606" s="2">
        <v>53</v>
      </c>
      <c r="CJ606" s="2">
        <v>1</v>
      </c>
      <c r="CK606" s="2">
        <v>0.1127026</v>
      </c>
      <c r="CT606" s="89">
        <v>128</v>
      </c>
      <c r="CU606" s="2">
        <v>52</v>
      </c>
      <c r="CV606" s="2">
        <v>0</v>
      </c>
      <c r="CW606" s="2">
        <v>2.851267</v>
      </c>
      <c r="DF606" s="89">
        <v>130</v>
      </c>
      <c r="DG606" s="2">
        <v>53</v>
      </c>
      <c r="DH606" s="2">
        <v>0</v>
      </c>
      <c r="DI606" s="2">
        <v>0.2351606</v>
      </c>
      <c r="DR606" s="89">
        <v>133</v>
      </c>
      <c r="DS606" s="2">
        <v>51</v>
      </c>
      <c r="DT606" s="2">
        <v>0</v>
      </c>
      <c r="DU606" s="2">
        <v>2E-3</v>
      </c>
      <c r="ED606" s="89">
        <v>132</v>
      </c>
      <c r="EE606" s="2">
        <v>53</v>
      </c>
      <c r="EF606" s="2">
        <v>0</v>
      </c>
      <c r="EG606" s="2">
        <v>2.3786800000000001</v>
      </c>
      <c r="ES606">
        <v>132</v>
      </c>
      <c r="ET606">
        <v>53</v>
      </c>
      <c r="EU606">
        <v>0</v>
      </c>
      <c r="EV606">
        <v>2.3786800000000001</v>
      </c>
    </row>
    <row r="607" spans="14:152" x14ac:dyDescent="0.4">
      <c r="N607" s="89">
        <v>133</v>
      </c>
      <c r="O607" s="2">
        <v>52</v>
      </c>
      <c r="P607" s="2">
        <v>1</v>
      </c>
      <c r="Q607" s="2">
        <v>2E-3</v>
      </c>
      <c r="Z607" s="89">
        <v>125</v>
      </c>
      <c r="AA607" s="2">
        <v>53</v>
      </c>
      <c r="AB607" s="2">
        <v>0</v>
      </c>
      <c r="AC607" s="2">
        <v>5.5E-2</v>
      </c>
      <c r="AL607" s="89">
        <v>121</v>
      </c>
      <c r="AM607" s="2">
        <v>52</v>
      </c>
      <c r="AN607" s="2">
        <v>0</v>
      </c>
      <c r="AO607" s="2">
        <v>7.4899960000000002E-2</v>
      </c>
      <c r="AX607" s="89">
        <v>126</v>
      </c>
      <c r="AY607" s="2">
        <v>54</v>
      </c>
      <c r="AZ607" s="2">
        <v>0</v>
      </c>
      <c r="BA607" s="2">
        <v>1.8353999999999999E-2</v>
      </c>
      <c r="BJ607" s="89">
        <v>140</v>
      </c>
      <c r="BK607" s="2">
        <v>53</v>
      </c>
      <c r="BL607" s="2">
        <v>0</v>
      </c>
      <c r="BM607" s="2">
        <v>1E-3</v>
      </c>
      <c r="BV607" s="89">
        <v>134</v>
      </c>
      <c r="BW607" s="2">
        <v>53</v>
      </c>
      <c r="BX607" s="2">
        <v>1</v>
      </c>
      <c r="BY607" s="2">
        <v>0.79502519999999999</v>
      </c>
      <c r="CH607" s="89">
        <v>131</v>
      </c>
      <c r="CI607" s="2">
        <v>53</v>
      </c>
      <c r="CJ607" s="2">
        <v>0</v>
      </c>
      <c r="CK607" s="2">
        <v>2.3149999999999999</v>
      </c>
      <c r="CT607" s="89">
        <v>129</v>
      </c>
      <c r="CU607" s="2">
        <v>52</v>
      </c>
      <c r="CV607" s="2">
        <v>0</v>
      </c>
      <c r="CW607" s="2">
        <v>1.692526</v>
      </c>
      <c r="DF607" s="89">
        <v>130</v>
      </c>
      <c r="DG607" s="2">
        <v>53</v>
      </c>
      <c r="DH607" s="2">
        <v>1</v>
      </c>
      <c r="DI607" s="2">
        <v>2.3995989999999998E-2</v>
      </c>
      <c r="DR607" s="89">
        <v>134</v>
      </c>
      <c r="DS607" s="2">
        <v>51</v>
      </c>
      <c r="DT607" s="2">
        <v>1</v>
      </c>
      <c r="DU607" s="2">
        <v>1E-3</v>
      </c>
      <c r="ED607" s="89">
        <v>132</v>
      </c>
      <c r="EE607" s="2">
        <v>53</v>
      </c>
      <c r="EF607" s="2">
        <v>1</v>
      </c>
      <c r="EG607" s="2">
        <v>0.78800000000000003</v>
      </c>
      <c r="ES607">
        <v>132</v>
      </c>
      <c r="ET607">
        <v>53</v>
      </c>
      <c r="EU607">
        <v>1</v>
      </c>
      <c r="EV607">
        <v>0.78800000000000003</v>
      </c>
    </row>
    <row r="608" spans="14:152" x14ac:dyDescent="0.4">
      <c r="N608" s="89">
        <v>122</v>
      </c>
      <c r="O608" s="2">
        <v>53</v>
      </c>
      <c r="P608" s="2">
        <v>0</v>
      </c>
      <c r="Q608" s="2">
        <v>2E-3</v>
      </c>
      <c r="Z608" s="89">
        <v>126</v>
      </c>
      <c r="AA608" s="2">
        <v>53</v>
      </c>
      <c r="AB608" s="2">
        <v>0</v>
      </c>
      <c r="AC608" s="2">
        <v>9.7000000000000003E-2</v>
      </c>
      <c r="AL608" s="89">
        <v>121</v>
      </c>
      <c r="AM608" s="2">
        <v>52</v>
      </c>
      <c r="AN608" s="2">
        <v>1</v>
      </c>
      <c r="AO608" s="2">
        <v>7.1681819999999993E-2</v>
      </c>
      <c r="AX608" s="89">
        <v>127</v>
      </c>
      <c r="AY608" s="2">
        <v>54</v>
      </c>
      <c r="AZ608" s="2">
        <v>0</v>
      </c>
      <c r="BA608" s="2">
        <v>2E-3</v>
      </c>
      <c r="BJ608" s="89">
        <v>141</v>
      </c>
      <c r="BK608" s="2">
        <v>53</v>
      </c>
      <c r="BL608" s="2">
        <v>0</v>
      </c>
      <c r="BM608" s="2">
        <v>1E-3</v>
      </c>
      <c r="BV608" s="89">
        <v>135</v>
      </c>
      <c r="BW608" s="2">
        <v>53</v>
      </c>
      <c r="BX608" s="2">
        <v>0</v>
      </c>
      <c r="BY608" s="2">
        <v>1.744748</v>
      </c>
      <c r="CH608" s="89">
        <v>132</v>
      </c>
      <c r="CI608" s="2">
        <v>53</v>
      </c>
      <c r="CJ608" s="2">
        <v>0</v>
      </c>
      <c r="CK608" s="2">
        <v>1.6862200000000001</v>
      </c>
      <c r="CT608" s="89">
        <v>129</v>
      </c>
      <c r="CU608" s="2">
        <v>52</v>
      </c>
      <c r="CV608" s="2">
        <v>1</v>
      </c>
      <c r="CW608" s="2">
        <v>1.5742480000000001</v>
      </c>
      <c r="DF608" s="89">
        <v>131</v>
      </c>
      <c r="DG608" s="2">
        <v>53</v>
      </c>
      <c r="DH608" s="2">
        <v>0</v>
      </c>
      <c r="DI608" s="2">
        <v>3.7298680000000002</v>
      </c>
      <c r="DR608" s="89">
        <v>136</v>
      </c>
      <c r="DS608" s="2">
        <v>51</v>
      </c>
      <c r="DT608" s="2">
        <v>0</v>
      </c>
      <c r="DU608" s="2">
        <v>1E-3</v>
      </c>
      <c r="ED608" s="89">
        <v>133</v>
      </c>
      <c r="EE608" s="2">
        <v>53</v>
      </c>
      <c r="EF608" s="2">
        <v>0</v>
      </c>
      <c r="EG608" s="2">
        <v>2.097556</v>
      </c>
      <c r="ES608">
        <v>133</v>
      </c>
      <c r="ET608">
        <v>53</v>
      </c>
      <c r="EU608">
        <v>0</v>
      </c>
      <c r="EV608">
        <v>2.097556</v>
      </c>
    </row>
    <row r="609" spans="14:152" x14ac:dyDescent="0.4">
      <c r="N609" s="89">
        <v>123</v>
      </c>
      <c r="O609" s="2">
        <v>53</v>
      </c>
      <c r="P609" s="2">
        <v>0</v>
      </c>
      <c r="Q609" s="2">
        <v>9.0000010000000005E-3</v>
      </c>
      <c r="Z609" s="89">
        <v>127</v>
      </c>
      <c r="AA609" s="2">
        <v>53</v>
      </c>
      <c r="AB609" s="2">
        <v>0</v>
      </c>
      <c r="AC609" s="2">
        <v>0.504</v>
      </c>
      <c r="AL609" s="89">
        <v>122</v>
      </c>
      <c r="AM609" s="2">
        <v>52</v>
      </c>
      <c r="AN609" s="2">
        <v>0</v>
      </c>
      <c r="AO609" s="2">
        <v>0.6743633</v>
      </c>
      <c r="AX609" s="89">
        <v>127</v>
      </c>
      <c r="AY609" s="2">
        <v>54</v>
      </c>
      <c r="AZ609" s="2">
        <v>1</v>
      </c>
      <c r="BA609" s="2">
        <v>2E-3</v>
      </c>
      <c r="BJ609" s="89">
        <v>126</v>
      </c>
      <c r="BK609" s="2">
        <v>54</v>
      </c>
      <c r="BL609" s="2">
        <v>0</v>
      </c>
      <c r="BM609" s="2">
        <v>6.2179999999999999E-2</v>
      </c>
      <c r="BV609" s="89">
        <v>136</v>
      </c>
      <c r="BW609" s="2">
        <v>53</v>
      </c>
      <c r="BX609" s="2">
        <v>0</v>
      </c>
      <c r="BY609" s="2">
        <v>0.40423829999999999</v>
      </c>
      <c r="CH609" s="89">
        <v>132</v>
      </c>
      <c r="CI609" s="2">
        <v>53</v>
      </c>
      <c r="CJ609" s="2">
        <v>1</v>
      </c>
      <c r="CK609" s="2">
        <v>0.67700000000000005</v>
      </c>
      <c r="CT609" s="89">
        <v>130</v>
      </c>
      <c r="CU609" s="2">
        <v>52</v>
      </c>
      <c r="CV609" s="2">
        <v>0</v>
      </c>
      <c r="CW609" s="2">
        <v>1.7549999999999999</v>
      </c>
      <c r="DF609" s="89">
        <v>132</v>
      </c>
      <c r="DG609" s="2">
        <v>53</v>
      </c>
      <c r="DH609" s="2">
        <v>0</v>
      </c>
      <c r="DI609" s="2">
        <v>4.0081199999999999</v>
      </c>
      <c r="DR609" s="89">
        <v>122</v>
      </c>
      <c r="DS609" s="2">
        <v>52</v>
      </c>
      <c r="DT609" s="2">
        <v>0</v>
      </c>
      <c r="DU609" s="2">
        <v>0.141682</v>
      </c>
      <c r="ED609" s="89">
        <v>133</v>
      </c>
      <c r="EE609" s="2">
        <v>53</v>
      </c>
      <c r="EF609" s="2">
        <v>1</v>
      </c>
      <c r="EG609" s="2">
        <v>0.53899580000000002</v>
      </c>
      <c r="ES609">
        <v>133</v>
      </c>
      <c r="ET609">
        <v>53</v>
      </c>
      <c r="EU609">
        <v>1</v>
      </c>
      <c r="EV609">
        <v>0.53899580000000002</v>
      </c>
    </row>
    <row r="610" spans="14:152" x14ac:dyDescent="0.4">
      <c r="N610" s="89">
        <v>124</v>
      </c>
      <c r="O610" s="2">
        <v>53</v>
      </c>
      <c r="P610" s="2">
        <v>0</v>
      </c>
      <c r="Q610" s="2">
        <v>0.02</v>
      </c>
      <c r="Z610" s="89">
        <v>128</v>
      </c>
      <c r="AA610" s="2">
        <v>53</v>
      </c>
      <c r="AB610" s="2">
        <v>0</v>
      </c>
      <c r="AC610" s="2">
        <v>0.22700000000000001</v>
      </c>
      <c r="AL610" s="89">
        <v>123</v>
      </c>
      <c r="AM610" s="2">
        <v>52</v>
      </c>
      <c r="AN610" s="2">
        <v>0</v>
      </c>
      <c r="AO610" s="2">
        <v>0.31900000000000001</v>
      </c>
      <c r="AX610" s="89">
        <v>128</v>
      </c>
      <c r="AY610" s="2">
        <v>54</v>
      </c>
      <c r="AZ610" s="2">
        <v>0</v>
      </c>
      <c r="BA610" s="2">
        <v>0.27854200000000001</v>
      </c>
      <c r="BJ610" s="89">
        <v>127</v>
      </c>
      <c r="BK610" s="2">
        <v>54</v>
      </c>
      <c r="BL610" s="2">
        <v>0</v>
      </c>
      <c r="BM610" s="2">
        <v>1.7999999999999999E-2</v>
      </c>
      <c r="BV610" s="89">
        <v>136</v>
      </c>
      <c r="BW610" s="2">
        <v>53</v>
      </c>
      <c r="BX610" s="2">
        <v>1</v>
      </c>
      <c r="BY610" s="2">
        <v>0.51763130000000002</v>
      </c>
      <c r="CH610" s="89">
        <v>133</v>
      </c>
      <c r="CI610" s="2">
        <v>53</v>
      </c>
      <c r="CJ610" s="2">
        <v>0</v>
      </c>
      <c r="CK610" s="2">
        <v>1.4380059999999999</v>
      </c>
      <c r="CT610" s="89">
        <v>131</v>
      </c>
      <c r="CU610" s="2">
        <v>52</v>
      </c>
      <c r="CV610" s="2">
        <v>0</v>
      </c>
      <c r="CW610" s="2">
        <v>0.66011240000000004</v>
      </c>
      <c r="DF610" s="89">
        <v>132</v>
      </c>
      <c r="DG610" s="2">
        <v>53</v>
      </c>
      <c r="DH610" s="2">
        <v>1</v>
      </c>
      <c r="DI610" s="2">
        <v>0.54700009999999999</v>
      </c>
      <c r="DR610" s="89">
        <v>123</v>
      </c>
      <c r="DS610" s="2">
        <v>52</v>
      </c>
      <c r="DT610" s="2">
        <v>0</v>
      </c>
      <c r="DU610" s="2">
        <v>2.8000000000000001E-2</v>
      </c>
      <c r="ED610" s="89">
        <v>134</v>
      </c>
      <c r="EE610" s="2">
        <v>53</v>
      </c>
      <c r="EF610" s="2">
        <v>0</v>
      </c>
      <c r="EG610" s="2">
        <v>1.675997</v>
      </c>
      <c r="ES610">
        <v>134</v>
      </c>
      <c r="ET610">
        <v>53</v>
      </c>
      <c r="EU610">
        <v>0</v>
      </c>
      <c r="EV610">
        <v>1.675997</v>
      </c>
    </row>
    <row r="611" spans="14:152" x14ac:dyDescent="0.4">
      <c r="N611" s="89">
        <v>125</v>
      </c>
      <c r="O611" s="2">
        <v>53</v>
      </c>
      <c r="P611" s="2">
        <v>0</v>
      </c>
      <c r="Q611" s="2">
        <v>5.6000000000000001E-2</v>
      </c>
      <c r="Z611" s="89">
        <v>129</v>
      </c>
      <c r="AA611" s="2">
        <v>53</v>
      </c>
      <c r="AB611" s="2">
        <v>0</v>
      </c>
      <c r="AC611" s="2">
        <v>0.33900000000000002</v>
      </c>
      <c r="AL611" s="89">
        <v>123</v>
      </c>
      <c r="AM611" s="2">
        <v>52</v>
      </c>
      <c r="AN611" s="2">
        <v>1</v>
      </c>
      <c r="AO611" s="2">
        <v>0.25961770000000001</v>
      </c>
      <c r="AX611" s="89">
        <v>129</v>
      </c>
      <c r="AY611" s="2">
        <v>54</v>
      </c>
      <c r="AZ611" s="2">
        <v>0</v>
      </c>
      <c r="BA611" s="2">
        <v>6.2E-2</v>
      </c>
      <c r="BJ611" s="89">
        <v>127</v>
      </c>
      <c r="BK611" s="2">
        <v>54</v>
      </c>
      <c r="BL611" s="2">
        <v>1</v>
      </c>
      <c r="BM611" s="2">
        <v>1.6E-2</v>
      </c>
      <c r="BV611" s="89">
        <v>137</v>
      </c>
      <c r="BW611" s="2">
        <v>53</v>
      </c>
      <c r="BX611" s="2">
        <v>0</v>
      </c>
      <c r="BY611" s="2">
        <v>0.50956579999999996</v>
      </c>
      <c r="CH611" s="89">
        <v>133</v>
      </c>
      <c r="CI611" s="2">
        <v>53</v>
      </c>
      <c r="CJ611" s="2">
        <v>1</v>
      </c>
      <c r="CK611" s="2">
        <v>0.41183199999999998</v>
      </c>
      <c r="CT611" s="89">
        <v>131</v>
      </c>
      <c r="CU611" s="2">
        <v>52</v>
      </c>
      <c r="CV611" s="2">
        <v>1</v>
      </c>
      <c r="CW611" s="2">
        <v>0.70618700000000001</v>
      </c>
      <c r="DF611" s="89">
        <v>133</v>
      </c>
      <c r="DG611" s="2">
        <v>53</v>
      </c>
      <c r="DH611" s="2">
        <v>0</v>
      </c>
      <c r="DI611" s="2">
        <v>4.1211130000000002</v>
      </c>
      <c r="DR611" s="89">
        <v>123</v>
      </c>
      <c r="DS611" s="2">
        <v>52</v>
      </c>
      <c r="DT611" s="2">
        <v>1</v>
      </c>
      <c r="DU611" s="2">
        <v>2.4137929999999998E-2</v>
      </c>
      <c r="ED611" s="89">
        <v>134</v>
      </c>
      <c r="EE611" s="2">
        <v>53</v>
      </c>
      <c r="EF611" s="2">
        <v>1</v>
      </c>
      <c r="EG611" s="2">
        <v>0.59816590000000003</v>
      </c>
      <c r="ES611">
        <v>134</v>
      </c>
      <c r="ET611">
        <v>53</v>
      </c>
      <c r="EU611">
        <v>1</v>
      </c>
      <c r="EV611">
        <v>0.59816590000000003</v>
      </c>
    </row>
    <row r="612" spans="14:152" x14ac:dyDescent="0.4">
      <c r="N612" s="89">
        <v>126</v>
      </c>
      <c r="O612" s="2">
        <v>53</v>
      </c>
      <c r="P612" s="2">
        <v>0</v>
      </c>
      <c r="Q612" s="2">
        <v>0.128</v>
      </c>
      <c r="Z612" s="89">
        <v>130</v>
      </c>
      <c r="AA612" s="2">
        <v>53</v>
      </c>
      <c r="AB612" s="2">
        <v>0</v>
      </c>
      <c r="AC612" s="2">
        <v>0.15288289999999999</v>
      </c>
      <c r="AL612" s="89">
        <v>124</v>
      </c>
      <c r="AM612" s="2">
        <v>52</v>
      </c>
      <c r="AN612" s="2">
        <v>0</v>
      </c>
      <c r="AO612" s="2">
        <v>0.752</v>
      </c>
      <c r="AX612" s="89">
        <v>129</v>
      </c>
      <c r="AY612" s="2">
        <v>54</v>
      </c>
      <c r="AZ612" s="2">
        <v>1</v>
      </c>
      <c r="BA612" s="2">
        <v>5.0727269999999998E-2</v>
      </c>
      <c r="BJ612" s="89">
        <v>128</v>
      </c>
      <c r="BK612" s="2">
        <v>54</v>
      </c>
      <c r="BL612" s="2">
        <v>0</v>
      </c>
      <c r="BM612" s="2">
        <v>0.70363209999999998</v>
      </c>
      <c r="BV612" s="89">
        <v>138</v>
      </c>
      <c r="BW612" s="2">
        <v>53</v>
      </c>
      <c r="BX612" s="2">
        <v>0</v>
      </c>
      <c r="BY612" s="2">
        <v>0.20724400000000001</v>
      </c>
      <c r="CH612" s="89">
        <v>134</v>
      </c>
      <c r="CI612" s="2">
        <v>53</v>
      </c>
      <c r="CJ612" s="2">
        <v>0</v>
      </c>
      <c r="CK612" s="2">
        <v>1.046162</v>
      </c>
      <c r="CT612" s="89">
        <v>132</v>
      </c>
      <c r="CU612" s="2">
        <v>52</v>
      </c>
      <c r="CV612" s="2">
        <v>0</v>
      </c>
      <c r="CW612" s="2">
        <v>0.94699999999999995</v>
      </c>
      <c r="DF612" s="89">
        <v>133</v>
      </c>
      <c r="DG612" s="2">
        <v>53</v>
      </c>
      <c r="DH612" s="2">
        <v>1</v>
      </c>
      <c r="DI612" s="2">
        <v>0.52980479999999996</v>
      </c>
      <c r="DR612" s="89">
        <v>124</v>
      </c>
      <c r="DS612" s="2">
        <v>52</v>
      </c>
      <c r="DT612" s="2">
        <v>0</v>
      </c>
      <c r="DU612" s="2">
        <v>0.45800000000000002</v>
      </c>
      <c r="ED612" s="89">
        <v>135</v>
      </c>
      <c r="EE612" s="2">
        <v>53</v>
      </c>
      <c r="EF612" s="2">
        <v>0</v>
      </c>
      <c r="EG612" s="2">
        <v>1.250518</v>
      </c>
      <c r="ES612">
        <v>135</v>
      </c>
      <c r="ET612">
        <v>53</v>
      </c>
      <c r="EU612">
        <v>0</v>
      </c>
      <c r="EV612">
        <v>1.250518</v>
      </c>
    </row>
    <row r="613" spans="14:152" x14ac:dyDescent="0.4">
      <c r="N613" s="89">
        <v>127</v>
      </c>
      <c r="O613" s="2">
        <v>53</v>
      </c>
      <c r="P613" s="2">
        <v>0</v>
      </c>
      <c r="Q613" s="2">
        <v>0.40200000000000002</v>
      </c>
      <c r="Z613" s="89">
        <v>130</v>
      </c>
      <c r="AA613" s="2">
        <v>53</v>
      </c>
      <c r="AB613" s="2">
        <v>1</v>
      </c>
      <c r="AC613" s="2">
        <v>1.3231710000000001E-2</v>
      </c>
      <c r="AL613" s="89">
        <v>125</v>
      </c>
      <c r="AM613" s="2">
        <v>52</v>
      </c>
      <c r="AN613" s="2">
        <v>0</v>
      </c>
      <c r="AO613" s="2">
        <v>0.77800009999999997</v>
      </c>
      <c r="AX613" s="89">
        <v>130</v>
      </c>
      <c r="AY613" s="2">
        <v>54</v>
      </c>
      <c r="AZ613" s="2">
        <v>0</v>
      </c>
      <c r="BA613" s="2">
        <v>0.74298399999999998</v>
      </c>
      <c r="BJ613" s="89">
        <v>129</v>
      </c>
      <c r="BK613" s="2">
        <v>54</v>
      </c>
      <c r="BL613" s="2">
        <v>0</v>
      </c>
      <c r="BM613" s="2">
        <v>0.217</v>
      </c>
      <c r="BV613" s="89">
        <v>139</v>
      </c>
      <c r="BW613" s="2">
        <v>53</v>
      </c>
      <c r="BX613" s="2">
        <v>0</v>
      </c>
      <c r="BY613" s="2">
        <v>8.0000009999999996E-2</v>
      </c>
      <c r="CH613" s="89">
        <v>134</v>
      </c>
      <c r="CI613" s="2">
        <v>53</v>
      </c>
      <c r="CJ613" s="2">
        <v>1</v>
      </c>
      <c r="CK613" s="2">
        <v>0.4709795</v>
      </c>
      <c r="CT613" s="89">
        <v>133</v>
      </c>
      <c r="CU613" s="2">
        <v>52</v>
      </c>
      <c r="CV613" s="2">
        <v>0</v>
      </c>
      <c r="CW613" s="2">
        <v>0.25887399999999999</v>
      </c>
      <c r="DF613" s="89">
        <v>134</v>
      </c>
      <c r="DG613" s="2">
        <v>53</v>
      </c>
      <c r="DH613" s="2">
        <v>0</v>
      </c>
      <c r="DI613" s="2">
        <v>4.0187059999999999</v>
      </c>
      <c r="DR613" s="89">
        <v>125</v>
      </c>
      <c r="DS613" s="2">
        <v>52</v>
      </c>
      <c r="DT613" s="2">
        <v>0</v>
      </c>
      <c r="DU613" s="2">
        <v>0.92700000000000005</v>
      </c>
      <c r="ED613" s="89">
        <v>136</v>
      </c>
      <c r="EE613" s="2">
        <v>53</v>
      </c>
      <c r="EF613" s="2">
        <v>0</v>
      </c>
      <c r="EG613" s="2">
        <v>0.27469769999999999</v>
      </c>
      <c r="ES613">
        <v>136</v>
      </c>
      <c r="ET613">
        <v>53</v>
      </c>
      <c r="EU613">
        <v>0</v>
      </c>
      <c r="EV613">
        <v>0.27469769999999999</v>
      </c>
    </row>
    <row r="614" spans="14:152" x14ac:dyDescent="0.4">
      <c r="N614" s="89">
        <v>128</v>
      </c>
      <c r="O614" s="2">
        <v>53</v>
      </c>
      <c r="P614" s="2">
        <v>0</v>
      </c>
      <c r="Q614" s="2">
        <v>0.154</v>
      </c>
      <c r="Z614" s="89">
        <v>131</v>
      </c>
      <c r="AA614" s="2">
        <v>53</v>
      </c>
      <c r="AB614" s="2">
        <v>0</v>
      </c>
      <c r="AC614" s="2">
        <v>9.6000000000000002E-2</v>
      </c>
      <c r="AL614" s="89">
        <v>125</v>
      </c>
      <c r="AM614" s="2">
        <v>52</v>
      </c>
      <c r="AN614" s="2">
        <v>1</v>
      </c>
      <c r="AO614" s="2">
        <v>0.416908</v>
      </c>
      <c r="AX614" s="89">
        <v>131</v>
      </c>
      <c r="AY614" s="2">
        <v>54</v>
      </c>
      <c r="AZ614" s="2">
        <v>0</v>
      </c>
      <c r="BA614" s="2">
        <v>2.6760000000000002</v>
      </c>
      <c r="BJ614" s="89">
        <v>129</v>
      </c>
      <c r="BK614" s="2">
        <v>54</v>
      </c>
      <c r="BL614" s="2">
        <v>1</v>
      </c>
      <c r="BM614" s="2">
        <v>0.1775687</v>
      </c>
      <c r="BV614" s="89">
        <v>140</v>
      </c>
      <c r="BW614" s="2">
        <v>53</v>
      </c>
      <c r="BX614" s="2">
        <v>0</v>
      </c>
      <c r="BY614" s="2">
        <v>4.2000000000000003E-2</v>
      </c>
      <c r="CH614" s="89">
        <v>135</v>
      </c>
      <c r="CI614" s="2">
        <v>53</v>
      </c>
      <c r="CJ614" s="2">
        <v>0</v>
      </c>
      <c r="CK614" s="2">
        <v>0.63</v>
      </c>
      <c r="CT614" s="89">
        <v>133</v>
      </c>
      <c r="CU614" s="2">
        <v>52</v>
      </c>
      <c r="CV614" s="2">
        <v>1</v>
      </c>
      <c r="CW614" s="2">
        <v>0.38198910000000003</v>
      </c>
      <c r="DF614" s="89">
        <v>134</v>
      </c>
      <c r="DG614" s="2">
        <v>53</v>
      </c>
      <c r="DH614" s="2">
        <v>1</v>
      </c>
      <c r="DI614" s="2">
        <v>1.0794029999999999</v>
      </c>
      <c r="DR614" s="89">
        <v>125</v>
      </c>
      <c r="DS614" s="2">
        <v>52</v>
      </c>
      <c r="DT614" s="2">
        <v>1</v>
      </c>
      <c r="DU614" s="2">
        <v>0.32471499999999998</v>
      </c>
      <c r="ED614" s="89">
        <v>136</v>
      </c>
      <c r="EE614" s="2">
        <v>53</v>
      </c>
      <c r="EF614" s="2">
        <v>1</v>
      </c>
      <c r="EG614" s="2">
        <v>0.37231340000000002</v>
      </c>
      <c r="ES614">
        <v>136</v>
      </c>
      <c r="ET614">
        <v>53</v>
      </c>
      <c r="EU614">
        <v>1</v>
      </c>
      <c r="EV614">
        <v>0.37231340000000002</v>
      </c>
    </row>
    <row r="615" spans="14:152" x14ac:dyDescent="0.4">
      <c r="N615" s="89">
        <v>129</v>
      </c>
      <c r="O615" s="2">
        <v>53</v>
      </c>
      <c r="P615" s="2">
        <v>0</v>
      </c>
      <c r="Q615" s="2">
        <v>0.19400000000000001</v>
      </c>
      <c r="Z615" s="89">
        <v>132</v>
      </c>
      <c r="AA615" s="2">
        <v>53</v>
      </c>
      <c r="AB615" s="2">
        <v>0</v>
      </c>
      <c r="AC615" s="2">
        <v>4.326E-2</v>
      </c>
      <c r="AL615" s="89">
        <v>126</v>
      </c>
      <c r="AM615" s="2">
        <v>52</v>
      </c>
      <c r="AN615" s="2">
        <v>0</v>
      </c>
      <c r="AO615" s="2">
        <v>0.56477339999999998</v>
      </c>
      <c r="AX615" s="89">
        <v>131</v>
      </c>
      <c r="AY615" s="2">
        <v>54</v>
      </c>
      <c r="AZ615" s="2">
        <v>1</v>
      </c>
      <c r="BA615" s="2">
        <v>0.2222276</v>
      </c>
      <c r="BJ615" s="89">
        <v>130</v>
      </c>
      <c r="BK615" s="2">
        <v>54</v>
      </c>
      <c r="BL615" s="2">
        <v>0</v>
      </c>
      <c r="BM615" s="2">
        <v>1.5916809999999999</v>
      </c>
      <c r="BV615" s="89">
        <v>141</v>
      </c>
      <c r="BW615" s="2">
        <v>53</v>
      </c>
      <c r="BX615" s="2">
        <v>0</v>
      </c>
      <c r="BY615" s="2">
        <v>1.2999999999999999E-2</v>
      </c>
      <c r="CH615" s="89">
        <v>136</v>
      </c>
      <c r="CI615" s="2">
        <v>53</v>
      </c>
      <c r="CJ615" s="2">
        <v>0</v>
      </c>
      <c r="CK615" s="2">
        <v>9.222379E-2</v>
      </c>
      <c r="CT615" s="89">
        <v>134</v>
      </c>
      <c r="CU615" s="2">
        <v>52</v>
      </c>
      <c r="CV615" s="2">
        <v>0</v>
      </c>
      <c r="CW615" s="2">
        <v>0.33718579999999998</v>
      </c>
      <c r="DF615" s="89">
        <v>135</v>
      </c>
      <c r="DG615" s="2">
        <v>53</v>
      </c>
      <c r="DH615" s="2">
        <v>0</v>
      </c>
      <c r="DI615" s="2">
        <v>3.2431040000000002</v>
      </c>
      <c r="DR615" s="89">
        <v>126</v>
      </c>
      <c r="DS615" s="2">
        <v>52</v>
      </c>
      <c r="DT615" s="2">
        <v>0</v>
      </c>
      <c r="DU615" s="2">
        <v>0.76359220000000005</v>
      </c>
      <c r="ED615" s="89">
        <v>137</v>
      </c>
      <c r="EE615" s="2">
        <v>53</v>
      </c>
      <c r="EF615" s="2">
        <v>0</v>
      </c>
      <c r="EG615" s="2">
        <v>0.33866679999999999</v>
      </c>
      <c r="ES615">
        <v>137</v>
      </c>
      <c r="ET615">
        <v>53</v>
      </c>
      <c r="EU615">
        <v>0</v>
      </c>
      <c r="EV615">
        <v>0.33866679999999999</v>
      </c>
    </row>
    <row r="616" spans="14:152" x14ac:dyDescent="0.4">
      <c r="N616" s="89">
        <v>130</v>
      </c>
      <c r="O616" s="2">
        <v>53</v>
      </c>
      <c r="P616" s="2">
        <v>0</v>
      </c>
      <c r="Q616" s="2">
        <v>9.4508739999999994E-2</v>
      </c>
      <c r="Z616" s="89">
        <v>132</v>
      </c>
      <c r="AA616" s="2">
        <v>53</v>
      </c>
      <c r="AB616" s="2">
        <v>1</v>
      </c>
      <c r="AC616" s="2">
        <v>4.1000000000000002E-2</v>
      </c>
      <c r="AL616" s="89">
        <v>127</v>
      </c>
      <c r="AM616" s="2">
        <v>52</v>
      </c>
      <c r="AN616" s="2">
        <v>0</v>
      </c>
      <c r="AO616" s="2">
        <v>0.2919235</v>
      </c>
      <c r="AX616" s="89">
        <v>132</v>
      </c>
      <c r="AY616" s="2">
        <v>54</v>
      </c>
      <c r="AZ616" s="2">
        <v>0</v>
      </c>
      <c r="BA616" s="2">
        <v>2.8859560000000002</v>
      </c>
      <c r="BJ616" s="89">
        <v>131</v>
      </c>
      <c r="BK616" s="2">
        <v>54</v>
      </c>
      <c r="BL616" s="2">
        <v>0</v>
      </c>
      <c r="BM616" s="2">
        <v>3.0550000000000002</v>
      </c>
      <c r="BV616" s="89">
        <v>142</v>
      </c>
      <c r="BW616" s="2">
        <v>53</v>
      </c>
      <c r="BX616" s="2">
        <v>0</v>
      </c>
      <c r="BY616" s="2">
        <v>3.0000000000000001E-3</v>
      </c>
      <c r="CH616" s="89">
        <v>136</v>
      </c>
      <c r="CI616" s="2">
        <v>53</v>
      </c>
      <c r="CJ616" s="2">
        <v>1</v>
      </c>
      <c r="CK616" s="2">
        <v>0.13389619999999999</v>
      </c>
      <c r="CT616" s="89">
        <v>135</v>
      </c>
      <c r="CU616" s="2">
        <v>52</v>
      </c>
      <c r="CV616" s="2">
        <v>0</v>
      </c>
      <c r="CW616" s="2">
        <v>0.13996500000000001</v>
      </c>
      <c r="DF616" s="89">
        <v>136</v>
      </c>
      <c r="DG616" s="2">
        <v>53</v>
      </c>
      <c r="DH616" s="2">
        <v>0</v>
      </c>
      <c r="DI616" s="2">
        <v>0.95114030000000005</v>
      </c>
      <c r="DR616" s="89">
        <v>127</v>
      </c>
      <c r="DS616" s="2">
        <v>52</v>
      </c>
      <c r="DT616" s="2">
        <v>0</v>
      </c>
      <c r="DU616" s="2">
        <v>0.65155169999999996</v>
      </c>
      <c r="ED616" s="89">
        <v>138</v>
      </c>
      <c r="EE616" s="2">
        <v>53</v>
      </c>
      <c r="EF616" s="2">
        <v>0</v>
      </c>
      <c r="EG616" s="2">
        <v>0.118496</v>
      </c>
      <c r="ES616">
        <v>138</v>
      </c>
      <c r="ET616">
        <v>53</v>
      </c>
      <c r="EU616">
        <v>0</v>
      </c>
      <c r="EV616">
        <v>0.118496</v>
      </c>
    </row>
    <row r="617" spans="14:152" x14ac:dyDescent="0.4">
      <c r="N617" s="89">
        <v>130</v>
      </c>
      <c r="O617" s="2">
        <v>53</v>
      </c>
      <c r="P617" s="2">
        <v>1</v>
      </c>
      <c r="Q617" s="2">
        <v>9.3203890000000001E-3</v>
      </c>
      <c r="Z617" s="89">
        <v>133</v>
      </c>
      <c r="AA617" s="2">
        <v>53</v>
      </c>
      <c r="AB617" s="2">
        <v>0</v>
      </c>
      <c r="AC617" s="2">
        <v>2.3E-2</v>
      </c>
      <c r="AL617" s="89">
        <v>127</v>
      </c>
      <c r="AM617" s="2">
        <v>52</v>
      </c>
      <c r="AN617" s="2">
        <v>1</v>
      </c>
      <c r="AO617" s="2">
        <v>0.222582</v>
      </c>
      <c r="AX617" s="89">
        <v>132</v>
      </c>
      <c r="AY617" s="2">
        <v>54</v>
      </c>
      <c r="AZ617" s="2">
        <v>1</v>
      </c>
      <c r="BA617" s="2">
        <v>0.2104839</v>
      </c>
      <c r="BJ617" s="89">
        <v>131</v>
      </c>
      <c r="BK617" s="2">
        <v>54</v>
      </c>
      <c r="BL617" s="2">
        <v>1</v>
      </c>
      <c r="BM617" s="2">
        <v>0.58329339999999996</v>
      </c>
      <c r="BV617" s="89">
        <v>143</v>
      </c>
      <c r="BW617" s="2">
        <v>53</v>
      </c>
      <c r="BX617" s="2">
        <v>0</v>
      </c>
      <c r="BY617" s="2">
        <v>1E-3</v>
      </c>
      <c r="CH617" s="89">
        <v>137</v>
      </c>
      <c r="CI617" s="2">
        <v>53</v>
      </c>
      <c r="CJ617" s="2">
        <v>0</v>
      </c>
      <c r="CK617" s="2">
        <v>8.4880399999999995E-2</v>
      </c>
      <c r="CT617" s="89">
        <v>136</v>
      </c>
      <c r="CU617" s="2">
        <v>52</v>
      </c>
      <c r="CV617" s="2">
        <v>0</v>
      </c>
      <c r="CW617" s="2">
        <v>5.0324199999999999E-2</v>
      </c>
      <c r="DF617" s="89">
        <v>136</v>
      </c>
      <c r="DG617" s="2">
        <v>53</v>
      </c>
      <c r="DH617" s="2">
        <v>1</v>
      </c>
      <c r="DI617" s="2">
        <v>1.027404</v>
      </c>
      <c r="DR617" s="89">
        <v>127</v>
      </c>
      <c r="DS617" s="2">
        <v>52</v>
      </c>
      <c r="DT617" s="2">
        <v>1</v>
      </c>
      <c r="DU617" s="2">
        <v>0.38272339999999999</v>
      </c>
      <c r="ED617" s="89">
        <v>139</v>
      </c>
      <c r="EE617" s="2">
        <v>53</v>
      </c>
      <c r="EF617" s="2">
        <v>0</v>
      </c>
      <c r="EG617" s="2">
        <v>4.4999999999999998E-2</v>
      </c>
      <c r="ES617">
        <v>139</v>
      </c>
      <c r="ET617">
        <v>53</v>
      </c>
      <c r="EU617">
        <v>0</v>
      </c>
      <c r="EV617">
        <v>4.4999999999999998E-2</v>
      </c>
    </row>
    <row r="618" spans="14:152" x14ac:dyDescent="0.4">
      <c r="N618" s="89">
        <v>131</v>
      </c>
      <c r="O618" s="2">
        <v>53</v>
      </c>
      <c r="P618" s="2">
        <v>0</v>
      </c>
      <c r="Q618" s="2">
        <v>5.7000000000000002E-2</v>
      </c>
      <c r="Z618" s="89">
        <v>133</v>
      </c>
      <c r="AA618" s="2">
        <v>53</v>
      </c>
      <c r="AB618" s="2">
        <v>1</v>
      </c>
      <c r="AC618" s="2">
        <v>1.7250000000000001E-2</v>
      </c>
      <c r="AL618" s="89">
        <v>128</v>
      </c>
      <c r="AM618" s="2">
        <v>52</v>
      </c>
      <c r="AN618" s="2">
        <v>0</v>
      </c>
      <c r="AO618" s="2">
        <v>0.16083500000000001</v>
      </c>
      <c r="AX618" s="89">
        <v>133</v>
      </c>
      <c r="AY618" s="2">
        <v>54</v>
      </c>
      <c r="AZ618" s="2">
        <v>0</v>
      </c>
      <c r="BA618" s="2">
        <v>2.6662029999999999</v>
      </c>
      <c r="BJ618" s="89">
        <v>132</v>
      </c>
      <c r="BK618" s="2">
        <v>54</v>
      </c>
      <c r="BL618" s="2">
        <v>0</v>
      </c>
      <c r="BM618" s="2">
        <v>2.782454</v>
      </c>
      <c r="BV618" s="89">
        <v>126</v>
      </c>
      <c r="BW618" s="2">
        <v>54</v>
      </c>
      <c r="BX618" s="2">
        <v>0</v>
      </c>
      <c r="BY618" s="2">
        <v>8.3030010000000008E-3</v>
      </c>
      <c r="CH618" s="89">
        <v>138</v>
      </c>
      <c r="CI618" s="2">
        <v>53</v>
      </c>
      <c r="CJ618" s="2">
        <v>0</v>
      </c>
      <c r="CK618" s="2">
        <v>2.7E-2</v>
      </c>
      <c r="CT618" s="89">
        <v>137</v>
      </c>
      <c r="CU618" s="2">
        <v>52</v>
      </c>
      <c r="CV618" s="2">
        <v>0</v>
      </c>
      <c r="CW618" s="2">
        <v>1.651E-2</v>
      </c>
      <c r="DF618" s="89">
        <v>137</v>
      </c>
      <c r="DG618" s="2">
        <v>53</v>
      </c>
      <c r="DH618" s="2">
        <v>0</v>
      </c>
      <c r="DI618" s="2">
        <v>1.1161829999999999</v>
      </c>
      <c r="DR618" s="89">
        <v>128</v>
      </c>
      <c r="DS618" s="2">
        <v>52</v>
      </c>
      <c r="DT618" s="2">
        <v>0</v>
      </c>
      <c r="DU618" s="2">
        <v>0.484176</v>
      </c>
      <c r="ED618" s="89">
        <v>140</v>
      </c>
      <c r="EE618" s="2">
        <v>53</v>
      </c>
      <c r="EF618" s="2">
        <v>0</v>
      </c>
      <c r="EG618" s="2">
        <v>1.4999999999999999E-2</v>
      </c>
      <c r="ES618">
        <v>140</v>
      </c>
      <c r="ET618">
        <v>53</v>
      </c>
      <c r="EU618">
        <v>0</v>
      </c>
      <c r="EV618">
        <v>1.4999999999999999E-2</v>
      </c>
    </row>
    <row r="619" spans="14:152" x14ac:dyDescent="0.4">
      <c r="N619" s="89">
        <v>132</v>
      </c>
      <c r="O619" s="2">
        <v>53</v>
      </c>
      <c r="P619" s="2">
        <v>0</v>
      </c>
      <c r="Q619" s="2">
        <v>2.606E-2</v>
      </c>
      <c r="Z619" s="89">
        <v>134</v>
      </c>
      <c r="AA619" s="2">
        <v>53</v>
      </c>
      <c r="AB619" s="2">
        <v>0</v>
      </c>
      <c r="AC619" s="2">
        <v>6.9080000000000001E-3</v>
      </c>
      <c r="AL619" s="89">
        <v>129</v>
      </c>
      <c r="AM619" s="2">
        <v>52</v>
      </c>
      <c r="AN619" s="2">
        <v>0</v>
      </c>
      <c r="AO619" s="2">
        <v>4.7530549999999998E-2</v>
      </c>
      <c r="AX619" s="89">
        <v>133</v>
      </c>
      <c r="AY619" s="2">
        <v>54</v>
      </c>
      <c r="AZ619" s="2">
        <v>1</v>
      </c>
      <c r="BA619" s="2">
        <v>0.44330829999999999</v>
      </c>
      <c r="BJ619" s="89">
        <v>132</v>
      </c>
      <c r="BK619" s="2">
        <v>54</v>
      </c>
      <c r="BL619" s="2">
        <v>1</v>
      </c>
      <c r="BM619" s="2">
        <v>0.42345729999999998</v>
      </c>
      <c r="BV619" s="89">
        <v>127</v>
      </c>
      <c r="BW619" s="2">
        <v>54</v>
      </c>
      <c r="BX619" s="2">
        <v>0</v>
      </c>
      <c r="BY619" s="2">
        <v>5.0000000000000001E-3</v>
      </c>
      <c r="CH619" s="89">
        <v>139</v>
      </c>
      <c r="CI619" s="2">
        <v>53</v>
      </c>
      <c r="CJ619" s="2">
        <v>0</v>
      </c>
      <c r="CK619" s="2">
        <v>5.0000000000000001E-3</v>
      </c>
      <c r="CT619" s="89">
        <v>138</v>
      </c>
      <c r="CU619" s="2">
        <v>52</v>
      </c>
      <c r="CV619" s="2">
        <v>0</v>
      </c>
      <c r="CW619" s="2">
        <v>4.0000000000000001E-3</v>
      </c>
      <c r="DF619" s="89">
        <v>138</v>
      </c>
      <c r="DG619" s="2">
        <v>53</v>
      </c>
      <c r="DH619" s="2">
        <v>0</v>
      </c>
      <c r="DI619" s="2">
        <v>0.54384200000000005</v>
      </c>
      <c r="DR619" s="89">
        <v>129</v>
      </c>
      <c r="DS619" s="2">
        <v>52</v>
      </c>
      <c r="DT619" s="2">
        <v>0</v>
      </c>
      <c r="DU619" s="2">
        <v>0.2003104</v>
      </c>
      <c r="ED619" s="89">
        <v>141</v>
      </c>
      <c r="EE619" s="2">
        <v>53</v>
      </c>
      <c r="EF619" s="2">
        <v>0</v>
      </c>
      <c r="EG619" s="2">
        <v>2E-3</v>
      </c>
      <c r="ES619">
        <v>141</v>
      </c>
      <c r="ET619">
        <v>53</v>
      </c>
      <c r="EU619">
        <v>0</v>
      </c>
      <c r="EV619">
        <v>2E-3</v>
      </c>
    </row>
    <row r="620" spans="14:152" x14ac:dyDescent="0.4">
      <c r="N620" s="89">
        <v>132</v>
      </c>
      <c r="O620" s="2">
        <v>53</v>
      </c>
      <c r="P620" s="2">
        <v>1</v>
      </c>
      <c r="Q620" s="2">
        <v>2.1000000000000001E-2</v>
      </c>
      <c r="Z620" s="89">
        <v>134</v>
      </c>
      <c r="AA620" s="2">
        <v>53</v>
      </c>
      <c r="AB620" s="2">
        <v>1</v>
      </c>
      <c r="AC620" s="2">
        <v>4.0000000000000001E-3</v>
      </c>
      <c r="AL620" s="89">
        <v>129</v>
      </c>
      <c r="AM620" s="2">
        <v>52</v>
      </c>
      <c r="AN620" s="2">
        <v>1</v>
      </c>
      <c r="AO620" s="2">
        <v>5.2620130000000001E-2</v>
      </c>
      <c r="AX620" s="89">
        <v>134</v>
      </c>
      <c r="AY620" s="2">
        <v>54</v>
      </c>
      <c r="AZ620" s="2">
        <v>0</v>
      </c>
      <c r="BA620" s="2">
        <v>2.468216</v>
      </c>
      <c r="BJ620" s="89">
        <v>133</v>
      </c>
      <c r="BK620" s="2">
        <v>54</v>
      </c>
      <c r="BL620" s="2">
        <v>0</v>
      </c>
      <c r="BM620" s="2">
        <v>2.4430209999999999</v>
      </c>
      <c r="BV620" s="89">
        <v>127</v>
      </c>
      <c r="BW620" s="2">
        <v>54</v>
      </c>
      <c r="BX620" s="2">
        <v>1</v>
      </c>
      <c r="BY620" s="2">
        <v>3.0000000000000001E-3</v>
      </c>
      <c r="CH620" s="89">
        <v>140</v>
      </c>
      <c r="CI620" s="2">
        <v>53</v>
      </c>
      <c r="CJ620" s="2">
        <v>0</v>
      </c>
      <c r="CK620" s="2">
        <v>4.0000000000000001E-3</v>
      </c>
      <c r="CT620" s="89">
        <v>139</v>
      </c>
      <c r="CU620" s="2">
        <v>52</v>
      </c>
      <c r="CV620" s="2">
        <v>0</v>
      </c>
      <c r="CW620" s="2">
        <v>1E-3</v>
      </c>
      <c r="DF620" s="89">
        <v>139</v>
      </c>
      <c r="DG620" s="2">
        <v>53</v>
      </c>
      <c r="DH620" s="2">
        <v>0</v>
      </c>
      <c r="DI620" s="2">
        <v>0.253</v>
      </c>
      <c r="DR620" s="89">
        <v>129</v>
      </c>
      <c r="DS620" s="2">
        <v>52</v>
      </c>
      <c r="DT620" s="2">
        <v>1</v>
      </c>
      <c r="DU620" s="2">
        <v>0.23159370000000001</v>
      </c>
      <c r="ED620" s="89">
        <v>126</v>
      </c>
      <c r="EE620" s="2">
        <v>54</v>
      </c>
      <c r="EF620" s="2">
        <v>0</v>
      </c>
      <c r="EG620" s="2">
        <v>3.3648999999999998E-2</v>
      </c>
      <c r="ES620">
        <v>126</v>
      </c>
      <c r="ET620">
        <v>54</v>
      </c>
      <c r="EU620">
        <v>0</v>
      </c>
      <c r="EV620">
        <v>3.3648999999999998E-2</v>
      </c>
    </row>
    <row r="621" spans="14:152" x14ac:dyDescent="0.4">
      <c r="N621" s="89">
        <v>133</v>
      </c>
      <c r="O621" s="2">
        <v>53</v>
      </c>
      <c r="P621" s="2">
        <v>0</v>
      </c>
      <c r="Q621" s="2">
        <v>8.0000000000000002E-3</v>
      </c>
      <c r="Z621" s="89">
        <v>135</v>
      </c>
      <c r="AA621" s="2">
        <v>53</v>
      </c>
      <c r="AB621" s="2">
        <v>0</v>
      </c>
      <c r="AC621" s="2">
        <v>5.0000000000000001E-3</v>
      </c>
      <c r="AL621" s="89">
        <v>130</v>
      </c>
      <c r="AM621" s="2">
        <v>52</v>
      </c>
      <c r="AN621" s="2">
        <v>0</v>
      </c>
      <c r="AO621" s="2">
        <v>2.8000000000000001E-2</v>
      </c>
      <c r="AX621" s="89">
        <v>134</v>
      </c>
      <c r="AY621" s="2">
        <v>54</v>
      </c>
      <c r="AZ621" s="2">
        <v>1</v>
      </c>
      <c r="BA621" s="2">
        <v>0.43453809999999998</v>
      </c>
      <c r="BJ621" s="89">
        <v>133</v>
      </c>
      <c r="BK621" s="2">
        <v>54</v>
      </c>
      <c r="BL621" s="2">
        <v>1</v>
      </c>
      <c r="BM621" s="2">
        <v>0.77010140000000005</v>
      </c>
      <c r="BV621" s="89">
        <v>128</v>
      </c>
      <c r="BW621" s="2">
        <v>54</v>
      </c>
      <c r="BX621" s="2">
        <v>0</v>
      </c>
      <c r="BY621" s="2">
        <v>0.208372</v>
      </c>
      <c r="CH621" s="89">
        <v>125</v>
      </c>
      <c r="CI621" s="2">
        <v>54</v>
      </c>
      <c r="CJ621" s="2">
        <v>0</v>
      </c>
      <c r="CK621" s="2">
        <v>1E-3</v>
      </c>
      <c r="CT621" s="89">
        <v>122</v>
      </c>
      <c r="CU621" s="2">
        <v>53</v>
      </c>
      <c r="CV621" s="2">
        <v>0</v>
      </c>
      <c r="CW621" s="2">
        <v>1E-3</v>
      </c>
      <c r="DF621" s="89">
        <v>140</v>
      </c>
      <c r="DG621" s="2">
        <v>53</v>
      </c>
      <c r="DH621" s="2">
        <v>0</v>
      </c>
      <c r="DI621" s="2">
        <v>0.128</v>
      </c>
      <c r="DR621" s="89">
        <v>130</v>
      </c>
      <c r="DS621" s="2">
        <v>52</v>
      </c>
      <c r="DT621" s="2">
        <v>0</v>
      </c>
      <c r="DU621" s="2">
        <v>0.16200000000000001</v>
      </c>
      <c r="ED621" s="89">
        <v>127</v>
      </c>
      <c r="EE621" s="2">
        <v>54</v>
      </c>
      <c r="EF621" s="2">
        <v>0</v>
      </c>
      <c r="EG621" s="2">
        <v>8.0000000000000002E-3</v>
      </c>
      <c r="ES621">
        <v>127</v>
      </c>
      <c r="ET621">
        <v>54</v>
      </c>
      <c r="EU621">
        <v>0</v>
      </c>
      <c r="EV621">
        <v>8.0000000000000002E-3</v>
      </c>
    </row>
    <row r="622" spans="14:152" x14ac:dyDescent="0.4">
      <c r="N622" s="89">
        <v>133</v>
      </c>
      <c r="O622" s="2">
        <v>53</v>
      </c>
      <c r="P622" s="2">
        <v>1</v>
      </c>
      <c r="Q622" s="2">
        <v>4.0000000000000001E-3</v>
      </c>
      <c r="Z622" s="89">
        <v>136</v>
      </c>
      <c r="AA622" s="2">
        <v>53</v>
      </c>
      <c r="AB622" s="2">
        <v>1</v>
      </c>
      <c r="AC622" s="2">
        <v>2E-3</v>
      </c>
      <c r="AL622" s="89">
        <v>131</v>
      </c>
      <c r="AM622" s="2">
        <v>52</v>
      </c>
      <c r="AN622" s="2">
        <v>0</v>
      </c>
      <c r="AO622" s="2">
        <v>5.2521060000000003E-3</v>
      </c>
      <c r="AX622" s="89">
        <v>135</v>
      </c>
      <c r="AY622" s="2">
        <v>54</v>
      </c>
      <c r="AZ622" s="2">
        <v>0</v>
      </c>
      <c r="BA622" s="2">
        <v>2.2829130000000002</v>
      </c>
      <c r="BJ622" s="89">
        <v>134</v>
      </c>
      <c r="BK622" s="2">
        <v>54</v>
      </c>
      <c r="BL622" s="2">
        <v>0</v>
      </c>
      <c r="BM622" s="2">
        <v>2.0812360000000001</v>
      </c>
      <c r="BV622" s="89">
        <v>129</v>
      </c>
      <c r="BW622" s="2">
        <v>54</v>
      </c>
      <c r="BX622" s="2">
        <v>0</v>
      </c>
      <c r="BY622" s="2">
        <v>0.04</v>
      </c>
      <c r="CH622" s="89">
        <v>125</v>
      </c>
      <c r="CI622" s="2">
        <v>54</v>
      </c>
      <c r="CJ622" s="2">
        <v>1</v>
      </c>
      <c r="CK622" s="2">
        <v>1E-3</v>
      </c>
      <c r="CT622" s="89">
        <v>123</v>
      </c>
      <c r="CU622" s="2">
        <v>53</v>
      </c>
      <c r="CV622" s="2">
        <v>0</v>
      </c>
      <c r="CW622" s="2">
        <v>4.0000000000000001E-3</v>
      </c>
      <c r="DF622" s="89">
        <v>141</v>
      </c>
      <c r="DG622" s="2">
        <v>53</v>
      </c>
      <c r="DH622" s="2">
        <v>0</v>
      </c>
      <c r="DI622" s="2">
        <v>3.6999999999999998E-2</v>
      </c>
      <c r="DR622" s="89">
        <v>131</v>
      </c>
      <c r="DS622" s="2">
        <v>52</v>
      </c>
      <c r="DT622" s="2">
        <v>0</v>
      </c>
      <c r="DU622" s="2">
        <v>3.5492740000000002E-2</v>
      </c>
      <c r="ED622" s="89">
        <v>127</v>
      </c>
      <c r="EE622" s="2">
        <v>54</v>
      </c>
      <c r="EF622" s="2">
        <v>1</v>
      </c>
      <c r="EG622" s="2">
        <v>7.0000000000000001E-3</v>
      </c>
      <c r="ES622">
        <v>127</v>
      </c>
      <c r="ET622">
        <v>54</v>
      </c>
      <c r="EU622">
        <v>1</v>
      </c>
      <c r="EV622">
        <v>7.0000000000000001E-3</v>
      </c>
    </row>
    <row r="623" spans="14:152" x14ac:dyDescent="0.4">
      <c r="N623" s="89">
        <v>135</v>
      </c>
      <c r="O623" s="2">
        <v>53</v>
      </c>
      <c r="P623" s="2">
        <v>0</v>
      </c>
      <c r="Q623" s="2">
        <v>2E-3</v>
      </c>
      <c r="Z623" s="89">
        <v>137</v>
      </c>
      <c r="AA623" s="2">
        <v>53</v>
      </c>
      <c r="AB623" s="2">
        <v>0</v>
      </c>
      <c r="AC623" s="2">
        <v>1E-3</v>
      </c>
      <c r="AL623" s="89">
        <v>131</v>
      </c>
      <c r="AM623" s="2">
        <v>52</v>
      </c>
      <c r="AN623" s="2">
        <v>1</v>
      </c>
      <c r="AO623" s="2">
        <v>8.5416390000000002E-3</v>
      </c>
      <c r="AX623" s="89">
        <v>135</v>
      </c>
      <c r="AY623" s="2">
        <v>54</v>
      </c>
      <c r="AZ623" s="2">
        <v>1</v>
      </c>
      <c r="BA623" s="2">
        <v>0.92708279999999998</v>
      </c>
      <c r="BJ623" s="89">
        <v>134</v>
      </c>
      <c r="BK623" s="2">
        <v>54</v>
      </c>
      <c r="BL623" s="2">
        <v>1</v>
      </c>
      <c r="BM623" s="2">
        <v>0.66884770000000004</v>
      </c>
      <c r="BV623" s="89">
        <v>129</v>
      </c>
      <c r="BW623" s="2">
        <v>54</v>
      </c>
      <c r="BX623" s="2">
        <v>1</v>
      </c>
      <c r="BY623" s="2">
        <v>3.3170730000000002E-2</v>
      </c>
      <c r="CH623" s="89">
        <v>126</v>
      </c>
      <c r="CI623" s="2">
        <v>54</v>
      </c>
      <c r="CJ623" s="2">
        <v>0</v>
      </c>
      <c r="CK623" s="2">
        <v>0.126998</v>
      </c>
      <c r="CT623" s="89">
        <v>124</v>
      </c>
      <c r="CU623" s="2">
        <v>53</v>
      </c>
      <c r="CV623" s="2">
        <v>0</v>
      </c>
      <c r="CW623" s="2">
        <v>1.4E-2</v>
      </c>
      <c r="DF623" s="89">
        <v>142</v>
      </c>
      <c r="DG623" s="2">
        <v>53</v>
      </c>
      <c r="DH623" s="2">
        <v>0</v>
      </c>
      <c r="DI623" s="2">
        <v>0.01</v>
      </c>
      <c r="DR623" s="89">
        <v>131</v>
      </c>
      <c r="DS623" s="2">
        <v>52</v>
      </c>
      <c r="DT623" s="2">
        <v>1</v>
      </c>
      <c r="DU623" s="2">
        <v>5.7604130000000003E-2</v>
      </c>
      <c r="ED623" s="89">
        <v>128</v>
      </c>
      <c r="EE623" s="2">
        <v>54</v>
      </c>
      <c r="EF623" s="2">
        <v>0</v>
      </c>
      <c r="EG623" s="2">
        <v>0.48467300000000002</v>
      </c>
      <c r="ES623">
        <v>128</v>
      </c>
      <c r="ET623">
        <v>54</v>
      </c>
      <c r="EU623">
        <v>0</v>
      </c>
      <c r="EV623">
        <v>0.48467300000000002</v>
      </c>
    </row>
    <row r="624" spans="14:152" x14ac:dyDescent="0.4">
      <c r="N624" s="89">
        <v>136</v>
      </c>
      <c r="O624" s="2">
        <v>53</v>
      </c>
      <c r="P624" s="2">
        <v>1</v>
      </c>
      <c r="Q624" s="2">
        <v>1E-3</v>
      </c>
      <c r="Z624" s="89">
        <v>125</v>
      </c>
      <c r="AA624" s="2">
        <v>54</v>
      </c>
      <c r="AB624" s="2">
        <v>0</v>
      </c>
      <c r="AC624" s="2">
        <v>1E-3</v>
      </c>
      <c r="AL624" s="89">
        <v>132</v>
      </c>
      <c r="AM624" s="2">
        <v>52</v>
      </c>
      <c r="AN624" s="2">
        <v>0</v>
      </c>
      <c r="AO624" s="2">
        <v>2E-3</v>
      </c>
      <c r="AX624" s="89">
        <v>136</v>
      </c>
      <c r="AY624" s="2">
        <v>54</v>
      </c>
      <c r="AZ624" s="2">
        <v>0</v>
      </c>
      <c r="BA624" s="2">
        <v>1.824883</v>
      </c>
      <c r="BJ624" s="89">
        <v>135</v>
      </c>
      <c r="BK624" s="2">
        <v>54</v>
      </c>
      <c r="BL624" s="2">
        <v>0</v>
      </c>
      <c r="BM624" s="2">
        <v>1.6617440000000001</v>
      </c>
      <c r="BV624" s="89">
        <v>130</v>
      </c>
      <c r="BW624" s="2">
        <v>54</v>
      </c>
      <c r="BX624" s="2">
        <v>0</v>
      </c>
      <c r="BY624" s="2">
        <v>0.86998410000000004</v>
      </c>
      <c r="CH624" s="89">
        <v>127</v>
      </c>
      <c r="CI624" s="2">
        <v>54</v>
      </c>
      <c r="CJ624" s="2">
        <v>0</v>
      </c>
      <c r="CK624" s="2">
        <v>4.4999999999999998E-2</v>
      </c>
      <c r="CT624" s="89">
        <v>125</v>
      </c>
      <c r="CU624" s="2">
        <v>53</v>
      </c>
      <c r="CV624" s="2">
        <v>0</v>
      </c>
      <c r="CW624" s="2">
        <v>6.5000009999999997E-2</v>
      </c>
      <c r="DF624" s="89">
        <v>143</v>
      </c>
      <c r="DG624" s="2">
        <v>53</v>
      </c>
      <c r="DH624" s="2">
        <v>0</v>
      </c>
      <c r="DI624" s="2">
        <v>4.0000000000000001E-3</v>
      </c>
      <c r="DR624" s="89">
        <v>132</v>
      </c>
      <c r="DS624" s="2">
        <v>52</v>
      </c>
      <c r="DT624" s="2">
        <v>0</v>
      </c>
      <c r="DU624" s="2">
        <v>3.5999999999999997E-2</v>
      </c>
      <c r="ED624" s="89">
        <v>129</v>
      </c>
      <c r="EE624" s="2">
        <v>54</v>
      </c>
      <c r="EF624" s="2">
        <v>0</v>
      </c>
      <c r="EG624" s="2">
        <v>0.10199999999999999</v>
      </c>
      <c r="ES624">
        <v>129</v>
      </c>
      <c r="ET624">
        <v>54</v>
      </c>
      <c r="EU624">
        <v>0</v>
      </c>
      <c r="EV624">
        <v>0.10199999999999999</v>
      </c>
    </row>
    <row r="625" spans="14:152" x14ac:dyDescent="0.4">
      <c r="N625" s="89">
        <v>125</v>
      </c>
      <c r="O625" s="2">
        <v>54</v>
      </c>
      <c r="P625" s="2">
        <v>0</v>
      </c>
      <c r="Q625" s="2">
        <v>2E-3</v>
      </c>
      <c r="Z625" s="89">
        <v>125</v>
      </c>
      <c r="AA625" s="2">
        <v>54</v>
      </c>
      <c r="AB625" s="2">
        <v>1</v>
      </c>
      <c r="AC625" s="2">
        <v>1E-3</v>
      </c>
      <c r="AL625" s="89">
        <v>133</v>
      </c>
      <c r="AM625" s="2">
        <v>52</v>
      </c>
      <c r="AN625" s="2">
        <v>0</v>
      </c>
      <c r="AO625" s="2">
        <v>1.75E-4</v>
      </c>
      <c r="AX625" s="89">
        <v>137</v>
      </c>
      <c r="AY625" s="2">
        <v>54</v>
      </c>
      <c r="AZ625" s="2">
        <v>0</v>
      </c>
      <c r="BA625" s="2">
        <v>1.116592</v>
      </c>
      <c r="BJ625" s="89">
        <v>135</v>
      </c>
      <c r="BK625" s="2">
        <v>54</v>
      </c>
      <c r="BL625" s="2">
        <v>1</v>
      </c>
      <c r="BM625" s="2">
        <v>0.84323110000000001</v>
      </c>
      <c r="BV625" s="89">
        <v>131</v>
      </c>
      <c r="BW625" s="2">
        <v>54</v>
      </c>
      <c r="BX625" s="2">
        <v>0</v>
      </c>
      <c r="BY625" s="2">
        <v>3.3819650000000001</v>
      </c>
      <c r="CH625" s="89">
        <v>127</v>
      </c>
      <c r="CI625" s="2">
        <v>54</v>
      </c>
      <c r="CJ625" s="2">
        <v>1</v>
      </c>
      <c r="CK625" s="2">
        <v>3.9E-2</v>
      </c>
      <c r="CT625" s="89">
        <v>126</v>
      </c>
      <c r="CU625" s="2">
        <v>53</v>
      </c>
      <c r="CV625" s="2">
        <v>0</v>
      </c>
      <c r="CW625" s="2">
        <v>0.183</v>
      </c>
      <c r="DF625" s="89">
        <v>126</v>
      </c>
      <c r="DG625" s="2">
        <v>54</v>
      </c>
      <c r="DH625" s="2">
        <v>0</v>
      </c>
      <c r="DI625" s="2">
        <v>1.3110000000000001E-3</v>
      </c>
      <c r="DR625" s="89">
        <v>133</v>
      </c>
      <c r="DS625" s="2">
        <v>52</v>
      </c>
      <c r="DT625" s="2">
        <v>0</v>
      </c>
      <c r="DU625" s="2">
        <v>4.8153029999999999E-3</v>
      </c>
      <c r="ED625" s="89">
        <v>129</v>
      </c>
      <c r="EE625" s="2">
        <v>54</v>
      </c>
      <c r="EF625" s="2">
        <v>1</v>
      </c>
      <c r="EG625" s="2">
        <v>8.3300009999999994E-2</v>
      </c>
      <c r="ES625">
        <v>129</v>
      </c>
      <c r="ET625">
        <v>54</v>
      </c>
      <c r="EU625">
        <v>1</v>
      </c>
      <c r="EV625">
        <v>8.3300009999999994E-2</v>
      </c>
    </row>
    <row r="626" spans="14:152" x14ac:dyDescent="0.4">
      <c r="N626" s="89">
        <v>125</v>
      </c>
      <c r="O626" s="2">
        <v>54</v>
      </c>
      <c r="P626" s="2">
        <v>1</v>
      </c>
      <c r="Q626" s="2">
        <v>2E-3</v>
      </c>
      <c r="Z626" s="89">
        <v>126</v>
      </c>
      <c r="AA626" s="2">
        <v>54</v>
      </c>
      <c r="AB626" s="2">
        <v>0</v>
      </c>
      <c r="AC626" s="2">
        <v>4.9389000000000002E-2</v>
      </c>
      <c r="AL626" s="89">
        <v>133</v>
      </c>
      <c r="AM626" s="2">
        <v>52</v>
      </c>
      <c r="AN626" s="2">
        <v>1</v>
      </c>
      <c r="AO626" s="2">
        <v>1E-3</v>
      </c>
      <c r="AX626" s="89">
        <v>138</v>
      </c>
      <c r="AY626" s="2">
        <v>54</v>
      </c>
      <c r="AZ626" s="2">
        <v>0</v>
      </c>
      <c r="BA626" s="2">
        <v>0.75682240000000001</v>
      </c>
      <c r="BJ626" s="89">
        <v>136</v>
      </c>
      <c r="BK626" s="2">
        <v>54</v>
      </c>
      <c r="BL626" s="2">
        <v>0</v>
      </c>
      <c r="BM626" s="2">
        <v>1.2529779999999999</v>
      </c>
      <c r="BV626" s="89">
        <v>131</v>
      </c>
      <c r="BW626" s="2">
        <v>54</v>
      </c>
      <c r="BX626" s="2">
        <v>1</v>
      </c>
      <c r="BY626" s="2">
        <v>0.28302260000000001</v>
      </c>
      <c r="CH626" s="89">
        <v>128</v>
      </c>
      <c r="CI626" s="2">
        <v>54</v>
      </c>
      <c r="CJ626" s="2">
        <v>0</v>
      </c>
      <c r="CK626" s="2">
        <v>1.0041420000000001</v>
      </c>
      <c r="CT626" s="89">
        <v>127</v>
      </c>
      <c r="CU626" s="2">
        <v>53</v>
      </c>
      <c r="CV626" s="2">
        <v>0</v>
      </c>
      <c r="CW626" s="2">
        <v>3.6959379999999999</v>
      </c>
      <c r="DF626" s="89">
        <v>128</v>
      </c>
      <c r="DG626" s="2">
        <v>54</v>
      </c>
      <c r="DH626" s="2">
        <v>0</v>
      </c>
      <c r="DI626" s="2">
        <v>3.2585000000000003E-2</v>
      </c>
      <c r="DR626" s="89">
        <v>133</v>
      </c>
      <c r="DS626" s="2">
        <v>52</v>
      </c>
      <c r="DT626" s="2">
        <v>1</v>
      </c>
      <c r="DU626" s="2">
        <v>1.2346299999999999E-2</v>
      </c>
      <c r="ED626" s="89">
        <v>130</v>
      </c>
      <c r="EE626" s="2">
        <v>54</v>
      </c>
      <c r="EF626" s="2">
        <v>0</v>
      </c>
      <c r="EG626" s="2">
        <v>1.421745</v>
      </c>
      <c r="ES626">
        <v>130</v>
      </c>
      <c r="ET626">
        <v>54</v>
      </c>
      <c r="EU626">
        <v>0</v>
      </c>
      <c r="EV626">
        <v>1.421745</v>
      </c>
    </row>
    <row r="627" spans="14:152" x14ac:dyDescent="0.4">
      <c r="N627" s="89">
        <v>126</v>
      </c>
      <c r="O627" s="2">
        <v>54</v>
      </c>
      <c r="P627" s="2">
        <v>0</v>
      </c>
      <c r="Q627" s="2">
        <v>6.0935999999999997E-2</v>
      </c>
      <c r="Z627" s="89">
        <v>127</v>
      </c>
      <c r="AA627" s="2">
        <v>54</v>
      </c>
      <c r="AB627" s="2">
        <v>0</v>
      </c>
      <c r="AC627" s="2">
        <v>1.2999999999999999E-2</v>
      </c>
      <c r="AL627" s="89">
        <v>120</v>
      </c>
      <c r="AM627" s="2">
        <v>53</v>
      </c>
      <c r="AN627" s="2">
        <v>1</v>
      </c>
      <c r="AO627" s="2">
        <v>1E-3</v>
      </c>
      <c r="AX627" s="89">
        <v>139</v>
      </c>
      <c r="AY627" s="2">
        <v>54</v>
      </c>
      <c r="AZ627" s="2">
        <v>0</v>
      </c>
      <c r="BA627" s="2">
        <v>0.42795499999999997</v>
      </c>
      <c r="BJ627" s="89">
        <v>137</v>
      </c>
      <c r="BK627" s="2">
        <v>54</v>
      </c>
      <c r="BL627" s="2">
        <v>0</v>
      </c>
      <c r="BM627" s="2">
        <v>0.68079909999999999</v>
      </c>
      <c r="BV627" s="89">
        <v>132</v>
      </c>
      <c r="BW627" s="2">
        <v>54</v>
      </c>
      <c r="BX627" s="2">
        <v>0</v>
      </c>
      <c r="BY627" s="2">
        <v>3.5633699999999999</v>
      </c>
      <c r="CH627" s="89">
        <v>129</v>
      </c>
      <c r="CI627" s="2">
        <v>54</v>
      </c>
      <c r="CJ627" s="2">
        <v>0</v>
      </c>
      <c r="CK627" s="2">
        <v>0.36799999999999999</v>
      </c>
      <c r="CT627" s="89">
        <v>128</v>
      </c>
      <c r="CU627" s="2">
        <v>53</v>
      </c>
      <c r="CV627" s="2">
        <v>0</v>
      </c>
      <c r="CW627" s="2">
        <v>0.74299999999999999</v>
      </c>
      <c r="DF627" s="89">
        <v>129</v>
      </c>
      <c r="DG627" s="2">
        <v>54</v>
      </c>
      <c r="DH627" s="2">
        <v>0</v>
      </c>
      <c r="DI627" s="2">
        <v>3.0000000000000001E-3</v>
      </c>
      <c r="DR627" s="89">
        <v>134</v>
      </c>
      <c r="DS627" s="2">
        <v>52</v>
      </c>
      <c r="DT627" s="2">
        <v>0</v>
      </c>
      <c r="DU627" s="2">
        <v>4.0017999999999998E-3</v>
      </c>
      <c r="ED627" s="89">
        <v>131</v>
      </c>
      <c r="EE627" s="2">
        <v>54</v>
      </c>
      <c r="EF627" s="2">
        <v>0</v>
      </c>
      <c r="EG627" s="2">
        <v>3.3670010000000001</v>
      </c>
      <c r="ES627">
        <v>131</v>
      </c>
      <c r="ET627">
        <v>54</v>
      </c>
      <c r="EU627">
        <v>0</v>
      </c>
      <c r="EV627">
        <v>3.3670010000000001</v>
      </c>
    </row>
    <row r="628" spans="14:152" x14ac:dyDescent="0.4">
      <c r="N628" s="89">
        <v>127</v>
      </c>
      <c r="O628" s="2">
        <v>54</v>
      </c>
      <c r="P628" s="2">
        <v>0</v>
      </c>
      <c r="Q628" s="2">
        <v>3.5000000000000003E-2</v>
      </c>
      <c r="Z628" s="89">
        <v>127</v>
      </c>
      <c r="AA628" s="2">
        <v>54</v>
      </c>
      <c r="AB628" s="2">
        <v>1</v>
      </c>
      <c r="AC628" s="2">
        <v>1.2E-2</v>
      </c>
      <c r="AL628" s="89">
        <v>122</v>
      </c>
      <c r="AM628" s="2">
        <v>53</v>
      </c>
      <c r="AN628" s="2">
        <v>0</v>
      </c>
      <c r="AO628" s="2">
        <v>7.0000000000000001E-3</v>
      </c>
      <c r="AX628" s="89">
        <v>140</v>
      </c>
      <c r="AY628" s="2">
        <v>54</v>
      </c>
      <c r="AZ628" s="2">
        <v>0</v>
      </c>
      <c r="BA628" s="2">
        <v>0.20230899999999999</v>
      </c>
      <c r="BJ628" s="89">
        <v>138</v>
      </c>
      <c r="BK628" s="2">
        <v>54</v>
      </c>
      <c r="BL628" s="2">
        <v>0</v>
      </c>
      <c r="BM628" s="2">
        <v>0.37379200000000001</v>
      </c>
      <c r="BV628" s="89">
        <v>132</v>
      </c>
      <c r="BW628" s="2">
        <v>54</v>
      </c>
      <c r="BX628" s="2">
        <v>1</v>
      </c>
      <c r="BY628" s="2">
        <v>0.25525419999999999</v>
      </c>
      <c r="CH628" s="89">
        <v>129</v>
      </c>
      <c r="CI628" s="2">
        <v>54</v>
      </c>
      <c r="CJ628" s="2">
        <v>1</v>
      </c>
      <c r="CK628" s="2">
        <v>0.30550939999999999</v>
      </c>
      <c r="CT628" s="89">
        <v>129</v>
      </c>
      <c r="CU628" s="2">
        <v>53</v>
      </c>
      <c r="CV628" s="2">
        <v>0</v>
      </c>
      <c r="CW628" s="2">
        <v>3.5309979999999999</v>
      </c>
      <c r="DF628" s="89">
        <v>129</v>
      </c>
      <c r="DG628" s="2">
        <v>54</v>
      </c>
      <c r="DH628" s="2">
        <v>1</v>
      </c>
      <c r="DI628" s="2">
        <v>2E-3</v>
      </c>
      <c r="DR628" s="89">
        <v>135</v>
      </c>
      <c r="DS628" s="2">
        <v>52</v>
      </c>
      <c r="DT628" s="2">
        <v>0</v>
      </c>
      <c r="DU628" s="2">
        <v>1.63E-4</v>
      </c>
      <c r="ED628" s="89">
        <v>131</v>
      </c>
      <c r="EE628" s="2">
        <v>54</v>
      </c>
      <c r="EF628" s="2">
        <v>1</v>
      </c>
      <c r="EG628" s="2">
        <v>0.50190109999999999</v>
      </c>
      <c r="ES628">
        <v>131</v>
      </c>
      <c r="ET628">
        <v>54</v>
      </c>
      <c r="EU628">
        <v>1</v>
      </c>
      <c r="EV628">
        <v>0.50190109999999999</v>
      </c>
    </row>
    <row r="629" spans="14:152" x14ac:dyDescent="0.4">
      <c r="N629" s="89">
        <v>127</v>
      </c>
      <c r="O629" s="2">
        <v>54</v>
      </c>
      <c r="P629" s="2">
        <v>1</v>
      </c>
      <c r="Q629" s="2">
        <v>3.3000000000000002E-2</v>
      </c>
      <c r="Z629" s="89">
        <v>128</v>
      </c>
      <c r="AA629" s="2">
        <v>54</v>
      </c>
      <c r="AB629" s="2">
        <v>0</v>
      </c>
      <c r="AC629" s="2">
        <v>0.26333699999999999</v>
      </c>
      <c r="AL629" s="89">
        <v>123</v>
      </c>
      <c r="AM629" s="2">
        <v>53</v>
      </c>
      <c r="AN629" s="2">
        <v>0</v>
      </c>
      <c r="AO629" s="2">
        <v>2.8000000000000001E-2</v>
      </c>
      <c r="AX629" s="89">
        <v>141</v>
      </c>
      <c r="AY629" s="2">
        <v>54</v>
      </c>
      <c r="AZ629" s="2">
        <v>0</v>
      </c>
      <c r="BA629" s="2">
        <v>9.2109999999999997E-2</v>
      </c>
      <c r="BJ629" s="89">
        <v>139</v>
      </c>
      <c r="BK629" s="2">
        <v>54</v>
      </c>
      <c r="BL629" s="2">
        <v>0</v>
      </c>
      <c r="BM629" s="2">
        <v>0.191525</v>
      </c>
      <c r="BV629" s="89">
        <v>133</v>
      </c>
      <c r="BW629" s="2">
        <v>54</v>
      </c>
      <c r="BX629" s="2">
        <v>0</v>
      </c>
      <c r="BY629" s="2">
        <v>3.5691139999999999</v>
      </c>
      <c r="CH629" s="89">
        <v>130</v>
      </c>
      <c r="CI629" s="2">
        <v>54</v>
      </c>
      <c r="CJ629" s="2">
        <v>0</v>
      </c>
      <c r="CK629" s="2">
        <v>2.052994</v>
      </c>
      <c r="CT629" s="89">
        <v>130</v>
      </c>
      <c r="CU629" s="2">
        <v>53</v>
      </c>
      <c r="CV629" s="2">
        <v>0</v>
      </c>
      <c r="CW629" s="2">
        <v>1.351067</v>
      </c>
      <c r="DF629" s="89">
        <v>130</v>
      </c>
      <c r="DG629" s="2">
        <v>54</v>
      </c>
      <c r="DH629" s="2">
        <v>0</v>
      </c>
      <c r="DI629" s="2">
        <v>0.253</v>
      </c>
      <c r="DR629" s="89">
        <v>136</v>
      </c>
      <c r="DS629" s="2">
        <v>52</v>
      </c>
      <c r="DT629" s="2">
        <v>0</v>
      </c>
      <c r="DU629" s="2">
        <v>8.3420010000000004E-4</v>
      </c>
      <c r="ED629" s="89">
        <v>132</v>
      </c>
      <c r="EE629" s="2">
        <v>54</v>
      </c>
      <c r="EF629" s="2">
        <v>0</v>
      </c>
      <c r="EG629" s="2">
        <v>3.491876</v>
      </c>
      <c r="ES629">
        <v>132</v>
      </c>
      <c r="ET629">
        <v>54</v>
      </c>
      <c r="EU629">
        <v>0</v>
      </c>
      <c r="EV629">
        <v>3.491876</v>
      </c>
    </row>
    <row r="630" spans="14:152" x14ac:dyDescent="0.4">
      <c r="N630" s="89">
        <v>128</v>
      </c>
      <c r="O630" s="2">
        <v>54</v>
      </c>
      <c r="P630" s="2">
        <v>0</v>
      </c>
      <c r="Q630" s="2">
        <v>0.19337399999999999</v>
      </c>
      <c r="Z630" s="89">
        <v>129</v>
      </c>
      <c r="AA630" s="2">
        <v>54</v>
      </c>
      <c r="AB630" s="2">
        <v>0</v>
      </c>
      <c r="AC630" s="2">
        <v>9.9000009999999999E-2</v>
      </c>
      <c r="AL630" s="89">
        <v>124</v>
      </c>
      <c r="AM630" s="2">
        <v>53</v>
      </c>
      <c r="AN630" s="2">
        <v>0</v>
      </c>
      <c r="AO630" s="2">
        <v>6.5000009999999997E-2</v>
      </c>
      <c r="AX630" s="89">
        <v>142</v>
      </c>
      <c r="AY630" s="2">
        <v>54</v>
      </c>
      <c r="AZ630" s="2">
        <v>0</v>
      </c>
      <c r="BA630" s="2">
        <v>2.1000000000000001E-2</v>
      </c>
      <c r="BJ630" s="89">
        <v>140</v>
      </c>
      <c r="BK630" s="2">
        <v>54</v>
      </c>
      <c r="BL630" s="2">
        <v>0</v>
      </c>
      <c r="BM630" s="2">
        <v>8.7117E-2</v>
      </c>
      <c r="BV630" s="89">
        <v>133</v>
      </c>
      <c r="BW630" s="2">
        <v>54</v>
      </c>
      <c r="BX630" s="2">
        <v>1</v>
      </c>
      <c r="BY630" s="2">
        <v>0.69034249999999997</v>
      </c>
      <c r="CH630" s="89">
        <v>131</v>
      </c>
      <c r="CI630" s="2">
        <v>54</v>
      </c>
      <c r="CJ630" s="2">
        <v>0</v>
      </c>
      <c r="CK630" s="2">
        <v>3.5169999999999999</v>
      </c>
      <c r="CT630" s="89">
        <v>130</v>
      </c>
      <c r="CU630" s="2">
        <v>53</v>
      </c>
      <c r="CV630" s="2">
        <v>1</v>
      </c>
      <c r="CW630" s="2">
        <v>0.1058283</v>
      </c>
      <c r="DF630" s="89">
        <v>131</v>
      </c>
      <c r="DG630" s="2">
        <v>54</v>
      </c>
      <c r="DH630" s="2">
        <v>0</v>
      </c>
      <c r="DI630" s="2">
        <v>3.7778679999999998</v>
      </c>
      <c r="DR630" s="89">
        <v>124</v>
      </c>
      <c r="DS630" s="2">
        <v>53</v>
      </c>
      <c r="DT630" s="2">
        <v>0</v>
      </c>
      <c r="DU630" s="2">
        <v>1E-3</v>
      </c>
      <c r="ED630" s="89">
        <v>132</v>
      </c>
      <c r="EE630" s="2">
        <v>54</v>
      </c>
      <c r="EF630" s="2">
        <v>1</v>
      </c>
      <c r="EG630" s="2">
        <v>0.47940909999999998</v>
      </c>
      <c r="ES630">
        <v>132</v>
      </c>
      <c r="ET630">
        <v>54</v>
      </c>
      <c r="EU630">
        <v>1</v>
      </c>
      <c r="EV630">
        <v>0.47940909999999998</v>
      </c>
    </row>
    <row r="631" spans="14:152" x14ac:dyDescent="0.4">
      <c r="N631" s="89">
        <v>129</v>
      </c>
      <c r="O631" s="2">
        <v>54</v>
      </c>
      <c r="P631" s="2">
        <v>0</v>
      </c>
      <c r="Q631" s="2">
        <v>7.4000010000000005E-2</v>
      </c>
      <c r="Z631" s="89">
        <v>129</v>
      </c>
      <c r="AA631" s="2">
        <v>54</v>
      </c>
      <c r="AB631" s="2">
        <v>1</v>
      </c>
      <c r="AC631" s="2">
        <v>8.3368429999999993E-2</v>
      </c>
      <c r="AL631" s="89">
        <v>125</v>
      </c>
      <c r="AM631" s="2">
        <v>53</v>
      </c>
      <c r="AN631" s="2">
        <v>0</v>
      </c>
      <c r="AO631" s="2">
        <v>0.13400000000000001</v>
      </c>
      <c r="AX631" s="89">
        <v>143</v>
      </c>
      <c r="AY631" s="2">
        <v>54</v>
      </c>
      <c r="AZ631" s="2">
        <v>0</v>
      </c>
      <c r="BA631" s="2">
        <v>9.0000010000000005E-3</v>
      </c>
      <c r="BJ631" s="89">
        <v>141</v>
      </c>
      <c r="BK631" s="2">
        <v>54</v>
      </c>
      <c r="BL631" s="2">
        <v>0</v>
      </c>
      <c r="BM631" s="2">
        <v>2.879E-2</v>
      </c>
      <c r="BV631" s="89">
        <v>134</v>
      </c>
      <c r="BW631" s="2">
        <v>54</v>
      </c>
      <c r="BX631" s="2">
        <v>0</v>
      </c>
      <c r="BY631" s="2">
        <v>3.4664649999999999</v>
      </c>
      <c r="CH631" s="89">
        <v>131</v>
      </c>
      <c r="CI631" s="2">
        <v>54</v>
      </c>
      <c r="CJ631" s="2">
        <v>1</v>
      </c>
      <c r="CK631" s="2">
        <v>0.89939910000000001</v>
      </c>
      <c r="CT631" s="89">
        <v>131</v>
      </c>
      <c r="CU631" s="2">
        <v>53</v>
      </c>
      <c r="CV631" s="2">
        <v>0</v>
      </c>
      <c r="CW631" s="2">
        <v>2.69</v>
      </c>
      <c r="DF631" s="89">
        <v>131</v>
      </c>
      <c r="DG631" s="2">
        <v>54</v>
      </c>
      <c r="DH631" s="2">
        <v>1</v>
      </c>
      <c r="DI631" s="2">
        <v>8.2655560000000003E-2</v>
      </c>
      <c r="DR631" s="89">
        <v>125</v>
      </c>
      <c r="DS631" s="2">
        <v>53</v>
      </c>
      <c r="DT631" s="2">
        <v>0</v>
      </c>
      <c r="DU631" s="2">
        <v>6.0000000000000001E-3</v>
      </c>
      <c r="ED631" s="89">
        <v>133</v>
      </c>
      <c r="EE631" s="2">
        <v>54</v>
      </c>
      <c r="EF631" s="2">
        <v>0</v>
      </c>
      <c r="EG631" s="2">
        <v>3.1045569999999998</v>
      </c>
      <c r="ES631">
        <v>133</v>
      </c>
      <c r="ET631">
        <v>54</v>
      </c>
      <c r="EU631">
        <v>0</v>
      </c>
      <c r="EV631">
        <v>3.1045569999999998</v>
      </c>
    </row>
    <row r="632" spans="14:152" x14ac:dyDescent="0.4">
      <c r="N632" s="89">
        <v>129</v>
      </c>
      <c r="O632" s="2">
        <v>54</v>
      </c>
      <c r="P632" s="2">
        <v>1</v>
      </c>
      <c r="Q632" s="2">
        <v>5.7272730000000001E-2</v>
      </c>
      <c r="Z632" s="89">
        <v>130</v>
      </c>
      <c r="AA632" s="2">
        <v>54</v>
      </c>
      <c r="AB632" s="2">
        <v>0</v>
      </c>
      <c r="AC632" s="2">
        <v>0.2767444</v>
      </c>
      <c r="AL632" s="89">
        <v>126</v>
      </c>
      <c r="AM632" s="2">
        <v>53</v>
      </c>
      <c r="AN632" s="2">
        <v>0</v>
      </c>
      <c r="AO632" s="2">
        <v>0.20200000000000001</v>
      </c>
      <c r="AX632" s="89">
        <v>144</v>
      </c>
      <c r="AY632" s="2">
        <v>54</v>
      </c>
      <c r="AZ632" s="2">
        <v>0</v>
      </c>
      <c r="BA632" s="2">
        <v>1E-3</v>
      </c>
      <c r="BJ632" s="89">
        <v>142</v>
      </c>
      <c r="BK632" s="2">
        <v>54</v>
      </c>
      <c r="BL632" s="2">
        <v>0</v>
      </c>
      <c r="BM632" s="2">
        <v>8.0000000000000002E-3</v>
      </c>
      <c r="BV632" s="89">
        <v>134</v>
      </c>
      <c r="BW632" s="2">
        <v>54</v>
      </c>
      <c r="BX632" s="2">
        <v>1</v>
      </c>
      <c r="BY632" s="2">
        <v>0.71737320000000004</v>
      </c>
      <c r="CH632" s="89">
        <v>132</v>
      </c>
      <c r="CI632" s="2">
        <v>54</v>
      </c>
      <c r="CJ632" s="2">
        <v>0</v>
      </c>
      <c r="CK632" s="2">
        <v>3.3756560000000002</v>
      </c>
      <c r="CT632" s="89">
        <v>132</v>
      </c>
      <c r="CU632" s="2">
        <v>53</v>
      </c>
      <c r="CV632" s="2">
        <v>0</v>
      </c>
      <c r="CW632" s="2">
        <v>2.02582</v>
      </c>
      <c r="DF632" s="89">
        <v>132</v>
      </c>
      <c r="DG632" s="2">
        <v>54</v>
      </c>
      <c r="DH632" s="2">
        <v>0</v>
      </c>
      <c r="DI632" s="2">
        <v>4.2296459999999998</v>
      </c>
      <c r="DR632" s="89">
        <v>126</v>
      </c>
      <c r="DS632" s="2">
        <v>53</v>
      </c>
      <c r="DT632" s="2">
        <v>0</v>
      </c>
      <c r="DU632" s="2">
        <v>1.7999999999999999E-2</v>
      </c>
      <c r="ED632" s="89">
        <v>133</v>
      </c>
      <c r="EE632" s="2">
        <v>54</v>
      </c>
      <c r="EF632" s="2">
        <v>1</v>
      </c>
      <c r="EG632" s="2">
        <v>0.89440969999999997</v>
      </c>
      <c r="ES632">
        <v>133</v>
      </c>
      <c r="ET632">
        <v>54</v>
      </c>
      <c r="EU632">
        <v>1</v>
      </c>
      <c r="EV632">
        <v>0.89440969999999997</v>
      </c>
    </row>
    <row r="633" spans="14:152" x14ac:dyDescent="0.4">
      <c r="N633" s="89">
        <v>130</v>
      </c>
      <c r="O633" s="2">
        <v>54</v>
      </c>
      <c r="P633" s="2">
        <v>0</v>
      </c>
      <c r="Q633" s="2">
        <v>0.20942479999999999</v>
      </c>
      <c r="Z633" s="89">
        <v>131</v>
      </c>
      <c r="AA633" s="2">
        <v>54</v>
      </c>
      <c r="AB633" s="2">
        <v>0</v>
      </c>
      <c r="AC633" s="2">
        <v>0.25900000000000001</v>
      </c>
      <c r="AL633" s="89">
        <v>127</v>
      </c>
      <c r="AM633" s="2">
        <v>53</v>
      </c>
      <c r="AN633" s="2">
        <v>0</v>
      </c>
      <c r="AO633" s="2">
        <v>0.63700000000000001</v>
      </c>
      <c r="AX633" s="89">
        <v>145</v>
      </c>
      <c r="AY633" s="2">
        <v>54</v>
      </c>
      <c r="AZ633" s="2">
        <v>0</v>
      </c>
      <c r="BA633" s="2">
        <v>1E-3</v>
      </c>
      <c r="BJ633" s="89">
        <v>143</v>
      </c>
      <c r="BK633" s="2">
        <v>54</v>
      </c>
      <c r="BL633" s="2">
        <v>0</v>
      </c>
      <c r="BM633" s="2">
        <v>5.0000000000000001E-3</v>
      </c>
      <c r="BV633" s="89">
        <v>135</v>
      </c>
      <c r="BW633" s="2">
        <v>54</v>
      </c>
      <c r="BX633" s="2">
        <v>0</v>
      </c>
      <c r="BY633" s="2">
        <v>3.0057480000000001</v>
      </c>
      <c r="CH633" s="89">
        <v>132</v>
      </c>
      <c r="CI633" s="2">
        <v>54</v>
      </c>
      <c r="CJ633" s="2">
        <v>1</v>
      </c>
      <c r="CK633" s="2">
        <v>0.62959750000000003</v>
      </c>
      <c r="CT633" s="89">
        <v>132</v>
      </c>
      <c r="CU633" s="2">
        <v>53</v>
      </c>
      <c r="CV633" s="2">
        <v>1</v>
      </c>
      <c r="CW633" s="2">
        <v>0.83700010000000002</v>
      </c>
      <c r="DF633" s="89">
        <v>132</v>
      </c>
      <c r="DG633" s="2">
        <v>54</v>
      </c>
      <c r="DH633" s="2">
        <v>1</v>
      </c>
      <c r="DI633" s="2">
        <v>8.5576169999999993E-2</v>
      </c>
      <c r="DR633" s="89">
        <v>127</v>
      </c>
      <c r="DS633" s="2">
        <v>53</v>
      </c>
      <c r="DT633" s="2">
        <v>0</v>
      </c>
      <c r="DU633" s="2">
        <v>0.72599999999999998</v>
      </c>
      <c r="ED633" s="89">
        <v>134</v>
      </c>
      <c r="EE633" s="2">
        <v>54</v>
      </c>
      <c r="EF633" s="2">
        <v>0</v>
      </c>
      <c r="EG633" s="2">
        <v>2.8657550000000001</v>
      </c>
      <c r="ES633">
        <v>134</v>
      </c>
      <c r="ET633">
        <v>54</v>
      </c>
      <c r="EU633">
        <v>0</v>
      </c>
      <c r="EV633">
        <v>2.8657550000000001</v>
      </c>
    </row>
    <row r="634" spans="14:152" x14ac:dyDescent="0.4">
      <c r="N634" s="89">
        <v>131</v>
      </c>
      <c r="O634" s="2">
        <v>54</v>
      </c>
      <c r="P634" s="2">
        <v>0</v>
      </c>
      <c r="Q634" s="2">
        <v>0.17299999999999999</v>
      </c>
      <c r="Z634" s="89">
        <v>131</v>
      </c>
      <c r="AA634" s="2">
        <v>54</v>
      </c>
      <c r="AB634" s="2">
        <v>1</v>
      </c>
      <c r="AC634" s="2">
        <v>0.10223939999999999</v>
      </c>
      <c r="AL634" s="89">
        <v>128</v>
      </c>
      <c r="AM634" s="2">
        <v>53</v>
      </c>
      <c r="AN634" s="2">
        <v>0</v>
      </c>
      <c r="AO634" s="2">
        <v>0.215</v>
      </c>
      <c r="AX634" s="89">
        <v>130</v>
      </c>
      <c r="AY634" s="2">
        <v>55</v>
      </c>
      <c r="AZ634" s="2">
        <v>0</v>
      </c>
      <c r="BA634" s="2">
        <v>9.9839999999999998E-4</v>
      </c>
      <c r="BJ634" s="89">
        <v>144</v>
      </c>
      <c r="BK634" s="2">
        <v>54</v>
      </c>
      <c r="BL634" s="2">
        <v>0</v>
      </c>
      <c r="BM634" s="2">
        <v>1E-3</v>
      </c>
      <c r="BV634" s="89">
        <v>135</v>
      </c>
      <c r="BW634" s="2">
        <v>54</v>
      </c>
      <c r="BX634" s="2">
        <v>1</v>
      </c>
      <c r="BY634" s="2">
        <v>1.287058</v>
      </c>
      <c r="CH634" s="89">
        <v>133</v>
      </c>
      <c r="CI634" s="2">
        <v>54</v>
      </c>
      <c r="CJ634" s="2">
        <v>0</v>
      </c>
      <c r="CK634" s="2">
        <v>2.5930059999999999</v>
      </c>
      <c r="CT634" s="89">
        <v>133</v>
      </c>
      <c r="CU634" s="2">
        <v>53</v>
      </c>
      <c r="CV634" s="2">
        <v>0</v>
      </c>
      <c r="CW634" s="2">
        <v>1.6850149999999999</v>
      </c>
      <c r="DF634" s="89">
        <v>133</v>
      </c>
      <c r="DG634" s="2">
        <v>54</v>
      </c>
      <c r="DH634" s="2">
        <v>0</v>
      </c>
      <c r="DI634" s="2">
        <v>4.4331139999999998</v>
      </c>
      <c r="DR634" s="89">
        <v>128</v>
      </c>
      <c r="DS634" s="2">
        <v>53</v>
      </c>
      <c r="DT634" s="2">
        <v>0</v>
      </c>
      <c r="DU634" s="2">
        <v>0.104</v>
      </c>
      <c r="ED634" s="89">
        <v>134</v>
      </c>
      <c r="EE634" s="2">
        <v>54</v>
      </c>
      <c r="EF634" s="2">
        <v>1</v>
      </c>
      <c r="EG634" s="2">
        <v>0.8382771</v>
      </c>
      <c r="ES634">
        <v>134</v>
      </c>
      <c r="ET634">
        <v>54</v>
      </c>
      <c r="EU634">
        <v>1</v>
      </c>
      <c r="EV634">
        <v>0.8382771</v>
      </c>
    </row>
    <row r="635" spans="14:152" x14ac:dyDescent="0.4">
      <c r="N635" s="89">
        <v>131</v>
      </c>
      <c r="O635" s="2">
        <v>54</v>
      </c>
      <c r="P635" s="2">
        <v>1</v>
      </c>
      <c r="Q635" s="2">
        <v>6.2335590000000003E-2</v>
      </c>
      <c r="Z635" s="89">
        <v>132</v>
      </c>
      <c r="AA635" s="2">
        <v>54</v>
      </c>
      <c r="AB635" s="2">
        <v>0</v>
      </c>
      <c r="AC635" s="2">
        <v>0.2031</v>
      </c>
      <c r="AL635" s="89">
        <v>129</v>
      </c>
      <c r="AM635" s="2">
        <v>53</v>
      </c>
      <c r="AN635" s="2">
        <v>0</v>
      </c>
      <c r="AO635" s="2">
        <v>0.22900000000000001</v>
      </c>
      <c r="AX635" s="89">
        <v>130</v>
      </c>
      <c r="AY635" s="2">
        <v>55</v>
      </c>
      <c r="AZ635" s="2">
        <v>1</v>
      </c>
      <c r="BA635" s="2">
        <v>1E-3</v>
      </c>
      <c r="BJ635" s="89">
        <v>129</v>
      </c>
      <c r="BK635" s="2">
        <v>55</v>
      </c>
      <c r="BL635" s="2">
        <v>0</v>
      </c>
      <c r="BM635" s="2">
        <v>0.01</v>
      </c>
      <c r="BV635" s="89">
        <v>136</v>
      </c>
      <c r="BW635" s="2">
        <v>54</v>
      </c>
      <c r="BX635" s="2">
        <v>0</v>
      </c>
      <c r="BY635" s="2">
        <v>2.376992</v>
      </c>
      <c r="CH635" s="89">
        <v>133</v>
      </c>
      <c r="CI635" s="2">
        <v>54</v>
      </c>
      <c r="CJ635" s="2">
        <v>1</v>
      </c>
      <c r="CK635" s="2">
        <v>0.99841460000000004</v>
      </c>
      <c r="CT635" s="89">
        <v>133</v>
      </c>
      <c r="CU635" s="2">
        <v>53</v>
      </c>
      <c r="CV635" s="2">
        <v>1</v>
      </c>
      <c r="CW635" s="2">
        <v>0.57583450000000003</v>
      </c>
      <c r="DF635" s="89">
        <v>133</v>
      </c>
      <c r="DG635" s="2">
        <v>54</v>
      </c>
      <c r="DH635" s="2">
        <v>1</v>
      </c>
      <c r="DI635" s="2">
        <v>0.38168809999999997</v>
      </c>
      <c r="DR635" s="89">
        <v>129</v>
      </c>
      <c r="DS635" s="2">
        <v>53</v>
      </c>
      <c r="DT635" s="2">
        <v>0</v>
      </c>
      <c r="DU635" s="2">
        <v>0.49</v>
      </c>
      <c r="ED635" s="89">
        <v>135</v>
      </c>
      <c r="EE635" s="2">
        <v>54</v>
      </c>
      <c r="EF635" s="2">
        <v>0</v>
      </c>
      <c r="EG635" s="2">
        <v>2.3585180000000001</v>
      </c>
      <c r="ES635">
        <v>135</v>
      </c>
      <c r="ET635">
        <v>54</v>
      </c>
      <c r="EU635">
        <v>0</v>
      </c>
      <c r="EV635">
        <v>2.3585180000000001</v>
      </c>
    </row>
    <row r="636" spans="14:152" x14ac:dyDescent="0.4">
      <c r="N636" s="89">
        <v>132</v>
      </c>
      <c r="O636" s="2">
        <v>54</v>
      </c>
      <c r="P636" s="2">
        <v>0</v>
      </c>
      <c r="Q636" s="2">
        <v>0.168596</v>
      </c>
      <c r="Z636" s="89">
        <v>132</v>
      </c>
      <c r="AA636" s="2">
        <v>54</v>
      </c>
      <c r="AB636" s="2">
        <v>1</v>
      </c>
      <c r="AC636" s="2">
        <v>6.1486489999999998E-2</v>
      </c>
      <c r="AL636" s="89">
        <v>130</v>
      </c>
      <c r="AM636" s="2">
        <v>53</v>
      </c>
      <c r="AN636" s="2">
        <v>0</v>
      </c>
      <c r="AO636" s="2">
        <v>8.7234790000000006E-2</v>
      </c>
      <c r="AX636" s="89">
        <v>131</v>
      </c>
      <c r="AY636" s="2">
        <v>55</v>
      </c>
      <c r="AZ636" s="2">
        <v>0</v>
      </c>
      <c r="BA636" s="2">
        <v>2.1000000000000001E-2</v>
      </c>
      <c r="BJ636" s="89">
        <v>130</v>
      </c>
      <c r="BK636" s="2">
        <v>55</v>
      </c>
      <c r="BL636" s="2">
        <v>0</v>
      </c>
      <c r="BM636" s="2">
        <v>1.9968E-2</v>
      </c>
      <c r="BV636" s="89">
        <v>137</v>
      </c>
      <c r="BW636" s="2">
        <v>54</v>
      </c>
      <c r="BX636" s="2">
        <v>0</v>
      </c>
      <c r="BY636" s="2">
        <v>1.4584280000000001</v>
      </c>
      <c r="CH636" s="89">
        <v>134</v>
      </c>
      <c r="CI636" s="2">
        <v>54</v>
      </c>
      <c r="CJ636" s="2">
        <v>0</v>
      </c>
      <c r="CK636" s="2">
        <v>2.2209940000000001</v>
      </c>
      <c r="CT636" s="89">
        <v>134</v>
      </c>
      <c r="CU636" s="2">
        <v>53</v>
      </c>
      <c r="CV636" s="2">
        <v>0</v>
      </c>
      <c r="CW636" s="2">
        <v>1.2161379999999999</v>
      </c>
      <c r="DF636" s="89">
        <v>134</v>
      </c>
      <c r="DG636" s="2">
        <v>54</v>
      </c>
      <c r="DH636" s="2">
        <v>0</v>
      </c>
      <c r="DI636" s="2">
        <v>4.7155319999999996</v>
      </c>
      <c r="DR636" s="89">
        <v>130</v>
      </c>
      <c r="DS636" s="2">
        <v>53</v>
      </c>
      <c r="DT636" s="2">
        <v>0</v>
      </c>
      <c r="DU636" s="2">
        <v>0.17094380000000001</v>
      </c>
      <c r="ED636" s="89">
        <v>135</v>
      </c>
      <c r="EE636" s="2">
        <v>54</v>
      </c>
      <c r="EF636" s="2">
        <v>1</v>
      </c>
      <c r="EG636" s="2">
        <v>1.1124609999999999</v>
      </c>
      <c r="ES636">
        <v>135</v>
      </c>
      <c r="ET636">
        <v>54</v>
      </c>
      <c r="EU636">
        <v>1</v>
      </c>
      <c r="EV636">
        <v>1.1124609999999999</v>
      </c>
    </row>
    <row r="637" spans="14:152" x14ac:dyDescent="0.4">
      <c r="N637" s="89">
        <v>132</v>
      </c>
      <c r="O637" s="2">
        <v>54</v>
      </c>
      <c r="P637" s="2">
        <v>1</v>
      </c>
      <c r="Q637" s="2">
        <v>3.6132350000000001E-2</v>
      </c>
      <c r="Z637" s="89">
        <v>133</v>
      </c>
      <c r="AA637" s="2">
        <v>54</v>
      </c>
      <c r="AB637" s="2">
        <v>0</v>
      </c>
      <c r="AC637" s="2">
        <v>7.4999999999999997E-2</v>
      </c>
      <c r="AL637" s="89">
        <v>130</v>
      </c>
      <c r="AM637" s="2">
        <v>53</v>
      </c>
      <c r="AN637" s="2">
        <v>1</v>
      </c>
      <c r="AO637" s="2">
        <v>4.7826090000000002E-3</v>
      </c>
      <c r="AX637" s="89">
        <v>132</v>
      </c>
      <c r="AY637" s="2">
        <v>55</v>
      </c>
      <c r="AZ637" s="2">
        <v>0</v>
      </c>
      <c r="BA637" s="2">
        <v>5.8000000000000003E-2</v>
      </c>
      <c r="BJ637" s="89">
        <v>130</v>
      </c>
      <c r="BK637" s="2">
        <v>55</v>
      </c>
      <c r="BL637" s="2">
        <v>1</v>
      </c>
      <c r="BM637" s="2">
        <v>0.02</v>
      </c>
      <c r="BV637" s="89">
        <v>138</v>
      </c>
      <c r="BW637" s="2">
        <v>54</v>
      </c>
      <c r="BX637" s="2">
        <v>0</v>
      </c>
      <c r="BY637" s="2">
        <v>1.0221</v>
      </c>
      <c r="CH637" s="89">
        <v>134</v>
      </c>
      <c r="CI637" s="2">
        <v>54</v>
      </c>
      <c r="CJ637" s="2">
        <v>1</v>
      </c>
      <c r="CK637" s="2">
        <v>0.81768560000000001</v>
      </c>
      <c r="CT637" s="89">
        <v>134</v>
      </c>
      <c r="CU637" s="2">
        <v>53</v>
      </c>
      <c r="CV637" s="2">
        <v>1</v>
      </c>
      <c r="CW637" s="2">
        <v>0.5672971</v>
      </c>
      <c r="DF637" s="89">
        <v>134</v>
      </c>
      <c r="DG637" s="2">
        <v>54</v>
      </c>
      <c r="DH637" s="2">
        <v>1</v>
      </c>
      <c r="DI637" s="2">
        <v>0.49182490000000001</v>
      </c>
      <c r="DR637" s="89">
        <v>130</v>
      </c>
      <c r="DS637" s="2">
        <v>53</v>
      </c>
      <c r="DT637" s="2">
        <v>1</v>
      </c>
      <c r="DU637" s="2">
        <v>1.285143E-2</v>
      </c>
      <c r="ED637" s="89">
        <v>136</v>
      </c>
      <c r="EE637" s="2">
        <v>54</v>
      </c>
      <c r="EF637" s="2">
        <v>0</v>
      </c>
      <c r="EG637" s="2">
        <v>1.809024</v>
      </c>
      <c r="ES637">
        <v>136</v>
      </c>
      <c r="ET637">
        <v>54</v>
      </c>
      <c r="EU637">
        <v>0</v>
      </c>
      <c r="EV637">
        <v>1.809024</v>
      </c>
    </row>
    <row r="638" spans="14:152" x14ac:dyDescent="0.4">
      <c r="N638" s="89">
        <v>133</v>
      </c>
      <c r="O638" s="2">
        <v>54</v>
      </c>
      <c r="P638" s="2">
        <v>0</v>
      </c>
      <c r="Q638" s="2">
        <v>0.04</v>
      </c>
      <c r="Z638" s="89">
        <v>133</v>
      </c>
      <c r="AA638" s="2">
        <v>54</v>
      </c>
      <c r="AB638" s="2">
        <v>1</v>
      </c>
      <c r="AC638" s="2">
        <v>4.66624E-2</v>
      </c>
      <c r="AL638" s="89">
        <v>131</v>
      </c>
      <c r="AM638" s="2">
        <v>53</v>
      </c>
      <c r="AN638" s="2">
        <v>0</v>
      </c>
      <c r="AO638" s="2">
        <v>6.2E-2</v>
      </c>
      <c r="AX638" s="89">
        <v>133</v>
      </c>
      <c r="AY638" s="2">
        <v>55</v>
      </c>
      <c r="AZ638" s="2">
        <v>0</v>
      </c>
      <c r="BA638" s="2">
        <v>2.8052030000000001</v>
      </c>
      <c r="BJ638" s="89">
        <v>131</v>
      </c>
      <c r="BK638" s="2">
        <v>55</v>
      </c>
      <c r="BL638" s="2">
        <v>0</v>
      </c>
      <c r="BM638" s="2">
        <v>7.9000000000000001E-2</v>
      </c>
      <c r="BV638" s="89">
        <v>139</v>
      </c>
      <c r="BW638" s="2">
        <v>54</v>
      </c>
      <c r="BX638" s="2">
        <v>0</v>
      </c>
      <c r="BY638" s="2">
        <v>0.56106599999999995</v>
      </c>
      <c r="CH638" s="89">
        <v>135</v>
      </c>
      <c r="CI638" s="2">
        <v>54</v>
      </c>
      <c r="CJ638" s="2">
        <v>0</v>
      </c>
      <c r="CK638" s="2">
        <v>1.7050000000000001</v>
      </c>
      <c r="CT638" s="89">
        <v>135</v>
      </c>
      <c r="CU638" s="2">
        <v>53</v>
      </c>
      <c r="CV638" s="2">
        <v>0</v>
      </c>
      <c r="CW638" s="2">
        <v>0.85896499999999998</v>
      </c>
      <c r="DF638" s="89">
        <v>135</v>
      </c>
      <c r="DG638" s="2">
        <v>54</v>
      </c>
      <c r="DH638" s="2">
        <v>0</v>
      </c>
      <c r="DI638" s="2">
        <v>4.523104</v>
      </c>
      <c r="DR638" s="89">
        <v>131</v>
      </c>
      <c r="DS638" s="2">
        <v>53</v>
      </c>
      <c r="DT638" s="2">
        <v>0</v>
      </c>
      <c r="DU638" s="2">
        <v>0.26500000000000001</v>
      </c>
      <c r="ED638" s="89">
        <v>137</v>
      </c>
      <c r="EE638" s="2">
        <v>54</v>
      </c>
      <c r="EF638" s="2">
        <v>0</v>
      </c>
      <c r="EG638" s="2">
        <v>1.1149340000000001</v>
      </c>
      <c r="ES638">
        <v>137</v>
      </c>
      <c r="ET638">
        <v>54</v>
      </c>
      <c r="EU638">
        <v>0</v>
      </c>
      <c r="EV638">
        <v>1.1149340000000001</v>
      </c>
    </row>
    <row r="639" spans="14:152" x14ac:dyDescent="0.4">
      <c r="N639" s="89">
        <v>133</v>
      </c>
      <c r="O639" s="2">
        <v>54</v>
      </c>
      <c r="P639" s="2">
        <v>1</v>
      </c>
      <c r="Q639" s="2">
        <v>3.0230400000000001E-2</v>
      </c>
      <c r="Z639" s="89">
        <v>134</v>
      </c>
      <c r="AA639" s="2">
        <v>54</v>
      </c>
      <c r="AB639" s="2">
        <v>0</v>
      </c>
      <c r="AC639" s="2">
        <v>4.8000000000000001E-2</v>
      </c>
      <c r="AL639" s="89">
        <v>132</v>
      </c>
      <c r="AM639" s="2">
        <v>53</v>
      </c>
      <c r="AN639" s="2">
        <v>0</v>
      </c>
      <c r="AO639" s="2">
        <v>2.334E-2</v>
      </c>
      <c r="AX639" s="89">
        <v>134</v>
      </c>
      <c r="AY639" s="2">
        <v>55</v>
      </c>
      <c r="AZ639" s="2">
        <v>0</v>
      </c>
      <c r="BA639" s="2">
        <v>0.221</v>
      </c>
      <c r="BJ639" s="89">
        <v>132</v>
      </c>
      <c r="BK639" s="2">
        <v>55</v>
      </c>
      <c r="BL639" s="2">
        <v>0</v>
      </c>
      <c r="BM639" s="2">
        <v>0.19700000000000001</v>
      </c>
      <c r="BV639" s="89">
        <v>140</v>
      </c>
      <c r="BW639" s="2">
        <v>54</v>
      </c>
      <c r="BX639" s="2">
        <v>0</v>
      </c>
      <c r="BY639" s="2">
        <v>0.321824</v>
      </c>
      <c r="CH639" s="89">
        <v>135</v>
      </c>
      <c r="CI639" s="2">
        <v>54</v>
      </c>
      <c r="CJ639" s="2">
        <v>1</v>
      </c>
      <c r="CK639" s="2">
        <v>0.97101309999999996</v>
      </c>
      <c r="CT639" s="89">
        <v>136</v>
      </c>
      <c r="CU639" s="2">
        <v>53</v>
      </c>
      <c r="CV639" s="2">
        <v>0</v>
      </c>
      <c r="CW639" s="2">
        <v>0.16452530000000001</v>
      </c>
      <c r="DF639" s="89">
        <v>135</v>
      </c>
      <c r="DG639" s="2">
        <v>54</v>
      </c>
      <c r="DH639" s="2">
        <v>1</v>
      </c>
      <c r="DI639" s="2">
        <v>1.5394369999999999</v>
      </c>
      <c r="DR639" s="89">
        <v>132</v>
      </c>
      <c r="DS639" s="2">
        <v>53</v>
      </c>
      <c r="DT639" s="2">
        <v>0</v>
      </c>
      <c r="DU639" s="2">
        <v>0.12712000000000001</v>
      </c>
      <c r="ED639" s="89">
        <v>138</v>
      </c>
      <c r="EE639" s="2">
        <v>54</v>
      </c>
      <c r="EF639" s="2">
        <v>0</v>
      </c>
      <c r="EG639" s="2">
        <v>0.65362569999999998</v>
      </c>
      <c r="ES639">
        <v>138</v>
      </c>
      <c r="ET639">
        <v>54</v>
      </c>
      <c r="EU639">
        <v>0</v>
      </c>
      <c r="EV639">
        <v>0.65362569999999998</v>
      </c>
    </row>
    <row r="640" spans="14:152" x14ac:dyDescent="0.4">
      <c r="N640" s="89">
        <v>134</v>
      </c>
      <c r="O640" s="2">
        <v>54</v>
      </c>
      <c r="P640" s="2">
        <v>0</v>
      </c>
      <c r="Q640" s="2">
        <v>1.4E-2</v>
      </c>
      <c r="Z640" s="89">
        <v>134</v>
      </c>
      <c r="AA640" s="2">
        <v>54</v>
      </c>
      <c r="AB640" s="2">
        <v>1</v>
      </c>
      <c r="AC640" s="2">
        <v>3.2092000000000002E-2</v>
      </c>
      <c r="AL640" s="89">
        <v>132</v>
      </c>
      <c r="AM640" s="2">
        <v>53</v>
      </c>
      <c r="AN640" s="2">
        <v>1</v>
      </c>
      <c r="AO640" s="2">
        <v>1.9E-2</v>
      </c>
      <c r="AX640" s="89">
        <v>134</v>
      </c>
      <c r="AY640" s="2">
        <v>55</v>
      </c>
      <c r="AZ640" s="2">
        <v>1</v>
      </c>
      <c r="BA640" s="2">
        <v>0.14699999999999999</v>
      </c>
      <c r="BJ640" s="89">
        <v>133</v>
      </c>
      <c r="BK640" s="2">
        <v>55</v>
      </c>
      <c r="BL640" s="2">
        <v>0</v>
      </c>
      <c r="BM640" s="2">
        <v>2.9080210000000002</v>
      </c>
      <c r="BV640" s="89">
        <v>141</v>
      </c>
      <c r="BW640" s="2">
        <v>54</v>
      </c>
      <c r="BX640" s="2">
        <v>0</v>
      </c>
      <c r="BY640" s="2">
        <v>0.14002000000000001</v>
      </c>
      <c r="CH640" s="89">
        <v>136</v>
      </c>
      <c r="CI640" s="2">
        <v>54</v>
      </c>
      <c r="CJ640" s="2">
        <v>0</v>
      </c>
      <c r="CK640" s="2">
        <v>1.1006370000000001</v>
      </c>
      <c r="CT640" s="89">
        <v>136</v>
      </c>
      <c r="CU640" s="2">
        <v>53</v>
      </c>
      <c r="CV640" s="2">
        <v>1</v>
      </c>
      <c r="CW640" s="2">
        <v>0.27829419999999999</v>
      </c>
      <c r="DF640" s="89">
        <v>136</v>
      </c>
      <c r="DG640" s="2">
        <v>54</v>
      </c>
      <c r="DH640" s="2">
        <v>0</v>
      </c>
      <c r="DI640" s="2">
        <v>4.1210959999999996</v>
      </c>
      <c r="DR640" s="89">
        <v>132</v>
      </c>
      <c r="DS640" s="2">
        <v>53</v>
      </c>
      <c r="DT640" s="2">
        <v>1</v>
      </c>
      <c r="DU640" s="2">
        <v>9.1999999999999998E-2</v>
      </c>
      <c r="ED640" s="89">
        <v>139</v>
      </c>
      <c r="EE640" s="2">
        <v>54</v>
      </c>
      <c r="EF640" s="2">
        <v>0</v>
      </c>
      <c r="EG640" s="2">
        <v>0.33398499999999998</v>
      </c>
      <c r="ES640">
        <v>139</v>
      </c>
      <c r="ET640">
        <v>54</v>
      </c>
      <c r="EU640">
        <v>0</v>
      </c>
      <c r="EV640">
        <v>0.33398499999999998</v>
      </c>
    </row>
    <row r="641" spans="14:152" x14ac:dyDescent="0.4">
      <c r="N641" s="89">
        <v>134</v>
      </c>
      <c r="O641" s="2">
        <v>54</v>
      </c>
      <c r="P641" s="2">
        <v>1</v>
      </c>
      <c r="Q641" s="2">
        <v>1.12E-2</v>
      </c>
      <c r="Z641" s="89">
        <v>135</v>
      </c>
      <c r="AA641" s="2">
        <v>54</v>
      </c>
      <c r="AB641" s="2">
        <v>0</v>
      </c>
      <c r="AC641" s="2">
        <v>1.7999999999999999E-2</v>
      </c>
      <c r="AL641" s="89">
        <v>133</v>
      </c>
      <c r="AM641" s="2">
        <v>53</v>
      </c>
      <c r="AN641" s="2">
        <v>0</v>
      </c>
      <c r="AO641" s="2">
        <v>0.01</v>
      </c>
      <c r="AX641" s="89">
        <v>135</v>
      </c>
      <c r="AY641" s="2">
        <v>55</v>
      </c>
      <c r="AZ641" s="2">
        <v>0</v>
      </c>
      <c r="BA641" s="2">
        <v>2.655913</v>
      </c>
      <c r="BJ641" s="89">
        <v>134</v>
      </c>
      <c r="BK641" s="2">
        <v>55</v>
      </c>
      <c r="BL641" s="2">
        <v>0</v>
      </c>
      <c r="BM641" s="2">
        <v>0.55200000000000005</v>
      </c>
      <c r="BV641" s="89">
        <v>142</v>
      </c>
      <c r="BW641" s="2">
        <v>54</v>
      </c>
      <c r="BX641" s="2">
        <v>0</v>
      </c>
      <c r="BY641" s="2">
        <v>6.565E-2</v>
      </c>
      <c r="CH641" s="89">
        <v>137</v>
      </c>
      <c r="CI641" s="2">
        <v>54</v>
      </c>
      <c r="CJ641" s="2">
        <v>0</v>
      </c>
      <c r="CK641" s="2">
        <v>0.57079420000000003</v>
      </c>
      <c r="CT641" s="89">
        <v>137</v>
      </c>
      <c r="CU641" s="2">
        <v>53</v>
      </c>
      <c r="CV641" s="2">
        <v>0</v>
      </c>
      <c r="CW641" s="2">
        <v>0.2112684</v>
      </c>
      <c r="DF641" s="89">
        <v>137</v>
      </c>
      <c r="DG641" s="2">
        <v>54</v>
      </c>
      <c r="DH641" s="2">
        <v>0</v>
      </c>
      <c r="DI641" s="2">
        <v>2.9524550000000001</v>
      </c>
      <c r="DR641" s="89">
        <v>133</v>
      </c>
      <c r="DS641" s="2">
        <v>53</v>
      </c>
      <c r="DT641" s="2">
        <v>0</v>
      </c>
      <c r="DU641" s="2">
        <v>7.2000999999999996E-2</v>
      </c>
      <c r="ED641" s="89">
        <v>140</v>
      </c>
      <c r="EE641" s="2">
        <v>54</v>
      </c>
      <c r="EF641" s="2">
        <v>0</v>
      </c>
      <c r="EG641" s="2">
        <v>0.17702499999999999</v>
      </c>
      <c r="ES641">
        <v>140</v>
      </c>
      <c r="ET641">
        <v>54</v>
      </c>
      <c r="EU641">
        <v>0</v>
      </c>
      <c r="EV641">
        <v>0.17702499999999999</v>
      </c>
    </row>
    <row r="642" spans="14:152" x14ac:dyDescent="0.4">
      <c r="N642" s="89">
        <v>135</v>
      </c>
      <c r="O642" s="2">
        <v>54</v>
      </c>
      <c r="P642" s="2">
        <v>0</v>
      </c>
      <c r="Q642" s="2">
        <v>7.9999990000000007E-3</v>
      </c>
      <c r="Z642" s="89">
        <v>135</v>
      </c>
      <c r="AA642" s="2">
        <v>54</v>
      </c>
      <c r="AB642" s="2">
        <v>1</v>
      </c>
      <c r="AC642" s="2">
        <v>1.3825499999999999E-2</v>
      </c>
      <c r="AL642" s="89">
        <v>133</v>
      </c>
      <c r="AM642" s="2">
        <v>53</v>
      </c>
      <c r="AN642" s="2">
        <v>1</v>
      </c>
      <c r="AO642" s="2">
        <v>6.3E-3</v>
      </c>
      <c r="AX642" s="89">
        <v>135</v>
      </c>
      <c r="AY642" s="2">
        <v>55</v>
      </c>
      <c r="AZ642" s="2">
        <v>1</v>
      </c>
      <c r="BA642" s="2">
        <v>0.1981272</v>
      </c>
      <c r="BJ642" s="89">
        <v>134</v>
      </c>
      <c r="BK642" s="2">
        <v>55</v>
      </c>
      <c r="BL642" s="2">
        <v>1</v>
      </c>
      <c r="BM642" s="2">
        <v>0.41899999999999998</v>
      </c>
      <c r="BV642" s="89">
        <v>143</v>
      </c>
      <c r="BW642" s="2">
        <v>54</v>
      </c>
      <c r="BX642" s="2">
        <v>0</v>
      </c>
      <c r="BY642" s="2">
        <v>2.3599999999999999E-2</v>
      </c>
      <c r="CH642" s="89">
        <v>138</v>
      </c>
      <c r="CI642" s="2">
        <v>54</v>
      </c>
      <c r="CJ642" s="2">
        <v>0</v>
      </c>
      <c r="CK642" s="2">
        <v>0.30405900000000002</v>
      </c>
      <c r="CT642" s="89">
        <v>138</v>
      </c>
      <c r="CU642" s="2">
        <v>53</v>
      </c>
      <c r="CV642" s="2">
        <v>0</v>
      </c>
      <c r="CW642" s="2">
        <v>8.5748000000000005E-2</v>
      </c>
      <c r="DF642" s="89">
        <v>138</v>
      </c>
      <c r="DG642" s="2">
        <v>54</v>
      </c>
      <c r="DH642" s="2">
        <v>0</v>
      </c>
      <c r="DI642" s="2">
        <v>2.2348119999999998</v>
      </c>
      <c r="DR642" s="89">
        <v>133</v>
      </c>
      <c r="DS642" s="2">
        <v>53</v>
      </c>
      <c r="DT642" s="2">
        <v>1</v>
      </c>
      <c r="DU642" s="2">
        <v>3.92459E-2</v>
      </c>
      <c r="ED642" s="89">
        <v>141</v>
      </c>
      <c r="EE642" s="2">
        <v>54</v>
      </c>
      <c r="EF642" s="2">
        <v>0</v>
      </c>
      <c r="EG642" s="2">
        <v>4.9579999999999999E-2</v>
      </c>
      <c r="ES642">
        <v>141</v>
      </c>
      <c r="ET642">
        <v>54</v>
      </c>
      <c r="EU642">
        <v>0</v>
      </c>
      <c r="EV642">
        <v>4.9579999999999999E-2</v>
      </c>
    </row>
    <row r="643" spans="14:152" x14ac:dyDescent="0.4">
      <c r="N643" s="89">
        <v>135</v>
      </c>
      <c r="O643" s="2">
        <v>54</v>
      </c>
      <c r="P643" s="2">
        <v>1</v>
      </c>
      <c r="Q643" s="2">
        <v>5.3302000000000002E-3</v>
      </c>
      <c r="Z643" s="89">
        <v>136</v>
      </c>
      <c r="AA643" s="2">
        <v>54</v>
      </c>
      <c r="AB643" s="2">
        <v>0</v>
      </c>
      <c r="AC643" s="2">
        <v>6.0650000000000001E-3</v>
      </c>
      <c r="AL643" s="89">
        <v>134</v>
      </c>
      <c r="AM643" s="2">
        <v>53</v>
      </c>
      <c r="AN643" s="2">
        <v>0</v>
      </c>
      <c r="AO643" s="2">
        <v>3.9309999999999996E-3</v>
      </c>
      <c r="AX643" s="89">
        <v>136</v>
      </c>
      <c r="AY643" s="2">
        <v>55</v>
      </c>
      <c r="AZ643" s="2">
        <v>0</v>
      </c>
      <c r="BA643" s="2">
        <v>0.41399999999999998</v>
      </c>
      <c r="BJ643" s="89">
        <v>135</v>
      </c>
      <c r="BK643" s="2">
        <v>55</v>
      </c>
      <c r="BL643" s="2">
        <v>0</v>
      </c>
      <c r="BM643" s="2">
        <v>2.4457439999999999</v>
      </c>
      <c r="BV643" s="89">
        <v>144</v>
      </c>
      <c r="BW643" s="2">
        <v>54</v>
      </c>
      <c r="BX643" s="2">
        <v>0</v>
      </c>
      <c r="BY643" s="2">
        <v>5.0000000000000001E-3</v>
      </c>
      <c r="CH643" s="89">
        <v>139</v>
      </c>
      <c r="CI643" s="2">
        <v>54</v>
      </c>
      <c r="CJ643" s="2">
        <v>0</v>
      </c>
      <c r="CK643" s="2">
        <v>0.116882</v>
      </c>
      <c r="CT643" s="89">
        <v>139</v>
      </c>
      <c r="CU643" s="2">
        <v>53</v>
      </c>
      <c r="CV643" s="2">
        <v>0</v>
      </c>
      <c r="CW643" s="2">
        <v>0.03</v>
      </c>
      <c r="DF643" s="89">
        <v>139</v>
      </c>
      <c r="DG643" s="2">
        <v>54</v>
      </c>
      <c r="DH643" s="2">
        <v>0</v>
      </c>
      <c r="DI643" s="2">
        <v>1.2231099999999999</v>
      </c>
      <c r="DR643" s="89">
        <v>134</v>
      </c>
      <c r="DS643" s="2">
        <v>53</v>
      </c>
      <c r="DT643" s="2">
        <v>0</v>
      </c>
      <c r="DU643" s="2">
        <v>3.9464720000000002E-2</v>
      </c>
      <c r="ED643" s="89">
        <v>142</v>
      </c>
      <c r="EE643" s="2">
        <v>54</v>
      </c>
      <c r="EF643" s="2">
        <v>0</v>
      </c>
      <c r="EG643" s="2">
        <v>2.1000000000000001E-2</v>
      </c>
      <c r="ES643">
        <v>142</v>
      </c>
      <c r="ET643">
        <v>54</v>
      </c>
      <c r="EU643">
        <v>0</v>
      </c>
      <c r="EV643">
        <v>2.1000000000000001E-2</v>
      </c>
    </row>
    <row r="644" spans="14:152" x14ac:dyDescent="0.4">
      <c r="N644" s="89">
        <v>136</v>
      </c>
      <c r="O644" s="2">
        <v>54</v>
      </c>
      <c r="P644" s="2">
        <v>0</v>
      </c>
      <c r="Q644" s="2">
        <v>4.0000000000000001E-3</v>
      </c>
      <c r="Z644" s="89">
        <v>137</v>
      </c>
      <c r="AA644" s="2">
        <v>54</v>
      </c>
      <c r="AB644" s="2">
        <v>0</v>
      </c>
      <c r="AC644" s="2">
        <v>3.9350000000000001E-3</v>
      </c>
      <c r="AL644" s="89">
        <v>134</v>
      </c>
      <c r="AM644" s="2">
        <v>53</v>
      </c>
      <c r="AN644" s="2">
        <v>1</v>
      </c>
      <c r="AO644" s="2">
        <v>3.0000000000000001E-3</v>
      </c>
      <c r="AX644" s="89">
        <v>136</v>
      </c>
      <c r="AY644" s="2">
        <v>55</v>
      </c>
      <c r="AZ644" s="2">
        <v>1</v>
      </c>
      <c r="BA644" s="2">
        <v>0.33400000000000002</v>
      </c>
      <c r="BJ644" s="89">
        <v>135</v>
      </c>
      <c r="BK644" s="2">
        <v>55</v>
      </c>
      <c r="BL644" s="2">
        <v>1</v>
      </c>
      <c r="BM644" s="2">
        <v>0.39619500000000002</v>
      </c>
      <c r="BV644" s="89">
        <v>130</v>
      </c>
      <c r="BW644" s="2">
        <v>55</v>
      </c>
      <c r="BX644" s="2">
        <v>0</v>
      </c>
      <c r="BY644" s="2">
        <v>9.9839999999999998E-4</v>
      </c>
      <c r="CH644" s="89">
        <v>140</v>
      </c>
      <c r="CI644" s="2">
        <v>54</v>
      </c>
      <c r="CJ644" s="2">
        <v>0</v>
      </c>
      <c r="CK644" s="2">
        <v>4.5628000000000002E-2</v>
      </c>
      <c r="CT644" s="89">
        <v>140</v>
      </c>
      <c r="CU644" s="2">
        <v>53</v>
      </c>
      <c r="CV644" s="2">
        <v>0</v>
      </c>
      <c r="CW644" s="2">
        <v>8.0000000000000002E-3</v>
      </c>
      <c r="DF644" s="89">
        <v>140</v>
      </c>
      <c r="DG644" s="2">
        <v>54</v>
      </c>
      <c r="DH644" s="2">
        <v>0</v>
      </c>
      <c r="DI644" s="2">
        <v>0.7688661</v>
      </c>
      <c r="DR644" s="89">
        <v>134</v>
      </c>
      <c r="DS644" s="2">
        <v>53</v>
      </c>
      <c r="DT644" s="2">
        <v>1</v>
      </c>
      <c r="DU644" s="2">
        <v>2.335135E-2</v>
      </c>
      <c r="ED644" s="89">
        <v>143</v>
      </c>
      <c r="EE644" s="2">
        <v>54</v>
      </c>
      <c r="EF644" s="2">
        <v>0</v>
      </c>
      <c r="EG644" s="2">
        <v>4.0000000000000001E-3</v>
      </c>
      <c r="ES644">
        <v>143</v>
      </c>
      <c r="ET644">
        <v>54</v>
      </c>
      <c r="EU644">
        <v>0</v>
      </c>
      <c r="EV644">
        <v>4.0000000000000001E-3</v>
      </c>
    </row>
    <row r="645" spans="14:152" x14ac:dyDescent="0.4">
      <c r="N645" s="89">
        <v>137</v>
      </c>
      <c r="O645" s="2">
        <v>54</v>
      </c>
      <c r="P645" s="2">
        <v>0</v>
      </c>
      <c r="Q645" s="2">
        <v>1E-3</v>
      </c>
      <c r="Z645" s="89">
        <v>127</v>
      </c>
      <c r="AA645" s="2">
        <v>55</v>
      </c>
      <c r="AB645" s="2">
        <v>0</v>
      </c>
      <c r="AC645" s="2">
        <v>1E-3</v>
      </c>
      <c r="AL645" s="89">
        <v>124</v>
      </c>
      <c r="AM645" s="2">
        <v>54</v>
      </c>
      <c r="AN645" s="2">
        <v>0</v>
      </c>
      <c r="AO645" s="2">
        <v>1E-3</v>
      </c>
      <c r="AX645" s="89">
        <v>137</v>
      </c>
      <c r="AY645" s="2">
        <v>55</v>
      </c>
      <c r="AZ645" s="2">
        <v>0</v>
      </c>
      <c r="BA645" s="2">
        <v>2.0775920000000001</v>
      </c>
      <c r="BJ645" s="89">
        <v>136</v>
      </c>
      <c r="BK645" s="2">
        <v>55</v>
      </c>
      <c r="BL645" s="2">
        <v>0</v>
      </c>
      <c r="BM645" s="2">
        <v>0.54949999999999999</v>
      </c>
      <c r="BV645" s="89">
        <v>130</v>
      </c>
      <c r="BW645" s="2">
        <v>55</v>
      </c>
      <c r="BX645" s="2">
        <v>1</v>
      </c>
      <c r="BY645" s="2">
        <v>1E-3</v>
      </c>
      <c r="CH645" s="89">
        <v>141</v>
      </c>
      <c r="CI645" s="2">
        <v>54</v>
      </c>
      <c r="CJ645" s="2">
        <v>0</v>
      </c>
      <c r="CK645" s="2">
        <v>1.2E-2</v>
      </c>
      <c r="CT645" s="89">
        <v>141</v>
      </c>
      <c r="CU645" s="2">
        <v>53</v>
      </c>
      <c r="CV645" s="2">
        <v>0</v>
      </c>
      <c r="CW645" s="2">
        <v>5.0000000000000001E-3</v>
      </c>
      <c r="DF645" s="89">
        <v>141</v>
      </c>
      <c r="DG645" s="2">
        <v>54</v>
      </c>
      <c r="DH645" s="2">
        <v>0</v>
      </c>
      <c r="DI645" s="2">
        <v>0.35772999999999999</v>
      </c>
      <c r="DR645" s="89">
        <v>135</v>
      </c>
      <c r="DS645" s="2">
        <v>53</v>
      </c>
      <c r="DT645" s="2">
        <v>0</v>
      </c>
      <c r="DU645" s="2">
        <v>8.1630000000000001E-3</v>
      </c>
      <c r="ED645" s="89">
        <v>129</v>
      </c>
      <c r="EE645" s="2">
        <v>55</v>
      </c>
      <c r="EF645" s="2">
        <v>0</v>
      </c>
      <c r="EG645" s="2">
        <v>4.0000000000000001E-3</v>
      </c>
      <c r="ES645">
        <v>129</v>
      </c>
      <c r="ET645">
        <v>55</v>
      </c>
      <c r="EU645">
        <v>0</v>
      </c>
      <c r="EV645">
        <v>4.0000000000000001E-3</v>
      </c>
    </row>
    <row r="646" spans="14:152" x14ac:dyDescent="0.4">
      <c r="N646" s="89">
        <v>138</v>
      </c>
      <c r="O646" s="2">
        <v>54</v>
      </c>
      <c r="P646" s="2">
        <v>0</v>
      </c>
      <c r="Q646" s="2">
        <v>1E-3</v>
      </c>
      <c r="Z646" s="89">
        <v>129</v>
      </c>
      <c r="AA646" s="2">
        <v>55</v>
      </c>
      <c r="AB646" s="2">
        <v>0</v>
      </c>
      <c r="AC646" s="2">
        <v>9.0000010000000005E-3</v>
      </c>
      <c r="AL646" s="89">
        <v>125</v>
      </c>
      <c r="AM646" s="2">
        <v>54</v>
      </c>
      <c r="AN646" s="2">
        <v>0</v>
      </c>
      <c r="AO646" s="2">
        <v>1.4E-2</v>
      </c>
      <c r="AX646" s="89">
        <v>138</v>
      </c>
      <c r="AY646" s="2">
        <v>55</v>
      </c>
      <c r="AZ646" s="2">
        <v>0</v>
      </c>
      <c r="BA646" s="2">
        <v>1.587491</v>
      </c>
      <c r="BJ646" s="89">
        <v>136</v>
      </c>
      <c r="BK646" s="2">
        <v>55</v>
      </c>
      <c r="BL646" s="2">
        <v>1</v>
      </c>
      <c r="BM646" s="2">
        <v>0.5550001</v>
      </c>
      <c r="BV646" s="89">
        <v>131</v>
      </c>
      <c r="BW646" s="2">
        <v>55</v>
      </c>
      <c r="BX646" s="2">
        <v>0</v>
      </c>
      <c r="BY646" s="2">
        <v>1.2E-2</v>
      </c>
      <c r="CH646" s="89">
        <v>142</v>
      </c>
      <c r="CI646" s="2">
        <v>54</v>
      </c>
      <c r="CJ646" s="2">
        <v>0</v>
      </c>
      <c r="CK646" s="2">
        <v>3.0000000000000001E-3</v>
      </c>
      <c r="CT646" s="89">
        <v>142</v>
      </c>
      <c r="CU646" s="2">
        <v>53</v>
      </c>
      <c r="CV646" s="2">
        <v>0</v>
      </c>
      <c r="CW646" s="2">
        <v>1E-3</v>
      </c>
      <c r="DF646" s="89">
        <v>142</v>
      </c>
      <c r="DG646" s="2">
        <v>54</v>
      </c>
      <c r="DH646" s="2">
        <v>0</v>
      </c>
      <c r="DI646" s="2">
        <v>0.17510000000000001</v>
      </c>
      <c r="DR646" s="89">
        <v>136</v>
      </c>
      <c r="DS646" s="2">
        <v>53</v>
      </c>
      <c r="DT646" s="2">
        <v>0</v>
      </c>
      <c r="DU646" s="2">
        <v>1.7091999999999999E-3</v>
      </c>
      <c r="ED646" s="89">
        <v>130</v>
      </c>
      <c r="EE646" s="2">
        <v>55</v>
      </c>
      <c r="EF646" s="2">
        <v>0</v>
      </c>
      <c r="EG646" s="2">
        <v>1.59744E-2</v>
      </c>
      <c r="ES646">
        <v>130</v>
      </c>
      <c r="ET646">
        <v>55</v>
      </c>
      <c r="EU646">
        <v>0</v>
      </c>
      <c r="EV646">
        <v>1.59744E-2</v>
      </c>
    </row>
    <row r="647" spans="14:152" x14ac:dyDescent="0.4">
      <c r="N647" s="89">
        <v>128</v>
      </c>
      <c r="O647" s="2">
        <v>55</v>
      </c>
      <c r="P647" s="2">
        <v>0</v>
      </c>
      <c r="Q647" s="2">
        <v>3.0000000000000001E-3</v>
      </c>
      <c r="Z647" s="89">
        <v>130</v>
      </c>
      <c r="AA647" s="2">
        <v>55</v>
      </c>
      <c r="AB647" s="2">
        <v>0</v>
      </c>
      <c r="AC647" s="2">
        <v>1.59744E-2</v>
      </c>
      <c r="AL647" s="89">
        <v>125</v>
      </c>
      <c r="AM647" s="2">
        <v>54</v>
      </c>
      <c r="AN647" s="2">
        <v>1</v>
      </c>
      <c r="AO647" s="2">
        <v>1.2E-2</v>
      </c>
      <c r="AX647" s="89">
        <v>138</v>
      </c>
      <c r="AY647" s="2">
        <v>55</v>
      </c>
      <c r="AZ647" s="2">
        <v>1</v>
      </c>
      <c r="BA647" s="2">
        <v>0.67542970000000002</v>
      </c>
      <c r="BJ647" s="89">
        <v>137</v>
      </c>
      <c r="BK647" s="2">
        <v>55</v>
      </c>
      <c r="BL647" s="2">
        <v>0</v>
      </c>
      <c r="BM647" s="2">
        <v>1.4757990000000001</v>
      </c>
      <c r="BV647" s="89">
        <v>132</v>
      </c>
      <c r="BW647" s="2">
        <v>55</v>
      </c>
      <c r="BX647" s="2">
        <v>0</v>
      </c>
      <c r="BY647" s="2">
        <v>3.5000000000000003E-2</v>
      </c>
      <c r="CH647" s="89">
        <v>127</v>
      </c>
      <c r="CI647" s="2">
        <v>55</v>
      </c>
      <c r="CJ647" s="2">
        <v>0</v>
      </c>
      <c r="CK647" s="2">
        <v>2E-3</v>
      </c>
      <c r="CT647" s="89">
        <v>125</v>
      </c>
      <c r="CU647" s="2">
        <v>54</v>
      </c>
      <c r="CV647" s="2">
        <v>0</v>
      </c>
      <c r="CW647" s="2">
        <v>3.0000000000000001E-3</v>
      </c>
      <c r="DF647" s="89">
        <v>143</v>
      </c>
      <c r="DG647" s="2">
        <v>54</v>
      </c>
      <c r="DH647" s="2">
        <v>0</v>
      </c>
      <c r="DI647" s="2">
        <v>4.9399999999999999E-2</v>
      </c>
      <c r="DR647" s="89">
        <v>136</v>
      </c>
      <c r="DS647" s="2">
        <v>53</v>
      </c>
      <c r="DT647" s="2">
        <v>1</v>
      </c>
      <c r="DU647" s="2">
        <v>6.1250000000000002E-3</v>
      </c>
      <c r="ED647" s="89">
        <v>130</v>
      </c>
      <c r="EE647" s="2">
        <v>55</v>
      </c>
      <c r="EF647" s="2">
        <v>1</v>
      </c>
      <c r="EG647" s="2">
        <v>1.6E-2</v>
      </c>
      <c r="ES647">
        <v>130</v>
      </c>
      <c r="ET647">
        <v>55</v>
      </c>
      <c r="EU647">
        <v>1</v>
      </c>
      <c r="EV647">
        <v>1.6E-2</v>
      </c>
    </row>
    <row r="648" spans="14:152" x14ac:dyDescent="0.4">
      <c r="N648" s="89">
        <v>129</v>
      </c>
      <c r="O648" s="2">
        <v>55</v>
      </c>
      <c r="P648" s="2">
        <v>0</v>
      </c>
      <c r="Q648" s="2">
        <v>1.0999999999999999E-2</v>
      </c>
      <c r="Z648" s="89">
        <v>130</v>
      </c>
      <c r="AA648" s="2">
        <v>55</v>
      </c>
      <c r="AB648" s="2">
        <v>1</v>
      </c>
      <c r="AC648" s="2">
        <v>1.6E-2</v>
      </c>
      <c r="AL648" s="89">
        <v>126</v>
      </c>
      <c r="AM648" s="2">
        <v>54</v>
      </c>
      <c r="AN648" s="2">
        <v>0</v>
      </c>
      <c r="AO648" s="2">
        <v>0.129274</v>
      </c>
      <c r="AX648" s="89">
        <v>139</v>
      </c>
      <c r="AY648" s="2">
        <v>55</v>
      </c>
      <c r="AZ648" s="2">
        <v>0</v>
      </c>
      <c r="BA648" s="2">
        <v>1.347955</v>
      </c>
      <c r="BJ648" s="89">
        <v>138</v>
      </c>
      <c r="BK648" s="2">
        <v>55</v>
      </c>
      <c r="BL648" s="2">
        <v>0</v>
      </c>
      <c r="BM648" s="2">
        <v>0.99293120000000001</v>
      </c>
      <c r="BV648" s="89">
        <v>133</v>
      </c>
      <c r="BW648" s="2">
        <v>55</v>
      </c>
      <c r="BX648" s="2">
        <v>0</v>
      </c>
      <c r="BY648" s="2">
        <v>3.6921140000000001</v>
      </c>
      <c r="CH648" s="89">
        <v>128</v>
      </c>
      <c r="CI648" s="2">
        <v>55</v>
      </c>
      <c r="CJ648" s="2">
        <v>0</v>
      </c>
      <c r="CK648" s="2">
        <v>3.0000000000000001E-3</v>
      </c>
      <c r="CT648" s="89">
        <v>125</v>
      </c>
      <c r="CU648" s="2">
        <v>54</v>
      </c>
      <c r="CV648" s="2">
        <v>1</v>
      </c>
      <c r="CW648" s="2">
        <v>3.0000000000000001E-3</v>
      </c>
      <c r="DF648" s="89">
        <v>144</v>
      </c>
      <c r="DG648" s="2">
        <v>54</v>
      </c>
      <c r="DH648" s="2">
        <v>0</v>
      </c>
      <c r="DI648" s="2">
        <v>0.01</v>
      </c>
      <c r="DR648" s="89">
        <v>137</v>
      </c>
      <c r="DS648" s="2">
        <v>53</v>
      </c>
      <c r="DT648" s="2">
        <v>0</v>
      </c>
      <c r="DU648" s="2">
        <v>6.0000000000000001E-3</v>
      </c>
      <c r="ED648" s="89">
        <v>131</v>
      </c>
      <c r="EE648" s="2">
        <v>55</v>
      </c>
      <c r="EF648" s="2">
        <v>0</v>
      </c>
      <c r="EG648" s="2">
        <v>4.8000000000000001E-2</v>
      </c>
      <c r="ES648">
        <v>131</v>
      </c>
      <c r="ET648">
        <v>55</v>
      </c>
      <c r="EU648">
        <v>0</v>
      </c>
      <c r="EV648">
        <v>4.8000000000000001E-2</v>
      </c>
    </row>
    <row r="649" spans="14:152" x14ac:dyDescent="0.4">
      <c r="N649" s="89">
        <v>130</v>
      </c>
      <c r="O649" s="2">
        <v>55</v>
      </c>
      <c r="P649" s="2">
        <v>0</v>
      </c>
      <c r="Q649" s="2">
        <v>3.5951999999999998E-2</v>
      </c>
      <c r="Z649" s="89">
        <v>131</v>
      </c>
      <c r="AA649" s="2">
        <v>55</v>
      </c>
      <c r="AB649" s="2">
        <v>0</v>
      </c>
      <c r="AC649" s="2">
        <v>5.0999999999999997E-2</v>
      </c>
      <c r="AL649" s="89">
        <v>127</v>
      </c>
      <c r="AM649" s="2">
        <v>54</v>
      </c>
      <c r="AN649" s="2">
        <v>0</v>
      </c>
      <c r="AO649" s="2">
        <v>9.9000000000000005E-2</v>
      </c>
      <c r="AX649" s="89">
        <v>140</v>
      </c>
      <c r="AY649" s="2">
        <v>55</v>
      </c>
      <c r="AZ649" s="2">
        <v>0</v>
      </c>
      <c r="BA649" s="2">
        <v>0.83934589999999998</v>
      </c>
      <c r="BJ649" s="89">
        <v>138</v>
      </c>
      <c r="BK649" s="2">
        <v>55</v>
      </c>
      <c r="BL649" s="2">
        <v>1</v>
      </c>
      <c r="BM649" s="2">
        <v>0.54663600000000001</v>
      </c>
      <c r="BV649" s="89">
        <v>134</v>
      </c>
      <c r="BW649" s="2">
        <v>55</v>
      </c>
      <c r="BX649" s="2">
        <v>0</v>
      </c>
      <c r="BY649" s="2">
        <v>0.251</v>
      </c>
      <c r="CH649" s="89">
        <v>129</v>
      </c>
      <c r="CI649" s="2">
        <v>55</v>
      </c>
      <c r="CJ649" s="2">
        <v>0</v>
      </c>
      <c r="CK649" s="2">
        <v>1.6E-2</v>
      </c>
      <c r="CT649" s="89">
        <v>126</v>
      </c>
      <c r="CU649" s="2">
        <v>54</v>
      </c>
      <c r="CV649" s="2">
        <v>0</v>
      </c>
      <c r="CW649" s="2">
        <v>8.8971010000000003E-2</v>
      </c>
      <c r="DF649" s="89">
        <v>145</v>
      </c>
      <c r="DG649" s="2">
        <v>54</v>
      </c>
      <c r="DH649" s="2">
        <v>0</v>
      </c>
      <c r="DI649" s="2">
        <v>4.0000000000000001E-3</v>
      </c>
      <c r="DR649" s="89">
        <v>138</v>
      </c>
      <c r="DS649" s="2">
        <v>53</v>
      </c>
      <c r="DT649" s="2">
        <v>0</v>
      </c>
      <c r="DU649" s="2">
        <v>1E-3</v>
      </c>
      <c r="ED649" s="89">
        <v>132</v>
      </c>
      <c r="EE649" s="2">
        <v>55</v>
      </c>
      <c r="EF649" s="2">
        <v>0</v>
      </c>
      <c r="EG649" s="2">
        <v>0.11799999999999999</v>
      </c>
      <c r="ES649">
        <v>132</v>
      </c>
      <c r="ET649">
        <v>55</v>
      </c>
      <c r="EU649">
        <v>0</v>
      </c>
      <c r="EV649">
        <v>0.11799999999999999</v>
      </c>
    </row>
    <row r="650" spans="14:152" x14ac:dyDescent="0.4">
      <c r="N650" s="89">
        <v>130</v>
      </c>
      <c r="O650" s="2">
        <v>55</v>
      </c>
      <c r="P650" s="2">
        <v>1</v>
      </c>
      <c r="Q650" s="2">
        <v>0.03</v>
      </c>
      <c r="Z650" s="89">
        <v>132</v>
      </c>
      <c r="AA650" s="2">
        <v>55</v>
      </c>
      <c r="AB650" s="2">
        <v>0</v>
      </c>
      <c r="AC650" s="2">
        <v>0.05</v>
      </c>
      <c r="AL650" s="89">
        <v>127</v>
      </c>
      <c r="AM650" s="2">
        <v>54</v>
      </c>
      <c r="AN650" s="2">
        <v>1</v>
      </c>
      <c r="AO650" s="2">
        <v>8.5000000000000006E-2</v>
      </c>
      <c r="AX650" s="89">
        <v>141</v>
      </c>
      <c r="AY650" s="2">
        <v>55</v>
      </c>
      <c r="AZ650" s="2">
        <v>0</v>
      </c>
      <c r="BA650" s="2">
        <v>0.4971488</v>
      </c>
      <c r="BJ650" s="89">
        <v>139</v>
      </c>
      <c r="BK650" s="2">
        <v>55</v>
      </c>
      <c r="BL650" s="2">
        <v>0</v>
      </c>
      <c r="BM650" s="2">
        <v>0.73952499999999999</v>
      </c>
      <c r="BV650" s="89">
        <v>134</v>
      </c>
      <c r="BW650" s="2">
        <v>55</v>
      </c>
      <c r="BX650" s="2">
        <v>1</v>
      </c>
      <c r="BY650" s="2">
        <v>0.17699999999999999</v>
      </c>
      <c r="CH650" s="89">
        <v>130</v>
      </c>
      <c r="CI650" s="2">
        <v>55</v>
      </c>
      <c r="CJ650" s="2">
        <v>0</v>
      </c>
      <c r="CK650" s="2">
        <v>6.2907199999999996E-2</v>
      </c>
      <c r="CT650" s="89">
        <v>127</v>
      </c>
      <c r="CU650" s="2">
        <v>54</v>
      </c>
      <c r="CV650" s="2">
        <v>0</v>
      </c>
      <c r="CW650" s="2">
        <v>2.5999999999999999E-2</v>
      </c>
      <c r="DF650" s="89">
        <v>146</v>
      </c>
      <c r="DG650" s="2">
        <v>54</v>
      </c>
      <c r="DH650" s="2">
        <v>0</v>
      </c>
      <c r="DI650" s="2">
        <v>1E-3</v>
      </c>
      <c r="DR650" s="89">
        <v>126</v>
      </c>
      <c r="DS650" s="2">
        <v>54</v>
      </c>
      <c r="DT650" s="2">
        <v>0</v>
      </c>
      <c r="DU650" s="2">
        <v>8.8660010000000001E-3</v>
      </c>
      <c r="ED650" s="89">
        <v>133</v>
      </c>
      <c r="EE650" s="2">
        <v>55</v>
      </c>
      <c r="EF650" s="2">
        <v>0</v>
      </c>
      <c r="EG650" s="2">
        <v>3.4035570000000002</v>
      </c>
      <c r="ES650">
        <v>133</v>
      </c>
      <c r="ET650">
        <v>55</v>
      </c>
      <c r="EU650">
        <v>0</v>
      </c>
      <c r="EV650">
        <v>3.4035570000000002</v>
      </c>
    </row>
    <row r="651" spans="14:152" x14ac:dyDescent="0.4">
      <c r="N651" s="89">
        <v>131</v>
      </c>
      <c r="O651" s="2">
        <v>55</v>
      </c>
      <c r="P651" s="2">
        <v>0</v>
      </c>
      <c r="Q651" s="2">
        <v>4.3999999999999997E-2</v>
      </c>
      <c r="Z651" s="89">
        <v>133</v>
      </c>
      <c r="AA651" s="2">
        <v>55</v>
      </c>
      <c r="AB651" s="2">
        <v>0</v>
      </c>
      <c r="AC651" s="2">
        <v>0.192</v>
      </c>
      <c r="AL651" s="89">
        <v>128</v>
      </c>
      <c r="AM651" s="2">
        <v>54</v>
      </c>
      <c r="AN651" s="2">
        <v>0</v>
      </c>
      <c r="AO651" s="2">
        <v>0.37716499999999997</v>
      </c>
      <c r="AX651" s="89">
        <v>142</v>
      </c>
      <c r="AY651" s="2">
        <v>55</v>
      </c>
      <c r="AZ651" s="2">
        <v>0</v>
      </c>
      <c r="BA651" s="2">
        <v>0.25601439999999998</v>
      </c>
      <c r="BJ651" s="89">
        <v>140</v>
      </c>
      <c r="BK651" s="2">
        <v>55</v>
      </c>
      <c r="BL651" s="2">
        <v>0</v>
      </c>
      <c r="BM651" s="2">
        <v>0.4601285</v>
      </c>
      <c r="BV651" s="89">
        <v>135</v>
      </c>
      <c r="BW651" s="2">
        <v>55</v>
      </c>
      <c r="BX651" s="2">
        <v>0</v>
      </c>
      <c r="BY651" s="2">
        <v>3.4957479999999999</v>
      </c>
      <c r="CH651" s="89">
        <v>130</v>
      </c>
      <c r="CI651" s="2">
        <v>55</v>
      </c>
      <c r="CJ651" s="2">
        <v>1</v>
      </c>
      <c r="CK651" s="2">
        <v>5.8000000000000003E-2</v>
      </c>
      <c r="CT651" s="89">
        <v>127</v>
      </c>
      <c r="CU651" s="2">
        <v>54</v>
      </c>
      <c r="CV651" s="2">
        <v>1</v>
      </c>
      <c r="CW651" s="2">
        <v>2.4E-2</v>
      </c>
      <c r="DF651" s="89">
        <v>132</v>
      </c>
      <c r="DG651" s="2">
        <v>55</v>
      </c>
      <c r="DH651" s="2">
        <v>0</v>
      </c>
      <c r="DI651" s="2">
        <v>3.0000000000000001E-3</v>
      </c>
      <c r="DR651" s="89">
        <v>127</v>
      </c>
      <c r="DS651" s="2">
        <v>54</v>
      </c>
      <c r="DT651" s="2">
        <v>0</v>
      </c>
      <c r="DU651" s="2">
        <v>2E-3</v>
      </c>
      <c r="ED651" s="89">
        <v>134</v>
      </c>
      <c r="EE651" s="2">
        <v>55</v>
      </c>
      <c r="EF651" s="2">
        <v>0</v>
      </c>
      <c r="EG651" s="2">
        <v>0.47399999999999998</v>
      </c>
      <c r="ES651">
        <v>134</v>
      </c>
      <c r="ET651">
        <v>55</v>
      </c>
      <c r="EU651">
        <v>0</v>
      </c>
      <c r="EV651">
        <v>0.47399999999999998</v>
      </c>
    </row>
    <row r="652" spans="14:152" x14ac:dyDescent="0.4">
      <c r="N652" s="89">
        <v>132</v>
      </c>
      <c r="O652" s="2">
        <v>55</v>
      </c>
      <c r="P652" s="2">
        <v>0</v>
      </c>
      <c r="Q652" s="2">
        <v>7.8E-2</v>
      </c>
      <c r="Z652" s="89">
        <v>134</v>
      </c>
      <c r="AA652" s="2">
        <v>55</v>
      </c>
      <c r="AB652" s="2">
        <v>0</v>
      </c>
      <c r="AC652" s="2">
        <v>8.3000000000000004E-2</v>
      </c>
      <c r="AL652" s="89">
        <v>129</v>
      </c>
      <c r="AM652" s="2">
        <v>54</v>
      </c>
      <c r="AN652" s="2">
        <v>0</v>
      </c>
      <c r="AO652" s="2">
        <v>0.216</v>
      </c>
      <c r="AX652" s="89">
        <v>143</v>
      </c>
      <c r="AY652" s="2">
        <v>55</v>
      </c>
      <c r="AZ652" s="2">
        <v>0</v>
      </c>
      <c r="BA652" s="2">
        <v>9.4940010000000005E-2</v>
      </c>
      <c r="BJ652" s="89">
        <v>141</v>
      </c>
      <c r="BK652" s="2">
        <v>55</v>
      </c>
      <c r="BL652" s="2">
        <v>0</v>
      </c>
      <c r="BM652" s="2">
        <v>0.27080729999999997</v>
      </c>
      <c r="BV652" s="89">
        <v>135</v>
      </c>
      <c r="BW652" s="2">
        <v>55</v>
      </c>
      <c r="BX652" s="2">
        <v>1</v>
      </c>
      <c r="BY652" s="2">
        <v>0.27357550000000003</v>
      </c>
      <c r="CH652" s="89">
        <v>131</v>
      </c>
      <c r="CI652" s="2">
        <v>55</v>
      </c>
      <c r="CJ652" s="2">
        <v>0</v>
      </c>
      <c r="CK652" s="2">
        <v>0.19900000000000001</v>
      </c>
      <c r="CT652" s="89">
        <v>128</v>
      </c>
      <c r="CU652" s="2">
        <v>54</v>
      </c>
      <c r="CV652" s="2">
        <v>0</v>
      </c>
      <c r="CW652" s="2">
        <v>0.79773289999999997</v>
      </c>
      <c r="DF652" s="89">
        <v>133</v>
      </c>
      <c r="DG652" s="2">
        <v>55</v>
      </c>
      <c r="DH652" s="2">
        <v>0</v>
      </c>
      <c r="DI652" s="2">
        <v>4.4521139999999999</v>
      </c>
      <c r="DR652" s="89">
        <v>127</v>
      </c>
      <c r="DS652" s="2">
        <v>54</v>
      </c>
      <c r="DT652" s="2">
        <v>1</v>
      </c>
      <c r="DU652" s="2">
        <v>2E-3</v>
      </c>
      <c r="ED652" s="89">
        <v>134</v>
      </c>
      <c r="EE652" s="2">
        <v>55</v>
      </c>
      <c r="EF652" s="2">
        <v>1</v>
      </c>
      <c r="EG652" s="2">
        <v>0.36599999999999999</v>
      </c>
      <c r="ES652">
        <v>134</v>
      </c>
      <c r="ET652">
        <v>55</v>
      </c>
      <c r="EU652">
        <v>1</v>
      </c>
      <c r="EV652">
        <v>0.36599999999999999</v>
      </c>
    </row>
    <row r="653" spans="14:152" x14ac:dyDescent="0.4">
      <c r="N653" s="89">
        <v>133</v>
      </c>
      <c r="O653" s="2">
        <v>55</v>
      </c>
      <c r="P653" s="2">
        <v>0</v>
      </c>
      <c r="Q653" s="2">
        <v>0.127</v>
      </c>
      <c r="Z653" s="89">
        <v>134</v>
      </c>
      <c r="AA653" s="2">
        <v>55</v>
      </c>
      <c r="AB653" s="2">
        <v>1</v>
      </c>
      <c r="AC653" s="2">
        <v>5.8999999999999997E-2</v>
      </c>
      <c r="AL653" s="89">
        <v>129</v>
      </c>
      <c r="AM653" s="2">
        <v>54</v>
      </c>
      <c r="AN653" s="2">
        <v>1</v>
      </c>
      <c r="AO653" s="2">
        <v>0.16765630000000001</v>
      </c>
      <c r="AX653" s="89">
        <v>144</v>
      </c>
      <c r="AY653" s="2">
        <v>55</v>
      </c>
      <c r="AZ653" s="2">
        <v>0</v>
      </c>
      <c r="BA653" s="2">
        <v>2.8007500000000001E-2</v>
      </c>
      <c r="BJ653" s="89">
        <v>142</v>
      </c>
      <c r="BK653" s="2">
        <v>55</v>
      </c>
      <c r="BL653" s="2">
        <v>0</v>
      </c>
      <c r="BM653" s="2">
        <v>0.14602119999999999</v>
      </c>
      <c r="BV653" s="89">
        <v>136</v>
      </c>
      <c r="BW653" s="2">
        <v>55</v>
      </c>
      <c r="BX653" s="2">
        <v>0</v>
      </c>
      <c r="BY653" s="2">
        <v>0.52300000000000002</v>
      </c>
      <c r="CH653" s="89">
        <v>132</v>
      </c>
      <c r="CI653" s="2">
        <v>55</v>
      </c>
      <c r="CJ653" s="2">
        <v>0</v>
      </c>
      <c r="CK653" s="2">
        <v>0.40799999999999997</v>
      </c>
      <c r="CT653" s="89">
        <v>129</v>
      </c>
      <c r="CU653" s="2">
        <v>54</v>
      </c>
      <c r="CV653" s="2">
        <v>0</v>
      </c>
      <c r="CW653" s="2">
        <v>0.34200000000000003</v>
      </c>
      <c r="DF653" s="89">
        <v>134</v>
      </c>
      <c r="DG653" s="2">
        <v>55</v>
      </c>
      <c r="DH653" s="2">
        <v>0</v>
      </c>
      <c r="DI653" s="2">
        <v>4.500001E-2</v>
      </c>
      <c r="DR653" s="89">
        <v>128</v>
      </c>
      <c r="DS653" s="2">
        <v>54</v>
      </c>
      <c r="DT653" s="2">
        <v>0</v>
      </c>
      <c r="DU653" s="2">
        <v>0.104824</v>
      </c>
      <c r="ED653" s="89">
        <v>135</v>
      </c>
      <c r="EE653" s="2">
        <v>55</v>
      </c>
      <c r="EF653" s="2">
        <v>0</v>
      </c>
      <c r="EG653" s="2">
        <v>3.117518</v>
      </c>
      <c r="ES653">
        <v>135</v>
      </c>
      <c r="ET653">
        <v>55</v>
      </c>
      <c r="EU653">
        <v>0</v>
      </c>
      <c r="EV653">
        <v>3.117518</v>
      </c>
    </row>
    <row r="654" spans="14:152" x14ac:dyDescent="0.4">
      <c r="N654" s="89">
        <v>134</v>
      </c>
      <c r="O654" s="2">
        <v>55</v>
      </c>
      <c r="P654" s="2">
        <v>0</v>
      </c>
      <c r="Q654" s="2">
        <v>6.2E-2</v>
      </c>
      <c r="Z654" s="89">
        <v>135</v>
      </c>
      <c r="AA654" s="2">
        <v>55</v>
      </c>
      <c r="AB654" s="2">
        <v>0</v>
      </c>
      <c r="AC654" s="2">
        <v>9.9000009999999999E-2</v>
      </c>
      <c r="AL654" s="89">
        <v>130</v>
      </c>
      <c r="AM654" s="2">
        <v>54</v>
      </c>
      <c r="AN654" s="2">
        <v>0</v>
      </c>
      <c r="AO654" s="2">
        <v>0.33024910000000002</v>
      </c>
      <c r="AX654" s="89">
        <v>144</v>
      </c>
      <c r="AY654" s="2">
        <v>55</v>
      </c>
      <c r="AZ654" s="2">
        <v>1</v>
      </c>
      <c r="BA654" s="2">
        <v>2.5000000000000001E-5</v>
      </c>
      <c r="BJ654" s="89">
        <v>143</v>
      </c>
      <c r="BK654" s="2">
        <v>55</v>
      </c>
      <c r="BL654" s="2">
        <v>0</v>
      </c>
      <c r="BM654" s="2">
        <v>5.4980000000000001E-2</v>
      </c>
      <c r="BV654" s="89">
        <v>136</v>
      </c>
      <c r="BW654" s="2">
        <v>55</v>
      </c>
      <c r="BX654" s="2">
        <v>1</v>
      </c>
      <c r="BY654" s="2">
        <v>0.49</v>
      </c>
      <c r="CH654" s="89">
        <v>133</v>
      </c>
      <c r="CI654" s="2">
        <v>55</v>
      </c>
      <c r="CJ654" s="2">
        <v>0</v>
      </c>
      <c r="CK654" s="2">
        <v>3.358006</v>
      </c>
      <c r="CT654" s="89">
        <v>129</v>
      </c>
      <c r="CU654" s="2">
        <v>54</v>
      </c>
      <c r="CV654" s="2">
        <v>1</v>
      </c>
      <c r="CW654" s="2">
        <v>0.3016588</v>
      </c>
      <c r="DF654" s="89">
        <v>134</v>
      </c>
      <c r="DG654" s="2">
        <v>55</v>
      </c>
      <c r="DH654" s="2">
        <v>1</v>
      </c>
      <c r="DI654" s="2">
        <v>3.5000000000000003E-2</v>
      </c>
      <c r="DR654" s="89">
        <v>129</v>
      </c>
      <c r="DS654" s="2">
        <v>54</v>
      </c>
      <c r="DT654" s="2">
        <v>0</v>
      </c>
      <c r="DU654" s="2">
        <v>2.8000000000000001E-2</v>
      </c>
      <c r="ED654" s="89">
        <v>135</v>
      </c>
      <c r="EE654" s="2">
        <v>55</v>
      </c>
      <c r="EF654" s="2">
        <v>1</v>
      </c>
      <c r="EG654" s="2">
        <v>0.42002919999999999</v>
      </c>
      <c r="ES654">
        <v>135</v>
      </c>
      <c r="ET654">
        <v>55</v>
      </c>
      <c r="EU654">
        <v>1</v>
      </c>
      <c r="EV654">
        <v>0.42002919999999999</v>
      </c>
    </row>
    <row r="655" spans="14:152" x14ac:dyDescent="0.4">
      <c r="N655" s="89">
        <v>134</v>
      </c>
      <c r="O655" s="2">
        <v>55</v>
      </c>
      <c r="P655" s="2">
        <v>1</v>
      </c>
      <c r="Q655" s="2">
        <v>5.0999999999999997E-2</v>
      </c>
      <c r="Z655" s="89">
        <v>135</v>
      </c>
      <c r="AA655" s="2">
        <v>55</v>
      </c>
      <c r="AB655" s="2">
        <v>1</v>
      </c>
      <c r="AC655" s="2">
        <v>4.7819279999999999E-2</v>
      </c>
      <c r="AL655" s="89">
        <v>131</v>
      </c>
      <c r="AM655" s="2">
        <v>54</v>
      </c>
      <c r="AN655" s="2">
        <v>0</v>
      </c>
      <c r="AO655" s="2">
        <v>0.29599999999999999</v>
      </c>
      <c r="AX655" s="89">
        <v>145</v>
      </c>
      <c r="AY655" s="2">
        <v>55</v>
      </c>
      <c r="AZ655" s="2">
        <v>0</v>
      </c>
      <c r="BA655" s="2">
        <v>3.9500000000000004E-3</v>
      </c>
      <c r="BJ655" s="89">
        <v>144</v>
      </c>
      <c r="BK655" s="2">
        <v>55</v>
      </c>
      <c r="BL655" s="2">
        <v>0</v>
      </c>
      <c r="BM655" s="2">
        <v>1.5970000000000002E-2</v>
      </c>
      <c r="BV655" s="89">
        <v>137</v>
      </c>
      <c r="BW655" s="2">
        <v>55</v>
      </c>
      <c r="BX655" s="2">
        <v>0</v>
      </c>
      <c r="BY655" s="2">
        <v>2.5804279999999999</v>
      </c>
      <c r="CH655" s="89">
        <v>134</v>
      </c>
      <c r="CI655" s="2">
        <v>55</v>
      </c>
      <c r="CJ655" s="2">
        <v>0</v>
      </c>
      <c r="CK655" s="2">
        <v>0.83699999999999997</v>
      </c>
      <c r="CT655" s="89">
        <v>130</v>
      </c>
      <c r="CU655" s="2">
        <v>54</v>
      </c>
      <c r="CV655" s="2">
        <v>0</v>
      </c>
      <c r="CW655" s="2">
        <v>2.0279929999999999</v>
      </c>
      <c r="DF655" s="89">
        <v>135</v>
      </c>
      <c r="DG655" s="2">
        <v>55</v>
      </c>
      <c r="DH655" s="2">
        <v>0</v>
      </c>
      <c r="DI655" s="2">
        <v>4.6671040000000001</v>
      </c>
      <c r="DR655" s="89">
        <v>129</v>
      </c>
      <c r="DS655" s="2">
        <v>54</v>
      </c>
      <c r="DT655" s="2">
        <v>1</v>
      </c>
      <c r="DU655" s="2">
        <v>2.52E-2</v>
      </c>
      <c r="ED655" s="89">
        <v>136</v>
      </c>
      <c r="EE655" s="2">
        <v>55</v>
      </c>
      <c r="EF655" s="2">
        <v>0</v>
      </c>
      <c r="EG655" s="2">
        <v>0.57150009999999996</v>
      </c>
      <c r="ES655">
        <v>136</v>
      </c>
      <c r="ET655">
        <v>55</v>
      </c>
      <c r="EU655">
        <v>0</v>
      </c>
      <c r="EV655">
        <v>0.57150009999999996</v>
      </c>
    </row>
    <row r="656" spans="14:152" x14ac:dyDescent="0.4">
      <c r="N656" s="89">
        <v>135</v>
      </c>
      <c r="O656" s="2">
        <v>55</v>
      </c>
      <c r="P656" s="2">
        <v>0</v>
      </c>
      <c r="Q656" s="2">
        <v>5.6000000000000001E-2</v>
      </c>
      <c r="Z656" s="89">
        <v>136</v>
      </c>
      <c r="AA656" s="2">
        <v>55</v>
      </c>
      <c r="AB656" s="2">
        <v>0</v>
      </c>
      <c r="AC656" s="2">
        <v>2.7E-2</v>
      </c>
      <c r="AL656" s="89">
        <v>131</v>
      </c>
      <c r="AM656" s="2">
        <v>54</v>
      </c>
      <c r="AN656" s="2">
        <v>1</v>
      </c>
      <c r="AO656" s="2">
        <v>0.12117940000000001</v>
      </c>
      <c r="AX656" s="89">
        <v>146</v>
      </c>
      <c r="AY656" s="2">
        <v>55</v>
      </c>
      <c r="AZ656" s="2">
        <v>0</v>
      </c>
      <c r="BA656" s="2">
        <v>4.0000000000000001E-3</v>
      </c>
      <c r="BJ656" s="89">
        <v>145</v>
      </c>
      <c r="BK656" s="2">
        <v>55</v>
      </c>
      <c r="BL656" s="2">
        <v>0</v>
      </c>
      <c r="BM656" s="2">
        <v>3.0000000000000001E-3</v>
      </c>
      <c r="BV656" s="89">
        <v>138</v>
      </c>
      <c r="BW656" s="2">
        <v>55</v>
      </c>
      <c r="BX656" s="2">
        <v>0</v>
      </c>
      <c r="BY656" s="2">
        <v>2.0132349999999999</v>
      </c>
      <c r="CH656" s="89">
        <v>134</v>
      </c>
      <c r="CI656" s="2">
        <v>55</v>
      </c>
      <c r="CJ656" s="2">
        <v>1</v>
      </c>
      <c r="CK656" s="2">
        <v>0.64700000000000002</v>
      </c>
      <c r="CT656" s="89">
        <v>131</v>
      </c>
      <c r="CU656" s="2">
        <v>54</v>
      </c>
      <c r="CV656" s="2">
        <v>0</v>
      </c>
      <c r="CW656" s="2">
        <v>3.843</v>
      </c>
      <c r="DF656" s="89">
        <v>135</v>
      </c>
      <c r="DG656" s="2">
        <v>55</v>
      </c>
      <c r="DH656" s="2">
        <v>1</v>
      </c>
      <c r="DI656" s="2">
        <v>8.6582290000000006E-2</v>
      </c>
      <c r="DR656" s="89">
        <v>130</v>
      </c>
      <c r="DS656" s="2">
        <v>54</v>
      </c>
      <c r="DT656" s="2">
        <v>0</v>
      </c>
      <c r="DU656" s="2">
        <v>0.25396809999999997</v>
      </c>
      <c r="ED656" s="89">
        <v>136</v>
      </c>
      <c r="EE656" s="2">
        <v>55</v>
      </c>
      <c r="EF656" s="2">
        <v>1</v>
      </c>
      <c r="EG656" s="2">
        <v>0.57499999999999996</v>
      </c>
      <c r="ES656">
        <v>136</v>
      </c>
      <c r="ET656">
        <v>55</v>
      </c>
      <c r="EU656">
        <v>1</v>
      </c>
      <c r="EV656">
        <v>0.57499999999999996</v>
      </c>
    </row>
    <row r="657" spans="8:152" x14ac:dyDescent="0.4">
      <c r="N657" s="89">
        <v>135</v>
      </c>
      <c r="O657" s="2">
        <v>55</v>
      </c>
      <c r="P657" s="2">
        <v>1</v>
      </c>
      <c r="Q657" s="2">
        <v>3.8399999999999997E-2</v>
      </c>
      <c r="Z657" s="89">
        <v>136</v>
      </c>
      <c r="AA657" s="2">
        <v>55</v>
      </c>
      <c r="AB657" s="2">
        <v>1</v>
      </c>
      <c r="AC657" s="2">
        <v>3.2000000000000001E-2</v>
      </c>
      <c r="AL657" s="89">
        <v>132</v>
      </c>
      <c r="AM657" s="2">
        <v>54</v>
      </c>
      <c r="AN657" s="2">
        <v>0</v>
      </c>
      <c r="AO657" s="2">
        <v>0.19145200000000001</v>
      </c>
      <c r="AX657" s="89">
        <v>132</v>
      </c>
      <c r="AY657" s="2">
        <v>56</v>
      </c>
      <c r="AZ657" s="2">
        <v>0</v>
      </c>
      <c r="BA657" s="2">
        <v>1.044E-3</v>
      </c>
      <c r="BJ657" s="89">
        <v>146</v>
      </c>
      <c r="BK657" s="2">
        <v>55</v>
      </c>
      <c r="BL657" s="2">
        <v>0</v>
      </c>
      <c r="BM657" s="2">
        <v>1E-3</v>
      </c>
      <c r="BV657" s="89">
        <v>138</v>
      </c>
      <c r="BW657" s="2">
        <v>55</v>
      </c>
      <c r="BX657" s="2">
        <v>1</v>
      </c>
      <c r="BY657" s="2">
        <v>0.90455560000000002</v>
      </c>
      <c r="CH657" s="89">
        <v>135</v>
      </c>
      <c r="CI657" s="2">
        <v>55</v>
      </c>
      <c r="CJ657" s="2">
        <v>0</v>
      </c>
      <c r="CK657" s="2">
        <v>2.7730000000000001</v>
      </c>
      <c r="CT657" s="89">
        <v>131</v>
      </c>
      <c r="CU657" s="2">
        <v>54</v>
      </c>
      <c r="CV657" s="2">
        <v>1</v>
      </c>
      <c r="CW657" s="2">
        <v>0.88223289999999999</v>
      </c>
      <c r="DF657" s="89">
        <v>136</v>
      </c>
      <c r="DG657" s="2">
        <v>55</v>
      </c>
      <c r="DH657" s="2">
        <v>0</v>
      </c>
      <c r="DI657" s="2">
        <v>0.2185</v>
      </c>
      <c r="DR657" s="89">
        <v>131</v>
      </c>
      <c r="DS657" s="2">
        <v>54</v>
      </c>
      <c r="DT657" s="2">
        <v>0</v>
      </c>
      <c r="DU657" s="2">
        <v>0.38800000000000001</v>
      </c>
      <c r="ED657" s="89">
        <v>137</v>
      </c>
      <c r="EE657" s="2">
        <v>55</v>
      </c>
      <c r="EF657" s="2">
        <v>0</v>
      </c>
      <c r="EG657" s="2">
        <v>2.2659340000000001</v>
      </c>
      <c r="ES657">
        <v>137</v>
      </c>
      <c r="ET657">
        <v>55</v>
      </c>
      <c r="EU657">
        <v>0</v>
      </c>
      <c r="EV657">
        <v>2.2659340000000001</v>
      </c>
    </row>
    <row r="658" spans="8:152" x14ac:dyDescent="0.4">
      <c r="N658" s="89">
        <v>136</v>
      </c>
      <c r="O658" s="2">
        <v>55</v>
      </c>
      <c r="P658" s="2">
        <v>0</v>
      </c>
      <c r="Q658" s="2">
        <v>1.2500000000000001E-2</v>
      </c>
      <c r="Z658" s="89">
        <v>137</v>
      </c>
      <c r="AA658" s="2">
        <v>55</v>
      </c>
      <c r="AB658" s="2">
        <v>0</v>
      </c>
      <c r="AC658" s="2">
        <v>2.1935E-2</v>
      </c>
      <c r="AL658" s="89">
        <v>132</v>
      </c>
      <c r="AM658" s="2">
        <v>54</v>
      </c>
      <c r="AN658" s="2">
        <v>1</v>
      </c>
      <c r="AO658" s="2">
        <v>5.4964289999999999E-2</v>
      </c>
      <c r="AX658" s="89">
        <v>133</v>
      </c>
      <c r="AY658" s="2">
        <v>56</v>
      </c>
      <c r="AZ658" s="2">
        <v>0</v>
      </c>
      <c r="BA658" s="2">
        <v>4.9994999999999996E-3</v>
      </c>
      <c r="BJ658" s="89">
        <v>131</v>
      </c>
      <c r="BK658" s="2">
        <v>56</v>
      </c>
      <c r="BL658" s="2">
        <v>0</v>
      </c>
      <c r="BM658" s="2">
        <v>1E-3</v>
      </c>
      <c r="BV658" s="89">
        <v>139</v>
      </c>
      <c r="BW658" s="2">
        <v>55</v>
      </c>
      <c r="BX658" s="2">
        <v>0</v>
      </c>
      <c r="BY658" s="2">
        <v>1.6190659999999999</v>
      </c>
      <c r="CH658" s="89">
        <v>135</v>
      </c>
      <c r="CI658" s="2">
        <v>55</v>
      </c>
      <c r="CJ658" s="2">
        <v>1</v>
      </c>
      <c r="CK658" s="2">
        <v>0.55471959999999998</v>
      </c>
      <c r="CT658" s="89">
        <v>132</v>
      </c>
      <c r="CU658" s="2">
        <v>54</v>
      </c>
      <c r="CV658" s="2">
        <v>0</v>
      </c>
      <c r="CW658" s="2">
        <v>3.7277</v>
      </c>
      <c r="DF658" s="89">
        <v>136</v>
      </c>
      <c r="DG658" s="2">
        <v>55</v>
      </c>
      <c r="DH658" s="2">
        <v>1</v>
      </c>
      <c r="DI658" s="2">
        <v>0.20100000000000001</v>
      </c>
      <c r="DR658" s="89">
        <v>131</v>
      </c>
      <c r="DS658" s="2">
        <v>54</v>
      </c>
      <c r="DT658" s="2">
        <v>1</v>
      </c>
      <c r="DU658" s="2">
        <v>0.109191</v>
      </c>
      <c r="ED658" s="89">
        <v>138</v>
      </c>
      <c r="EE658" s="2">
        <v>55</v>
      </c>
      <c r="EF658" s="2">
        <v>0</v>
      </c>
      <c r="EG658" s="2">
        <v>1.394611</v>
      </c>
      <c r="ES658">
        <v>138</v>
      </c>
      <c r="ET658">
        <v>55</v>
      </c>
      <c r="EU658">
        <v>0</v>
      </c>
      <c r="EV658">
        <v>1.394611</v>
      </c>
    </row>
    <row r="659" spans="8:152" x14ac:dyDescent="0.4">
      <c r="N659" s="89">
        <v>136</v>
      </c>
      <c r="O659" s="2">
        <v>55</v>
      </c>
      <c r="P659" s="2">
        <v>1</v>
      </c>
      <c r="Q659" s="2">
        <v>1.7000000000000001E-2</v>
      </c>
      <c r="Z659" s="89">
        <v>138</v>
      </c>
      <c r="AA659" s="2">
        <v>55</v>
      </c>
      <c r="AB659" s="2">
        <v>0</v>
      </c>
      <c r="AC659" s="2">
        <v>5.6699999999999997E-3</v>
      </c>
      <c r="AL659" s="89">
        <v>133</v>
      </c>
      <c r="AM659" s="2">
        <v>54</v>
      </c>
      <c r="AN659" s="2">
        <v>0</v>
      </c>
      <c r="AO659" s="2">
        <v>0.05</v>
      </c>
      <c r="AX659" s="89">
        <v>133</v>
      </c>
      <c r="AY659" s="2">
        <v>56</v>
      </c>
      <c r="AZ659" s="2">
        <v>1</v>
      </c>
      <c r="BA659" s="2">
        <v>5.0000000000000001E-3</v>
      </c>
      <c r="BJ659" s="89">
        <v>131</v>
      </c>
      <c r="BK659" s="2">
        <v>56</v>
      </c>
      <c r="BL659" s="2">
        <v>1</v>
      </c>
      <c r="BM659" s="2">
        <v>1E-3</v>
      </c>
      <c r="BV659" s="89">
        <v>140</v>
      </c>
      <c r="BW659" s="2">
        <v>55</v>
      </c>
      <c r="BX659" s="2">
        <v>0</v>
      </c>
      <c r="BY659" s="2">
        <v>1.2198800000000001</v>
      </c>
      <c r="CH659" s="89">
        <v>136</v>
      </c>
      <c r="CI659" s="2">
        <v>55</v>
      </c>
      <c r="CJ659" s="2">
        <v>0</v>
      </c>
      <c r="CK659" s="2">
        <v>0.81250009999999995</v>
      </c>
      <c r="CT659" s="89">
        <v>132</v>
      </c>
      <c r="CU659" s="2">
        <v>54</v>
      </c>
      <c r="CV659" s="2">
        <v>1</v>
      </c>
      <c r="CW659" s="2">
        <v>0.73204000000000002</v>
      </c>
      <c r="DF659" s="89">
        <v>137</v>
      </c>
      <c r="DG659" s="2">
        <v>55</v>
      </c>
      <c r="DH659" s="2">
        <v>0</v>
      </c>
      <c r="DI659" s="2">
        <v>3.7564540000000002</v>
      </c>
      <c r="DR659" s="89">
        <v>132</v>
      </c>
      <c r="DS659" s="2">
        <v>54</v>
      </c>
      <c r="DT659" s="2">
        <v>0</v>
      </c>
      <c r="DU659" s="2">
        <v>0.33560400000000001</v>
      </c>
      <c r="ED659" s="89">
        <v>138</v>
      </c>
      <c r="EE659" s="2">
        <v>55</v>
      </c>
      <c r="EF659" s="2">
        <v>1</v>
      </c>
      <c r="EG659" s="2">
        <v>0.68955370000000005</v>
      </c>
      <c r="ES659">
        <v>138</v>
      </c>
      <c r="ET659">
        <v>55</v>
      </c>
      <c r="EU659">
        <v>1</v>
      </c>
      <c r="EV659">
        <v>0.68955370000000005</v>
      </c>
    </row>
    <row r="660" spans="8:152" x14ac:dyDescent="0.4">
      <c r="N660" s="89">
        <v>137</v>
      </c>
      <c r="O660" s="2">
        <v>55</v>
      </c>
      <c r="P660" s="2">
        <v>0</v>
      </c>
      <c r="Q660" s="2">
        <v>0.01</v>
      </c>
      <c r="Z660" s="89">
        <v>138</v>
      </c>
      <c r="AA660" s="2">
        <v>55</v>
      </c>
      <c r="AB660" s="2">
        <v>1</v>
      </c>
      <c r="AC660" s="2">
        <v>7.0000000000000001E-3</v>
      </c>
      <c r="AL660" s="89">
        <v>133</v>
      </c>
      <c r="AM660" s="2">
        <v>54</v>
      </c>
      <c r="AN660" s="2">
        <v>1</v>
      </c>
      <c r="AO660" s="2">
        <v>3.4287999999999999E-2</v>
      </c>
      <c r="AX660" s="89">
        <v>134</v>
      </c>
      <c r="AY660" s="2">
        <v>56</v>
      </c>
      <c r="AZ660" s="2">
        <v>0</v>
      </c>
      <c r="BA660" s="2">
        <v>0.24099999999999999</v>
      </c>
      <c r="BJ660" s="89">
        <v>132</v>
      </c>
      <c r="BK660" s="2">
        <v>56</v>
      </c>
      <c r="BL660" s="2">
        <v>0</v>
      </c>
      <c r="BM660" s="2">
        <v>5.5459999999999997E-3</v>
      </c>
      <c r="BV660" s="89">
        <v>141</v>
      </c>
      <c r="BW660" s="2">
        <v>55</v>
      </c>
      <c r="BX660" s="2">
        <v>0</v>
      </c>
      <c r="BY660" s="2">
        <v>0.76820029999999995</v>
      </c>
      <c r="CH660" s="89">
        <v>136</v>
      </c>
      <c r="CI660" s="2">
        <v>55</v>
      </c>
      <c r="CJ660" s="2">
        <v>1</v>
      </c>
      <c r="CK660" s="2">
        <v>0.76500000000000001</v>
      </c>
      <c r="CT660" s="89">
        <v>133</v>
      </c>
      <c r="CU660" s="2">
        <v>54</v>
      </c>
      <c r="CV660" s="2">
        <v>0</v>
      </c>
      <c r="CW660" s="2">
        <v>2.9510149999999999</v>
      </c>
      <c r="DF660" s="89">
        <v>138</v>
      </c>
      <c r="DG660" s="2">
        <v>55</v>
      </c>
      <c r="DH660" s="2">
        <v>0</v>
      </c>
      <c r="DI660" s="2">
        <v>3.1972960000000001</v>
      </c>
      <c r="DR660" s="89">
        <v>132</v>
      </c>
      <c r="DS660" s="2">
        <v>54</v>
      </c>
      <c r="DT660" s="2">
        <v>1</v>
      </c>
      <c r="DU660" s="2">
        <v>0.1153696</v>
      </c>
      <c r="ED660" s="89">
        <v>139</v>
      </c>
      <c r="EE660" s="2">
        <v>55</v>
      </c>
      <c r="EF660" s="2">
        <v>0</v>
      </c>
      <c r="EG660" s="2">
        <v>1.1109849999999999</v>
      </c>
      <c r="ES660">
        <v>139</v>
      </c>
      <c r="ET660">
        <v>55</v>
      </c>
      <c r="EU660">
        <v>0</v>
      </c>
      <c r="EV660">
        <v>1.1109849999999999</v>
      </c>
    </row>
    <row r="661" spans="8:152" x14ac:dyDescent="0.4">
      <c r="N661" s="89">
        <v>138</v>
      </c>
      <c r="O661" s="2">
        <v>55</v>
      </c>
      <c r="P661" s="2">
        <v>0</v>
      </c>
      <c r="Q661" s="2">
        <v>3.62E-3</v>
      </c>
      <c r="Z661" s="89">
        <v>139</v>
      </c>
      <c r="AA661" s="2">
        <v>55</v>
      </c>
      <c r="AB661" s="2">
        <v>0</v>
      </c>
      <c r="AC661" s="2">
        <v>4.0000000000000001E-3</v>
      </c>
      <c r="AL661" s="89">
        <v>134</v>
      </c>
      <c r="AM661" s="2">
        <v>54</v>
      </c>
      <c r="AN661" s="2">
        <v>0</v>
      </c>
      <c r="AO661" s="2">
        <v>2.3E-2</v>
      </c>
      <c r="AX661" s="89">
        <v>135</v>
      </c>
      <c r="AY661" s="2">
        <v>56</v>
      </c>
      <c r="AZ661" s="2">
        <v>0</v>
      </c>
      <c r="BA661" s="2">
        <v>3.6999999999999998E-2</v>
      </c>
      <c r="BJ661" s="89">
        <v>133</v>
      </c>
      <c r="BK661" s="2">
        <v>56</v>
      </c>
      <c r="BL661" s="2">
        <v>0</v>
      </c>
      <c r="BM661" s="2">
        <v>3.9996280000000002E-2</v>
      </c>
      <c r="BV661" s="89">
        <v>142</v>
      </c>
      <c r="BW661" s="2">
        <v>55</v>
      </c>
      <c r="BX661" s="2">
        <v>0</v>
      </c>
      <c r="BY661" s="2">
        <v>0.4636497</v>
      </c>
      <c r="CH661" s="89">
        <v>137</v>
      </c>
      <c r="CI661" s="2">
        <v>55</v>
      </c>
      <c r="CJ661" s="2">
        <v>0</v>
      </c>
      <c r="CK661" s="2">
        <v>1.7047939999999999</v>
      </c>
      <c r="CT661" s="89">
        <v>133</v>
      </c>
      <c r="CU661" s="2">
        <v>54</v>
      </c>
      <c r="CV661" s="2">
        <v>1</v>
      </c>
      <c r="CW661" s="2">
        <v>1.1375280000000001</v>
      </c>
      <c r="DF661" s="89">
        <v>138</v>
      </c>
      <c r="DG661" s="2">
        <v>55</v>
      </c>
      <c r="DH661" s="2">
        <v>1</v>
      </c>
      <c r="DI661" s="2">
        <v>0.84482570000000001</v>
      </c>
      <c r="DR661" s="89">
        <v>133</v>
      </c>
      <c r="DS661" s="2">
        <v>54</v>
      </c>
      <c r="DT661" s="2">
        <v>0</v>
      </c>
      <c r="DU661" s="2">
        <v>0.23200100000000001</v>
      </c>
      <c r="ED661" s="89">
        <v>140</v>
      </c>
      <c r="EE661" s="2">
        <v>55</v>
      </c>
      <c r="EF661" s="2">
        <v>0</v>
      </c>
      <c r="EG661" s="2">
        <v>0.77604490000000004</v>
      </c>
      <c r="ES661">
        <v>140</v>
      </c>
      <c r="ET661">
        <v>55</v>
      </c>
      <c r="EU661">
        <v>0</v>
      </c>
      <c r="EV661">
        <v>0.77604490000000004</v>
      </c>
    </row>
    <row r="662" spans="8:152" x14ac:dyDescent="0.4">
      <c r="N662" s="89">
        <v>138</v>
      </c>
      <c r="O662" s="2">
        <v>55</v>
      </c>
      <c r="P662" s="2">
        <v>1</v>
      </c>
      <c r="Q662" s="2">
        <v>2E-3</v>
      </c>
      <c r="Z662" s="89">
        <v>140</v>
      </c>
      <c r="AA662" s="2">
        <v>55</v>
      </c>
      <c r="AB662" s="2">
        <v>0</v>
      </c>
      <c r="AC662" s="2">
        <v>2E-3</v>
      </c>
      <c r="AL662" s="89">
        <v>134</v>
      </c>
      <c r="AM662" s="2">
        <v>54</v>
      </c>
      <c r="AN662" s="2">
        <v>1</v>
      </c>
      <c r="AO662" s="2">
        <v>1.4069E-2</v>
      </c>
      <c r="AX662" s="89">
        <v>135</v>
      </c>
      <c r="AY662" s="2">
        <v>56</v>
      </c>
      <c r="AZ662" s="2">
        <v>1</v>
      </c>
      <c r="BA662" s="2">
        <v>3.2000000000000001E-2</v>
      </c>
      <c r="BJ662" s="89">
        <v>133</v>
      </c>
      <c r="BK662" s="2">
        <v>56</v>
      </c>
      <c r="BL662" s="2">
        <v>1</v>
      </c>
      <c r="BM662" s="2">
        <v>3.7209310000000002E-2</v>
      </c>
      <c r="BV662" s="89">
        <v>143</v>
      </c>
      <c r="BW662" s="2">
        <v>55</v>
      </c>
      <c r="BX662" s="2">
        <v>0</v>
      </c>
      <c r="BY662" s="2">
        <v>0.199514</v>
      </c>
      <c r="CH662" s="89">
        <v>138</v>
      </c>
      <c r="CI662" s="2">
        <v>55</v>
      </c>
      <c r="CJ662" s="2">
        <v>0</v>
      </c>
      <c r="CK662" s="2">
        <v>1.016456</v>
      </c>
      <c r="CT662" s="89">
        <v>134</v>
      </c>
      <c r="CU662" s="2">
        <v>54</v>
      </c>
      <c r="CV662" s="2">
        <v>0</v>
      </c>
      <c r="CW662" s="2">
        <v>2.5521859999999998</v>
      </c>
      <c r="DF662" s="89">
        <v>139</v>
      </c>
      <c r="DG662" s="2">
        <v>55</v>
      </c>
      <c r="DH662" s="2">
        <v>0</v>
      </c>
      <c r="DI662" s="2">
        <v>2.6771099999999999</v>
      </c>
      <c r="DR662" s="89">
        <v>133</v>
      </c>
      <c r="DS662" s="2">
        <v>54</v>
      </c>
      <c r="DT662" s="2">
        <v>1</v>
      </c>
      <c r="DU662" s="2">
        <v>0.1450736</v>
      </c>
      <c r="ED662" s="89">
        <v>141</v>
      </c>
      <c r="EE662" s="2">
        <v>55</v>
      </c>
      <c r="EF662" s="2">
        <v>0</v>
      </c>
      <c r="EG662" s="2">
        <v>0.48863580000000001</v>
      </c>
      <c r="ES662">
        <v>141</v>
      </c>
      <c r="ET662">
        <v>55</v>
      </c>
      <c r="EU662">
        <v>0</v>
      </c>
      <c r="EV662">
        <v>0.48863580000000001</v>
      </c>
    </row>
    <row r="663" spans="8:152" x14ac:dyDescent="0.4">
      <c r="N663" s="89">
        <v>139</v>
      </c>
      <c r="O663" s="2">
        <v>55</v>
      </c>
      <c r="P663" s="2">
        <v>0</v>
      </c>
      <c r="Q663" s="2">
        <v>5.0000000000000001E-3</v>
      </c>
      <c r="Z663" s="89">
        <v>141</v>
      </c>
      <c r="AA663" s="2">
        <v>55</v>
      </c>
      <c r="AB663" s="2">
        <v>0</v>
      </c>
      <c r="AC663" s="2">
        <v>1E-3</v>
      </c>
      <c r="AL663" s="89">
        <v>135</v>
      </c>
      <c r="AM663" s="2">
        <v>54</v>
      </c>
      <c r="AN663" s="2">
        <v>0</v>
      </c>
      <c r="AO663" s="2">
        <v>1.2999999999999999E-2</v>
      </c>
      <c r="AX663" s="89">
        <v>136</v>
      </c>
      <c r="AY663" s="2">
        <v>56</v>
      </c>
      <c r="AZ663" s="2">
        <v>0</v>
      </c>
      <c r="BA663" s="2">
        <v>0.69299999999999995</v>
      </c>
      <c r="BJ663" s="89">
        <v>134</v>
      </c>
      <c r="BK663" s="2">
        <v>56</v>
      </c>
      <c r="BL663" s="2">
        <v>0</v>
      </c>
      <c r="BM663" s="2">
        <v>0.63700000000000001</v>
      </c>
      <c r="BV663" s="89">
        <v>144</v>
      </c>
      <c r="BW663" s="2">
        <v>55</v>
      </c>
      <c r="BX663" s="2">
        <v>0</v>
      </c>
      <c r="BY663" s="2">
        <v>7.1849999999999997E-2</v>
      </c>
      <c r="CH663" s="89">
        <v>138</v>
      </c>
      <c r="CI663" s="2">
        <v>55</v>
      </c>
      <c r="CJ663" s="2">
        <v>1</v>
      </c>
      <c r="CK663" s="2">
        <v>0.63475530000000002</v>
      </c>
      <c r="CT663" s="89">
        <v>134</v>
      </c>
      <c r="CU663" s="2">
        <v>54</v>
      </c>
      <c r="CV663" s="2">
        <v>1</v>
      </c>
      <c r="CW663" s="2">
        <v>0.99160360000000003</v>
      </c>
      <c r="DF663" s="89">
        <v>140</v>
      </c>
      <c r="DG663" s="2">
        <v>55</v>
      </c>
      <c r="DH663" s="2">
        <v>0</v>
      </c>
      <c r="DI663" s="2">
        <v>2.100009</v>
      </c>
      <c r="DR663" s="89">
        <v>134</v>
      </c>
      <c r="DS663" s="2">
        <v>54</v>
      </c>
      <c r="DT663" s="2">
        <v>0</v>
      </c>
      <c r="DU663" s="2">
        <v>0.1640018</v>
      </c>
      <c r="ED663" s="89">
        <v>142</v>
      </c>
      <c r="EE663" s="2">
        <v>55</v>
      </c>
      <c r="EF663" s="2">
        <v>0</v>
      </c>
      <c r="EG663" s="2">
        <v>0.2729644</v>
      </c>
      <c r="ES663">
        <v>142</v>
      </c>
      <c r="ET663">
        <v>55</v>
      </c>
      <c r="EU663">
        <v>0</v>
      </c>
      <c r="EV663">
        <v>0.2729644</v>
      </c>
    </row>
    <row r="664" spans="8:152" x14ac:dyDescent="0.4">
      <c r="N664" s="89">
        <v>140</v>
      </c>
      <c r="O664" s="2">
        <v>55</v>
      </c>
      <c r="P664" s="2">
        <v>0</v>
      </c>
      <c r="Q664" s="2">
        <v>2E-3</v>
      </c>
      <c r="Z664" s="89">
        <v>131</v>
      </c>
      <c r="AA664" s="2">
        <v>56</v>
      </c>
      <c r="AB664" s="2">
        <v>0</v>
      </c>
      <c r="AC664" s="2">
        <v>1E-3</v>
      </c>
      <c r="AL664" s="89">
        <v>135</v>
      </c>
      <c r="AM664" s="2">
        <v>54</v>
      </c>
      <c r="AN664" s="2">
        <v>1</v>
      </c>
      <c r="AO664" s="2">
        <v>1.2E-2</v>
      </c>
      <c r="AX664" s="89">
        <v>136</v>
      </c>
      <c r="AY664" s="2">
        <v>56</v>
      </c>
      <c r="AZ664" s="2">
        <v>1</v>
      </c>
      <c r="BA664" s="2">
        <v>7.2313050000000004E-2</v>
      </c>
      <c r="BJ664" s="89">
        <v>135</v>
      </c>
      <c r="BK664" s="2">
        <v>56</v>
      </c>
      <c r="BL664" s="2">
        <v>0</v>
      </c>
      <c r="BM664" s="2">
        <v>0.22900000000000001</v>
      </c>
      <c r="BV664" s="89">
        <v>145</v>
      </c>
      <c r="BW664" s="2">
        <v>55</v>
      </c>
      <c r="BX664" s="2">
        <v>0</v>
      </c>
      <c r="BY664" s="2">
        <v>2.1999999999999999E-2</v>
      </c>
      <c r="CH664" s="89">
        <v>139</v>
      </c>
      <c r="CI664" s="2">
        <v>55</v>
      </c>
      <c r="CJ664" s="2">
        <v>0</v>
      </c>
      <c r="CK664" s="2">
        <v>0.69588209999999995</v>
      </c>
      <c r="CT664" s="89">
        <v>135</v>
      </c>
      <c r="CU664" s="2">
        <v>54</v>
      </c>
      <c r="CV664" s="2">
        <v>0</v>
      </c>
      <c r="CW664" s="2">
        <v>2.104965</v>
      </c>
      <c r="DF664" s="89">
        <v>141</v>
      </c>
      <c r="DG664" s="2">
        <v>55</v>
      </c>
      <c r="DH664" s="2">
        <v>0</v>
      </c>
      <c r="DI664" s="2">
        <v>1.6052169999999999</v>
      </c>
      <c r="DR664" s="89">
        <v>134</v>
      </c>
      <c r="DS664" s="2">
        <v>54</v>
      </c>
      <c r="DT664" s="2">
        <v>1</v>
      </c>
      <c r="DU664" s="2">
        <v>0.1003183</v>
      </c>
      <c r="ED664" s="89">
        <v>143</v>
      </c>
      <c r="EE664" s="2">
        <v>55</v>
      </c>
      <c r="EF664" s="2">
        <v>0</v>
      </c>
      <c r="EG664" s="2">
        <v>0.11296</v>
      </c>
      <c r="ES664">
        <v>143</v>
      </c>
      <c r="ET664">
        <v>55</v>
      </c>
      <c r="EU664">
        <v>0</v>
      </c>
      <c r="EV664">
        <v>0.11296</v>
      </c>
    </row>
    <row r="665" spans="8:152" x14ac:dyDescent="0.4">
      <c r="N665" s="89">
        <v>130</v>
      </c>
      <c r="O665" s="2">
        <v>56</v>
      </c>
      <c r="P665" s="2">
        <v>0</v>
      </c>
      <c r="Q665" s="2">
        <v>9.6000010000000003E-5</v>
      </c>
      <c r="Z665" s="89">
        <v>131</v>
      </c>
      <c r="AA665" s="2">
        <v>56</v>
      </c>
      <c r="AB665" s="2">
        <v>1</v>
      </c>
      <c r="AC665" s="2">
        <v>1E-3</v>
      </c>
      <c r="AL665" s="89">
        <v>136</v>
      </c>
      <c r="AM665" s="2">
        <v>54</v>
      </c>
      <c r="AN665" s="2">
        <v>0</v>
      </c>
      <c r="AO665" s="2">
        <v>3.0000000000000001E-3</v>
      </c>
      <c r="AX665" s="89">
        <v>137</v>
      </c>
      <c r="AY665" s="2">
        <v>56</v>
      </c>
      <c r="AZ665" s="2">
        <v>0</v>
      </c>
      <c r="BA665" s="2">
        <v>2.296592</v>
      </c>
      <c r="BJ665" s="89">
        <v>135</v>
      </c>
      <c r="BK665" s="2">
        <v>56</v>
      </c>
      <c r="BL665" s="2">
        <v>1</v>
      </c>
      <c r="BM665" s="2">
        <v>0.182</v>
      </c>
      <c r="BV665" s="89">
        <v>146</v>
      </c>
      <c r="BW665" s="2">
        <v>55</v>
      </c>
      <c r="BX665" s="2">
        <v>0</v>
      </c>
      <c r="BY665" s="2">
        <v>4.0000000000000001E-3</v>
      </c>
      <c r="CH665" s="89">
        <v>140</v>
      </c>
      <c r="CI665" s="2">
        <v>55</v>
      </c>
      <c r="CJ665" s="2">
        <v>0</v>
      </c>
      <c r="CK665" s="2">
        <v>0.33163280000000001</v>
      </c>
      <c r="CT665" s="89">
        <v>135</v>
      </c>
      <c r="CU665" s="2">
        <v>54</v>
      </c>
      <c r="CV665" s="2">
        <v>1</v>
      </c>
      <c r="CW665" s="2">
        <v>1.1568149999999999</v>
      </c>
      <c r="DF665" s="89">
        <v>142</v>
      </c>
      <c r="DG665" s="2">
        <v>55</v>
      </c>
      <c r="DH665" s="2">
        <v>0</v>
      </c>
      <c r="DI665" s="2">
        <v>0.95996369999999998</v>
      </c>
      <c r="DR665" s="89">
        <v>135</v>
      </c>
      <c r="DS665" s="2">
        <v>54</v>
      </c>
      <c r="DT665" s="2">
        <v>0</v>
      </c>
      <c r="DU665" s="2">
        <v>7.2163000000000005E-2</v>
      </c>
      <c r="ED665" s="89">
        <v>144</v>
      </c>
      <c r="EE665" s="2">
        <v>55</v>
      </c>
      <c r="EF665" s="2">
        <v>0</v>
      </c>
      <c r="EG665" s="2">
        <v>3.9512199999999997E-2</v>
      </c>
      <c r="ES665">
        <v>144</v>
      </c>
      <c r="ET665">
        <v>55</v>
      </c>
      <c r="EU665">
        <v>0</v>
      </c>
      <c r="EV665">
        <v>3.9512199999999997E-2</v>
      </c>
    </row>
    <row r="666" spans="8:152" x14ac:dyDescent="0.4">
      <c r="N666" s="89">
        <v>131</v>
      </c>
      <c r="O666" s="2">
        <v>56</v>
      </c>
      <c r="P666" s="2">
        <v>0</v>
      </c>
      <c r="Q666" s="2">
        <v>4.0000000000000001E-3</v>
      </c>
      <c r="Z666" s="89">
        <v>132</v>
      </c>
      <c r="AA666" s="2">
        <v>56</v>
      </c>
      <c r="AB666" s="2">
        <v>0</v>
      </c>
      <c r="AC666" s="2">
        <v>3.8999999999999998E-3</v>
      </c>
      <c r="AL666" s="89">
        <v>137</v>
      </c>
      <c r="AM666" s="2">
        <v>54</v>
      </c>
      <c r="AN666" s="2">
        <v>0</v>
      </c>
      <c r="AO666" s="2">
        <v>2E-3</v>
      </c>
      <c r="AX666" s="89">
        <v>137</v>
      </c>
      <c r="AY666" s="2">
        <v>56</v>
      </c>
      <c r="AZ666" s="2">
        <v>1</v>
      </c>
      <c r="BA666" s="2">
        <v>2.1106419999999999</v>
      </c>
      <c r="BJ666" s="89">
        <v>136</v>
      </c>
      <c r="BK666" s="2">
        <v>56</v>
      </c>
      <c r="BL666" s="2">
        <v>0</v>
      </c>
      <c r="BM666" s="2">
        <v>1.236</v>
      </c>
      <c r="BV666" s="89">
        <v>147</v>
      </c>
      <c r="BW666" s="2">
        <v>55</v>
      </c>
      <c r="BX666" s="2">
        <v>0</v>
      </c>
      <c r="BY666" s="2">
        <v>1E-3</v>
      </c>
      <c r="CH666" s="89">
        <v>141</v>
      </c>
      <c r="CI666" s="2">
        <v>55</v>
      </c>
      <c r="CJ666" s="2">
        <v>0</v>
      </c>
      <c r="CK666" s="2">
        <v>0.18700600000000001</v>
      </c>
      <c r="CT666" s="89">
        <v>136</v>
      </c>
      <c r="CU666" s="2">
        <v>54</v>
      </c>
      <c r="CV666" s="2">
        <v>0</v>
      </c>
      <c r="CW666" s="2">
        <v>1.6795519999999999</v>
      </c>
      <c r="DF666" s="89">
        <v>143</v>
      </c>
      <c r="DG666" s="2">
        <v>55</v>
      </c>
      <c r="DH666" s="2">
        <v>0</v>
      </c>
      <c r="DI666" s="2">
        <v>0.49220599999999998</v>
      </c>
      <c r="DR666" s="89">
        <v>135</v>
      </c>
      <c r="DS666" s="2">
        <v>54</v>
      </c>
      <c r="DT666" s="2">
        <v>1</v>
      </c>
      <c r="DU666" s="2">
        <v>5.7347710000000003E-2</v>
      </c>
      <c r="ED666" s="89">
        <v>144</v>
      </c>
      <c r="EE666" s="2">
        <v>55</v>
      </c>
      <c r="EF666" s="2">
        <v>1</v>
      </c>
      <c r="EG666" s="2">
        <v>9.7560979999999995E-4</v>
      </c>
      <c r="ES666">
        <v>144</v>
      </c>
      <c r="ET666">
        <v>55</v>
      </c>
      <c r="EU666">
        <v>1</v>
      </c>
      <c r="EV666">
        <v>9.7560979999999995E-4</v>
      </c>
    </row>
    <row r="667" spans="8:152" x14ac:dyDescent="0.4">
      <c r="H667" s="40"/>
      <c r="N667" s="89">
        <v>131</v>
      </c>
      <c r="O667" s="2">
        <v>56</v>
      </c>
      <c r="P667" s="2">
        <v>1</v>
      </c>
      <c r="Q667" s="2">
        <v>4.0000000000000001E-3</v>
      </c>
      <c r="U667" s="40"/>
      <c r="Z667" s="89">
        <v>133</v>
      </c>
      <c r="AA667" s="2">
        <v>56</v>
      </c>
      <c r="AB667" s="2">
        <v>0</v>
      </c>
      <c r="AC667" s="2">
        <v>1.5998499999999999E-2</v>
      </c>
      <c r="AG667" s="40"/>
      <c r="AL667" s="89">
        <v>138</v>
      </c>
      <c r="AM667" s="2">
        <v>54</v>
      </c>
      <c r="AN667" s="2">
        <v>0</v>
      </c>
      <c r="AO667" s="2">
        <v>2E-3</v>
      </c>
      <c r="AS667" s="40"/>
      <c r="AX667" s="89">
        <v>138</v>
      </c>
      <c r="AY667" s="2">
        <v>56</v>
      </c>
      <c r="AZ667" s="2">
        <v>0</v>
      </c>
      <c r="BA667" s="2">
        <v>2.128822</v>
      </c>
      <c r="BE667" s="40"/>
      <c r="BJ667" s="89">
        <v>136</v>
      </c>
      <c r="BK667" s="2">
        <v>56</v>
      </c>
      <c r="BL667" s="2">
        <v>1</v>
      </c>
      <c r="BM667" s="2">
        <v>0.27681549999999999</v>
      </c>
      <c r="BQ667" s="40"/>
      <c r="BV667" s="89">
        <v>132</v>
      </c>
      <c r="BW667" s="2">
        <v>56</v>
      </c>
      <c r="BX667" s="2">
        <v>0</v>
      </c>
      <c r="BY667" s="2">
        <v>6.3000000000000003E-4</v>
      </c>
      <c r="CC667" s="40"/>
      <c r="CH667" s="89">
        <v>142</v>
      </c>
      <c r="CI667" s="2">
        <v>55</v>
      </c>
      <c r="CJ667" s="2">
        <v>0</v>
      </c>
      <c r="CK667" s="2">
        <v>7.8989210000000004E-2</v>
      </c>
      <c r="CO667" s="40"/>
      <c r="CT667" s="89">
        <v>137</v>
      </c>
      <c r="CU667" s="2">
        <v>54</v>
      </c>
      <c r="CV667" s="2">
        <v>0</v>
      </c>
      <c r="CW667" s="2">
        <v>0.8950806</v>
      </c>
      <c r="DA667" s="40"/>
      <c r="DF667" s="89">
        <v>144</v>
      </c>
      <c r="DG667" s="2">
        <v>55</v>
      </c>
      <c r="DH667" s="2">
        <v>0</v>
      </c>
      <c r="DI667" s="2">
        <v>0.20535249999999999</v>
      </c>
      <c r="DM667" s="40"/>
      <c r="DR667" s="89">
        <v>136</v>
      </c>
      <c r="DS667" s="2">
        <v>54</v>
      </c>
      <c r="DT667" s="2">
        <v>0</v>
      </c>
      <c r="DU667" s="2">
        <v>4.5224199999999999E-2</v>
      </c>
      <c r="DY667" s="40"/>
      <c r="ED667" s="89">
        <v>145</v>
      </c>
      <c r="EE667" s="2">
        <v>55</v>
      </c>
      <c r="EF667" s="2">
        <v>0</v>
      </c>
      <c r="EG667" s="2">
        <v>5.0000000000000001E-3</v>
      </c>
      <c r="EK667" s="40"/>
      <c r="ES667">
        <v>145</v>
      </c>
      <c r="ET667">
        <v>55</v>
      </c>
      <c r="EU667">
        <v>0</v>
      </c>
      <c r="EV667">
        <v>5.0000000000000001E-3</v>
      </c>
    </row>
    <row r="668" spans="8:152" x14ac:dyDescent="0.4">
      <c r="N668" s="89">
        <v>132</v>
      </c>
      <c r="O668" s="2">
        <v>56</v>
      </c>
      <c r="P668" s="2">
        <v>0</v>
      </c>
      <c r="Q668" s="2">
        <v>6.404E-3</v>
      </c>
      <c r="Z668" s="89">
        <v>133</v>
      </c>
      <c r="AA668" s="2">
        <v>56</v>
      </c>
      <c r="AB668" s="2">
        <v>1</v>
      </c>
      <c r="AC668" s="2">
        <v>1.4999999999999999E-2</v>
      </c>
      <c r="AL668" s="89">
        <v>127</v>
      </c>
      <c r="AM668" s="2">
        <v>55</v>
      </c>
      <c r="AN668" s="2">
        <v>0</v>
      </c>
      <c r="AO668" s="2">
        <v>4.0000000000000001E-3</v>
      </c>
      <c r="AX668" s="89">
        <v>139</v>
      </c>
      <c r="AY668" s="2">
        <v>56</v>
      </c>
      <c r="AZ668" s="2">
        <v>0</v>
      </c>
      <c r="BA668" s="2">
        <v>1.900955</v>
      </c>
      <c r="BJ668" s="89">
        <v>137</v>
      </c>
      <c r="BK668" s="2">
        <v>56</v>
      </c>
      <c r="BL668" s="2">
        <v>0</v>
      </c>
      <c r="BM668" s="2">
        <v>2.0397989999999999</v>
      </c>
      <c r="BV668" s="89">
        <v>133</v>
      </c>
      <c r="BW668" s="2">
        <v>56</v>
      </c>
      <c r="BX668" s="2">
        <v>0</v>
      </c>
      <c r="BY668" s="2">
        <v>2.9997000000000001E-3</v>
      </c>
      <c r="CH668" s="89">
        <v>143</v>
      </c>
      <c r="CI668" s="2">
        <v>55</v>
      </c>
      <c r="CJ668" s="2">
        <v>0</v>
      </c>
      <c r="CK668" s="2">
        <v>1.7999999999999999E-2</v>
      </c>
      <c r="CT668" s="89">
        <v>138</v>
      </c>
      <c r="CU668" s="2">
        <v>54</v>
      </c>
      <c r="CV668" s="2">
        <v>0</v>
      </c>
      <c r="CW668" s="2">
        <v>0.58814330000000004</v>
      </c>
      <c r="DF668" s="89">
        <v>144</v>
      </c>
      <c r="DG668" s="2">
        <v>55</v>
      </c>
      <c r="DH668" s="2">
        <v>1</v>
      </c>
      <c r="DI668" s="2">
        <v>1.0949239999999999E-3</v>
      </c>
      <c r="DR668" s="89">
        <v>137</v>
      </c>
      <c r="DS668" s="2">
        <v>54</v>
      </c>
      <c r="DT668" s="2">
        <v>0</v>
      </c>
      <c r="DU668" s="2">
        <v>2.8663000000000001E-2</v>
      </c>
      <c r="ED668" s="89">
        <v>130</v>
      </c>
      <c r="EE668" s="2">
        <v>56</v>
      </c>
      <c r="EF668" s="2">
        <v>0</v>
      </c>
      <c r="EG668" s="2">
        <v>1E-3</v>
      </c>
      <c r="ES668">
        <v>130</v>
      </c>
      <c r="ET668">
        <v>56</v>
      </c>
      <c r="EU668">
        <v>0</v>
      </c>
      <c r="EV668">
        <v>1E-3</v>
      </c>
    </row>
    <row r="669" spans="8:152" x14ac:dyDescent="0.4">
      <c r="N669" s="89">
        <v>133</v>
      </c>
      <c r="O669" s="2">
        <v>56</v>
      </c>
      <c r="P669" s="2">
        <v>0</v>
      </c>
      <c r="Q669" s="2">
        <v>1.4998600000000001E-2</v>
      </c>
      <c r="Z669" s="89">
        <v>134</v>
      </c>
      <c r="AA669" s="2">
        <v>56</v>
      </c>
      <c r="AB669" s="2">
        <v>0</v>
      </c>
      <c r="AC669" s="2">
        <v>0.109</v>
      </c>
      <c r="AL669" s="89">
        <v>128</v>
      </c>
      <c r="AM669" s="2">
        <v>55</v>
      </c>
      <c r="AN669" s="2">
        <v>0</v>
      </c>
      <c r="AO669" s="2">
        <v>9.0000010000000005E-3</v>
      </c>
      <c r="AX669" s="89">
        <v>140</v>
      </c>
      <c r="AY669" s="2">
        <v>56</v>
      </c>
      <c r="AZ669" s="2">
        <v>0</v>
      </c>
      <c r="BA669" s="2">
        <v>1.580346</v>
      </c>
      <c r="BJ669" s="89">
        <v>137</v>
      </c>
      <c r="BK669" s="2">
        <v>56</v>
      </c>
      <c r="BL669" s="2">
        <v>1</v>
      </c>
      <c r="BM669" s="2">
        <v>1.75742</v>
      </c>
      <c r="BV669" s="89">
        <v>133</v>
      </c>
      <c r="BW669" s="2">
        <v>56</v>
      </c>
      <c r="BX669" s="2">
        <v>1</v>
      </c>
      <c r="BY669" s="2">
        <v>3.0000000000000001E-3</v>
      </c>
      <c r="CH669" s="89">
        <v>144</v>
      </c>
      <c r="CI669" s="2">
        <v>55</v>
      </c>
      <c r="CJ669" s="2">
        <v>0</v>
      </c>
      <c r="CK669" s="2">
        <v>1E-3</v>
      </c>
      <c r="CT669" s="89">
        <v>139</v>
      </c>
      <c r="CU669" s="2">
        <v>54</v>
      </c>
      <c r="CV669" s="2">
        <v>0</v>
      </c>
      <c r="CW669" s="2">
        <v>0.29080400000000001</v>
      </c>
      <c r="DF669" s="89">
        <v>145</v>
      </c>
      <c r="DG669" s="2">
        <v>55</v>
      </c>
      <c r="DH669" s="2">
        <v>0</v>
      </c>
      <c r="DI669" s="2">
        <v>8.9869000000000004E-2</v>
      </c>
      <c r="DR669" s="89">
        <v>138</v>
      </c>
      <c r="DS669" s="2">
        <v>54</v>
      </c>
      <c r="DT669" s="2">
        <v>0</v>
      </c>
      <c r="DU669" s="2">
        <v>1.1946999999999999E-2</v>
      </c>
      <c r="ED669" s="89">
        <v>130</v>
      </c>
      <c r="EE669" s="2">
        <v>56</v>
      </c>
      <c r="EF669" s="2">
        <v>1</v>
      </c>
      <c r="EG669" s="2">
        <v>1E-3</v>
      </c>
      <c r="ES669">
        <v>130</v>
      </c>
      <c r="ET669">
        <v>56</v>
      </c>
      <c r="EU669">
        <v>1</v>
      </c>
      <c r="EV669">
        <v>1E-3</v>
      </c>
    </row>
    <row r="670" spans="8:152" x14ac:dyDescent="0.4">
      <c r="N670" s="89">
        <v>133</v>
      </c>
      <c r="O670" s="2">
        <v>56</v>
      </c>
      <c r="P670" s="2">
        <v>1</v>
      </c>
      <c r="Q670" s="2">
        <v>1.4E-2</v>
      </c>
      <c r="Z670" s="89">
        <v>135</v>
      </c>
      <c r="AA670" s="2">
        <v>56</v>
      </c>
      <c r="AB670" s="2">
        <v>0</v>
      </c>
      <c r="AC670" s="2">
        <v>3.1E-2</v>
      </c>
      <c r="AL670" s="89">
        <v>129</v>
      </c>
      <c r="AM670" s="2">
        <v>55</v>
      </c>
      <c r="AN670" s="2">
        <v>0</v>
      </c>
      <c r="AO670" s="2">
        <v>3.1E-2</v>
      </c>
      <c r="AX670" s="89">
        <v>141</v>
      </c>
      <c r="AY670" s="2">
        <v>56</v>
      </c>
      <c r="AZ670" s="2">
        <v>0</v>
      </c>
      <c r="BA670" s="2">
        <v>1.1741490000000001</v>
      </c>
      <c r="BJ670" s="89">
        <v>138</v>
      </c>
      <c r="BK670" s="2">
        <v>56</v>
      </c>
      <c r="BL670" s="2">
        <v>0</v>
      </c>
      <c r="BM670" s="2">
        <v>1.763792</v>
      </c>
      <c r="BV670" s="89">
        <v>134</v>
      </c>
      <c r="BW670" s="2">
        <v>56</v>
      </c>
      <c r="BX670" s="2">
        <v>0</v>
      </c>
      <c r="BY670" s="2">
        <v>0.26500000000000001</v>
      </c>
      <c r="CH670" s="89">
        <v>145</v>
      </c>
      <c r="CI670" s="2">
        <v>55</v>
      </c>
      <c r="CJ670" s="2">
        <v>0</v>
      </c>
      <c r="CK670" s="2">
        <v>1E-3</v>
      </c>
      <c r="CT670" s="89">
        <v>140</v>
      </c>
      <c r="CU670" s="2">
        <v>54</v>
      </c>
      <c r="CV670" s="2">
        <v>0</v>
      </c>
      <c r="CW670" s="2">
        <v>0.13330600000000001</v>
      </c>
      <c r="DF670" s="89">
        <v>146</v>
      </c>
      <c r="DG670" s="2">
        <v>55</v>
      </c>
      <c r="DH670" s="2">
        <v>0</v>
      </c>
      <c r="DI670" s="2">
        <v>2.7931000000000001E-2</v>
      </c>
      <c r="DR670" s="89">
        <v>139</v>
      </c>
      <c r="DS670" s="2">
        <v>54</v>
      </c>
      <c r="DT670" s="2">
        <v>0</v>
      </c>
      <c r="DU670" s="2">
        <v>8.0000000000000002E-3</v>
      </c>
      <c r="ED670" s="89">
        <v>131</v>
      </c>
      <c r="EE670" s="2">
        <v>56</v>
      </c>
      <c r="EF670" s="2">
        <v>0</v>
      </c>
      <c r="EG670" s="2">
        <v>1E-3</v>
      </c>
      <c r="ES670">
        <v>131</v>
      </c>
      <c r="ET670">
        <v>56</v>
      </c>
      <c r="EU670">
        <v>0</v>
      </c>
      <c r="EV670">
        <v>1E-3</v>
      </c>
    </row>
    <row r="671" spans="8:152" x14ac:dyDescent="0.4">
      <c r="N671" s="89">
        <v>134</v>
      </c>
      <c r="O671" s="2">
        <v>56</v>
      </c>
      <c r="P671" s="2">
        <v>0</v>
      </c>
      <c r="Q671" s="2">
        <v>9.0999999999999998E-2</v>
      </c>
      <c r="Z671" s="89">
        <v>135</v>
      </c>
      <c r="AA671" s="2">
        <v>56</v>
      </c>
      <c r="AB671" s="2">
        <v>1</v>
      </c>
      <c r="AC671" s="2">
        <v>2.3E-2</v>
      </c>
      <c r="AL671" s="89">
        <v>130</v>
      </c>
      <c r="AM671" s="2">
        <v>55</v>
      </c>
      <c r="AN671" s="2">
        <v>0</v>
      </c>
      <c r="AO671" s="2">
        <v>4.6929600000000002E-2</v>
      </c>
      <c r="AX671" s="89">
        <v>142</v>
      </c>
      <c r="AY671" s="2">
        <v>56</v>
      </c>
      <c r="AZ671" s="2">
        <v>0</v>
      </c>
      <c r="BA671" s="2">
        <v>0.96257139999999997</v>
      </c>
      <c r="BJ671" s="89">
        <v>139</v>
      </c>
      <c r="BK671" s="2">
        <v>56</v>
      </c>
      <c r="BL671" s="2">
        <v>0</v>
      </c>
      <c r="BM671" s="2">
        <v>1.338525</v>
      </c>
      <c r="BV671" s="89">
        <v>135</v>
      </c>
      <c r="BW671" s="2">
        <v>56</v>
      </c>
      <c r="BX671" s="2">
        <v>0</v>
      </c>
      <c r="BY671" s="2">
        <v>4.4999999999999998E-2</v>
      </c>
      <c r="CH671" s="89">
        <v>129</v>
      </c>
      <c r="CI671" s="2">
        <v>56</v>
      </c>
      <c r="CJ671" s="2">
        <v>1</v>
      </c>
      <c r="CK671" s="2">
        <v>1E-3</v>
      </c>
      <c r="CT671" s="89">
        <v>141</v>
      </c>
      <c r="CU671" s="2">
        <v>54</v>
      </c>
      <c r="CV671" s="2">
        <v>0</v>
      </c>
      <c r="CW671" s="2">
        <v>4.6199999999999998E-2</v>
      </c>
      <c r="DF671" s="89">
        <v>147</v>
      </c>
      <c r="DG671" s="2">
        <v>55</v>
      </c>
      <c r="DH671" s="2">
        <v>0</v>
      </c>
      <c r="DI671" s="2">
        <v>8.0000000000000002E-3</v>
      </c>
      <c r="DR671" s="89">
        <v>140</v>
      </c>
      <c r="DS671" s="2">
        <v>54</v>
      </c>
      <c r="DT671" s="2">
        <v>0</v>
      </c>
      <c r="DU671" s="2">
        <v>2E-3</v>
      </c>
      <c r="ED671" s="89">
        <v>131</v>
      </c>
      <c r="EE671" s="2">
        <v>56</v>
      </c>
      <c r="EF671" s="2">
        <v>1</v>
      </c>
      <c r="EG671" s="2">
        <v>1E-3</v>
      </c>
      <c r="ES671">
        <v>131</v>
      </c>
      <c r="ET671">
        <v>56</v>
      </c>
      <c r="EU671">
        <v>1</v>
      </c>
      <c r="EV671">
        <v>1E-3</v>
      </c>
    </row>
    <row r="672" spans="8:152" x14ac:dyDescent="0.4">
      <c r="N672" s="89">
        <v>135</v>
      </c>
      <c r="O672" s="2">
        <v>56</v>
      </c>
      <c r="P672" s="2">
        <v>0</v>
      </c>
      <c r="Q672" s="2">
        <v>3.2000000000000001E-2</v>
      </c>
      <c r="Z672" s="89">
        <v>136</v>
      </c>
      <c r="AA672" s="2">
        <v>56</v>
      </c>
      <c r="AB672" s="2">
        <v>0</v>
      </c>
      <c r="AC672" s="2">
        <v>0.108</v>
      </c>
      <c r="AL672" s="89">
        <v>130</v>
      </c>
      <c r="AM672" s="2">
        <v>55</v>
      </c>
      <c r="AN672" s="2">
        <v>1</v>
      </c>
      <c r="AO672" s="2">
        <v>4.3999999999999997E-2</v>
      </c>
      <c r="AX672" s="89">
        <v>143</v>
      </c>
      <c r="AY672" s="2">
        <v>56</v>
      </c>
      <c r="AZ672" s="2">
        <v>0</v>
      </c>
      <c r="BA672" s="2">
        <v>0.53027930000000001</v>
      </c>
      <c r="BJ672" s="89">
        <v>140</v>
      </c>
      <c r="BK672" s="2">
        <v>56</v>
      </c>
      <c r="BL672" s="2">
        <v>0</v>
      </c>
      <c r="BM672" s="2">
        <v>1.0081290000000001</v>
      </c>
      <c r="BV672" s="89">
        <v>135</v>
      </c>
      <c r="BW672" s="2">
        <v>56</v>
      </c>
      <c r="BX672" s="2">
        <v>1</v>
      </c>
      <c r="BY672" s="2">
        <v>3.5999999999999997E-2</v>
      </c>
      <c r="CH672" s="89">
        <v>130</v>
      </c>
      <c r="CI672" s="2">
        <v>56</v>
      </c>
      <c r="CJ672" s="2">
        <v>0</v>
      </c>
      <c r="CK672" s="2">
        <v>3.0799999999999998E-3</v>
      </c>
      <c r="CT672" s="89">
        <v>142</v>
      </c>
      <c r="CU672" s="2">
        <v>54</v>
      </c>
      <c r="CV672" s="2">
        <v>0</v>
      </c>
      <c r="CW672" s="2">
        <v>1.4749999999999999E-2</v>
      </c>
      <c r="DF672" s="89">
        <v>148</v>
      </c>
      <c r="DG672" s="2">
        <v>55</v>
      </c>
      <c r="DH672" s="2">
        <v>0</v>
      </c>
      <c r="DI672" s="2">
        <v>1E-3</v>
      </c>
      <c r="DR672" s="89">
        <v>130</v>
      </c>
      <c r="DS672" s="2">
        <v>55</v>
      </c>
      <c r="DT672" s="2">
        <v>0</v>
      </c>
      <c r="DU672" s="2">
        <v>1.9968E-3</v>
      </c>
      <c r="ED672" s="89">
        <v>132</v>
      </c>
      <c r="EE672" s="2">
        <v>56</v>
      </c>
      <c r="EF672" s="2">
        <v>0</v>
      </c>
      <c r="EG672" s="2">
        <v>1.0123999999999999E-2</v>
      </c>
      <c r="ES672">
        <v>132</v>
      </c>
      <c r="ET672">
        <v>56</v>
      </c>
      <c r="EU672">
        <v>0</v>
      </c>
      <c r="EV672">
        <v>1.0123999999999999E-2</v>
      </c>
    </row>
    <row r="673" spans="8:152" x14ac:dyDescent="0.4">
      <c r="N673" s="89">
        <v>135</v>
      </c>
      <c r="O673" s="2">
        <v>56</v>
      </c>
      <c r="P673" s="2">
        <v>1</v>
      </c>
      <c r="Q673" s="2">
        <v>2.5000000000000001E-2</v>
      </c>
      <c r="Z673" s="89">
        <v>136</v>
      </c>
      <c r="AA673" s="2">
        <v>56</v>
      </c>
      <c r="AB673" s="2">
        <v>1</v>
      </c>
      <c r="AC673" s="2">
        <v>0.04</v>
      </c>
      <c r="AL673" s="89">
        <v>131</v>
      </c>
      <c r="AM673" s="2">
        <v>55</v>
      </c>
      <c r="AN673" s="2">
        <v>0</v>
      </c>
      <c r="AO673" s="2">
        <v>0.1</v>
      </c>
      <c r="AX673" s="89">
        <v>144</v>
      </c>
      <c r="AY673" s="2">
        <v>56</v>
      </c>
      <c r="AZ673" s="2">
        <v>0</v>
      </c>
      <c r="BA673" s="2">
        <v>0.30068859999999997</v>
      </c>
      <c r="BJ673" s="89">
        <v>141</v>
      </c>
      <c r="BK673" s="2">
        <v>56</v>
      </c>
      <c r="BL673" s="2">
        <v>0</v>
      </c>
      <c r="BM673" s="2">
        <v>0.72580730000000004</v>
      </c>
      <c r="BV673" s="89">
        <v>136</v>
      </c>
      <c r="BW673" s="2">
        <v>56</v>
      </c>
      <c r="BX673" s="2">
        <v>0</v>
      </c>
      <c r="BY673" s="2">
        <v>0.91100000000000003</v>
      </c>
      <c r="CH673" s="89">
        <v>130</v>
      </c>
      <c r="CI673" s="2">
        <v>56</v>
      </c>
      <c r="CJ673" s="2">
        <v>1</v>
      </c>
      <c r="CK673" s="2">
        <v>3.0000000000000001E-3</v>
      </c>
      <c r="CT673" s="89">
        <v>143</v>
      </c>
      <c r="CU673" s="2">
        <v>54</v>
      </c>
      <c r="CV673" s="2">
        <v>0</v>
      </c>
      <c r="CW673" s="2">
        <v>4.0000000000000001E-3</v>
      </c>
      <c r="DF673" s="89">
        <v>132</v>
      </c>
      <c r="DG673" s="2">
        <v>56</v>
      </c>
      <c r="DH673" s="2">
        <v>0</v>
      </c>
      <c r="DI673" s="2">
        <v>5.3999999999999998E-5</v>
      </c>
      <c r="DR673" s="89">
        <v>130</v>
      </c>
      <c r="DS673" s="2">
        <v>55</v>
      </c>
      <c r="DT673" s="2">
        <v>1</v>
      </c>
      <c r="DU673" s="2">
        <v>2E-3</v>
      </c>
      <c r="ED673" s="89">
        <v>133</v>
      </c>
      <c r="EE673" s="2">
        <v>56</v>
      </c>
      <c r="EF673" s="2">
        <v>0</v>
      </c>
      <c r="EG673" s="2">
        <v>2.4997599999999998E-2</v>
      </c>
      <c r="ES673">
        <v>133</v>
      </c>
      <c r="ET673">
        <v>56</v>
      </c>
      <c r="EU673">
        <v>0</v>
      </c>
      <c r="EV673">
        <v>2.4997599999999998E-2</v>
      </c>
    </row>
    <row r="674" spans="8:152" x14ac:dyDescent="0.4">
      <c r="N674" s="89">
        <v>136</v>
      </c>
      <c r="O674" s="2">
        <v>56</v>
      </c>
      <c r="P674" s="2">
        <v>0</v>
      </c>
      <c r="Q674" s="2">
        <v>7.3999999999999996E-2</v>
      </c>
      <c r="Z674" s="89">
        <v>137</v>
      </c>
      <c r="AA674" s="2">
        <v>56</v>
      </c>
      <c r="AB674" s="2">
        <v>0</v>
      </c>
      <c r="AC674" s="2">
        <v>9.0935000000000002E-2</v>
      </c>
      <c r="AL674" s="89">
        <v>132</v>
      </c>
      <c r="AM674" s="2">
        <v>55</v>
      </c>
      <c r="AN674" s="2">
        <v>0</v>
      </c>
      <c r="AO674" s="2">
        <v>8.5999999999999993E-2</v>
      </c>
      <c r="AX674" s="89">
        <v>145</v>
      </c>
      <c r="AY674" s="2">
        <v>56</v>
      </c>
      <c r="AZ674" s="2">
        <v>0</v>
      </c>
      <c r="BA674" s="2">
        <v>9.8953159999999998E-2</v>
      </c>
      <c r="BJ674" s="89">
        <v>142</v>
      </c>
      <c r="BK674" s="2">
        <v>56</v>
      </c>
      <c r="BL674" s="2">
        <v>0</v>
      </c>
      <c r="BM674" s="2">
        <v>0.5589229</v>
      </c>
      <c r="BV674" s="89">
        <v>136</v>
      </c>
      <c r="BW674" s="2">
        <v>56</v>
      </c>
      <c r="BX674" s="2">
        <v>1</v>
      </c>
      <c r="BY674" s="2">
        <v>0.1016299</v>
      </c>
      <c r="CH674" s="89">
        <v>131</v>
      </c>
      <c r="CI674" s="2">
        <v>56</v>
      </c>
      <c r="CJ674" s="2">
        <v>0</v>
      </c>
      <c r="CK674" s="2">
        <v>1.2E-2</v>
      </c>
      <c r="CT674" s="89">
        <v>144</v>
      </c>
      <c r="CU674" s="2">
        <v>54</v>
      </c>
      <c r="CV674" s="2">
        <v>0</v>
      </c>
      <c r="CW674" s="2">
        <v>2E-3</v>
      </c>
      <c r="DF674" s="89">
        <v>134</v>
      </c>
      <c r="DG674" s="2">
        <v>56</v>
      </c>
      <c r="DH674" s="2">
        <v>0</v>
      </c>
      <c r="DI674" s="2">
        <v>4.7000010000000002E-2</v>
      </c>
      <c r="DR674" s="89">
        <v>131</v>
      </c>
      <c r="DS674" s="2">
        <v>55</v>
      </c>
      <c r="DT674" s="2">
        <v>0</v>
      </c>
      <c r="DU674" s="2">
        <v>8.0000000000000002E-3</v>
      </c>
      <c r="ED674" s="89">
        <v>133</v>
      </c>
      <c r="EE674" s="2">
        <v>56</v>
      </c>
      <c r="EF674" s="2">
        <v>1</v>
      </c>
      <c r="EG674" s="2">
        <v>2.4E-2</v>
      </c>
      <c r="ES674">
        <v>133</v>
      </c>
      <c r="ET674">
        <v>56</v>
      </c>
      <c r="EU674">
        <v>1</v>
      </c>
      <c r="EV674">
        <v>2.4E-2</v>
      </c>
    </row>
    <row r="675" spans="8:152" x14ac:dyDescent="0.4">
      <c r="N675" s="89">
        <v>136</v>
      </c>
      <c r="O675" s="2">
        <v>56</v>
      </c>
      <c r="P675" s="2">
        <v>1</v>
      </c>
      <c r="Q675" s="2">
        <v>2.6486490000000001E-2</v>
      </c>
      <c r="Z675" s="89">
        <v>137</v>
      </c>
      <c r="AA675" s="2">
        <v>56</v>
      </c>
      <c r="AB675" s="2">
        <v>1</v>
      </c>
      <c r="AC675" s="2">
        <v>6.1697870000000002E-2</v>
      </c>
      <c r="AL675" s="89">
        <v>133</v>
      </c>
      <c r="AM675" s="2">
        <v>55</v>
      </c>
      <c r="AN675" s="2">
        <v>0</v>
      </c>
      <c r="AO675" s="2">
        <v>0.21099999999999999</v>
      </c>
      <c r="AX675" s="89">
        <v>146</v>
      </c>
      <c r="AY675" s="2">
        <v>56</v>
      </c>
      <c r="AZ675" s="2">
        <v>0</v>
      </c>
      <c r="BA675" s="2">
        <v>4.3431999999999998E-2</v>
      </c>
      <c r="BJ675" s="89">
        <v>143</v>
      </c>
      <c r="BK675" s="2">
        <v>56</v>
      </c>
      <c r="BL675" s="2">
        <v>0</v>
      </c>
      <c r="BM675" s="2">
        <v>0.31258940000000002</v>
      </c>
      <c r="BV675" s="89">
        <v>137</v>
      </c>
      <c r="BW675" s="2">
        <v>56</v>
      </c>
      <c r="BX675" s="2">
        <v>0</v>
      </c>
      <c r="BY675" s="2">
        <v>2.8474279999999998</v>
      </c>
      <c r="CH675" s="89">
        <v>131</v>
      </c>
      <c r="CI675" s="2">
        <v>56</v>
      </c>
      <c r="CJ675" s="2">
        <v>1</v>
      </c>
      <c r="CK675" s="2">
        <v>1.2E-2</v>
      </c>
      <c r="CT675" s="89">
        <v>128</v>
      </c>
      <c r="CU675" s="2">
        <v>55</v>
      </c>
      <c r="CV675" s="2">
        <v>0</v>
      </c>
      <c r="CW675" s="2">
        <v>2E-3</v>
      </c>
      <c r="DF675" s="89">
        <v>135</v>
      </c>
      <c r="DG675" s="2">
        <v>56</v>
      </c>
      <c r="DH675" s="2">
        <v>0</v>
      </c>
      <c r="DI675" s="2">
        <v>4.0000000000000001E-3</v>
      </c>
      <c r="DR675" s="89">
        <v>132</v>
      </c>
      <c r="DS675" s="2">
        <v>55</v>
      </c>
      <c r="DT675" s="2">
        <v>0</v>
      </c>
      <c r="DU675" s="2">
        <v>2.1999999999999999E-2</v>
      </c>
      <c r="ED675" s="89">
        <v>134</v>
      </c>
      <c r="EE675" s="2">
        <v>56</v>
      </c>
      <c r="EF675" s="2">
        <v>0</v>
      </c>
      <c r="EG675" s="2">
        <v>0.53700009999999998</v>
      </c>
      <c r="ES675">
        <v>134</v>
      </c>
      <c r="ET675">
        <v>56</v>
      </c>
      <c r="EU675">
        <v>0</v>
      </c>
      <c r="EV675">
        <v>0.53700009999999998</v>
      </c>
    </row>
    <row r="676" spans="8:152" x14ac:dyDescent="0.4">
      <c r="N676" s="89">
        <v>137</v>
      </c>
      <c r="O676" s="2">
        <v>56</v>
      </c>
      <c r="P676" s="2">
        <v>0</v>
      </c>
      <c r="Q676" s="2">
        <v>5.2999999999999999E-2</v>
      </c>
      <c r="Z676" s="89">
        <v>138</v>
      </c>
      <c r="AA676" s="2">
        <v>56</v>
      </c>
      <c r="AB676" s="2">
        <v>0</v>
      </c>
      <c r="AC676" s="2">
        <v>3.5999999999999997E-2</v>
      </c>
      <c r="AL676" s="89">
        <v>134</v>
      </c>
      <c r="AM676" s="2">
        <v>55</v>
      </c>
      <c r="AN676" s="2">
        <v>0</v>
      </c>
      <c r="AO676" s="2">
        <v>6.6000009999999998E-2</v>
      </c>
      <c r="AX676" s="89">
        <v>147</v>
      </c>
      <c r="AY676" s="2">
        <v>56</v>
      </c>
      <c r="AZ676" s="2">
        <v>0</v>
      </c>
      <c r="BA676" s="2">
        <v>5.0000000000000001E-3</v>
      </c>
      <c r="BJ676" s="89">
        <v>144</v>
      </c>
      <c r="BK676" s="2">
        <v>56</v>
      </c>
      <c r="BL676" s="2">
        <v>0</v>
      </c>
      <c r="BM676" s="2">
        <v>0.151888</v>
      </c>
      <c r="BV676" s="89">
        <v>137</v>
      </c>
      <c r="BW676" s="2">
        <v>56</v>
      </c>
      <c r="BX676" s="2">
        <v>1</v>
      </c>
      <c r="BY676" s="2">
        <v>2.6295860000000002</v>
      </c>
      <c r="CH676" s="89">
        <v>132</v>
      </c>
      <c r="CI676" s="2">
        <v>56</v>
      </c>
      <c r="CJ676" s="2">
        <v>0</v>
      </c>
      <c r="CK676" s="2">
        <v>3.7344000000000002E-2</v>
      </c>
      <c r="CT676" s="89">
        <v>129</v>
      </c>
      <c r="CU676" s="2">
        <v>55</v>
      </c>
      <c r="CV676" s="2">
        <v>0</v>
      </c>
      <c r="CW676" s="2">
        <v>9.0000010000000005E-3</v>
      </c>
      <c r="DF676" s="89">
        <v>135</v>
      </c>
      <c r="DG676" s="2">
        <v>56</v>
      </c>
      <c r="DH676" s="2">
        <v>1</v>
      </c>
      <c r="DI676" s="2">
        <v>2E-3</v>
      </c>
      <c r="DR676" s="89">
        <v>133</v>
      </c>
      <c r="DS676" s="2">
        <v>55</v>
      </c>
      <c r="DT676" s="2">
        <v>0</v>
      </c>
      <c r="DU676" s="2">
        <v>0.280001</v>
      </c>
      <c r="ED676" s="89">
        <v>135</v>
      </c>
      <c r="EE676" s="2">
        <v>56</v>
      </c>
      <c r="EF676" s="2">
        <v>0</v>
      </c>
      <c r="EG676" s="2">
        <v>0.17499999999999999</v>
      </c>
      <c r="ES676">
        <v>135</v>
      </c>
      <c r="ET676">
        <v>56</v>
      </c>
      <c r="EU676">
        <v>0</v>
      </c>
      <c r="EV676">
        <v>0.17499999999999999</v>
      </c>
    </row>
    <row r="677" spans="8:152" x14ac:dyDescent="0.4">
      <c r="N677" s="89">
        <v>137</v>
      </c>
      <c r="O677" s="2">
        <v>56</v>
      </c>
      <c r="P677" s="2">
        <v>1</v>
      </c>
      <c r="Q677" s="2">
        <v>2.6436000000000001E-2</v>
      </c>
      <c r="Z677" s="89">
        <v>139</v>
      </c>
      <c r="AA677" s="2">
        <v>56</v>
      </c>
      <c r="AB677" s="2">
        <v>0</v>
      </c>
      <c r="AC677" s="2">
        <v>1.7000000000000001E-2</v>
      </c>
      <c r="AL677" s="89">
        <v>134</v>
      </c>
      <c r="AM677" s="2">
        <v>55</v>
      </c>
      <c r="AN677" s="2">
        <v>1</v>
      </c>
      <c r="AO677" s="2">
        <v>5.1999999999999998E-2</v>
      </c>
      <c r="AX677" s="89">
        <v>148</v>
      </c>
      <c r="AY677" s="2">
        <v>56</v>
      </c>
      <c r="AZ677" s="2">
        <v>0</v>
      </c>
      <c r="BA677" s="2">
        <v>1E-3</v>
      </c>
      <c r="BJ677" s="89">
        <v>145</v>
      </c>
      <c r="BK677" s="2">
        <v>56</v>
      </c>
      <c r="BL677" s="2">
        <v>0</v>
      </c>
      <c r="BM677" s="2">
        <v>5.0713000000000001E-2</v>
      </c>
      <c r="BV677" s="89">
        <v>138</v>
      </c>
      <c r="BW677" s="2">
        <v>56</v>
      </c>
      <c r="BX677" s="2">
        <v>0</v>
      </c>
      <c r="BY677" s="2">
        <v>2.7381000000000002</v>
      </c>
      <c r="CH677" s="89">
        <v>133</v>
      </c>
      <c r="CI677" s="2">
        <v>56</v>
      </c>
      <c r="CJ677" s="2">
        <v>0</v>
      </c>
      <c r="CK677" s="2">
        <v>0.10199129999999999</v>
      </c>
      <c r="CT677" s="89">
        <v>130</v>
      </c>
      <c r="CU677" s="2">
        <v>55</v>
      </c>
      <c r="CV677" s="2">
        <v>0</v>
      </c>
      <c r="CW677" s="2">
        <v>6.2908800000000001E-2</v>
      </c>
      <c r="DF677" s="89">
        <v>136</v>
      </c>
      <c r="DG677" s="2">
        <v>56</v>
      </c>
      <c r="DH677" s="2">
        <v>0</v>
      </c>
      <c r="DI677" s="2">
        <v>0.34</v>
      </c>
      <c r="DR677" s="89">
        <v>134</v>
      </c>
      <c r="DS677" s="2">
        <v>55</v>
      </c>
      <c r="DT677" s="2">
        <v>0</v>
      </c>
      <c r="DU677" s="2">
        <v>5.2999999999999999E-2</v>
      </c>
      <c r="ED677" s="89">
        <v>135</v>
      </c>
      <c r="EE677" s="2">
        <v>56</v>
      </c>
      <c r="EF677" s="2">
        <v>1</v>
      </c>
      <c r="EG677" s="2">
        <v>0.15</v>
      </c>
      <c r="ES677">
        <v>135</v>
      </c>
      <c r="ET677">
        <v>56</v>
      </c>
      <c r="EU677">
        <v>1</v>
      </c>
      <c r="EV677">
        <v>0.15</v>
      </c>
    </row>
    <row r="678" spans="8:152" x14ac:dyDescent="0.4">
      <c r="N678" s="89">
        <v>138</v>
      </c>
      <c r="O678" s="2">
        <v>56</v>
      </c>
      <c r="P678" s="2">
        <v>0</v>
      </c>
      <c r="Q678" s="2">
        <v>1.7000000000000001E-2</v>
      </c>
      <c r="Z678" s="89">
        <v>140</v>
      </c>
      <c r="AA678" s="2">
        <v>56</v>
      </c>
      <c r="AB678" s="2">
        <v>0</v>
      </c>
      <c r="AC678" s="2">
        <v>1.0999999999999999E-2</v>
      </c>
      <c r="AL678" s="89">
        <v>135</v>
      </c>
      <c r="AM678" s="2">
        <v>55</v>
      </c>
      <c r="AN678" s="2">
        <v>0</v>
      </c>
      <c r="AO678" s="2">
        <v>5.4000010000000001E-2</v>
      </c>
      <c r="AX678" s="89">
        <v>135</v>
      </c>
      <c r="AY678" s="2">
        <v>57</v>
      </c>
      <c r="AZ678" s="2">
        <v>0</v>
      </c>
      <c r="BA678" s="2">
        <v>1E-3</v>
      </c>
      <c r="BJ678" s="89">
        <v>146</v>
      </c>
      <c r="BK678" s="2">
        <v>56</v>
      </c>
      <c r="BL678" s="2">
        <v>0</v>
      </c>
      <c r="BM678" s="2">
        <v>2.1857999999999999E-2</v>
      </c>
      <c r="BV678" s="89">
        <v>139</v>
      </c>
      <c r="BW678" s="2">
        <v>56</v>
      </c>
      <c r="BX678" s="2">
        <v>0</v>
      </c>
      <c r="BY678" s="2">
        <v>2.3060659999999999</v>
      </c>
      <c r="CH678" s="89">
        <v>133</v>
      </c>
      <c r="CI678" s="2">
        <v>56</v>
      </c>
      <c r="CJ678" s="2">
        <v>1</v>
      </c>
      <c r="CK678" s="2">
        <v>8.6666670000000001E-2</v>
      </c>
      <c r="CT678" s="89">
        <v>130</v>
      </c>
      <c r="CU678" s="2">
        <v>55</v>
      </c>
      <c r="CV678" s="2">
        <v>1</v>
      </c>
      <c r="CW678" s="2">
        <v>5.7000000000000002E-2</v>
      </c>
      <c r="DF678" s="89">
        <v>136</v>
      </c>
      <c r="DG678" s="2">
        <v>56</v>
      </c>
      <c r="DH678" s="2">
        <v>1</v>
      </c>
      <c r="DI678" s="2">
        <v>1.7000000000000001E-2</v>
      </c>
      <c r="DR678" s="89">
        <v>134</v>
      </c>
      <c r="DS678" s="2">
        <v>55</v>
      </c>
      <c r="DT678" s="2">
        <v>1</v>
      </c>
      <c r="DU678" s="2">
        <v>4.2000000000000003E-2</v>
      </c>
      <c r="ED678" s="89">
        <v>136</v>
      </c>
      <c r="EE678" s="2">
        <v>56</v>
      </c>
      <c r="EF678" s="2">
        <v>0</v>
      </c>
      <c r="EG678" s="2">
        <v>1.212</v>
      </c>
      <c r="ES678">
        <v>136</v>
      </c>
      <c r="ET678">
        <v>56</v>
      </c>
      <c r="EU678">
        <v>0</v>
      </c>
      <c r="EV678">
        <v>1.212</v>
      </c>
    </row>
    <row r="679" spans="8:152" x14ac:dyDescent="0.4">
      <c r="N679" s="89">
        <v>139</v>
      </c>
      <c r="O679" s="2">
        <v>56</v>
      </c>
      <c r="P679" s="2">
        <v>0</v>
      </c>
      <c r="Q679" s="2">
        <v>1.0999999999999999E-2</v>
      </c>
      <c r="Z679" s="89">
        <v>141</v>
      </c>
      <c r="AA679" s="2">
        <v>56</v>
      </c>
      <c r="AB679" s="2">
        <v>0</v>
      </c>
      <c r="AC679" s="2">
        <v>4.0000000000000001E-3</v>
      </c>
      <c r="AL679" s="89">
        <v>135</v>
      </c>
      <c r="AM679" s="2">
        <v>55</v>
      </c>
      <c r="AN679" s="2">
        <v>1</v>
      </c>
      <c r="AO679" s="2">
        <v>2.4956519999999999E-2</v>
      </c>
      <c r="AX679" s="89">
        <v>136</v>
      </c>
      <c r="AY679" s="2">
        <v>57</v>
      </c>
      <c r="AZ679" s="2">
        <v>0</v>
      </c>
      <c r="BA679" s="2">
        <v>4.0000000000000001E-3</v>
      </c>
      <c r="BJ679" s="89">
        <v>147</v>
      </c>
      <c r="BK679" s="2">
        <v>56</v>
      </c>
      <c r="BL679" s="2">
        <v>0</v>
      </c>
      <c r="BM679" s="2">
        <v>2E-3</v>
      </c>
      <c r="BV679" s="89">
        <v>140</v>
      </c>
      <c r="BW679" s="2">
        <v>56</v>
      </c>
      <c r="BX679" s="2">
        <v>0</v>
      </c>
      <c r="BY679" s="2">
        <v>2.0148799999999998</v>
      </c>
      <c r="CH679" s="89">
        <v>134</v>
      </c>
      <c r="CI679" s="2">
        <v>56</v>
      </c>
      <c r="CJ679" s="2">
        <v>0</v>
      </c>
      <c r="CK679" s="2">
        <v>1.0629999999999999</v>
      </c>
      <c r="CT679" s="89">
        <v>131</v>
      </c>
      <c r="CU679" s="2">
        <v>55</v>
      </c>
      <c r="CV679" s="2">
        <v>0</v>
      </c>
      <c r="CW679" s="2">
        <v>0.184</v>
      </c>
      <c r="DF679" s="89">
        <v>137</v>
      </c>
      <c r="DG679" s="2">
        <v>56</v>
      </c>
      <c r="DH679" s="2">
        <v>0</v>
      </c>
      <c r="DI679" s="2">
        <v>3.8354539999999999</v>
      </c>
      <c r="DR679" s="89">
        <v>135</v>
      </c>
      <c r="DS679" s="2">
        <v>55</v>
      </c>
      <c r="DT679" s="2">
        <v>0</v>
      </c>
      <c r="DU679" s="2">
        <v>0.15216299999999999</v>
      </c>
      <c r="ED679" s="89">
        <v>136</v>
      </c>
      <c r="EE679" s="2">
        <v>56</v>
      </c>
      <c r="EF679" s="2">
        <v>1</v>
      </c>
      <c r="EG679" s="2">
        <v>0.24911649999999999</v>
      </c>
      <c r="ES679">
        <v>136</v>
      </c>
      <c r="ET679">
        <v>56</v>
      </c>
      <c r="EU679">
        <v>1</v>
      </c>
      <c r="EV679">
        <v>0.24911649999999999</v>
      </c>
    </row>
    <row r="680" spans="8:152" x14ac:dyDescent="0.4">
      <c r="N680" s="89">
        <v>140</v>
      </c>
      <c r="O680" s="2">
        <v>56</v>
      </c>
      <c r="P680" s="2">
        <v>0</v>
      </c>
      <c r="Q680" s="2">
        <v>5.0000000000000001E-3</v>
      </c>
      <c r="Z680" s="89">
        <v>134</v>
      </c>
      <c r="AA680" s="2">
        <v>57</v>
      </c>
      <c r="AB680" s="2">
        <v>0</v>
      </c>
      <c r="AC680" s="2">
        <v>1E-3</v>
      </c>
      <c r="AL680" s="89">
        <v>136</v>
      </c>
      <c r="AM680" s="2">
        <v>55</v>
      </c>
      <c r="AN680" s="2">
        <v>0</v>
      </c>
      <c r="AO680" s="2">
        <v>1.55E-2</v>
      </c>
      <c r="AX680" s="89">
        <v>137</v>
      </c>
      <c r="AY680" s="2">
        <v>57</v>
      </c>
      <c r="AZ680" s="2">
        <v>0</v>
      </c>
      <c r="BA680" s="2">
        <v>1.9E-2</v>
      </c>
      <c r="BJ680" s="89">
        <v>134</v>
      </c>
      <c r="BK680" s="2">
        <v>57</v>
      </c>
      <c r="BL680" s="2">
        <v>0</v>
      </c>
      <c r="BM680" s="2">
        <v>2E-3</v>
      </c>
      <c r="BV680" s="89">
        <v>141</v>
      </c>
      <c r="BW680" s="2">
        <v>56</v>
      </c>
      <c r="BX680" s="2">
        <v>0</v>
      </c>
      <c r="BY680" s="2">
        <v>1.5711999999999999</v>
      </c>
      <c r="CH680" s="89">
        <v>135</v>
      </c>
      <c r="CI680" s="2">
        <v>56</v>
      </c>
      <c r="CJ680" s="2">
        <v>0</v>
      </c>
      <c r="CK680" s="2">
        <v>0.39700000000000002</v>
      </c>
      <c r="CT680" s="89">
        <v>132</v>
      </c>
      <c r="CU680" s="2">
        <v>55</v>
      </c>
      <c r="CV680" s="2">
        <v>0</v>
      </c>
      <c r="CW680" s="2">
        <v>0.35</v>
      </c>
      <c r="DF680" s="89">
        <v>137</v>
      </c>
      <c r="DG680" s="2">
        <v>56</v>
      </c>
      <c r="DH680" s="2">
        <v>1</v>
      </c>
      <c r="DI680" s="2">
        <v>3.6118869999999998</v>
      </c>
      <c r="DR680" s="89">
        <v>135</v>
      </c>
      <c r="DS680" s="2">
        <v>55</v>
      </c>
      <c r="DT680" s="2">
        <v>1</v>
      </c>
      <c r="DU680" s="2">
        <v>5.2048200000000003E-2</v>
      </c>
      <c r="ED680" s="89">
        <v>137</v>
      </c>
      <c r="EE680" s="2">
        <v>56</v>
      </c>
      <c r="EF680" s="2">
        <v>0</v>
      </c>
      <c r="EG680" s="2">
        <v>2.9259339999999998</v>
      </c>
      <c r="ES680">
        <v>137</v>
      </c>
      <c r="ET680">
        <v>56</v>
      </c>
      <c r="EU680">
        <v>0</v>
      </c>
      <c r="EV680">
        <v>2.9259339999999998</v>
      </c>
    </row>
    <row r="681" spans="8:152" x14ac:dyDescent="0.4">
      <c r="N681" s="89">
        <v>141</v>
      </c>
      <c r="O681" s="2">
        <v>56</v>
      </c>
      <c r="P681" s="2">
        <v>0</v>
      </c>
      <c r="Q681" s="2">
        <v>1E-3</v>
      </c>
      <c r="Z681" s="89">
        <v>135</v>
      </c>
      <c r="AA681" s="2">
        <v>57</v>
      </c>
      <c r="AB681" s="2">
        <v>0</v>
      </c>
      <c r="AC681" s="2">
        <v>5.0000000000000001E-3</v>
      </c>
      <c r="AL681" s="89">
        <v>136</v>
      </c>
      <c r="AM681" s="2">
        <v>55</v>
      </c>
      <c r="AN681" s="2">
        <v>1</v>
      </c>
      <c r="AO681" s="2">
        <v>1.2999999999999999E-2</v>
      </c>
      <c r="AX681" s="89">
        <v>138</v>
      </c>
      <c r="AY681" s="2">
        <v>57</v>
      </c>
      <c r="AZ681" s="2">
        <v>0</v>
      </c>
      <c r="BA681" s="2">
        <v>0.05</v>
      </c>
      <c r="BJ681" s="89">
        <v>135</v>
      </c>
      <c r="BK681" s="2">
        <v>57</v>
      </c>
      <c r="BL681" s="2">
        <v>0</v>
      </c>
      <c r="BM681" s="2">
        <v>1.0999999999999999E-2</v>
      </c>
      <c r="BV681" s="89">
        <v>142</v>
      </c>
      <c r="BW681" s="2">
        <v>56</v>
      </c>
      <c r="BX681" s="2">
        <v>0</v>
      </c>
      <c r="BY681" s="2">
        <v>1.317922</v>
      </c>
      <c r="CH681" s="89">
        <v>135</v>
      </c>
      <c r="CI681" s="2">
        <v>56</v>
      </c>
      <c r="CJ681" s="2">
        <v>1</v>
      </c>
      <c r="CK681" s="2">
        <v>0.315</v>
      </c>
      <c r="CT681" s="89">
        <v>133</v>
      </c>
      <c r="CU681" s="2">
        <v>55</v>
      </c>
      <c r="CV681" s="2">
        <v>0</v>
      </c>
      <c r="CW681" s="2">
        <v>3.6670150000000001</v>
      </c>
      <c r="DF681" s="89">
        <v>138</v>
      </c>
      <c r="DG681" s="2">
        <v>56</v>
      </c>
      <c r="DH681" s="2">
        <v>0</v>
      </c>
      <c r="DI681" s="2">
        <v>3.625813</v>
      </c>
      <c r="DR681" s="89">
        <v>136</v>
      </c>
      <c r="DS681" s="2">
        <v>55</v>
      </c>
      <c r="DT681" s="2">
        <v>0</v>
      </c>
      <c r="DU681" s="2">
        <v>4.2000000000000003E-2</v>
      </c>
      <c r="ED681" s="89">
        <v>137</v>
      </c>
      <c r="EE681" s="2">
        <v>56</v>
      </c>
      <c r="EF681" s="2">
        <v>1</v>
      </c>
      <c r="EG681" s="2">
        <v>2.6085729999999998</v>
      </c>
      <c r="ES681">
        <v>137</v>
      </c>
      <c r="ET681">
        <v>56</v>
      </c>
      <c r="EU681">
        <v>1</v>
      </c>
      <c r="EV681">
        <v>2.6085729999999998</v>
      </c>
    </row>
    <row r="682" spans="8:152" x14ac:dyDescent="0.4">
      <c r="N682" s="89">
        <v>134</v>
      </c>
      <c r="O682" s="2">
        <v>57</v>
      </c>
      <c r="P682" s="2">
        <v>0</v>
      </c>
      <c r="Q682" s="2">
        <v>2E-3</v>
      </c>
      <c r="Z682" s="89">
        <v>136</v>
      </c>
      <c r="AA682" s="2">
        <v>57</v>
      </c>
      <c r="AB682" s="2">
        <v>0</v>
      </c>
      <c r="AC682" s="2">
        <v>1.7000000000000001E-2</v>
      </c>
      <c r="AL682" s="89">
        <v>137</v>
      </c>
      <c r="AM682" s="2">
        <v>55</v>
      </c>
      <c r="AN682" s="2">
        <v>0</v>
      </c>
      <c r="AO682" s="2">
        <v>9.0000010000000005E-3</v>
      </c>
      <c r="AX682" s="89">
        <v>139</v>
      </c>
      <c r="AY682" s="2">
        <v>57</v>
      </c>
      <c r="AZ682" s="2">
        <v>0</v>
      </c>
      <c r="BA682" s="2">
        <v>2.0259550000000002</v>
      </c>
      <c r="BJ682" s="89">
        <v>136</v>
      </c>
      <c r="BK682" s="2">
        <v>57</v>
      </c>
      <c r="BL682" s="2">
        <v>0</v>
      </c>
      <c r="BM682" s="2">
        <v>2.5000000000000001E-2</v>
      </c>
      <c r="BV682" s="89">
        <v>143</v>
      </c>
      <c r="BW682" s="2">
        <v>56</v>
      </c>
      <c r="BX682" s="2">
        <v>0</v>
      </c>
      <c r="BY682" s="2">
        <v>0.7305412</v>
      </c>
      <c r="CH682" s="89">
        <v>136</v>
      </c>
      <c r="CI682" s="2">
        <v>56</v>
      </c>
      <c r="CJ682" s="2">
        <v>0</v>
      </c>
      <c r="CK682" s="2">
        <v>1.9550000000000001</v>
      </c>
      <c r="CT682" s="89">
        <v>134</v>
      </c>
      <c r="CU682" s="2">
        <v>55</v>
      </c>
      <c r="CV682" s="2">
        <v>0</v>
      </c>
      <c r="CW682" s="2">
        <v>0.84</v>
      </c>
      <c r="DF682" s="89">
        <v>139</v>
      </c>
      <c r="DG682" s="2">
        <v>56</v>
      </c>
      <c r="DH682" s="2">
        <v>0</v>
      </c>
      <c r="DI682" s="2">
        <v>3.1491099999999999</v>
      </c>
      <c r="DR682" s="89">
        <v>136</v>
      </c>
      <c r="DS682" s="2">
        <v>55</v>
      </c>
      <c r="DT682" s="2">
        <v>1</v>
      </c>
      <c r="DU682" s="2">
        <v>4.8000000000000001E-2</v>
      </c>
      <c r="ED682" s="89">
        <v>138</v>
      </c>
      <c r="EE682" s="2">
        <v>56</v>
      </c>
      <c r="EF682" s="2">
        <v>0</v>
      </c>
      <c r="EG682" s="2">
        <v>2.3366259999999999</v>
      </c>
      <c r="ES682">
        <v>138</v>
      </c>
      <c r="ET682">
        <v>56</v>
      </c>
      <c r="EU682">
        <v>0</v>
      </c>
      <c r="EV682">
        <v>2.3366259999999999</v>
      </c>
    </row>
    <row r="683" spans="8:152" x14ac:dyDescent="0.4">
      <c r="N683" s="89">
        <v>135</v>
      </c>
      <c r="O683" s="2">
        <v>57</v>
      </c>
      <c r="P683" s="2">
        <v>0</v>
      </c>
      <c r="Q683" s="2">
        <v>6.0000000000000001E-3</v>
      </c>
      <c r="Z683" s="89">
        <v>137</v>
      </c>
      <c r="AA683" s="2">
        <v>57</v>
      </c>
      <c r="AB683" s="2">
        <v>0</v>
      </c>
      <c r="AC683" s="2">
        <v>2.5000000000000001E-2</v>
      </c>
      <c r="AL683" s="89">
        <v>138</v>
      </c>
      <c r="AM683" s="2">
        <v>55</v>
      </c>
      <c r="AN683" s="2">
        <v>0</v>
      </c>
      <c r="AO683" s="2">
        <v>3.62E-3</v>
      </c>
      <c r="AX683" s="89">
        <v>140</v>
      </c>
      <c r="AY683" s="2">
        <v>57</v>
      </c>
      <c r="AZ683" s="2">
        <v>0</v>
      </c>
      <c r="BA683" s="2">
        <v>1.7973460000000001</v>
      </c>
      <c r="BJ683" s="89">
        <v>136</v>
      </c>
      <c r="BK683" s="2">
        <v>57</v>
      </c>
      <c r="BL683" s="2">
        <v>1</v>
      </c>
      <c r="BM683" s="2">
        <v>9.6153850000000002E-4</v>
      </c>
      <c r="BV683" s="89">
        <v>144</v>
      </c>
      <c r="BW683" s="2">
        <v>56</v>
      </c>
      <c r="BX683" s="2">
        <v>0</v>
      </c>
      <c r="BY683" s="2">
        <v>0.45269680000000001</v>
      </c>
      <c r="CH683" s="89">
        <v>136</v>
      </c>
      <c r="CI683" s="2">
        <v>56</v>
      </c>
      <c r="CJ683" s="2">
        <v>1</v>
      </c>
      <c r="CK683" s="2">
        <v>0.49093340000000002</v>
      </c>
      <c r="CT683" s="89">
        <v>134</v>
      </c>
      <c r="CU683" s="2">
        <v>55</v>
      </c>
      <c r="CV683" s="2">
        <v>1</v>
      </c>
      <c r="CW683" s="2">
        <v>0.66300000000000003</v>
      </c>
      <c r="DF683" s="89">
        <v>140</v>
      </c>
      <c r="DG683" s="2">
        <v>56</v>
      </c>
      <c r="DH683" s="2">
        <v>0</v>
      </c>
      <c r="DI683" s="2">
        <v>3.0820090000000002</v>
      </c>
      <c r="DR683" s="89">
        <v>137</v>
      </c>
      <c r="DS683" s="2">
        <v>55</v>
      </c>
      <c r="DT683" s="2">
        <v>0</v>
      </c>
      <c r="DU683" s="2">
        <v>8.2663E-2</v>
      </c>
      <c r="ED683" s="89">
        <v>139</v>
      </c>
      <c r="EE683" s="2">
        <v>56</v>
      </c>
      <c r="EF683" s="2">
        <v>0</v>
      </c>
      <c r="EG683" s="2">
        <v>1.869985</v>
      </c>
      <c r="ES683">
        <v>139</v>
      </c>
      <c r="ET683">
        <v>56</v>
      </c>
      <c r="EU683">
        <v>0</v>
      </c>
      <c r="EV683">
        <v>1.869985</v>
      </c>
    </row>
    <row r="684" spans="8:152" x14ac:dyDescent="0.4">
      <c r="N684" s="89">
        <v>136</v>
      </c>
      <c r="O684" s="2">
        <v>57</v>
      </c>
      <c r="P684" s="2">
        <v>0</v>
      </c>
      <c r="Q684" s="2">
        <v>1.7999999999999999E-2</v>
      </c>
      <c r="Z684" s="89">
        <v>138</v>
      </c>
      <c r="AA684" s="2">
        <v>57</v>
      </c>
      <c r="AB684" s="2">
        <v>0</v>
      </c>
      <c r="AC684" s="2">
        <v>4.2000000000000003E-2</v>
      </c>
      <c r="AL684" s="89">
        <v>138</v>
      </c>
      <c r="AM684" s="2">
        <v>55</v>
      </c>
      <c r="AN684" s="2">
        <v>1</v>
      </c>
      <c r="AO684" s="2">
        <v>2E-3</v>
      </c>
      <c r="AX684" s="89">
        <v>141</v>
      </c>
      <c r="AY684" s="2">
        <v>57</v>
      </c>
      <c r="AZ684" s="2">
        <v>0</v>
      </c>
      <c r="BA684" s="2">
        <v>1.5411490000000001</v>
      </c>
      <c r="BJ684" s="89">
        <v>137</v>
      </c>
      <c r="BK684" s="2">
        <v>57</v>
      </c>
      <c r="BL684" s="2">
        <v>0</v>
      </c>
      <c r="BM684" s="2">
        <v>0.112</v>
      </c>
      <c r="BV684" s="89">
        <v>145</v>
      </c>
      <c r="BW684" s="2">
        <v>56</v>
      </c>
      <c r="BX684" s="2">
        <v>0</v>
      </c>
      <c r="BY684" s="2">
        <v>0.19042200000000001</v>
      </c>
      <c r="CH684" s="89">
        <v>137</v>
      </c>
      <c r="CI684" s="2">
        <v>56</v>
      </c>
      <c r="CJ684" s="2">
        <v>0</v>
      </c>
      <c r="CK684" s="2">
        <v>2.7797939999999999</v>
      </c>
      <c r="CT684" s="89">
        <v>135</v>
      </c>
      <c r="CU684" s="2">
        <v>55</v>
      </c>
      <c r="CV684" s="2">
        <v>0</v>
      </c>
      <c r="CW684" s="2">
        <v>3.2319650000000002</v>
      </c>
      <c r="DF684" s="89">
        <v>141</v>
      </c>
      <c r="DG684" s="2">
        <v>56</v>
      </c>
      <c r="DH684" s="2">
        <v>0</v>
      </c>
      <c r="DI684" s="2">
        <v>2.8202180000000001</v>
      </c>
      <c r="DR684" s="89">
        <v>138</v>
      </c>
      <c r="DS684" s="2">
        <v>55</v>
      </c>
      <c r="DT684" s="2">
        <v>0</v>
      </c>
      <c r="DU684" s="2">
        <v>3.4733069999999998E-2</v>
      </c>
      <c r="ED684" s="89">
        <v>140</v>
      </c>
      <c r="EE684" s="2">
        <v>56</v>
      </c>
      <c r="EF684" s="2">
        <v>0</v>
      </c>
      <c r="EG684" s="2">
        <v>1.6030450000000001</v>
      </c>
      <c r="ES684">
        <v>140</v>
      </c>
      <c r="ET684">
        <v>56</v>
      </c>
      <c r="EU684">
        <v>0</v>
      </c>
      <c r="EV684">
        <v>1.6030450000000001</v>
      </c>
    </row>
    <row r="685" spans="8:152" x14ac:dyDescent="0.4">
      <c r="N685" s="89">
        <v>137</v>
      </c>
      <c r="O685" s="2">
        <v>57</v>
      </c>
      <c r="P685" s="2">
        <v>0</v>
      </c>
      <c r="Q685" s="2">
        <v>2.5000000000000001E-2</v>
      </c>
      <c r="Z685" s="89">
        <v>139</v>
      </c>
      <c r="AA685" s="2">
        <v>57</v>
      </c>
      <c r="AB685" s="2">
        <v>0</v>
      </c>
      <c r="AC685" s="2">
        <v>0.05</v>
      </c>
      <c r="AL685" s="89">
        <v>139</v>
      </c>
      <c r="AM685" s="2">
        <v>55</v>
      </c>
      <c r="AN685" s="2">
        <v>0</v>
      </c>
      <c r="AO685" s="2">
        <v>1E-3</v>
      </c>
      <c r="AX685" s="89">
        <v>142</v>
      </c>
      <c r="AY685" s="2">
        <v>57</v>
      </c>
      <c r="AZ685" s="2">
        <v>0</v>
      </c>
      <c r="BA685" s="2">
        <v>1.4355709999999999</v>
      </c>
      <c r="BJ685" s="89">
        <v>138</v>
      </c>
      <c r="BK685" s="2">
        <v>57</v>
      </c>
      <c r="BL685" s="2">
        <v>0</v>
      </c>
      <c r="BM685" s="2">
        <v>0.20499999999999999</v>
      </c>
      <c r="BV685" s="89">
        <v>146</v>
      </c>
      <c r="BW685" s="2">
        <v>56</v>
      </c>
      <c r="BX685" s="2">
        <v>0</v>
      </c>
      <c r="BY685" s="2">
        <v>7.3717000000000005E-2</v>
      </c>
      <c r="CH685" s="89">
        <v>137</v>
      </c>
      <c r="CI685" s="2">
        <v>56</v>
      </c>
      <c r="CJ685" s="2">
        <v>1</v>
      </c>
      <c r="CK685" s="2">
        <v>2.2625959999999998</v>
      </c>
      <c r="CT685" s="89">
        <v>135</v>
      </c>
      <c r="CU685" s="2">
        <v>55</v>
      </c>
      <c r="CV685" s="2">
        <v>1</v>
      </c>
      <c r="CW685" s="2">
        <v>0.67901750000000005</v>
      </c>
      <c r="DF685" s="89">
        <v>142</v>
      </c>
      <c r="DG685" s="2">
        <v>56</v>
      </c>
      <c r="DH685" s="2">
        <v>0</v>
      </c>
      <c r="DI685" s="2">
        <v>2.417036</v>
      </c>
      <c r="DR685" s="89">
        <v>138</v>
      </c>
      <c r="DS685" s="2">
        <v>55</v>
      </c>
      <c r="DT685" s="2">
        <v>1</v>
      </c>
      <c r="DU685" s="2">
        <v>2.2178570000000002E-2</v>
      </c>
      <c r="ED685" s="89">
        <v>141</v>
      </c>
      <c r="EE685" s="2">
        <v>56</v>
      </c>
      <c r="EF685" s="2">
        <v>0</v>
      </c>
      <c r="EG685" s="2">
        <v>1.2016359999999999</v>
      </c>
      <c r="ES685">
        <v>141</v>
      </c>
      <c r="ET685">
        <v>56</v>
      </c>
      <c r="EU685">
        <v>0</v>
      </c>
      <c r="EV685">
        <v>1.2016359999999999</v>
      </c>
    </row>
    <row r="686" spans="8:152" x14ac:dyDescent="0.4">
      <c r="N686" s="89">
        <v>138</v>
      </c>
      <c r="O686" s="2">
        <v>57</v>
      </c>
      <c r="P686" s="2">
        <v>0</v>
      </c>
      <c r="Q686" s="2">
        <v>2.1000000000000001E-2</v>
      </c>
      <c r="Z686" s="89">
        <v>140</v>
      </c>
      <c r="AA686" s="2">
        <v>57</v>
      </c>
      <c r="AB686" s="2">
        <v>0</v>
      </c>
      <c r="AC686" s="2">
        <v>3.9E-2</v>
      </c>
      <c r="AL686" s="89">
        <v>130</v>
      </c>
      <c r="AM686" s="2">
        <v>56</v>
      </c>
      <c r="AN686" s="2">
        <v>0</v>
      </c>
      <c r="AO686" s="2">
        <v>5.0480000000000004E-3</v>
      </c>
      <c r="AX686" s="89">
        <v>143</v>
      </c>
      <c r="AY686" s="2">
        <v>57</v>
      </c>
      <c r="AZ686" s="2">
        <v>0</v>
      </c>
      <c r="BA686" s="2">
        <v>1.122279</v>
      </c>
      <c r="BJ686" s="89">
        <v>139</v>
      </c>
      <c r="BK686" s="2">
        <v>57</v>
      </c>
      <c r="BL686" s="2">
        <v>0</v>
      </c>
      <c r="BM686" s="2">
        <v>1.7245250000000001</v>
      </c>
      <c r="BV686" s="89">
        <v>147</v>
      </c>
      <c r="BW686" s="2">
        <v>56</v>
      </c>
      <c r="BX686" s="2">
        <v>0</v>
      </c>
      <c r="BY686" s="2">
        <v>3.0714999999999999E-2</v>
      </c>
      <c r="CH686" s="89">
        <v>138</v>
      </c>
      <c r="CI686" s="2">
        <v>56</v>
      </c>
      <c r="CJ686" s="2">
        <v>0</v>
      </c>
      <c r="CK686" s="2">
        <v>2.0960589999999999</v>
      </c>
      <c r="CT686" s="89">
        <v>136</v>
      </c>
      <c r="CU686" s="2">
        <v>55</v>
      </c>
      <c r="CV686" s="2">
        <v>0</v>
      </c>
      <c r="CW686" s="2">
        <v>0.82015930000000004</v>
      </c>
      <c r="DF686" s="89">
        <v>143</v>
      </c>
      <c r="DG686" s="2">
        <v>56</v>
      </c>
      <c r="DH686" s="2">
        <v>0</v>
      </c>
      <c r="DI686" s="2">
        <v>1.6077049999999999</v>
      </c>
      <c r="DR686" s="89">
        <v>139</v>
      </c>
      <c r="DS686" s="2">
        <v>55</v>
      </c>
      <c r="DT686" s="2">
        <v>0</v>
      </c>
      <c r="DU686" s="2">
        <v>2.8000000000000001E-2</v>
      </c>
      <c r="ED686" s="89">
        <v>142</v>
      </c>
      <c r="EE686" s="2">
        <v>56</v>
      </c>
      <c r="EF686" s="2">
        <v>0</v>
      </c>
      <c r="EG686" s="2">
        <v>0.89581699999999997</v>
      </c>
      <c r="ES686">
        <v>142</v>
      </c>
      <c r="ET686">
        <v>56</v>
      </c>
      <c r="EU686">
        <v>0</v>
      </c>
      <c r="EV686">
        <v>0.89581699999999997</v>
      </c>
    </row>
    <row r="687" spans="8:152" x14ac:dyDescent="0.4">
      <c r="H687" s="40"/>
      <c r="N687" s="89">
        <v>139</v>
      </c>
      <c r="O687" s="2">
        <v>57</v>
      </c>
      <c r="P687" s="2">
        <v>0</v>
      </c>
      <c r="Q687" s="2">
        <v>4.8000000000000001E-2</v>
      </c>
      <c r="U687" s="40"/>
      <c r="Z687" s="89">
        <v>141</v>
      </c>
      <c r="AA687" s="2">
        <v>57</v>
      </c>
      <c r="AB687" s="2">
        <v>0</v>
      </c>
      <c r="AC687" s="2">
        <v>1.7000000000000001E-2</v>
      </c>
      <c r="AG687" s="40"/>
      <c r="AL687" s="89">
        <v>130</v>
      </c>
      <c r="AM687" s="2">
        <v>56</v>
      </c>
      <c r="AN687" s="2">
        <v>1</v>
      </c>
      <c r="AO687" s="2">
        <v>4.0000000000000001E-3</v>
      </c>
      <c r="AS687" s="40"/>
      <c r="AX687" s="89">
        <v>144</v>
      </c>
      <c r="AY687" s="2">
        <v>57</v>
      </c>
      <c r="AZ687" s="2">
        <v>0</v>
      </c>
      <c r="BA687" s="2">
        <v>0.74368860000000003</v>
      </c>
      <c r="BE687" s="40"/>
      <c r="BJ687" s="89">
        <v>140</v>
      </c>
      <c r="BK687" s="2">
        <v>57</v>
      </c>
      <c r="BL687" s="2">
        <v>0</v>
      </c>
      <c r="BM687" s="2">
        <v>1.4291290000000001</v>
      </c>
      <c r="BQ687" s="40"/>
      <c r="BV687" s="89">
        <v>148</v>
      </c>
      <c r="BW687" s="2">
        <v>56</v>
      </c>
      <c r="BX687" s="2">
        <v>0</v>
      </c>
      <c r="BY687" s="2">
        <v>8.0000000000000002E-3</v>
      </c>
      <c r="CC687" s="40"/>
      <c r="CH687" s="89">
        <v>139</v>
      </c>
      <c r="CI687" s="2">
        <v>56</v>
      </c>
      <c r="CJ687" s="2">
        <v>0</v>
      </c>
      <c r="CK687" s="2">
        <v>1.551882</v>
      </c>
      <c r="CO687" s="40"/>
      <c r="CT687" s="89">
        <v>136</v>
      </c>
      <c r="CU687" s="2">
        <v>55</v>
      </c>
      <c r="CV687" s="2">
        <v>1</v>
      </c>
      <c r="CW687" s="2">
        <v>0.84768149999999998</v>
      </c>
      <c r="DA687" s="40"/>
      <c r="DF687" s="89">
        <v>144</v>
      </c>
      <c r="DG687" s="2">
        <v>56</v>
      </c>
      <c r="DH687" s="2">
        <v>0</v>
      </c>
      <c r="DI687" s="2">
        <v>1.0021800000000001</v>
      </c>
      <c r="DM687" s="40"/>
      <c r="DR687" s="89">
        <v>140</v>
      </c>
      <c r="DS687" s="2">
        <v>55</v>
      </c>
      <c r="DT687" s="2">
        <v>0</v>
      </c>
      <c r="DU687" s="2">
        <v>1.4E-2</v>
      </c>
      <c r="DY687" s="40"/>
      <c r="ED687" s="89">
        <v>143</v>
      </c>
      <c r="EE687" s="2">
        <v>56</v>
      </c>
      <c r="EF687" s="2">
        <v>0</v>
      </c>
      <c r="EG687" s="2">
        <v>0.50637189999999999</v>
      </c>
      <c r="EK687" s="40"/>
      <c r="ES687">
        <v>143</v>
      </c>
      <c r="ET687">
        <v>56</v>
      </c>
      <c r="EU687">
        <v>0</v>
      </c>
      <c r="EV687">
        <v>0.50637189999999999</v>
      </c>
    </row>
    <row r="688" spans="8:152" x14ac:dyDescent="0.4">
      <c r="N688" s="89">
        <v>140</v>
      </c>
      <c r="O688" s="2">
        <v>57</v>
      </c>
      <c r="P688" s="2">
        <v>0</v>
      </c>
      <c r="Q688" s="2">
        <v>1.9E-2</v>
      </c>
      <c r="Z688" s="89">
        <v>142</v>
      </c>
      <c r="AA688" s="2">
        <v>57</v>
      </c>
      <c r="AB688" s="2">
        <v>0</v>
      </c>
      <c r="AC688" s="2">
        <v>6.0000000000000001E-3</v>
      </c>
      <c r="AL688" s="89">
        <v>131</v>
      </c>
      <c r="AM688" s="2">
        <v>56</v>
      </c>
      <c r="AN688" s="2">
        <v>0</v>
      </c>
      <c r="AO688" s="2">
        <v>1.7999999999999999E-2</v>
      </c>
      <c r="AX688" s="89">
        <v>145</v>
      </c>
      <c r="AY688" s="2">
        <v>57</v>
      </c>
      <c r="AZ688" s="2">
        <v>0</v>
      </c>
      <c r="BA688" s="2">
        <v>0.37395319999999999</v>
      </c>
      <c r="BJ688" s="89">
        <v>141</v>
      </c>
      <c r="BK688" s="2">
        <v>57</v>
      </c>
      <c r="BL688" s="2">
        <v>0</v>
      </c>
      <c r="BM688" s="2">
        <v>1.2018070000000001</v>
      </c>
      <c r="BV688" s="89">
        <v>149</v>
      </c>
      <c r="BW688" s="2">
        <v>56</v>
      </c>
      <c r="BX688" s="2">
        <v>0</v>
      </c>
      <c r="BY688" s="2">
        <v>1E-3</v>
      </c>
      <c r="CH688" s="89">
        <v>140</v>
      </c>
      <c r="CI688" s="2">
        <v>56</v>
      </c>
      <c r="CJ688" s="2">
        <v>0</v>
      </c>
      <c r="CK688" s="2">
        <v>1.0716330000000001</v>
      </c>
      <c r="CT688" s="89">
        <v>137</v>
      </c>
      <c r="CU688" s="2">
        <v>55</v>
      </c>
      <c r="CV688" s="2">
        <v>0</v>
      </c>
      <c r="CW688" s="2">
        <v>2.2690809999999999</v>
      </c>
      <c r="DF688" s="89">
        <v>145</v>
      </c>
      <c r="DG688" s="2">
        <v>56</v>
      </c>
      <c r="DH688" s="2">
        <v>0</v>
      </c>
      <c r="DI688" s="2">
        <v>0.453984</v>
      </c>
      <c r="DR688" s="89">
        <v>143</v>
      </c>
      <c r="DS688" s="2">
        <v>55</v>
      </c>
      <c r="DT688" s="2">
        <v>0</v>
      </c>
      <c r="DU688" s="2">
        <v>1E-3</v>
      </c>
      <c r="ED688" s="89">
        <v>144</v>
      </c>
      <c r="EE688" s="2">
        <v>56</v>
      </c>
      <c r="EF688" s="2">
        <v>0</v>
      </c>
      <c r="EG688" s="2">
        <v>0.2844506</v>
      </c>
      <c r="ES688">
        <v>144</v>
      </c>
      <c r="ET688">
        <v>56</v>
      </c>
      <c r="EU688">
        <v>0</v>
      </c>
      <c r="EV688">
        <v>0.2844506</v>
      </c>
    </row>
    <row r="689" spans="14:152" x14ac:dyDescent="0.4">
      <c r="N689" s="89">
        <v>141</v>
      </c>
      <c r="O689" s="2">
        <v>57</v>
      </c>
      <c r="P689" s="2">
        <v>0</v>
      </c>
      <c r="Q689" s="2">
        <v>1.2E-2</v>
      </c>
      <c r="Z689" s="89">
        <v>143</v>
      </c>
      <c r="AA689" s="2">
        <v>57</v>
      </c>
      <c r="AB689" s="2">
        <v>0</v>
      </c>
      <c r="AC689" s="2">
        <v>9.0000010000000005E-3</v>
      </c>
      <c r="AL689" s="89">
        <v>131</v>
      </c>
      <c r="AM689" s="2">
        <v>56</v>
      </c>
      <c r="AN689" s="2">
        <v>1</v>
      </c>
      <c r="AO689" s="2">
        <v>1.7999999999999999E-2</v>
      </c>
      <c r="AX689" s="89">
        <v>146</v>
      </c>
      <c r="AY689" s="2">
        <v>57</v>
      </c>
      <c r="AZ689" s="2">
        <v>0</v>
      </c>
      <c r="BA689" s="2">
        <v>8.8432010000000005E-2</v>
      </c>
      <c r="BJ689" s="89">
        <v>142</v>
      </c>
      <c r="BK689" s="2">
        <v>57</v>
      </c>
      <c r="BL689" s="2">
        <v>0</v>
      </c>
      <c r="BM689" s="2">
        <v>1.004923</v>
      </c>
      <c r="BV689" s="89">
        <v>135</v>
      </c>
      <c r="BW689" s="2">
        <v>57</v>
      </c>
      <c r="BX689" s="2">
        <v>0</v>
      </c>
      <c r="BY689" s="2">
        <v>2E-3</v>
      </c>
      <c r="CH689" s="89">
        <v>141</v>
      </c>
      <c r="CI689" s="2">
        <v>56</v>
      </c>
      <c r="CJ689" s="2">
        <v>0</v>
      </c>
      <c r="CK689" s="2">
        <v>0.71800600000000003</v>
      </c>
      <c r="CT689" s="89">
        <v>138</v>
      </c>
      <c r="CU689" s="2">
        <v>55</v>
      </c>
      <c r="CV689" s="2">
        <v>0</v>
      </c>
      <c r="CW689" s="2">
        <v>1.4441010000000001</v>
      </c>
      <c r="DF689" s="89">
        <v>146</v>
      </c>
      <c r="DG689" s="2">
        <v>56</v>
      </c>
      <c r="DH689" s="2">
        <v>0</v>
      </c>
      <c r="DI689" s="2">
        <v>0.21524479999999999</v>
      </c>
      <c r="DR689" s="89">
        <v>132</v>
      </c>
      <c r="DS689" s="2">
        <v>56</v>
      </c>
      <c r="DT689" s="2">
        <v>0</v>
      </c>
      <c r="DU689" s="2">
        <v>3.9599999999999998E-4</v>
      </c>
      <c r="ED689" s="89">
        <v>145</v>
      </c>
      <c r="EE689" s="2">
        <v>56</v>
      </c>
      <c r="EF689" s="2">
        <v>0</v>
      </c>
      <c r="EG689" s="2">
        <v>0.101285</v>
      </c>
      <c r="ES689">
        <v>145</v>
      </c>
      <c r="ET689">
        <v>56</v>
      </c>
      <c r="EU689">
        <v>0</v>
      </c>
      <c r="EV689">
        <v>0.101285</v>
      </c>
    </row>
    <row r="690" spans="14:152" x14ac:dyDescent="0.4">
      <c r="N690" s="89">
        <v>142</v>
      </c>
      <c r="O690" s="2">
        <v>57</v>
      </c>
      <c r="P690" s="2">
        <v>0</v>
      </c>
      <c r="Q690" s="2">
        <v>2E-3</v>
      </c>
      <c r="Z690" s="89">
        <v>144</v>
      </c>
      <c r="AA690" s="2">
        <v>57</v>
      </c>
      <c r="AB690" s="2">
        <v>0</v>
      </c>
      <c r="AC690" s="2">
        <v>4.0000000000000001E-3</v>
      </c>
      <c r="AL690" s="89">
        <v>132</v>
      </c>
      <c r="AM690" s="2">
        <v>56</v>
      </c>
      <c r="AN690" s="2">
        <v>0</v>
      </c>
      <c r="AO690" s="2">
        <v>4.0548000000000001E-2</v>
      </c>
      <c r="AX690" s="89">
        <v>146</v>
      </c>
      <c r="AY690" s="2">
        <v>57</v>
      </c>
      <c r="AZ690" s="2">
        <v>1</v>
      </c>
      <c r="BA690" s="2">
        <v>8.8999999999999996E-2</v>
      </c>
      <c r="BJ690" s="89">
        <v>143</v>
      </c>
      <c r="BK690" s="2">
        <v>57</v>
      </c>
      <c r="BL690" s="2">
        <v>0</v>
      </c>
      <c r="BM690" s="2">
        <v>0.80358949999999996</v>
      </c>
      <c r="BV690" s="89">
        <v>136</v>
      </c>
      <c r="BW690" s="2">
        <v>57</v>
      </c>
      <c r="BX690" s="2">
        <v>0</v>
      </c>
      <c r="BY690" s="2">
        <v>2E-3</v>
      </c>
      <c r="CH690" s="89">
        <v>142</v>
      </c>
      <c r="CI690" s="2">
        <v>56</v>
      </c>
      <c r="CJ690" s="2">
        <v>0</v>
      </c>
      <c r="CK690" s="2">
        <v>0.44428440000000002</v>
      </c>
      <c r="CT690" s="89">
        <v>138</v>
      </c>
      <c r="CU690" s="2">
        <v>55</v>
      </c>
      <c r="CV690" s="2">
        <v>1</v>
      </c>
      <c r="CW690" s="2">
        <v>0.80022289999999996</v>
      </c>
      <c r="DF690" s="89">
        <v>147</v>
      </c>
      <c r="DG690" s="2">
        <v>56</v>
      </c>
      <c r="DH690" s="2">
        <v>0</v>
      </c>
      <c r="DI690" s="2">
        <v>6.3971E-2</v>
      </c>
      <c r="DR690" s="89">
        <v>133</v>
      </c>
      <c r="DS690" s="2">
        <v>56</v>
      </c>
      <c r="DT690" s="2">
        <v>0</v>
      </c>
      <c r="DU690" s="2">
        <v>1.9997999999999999E-3</v>
      </c>
      <c r="ED690" s="89">
        <v>146</v>
      </c>
      <c r="EE690" s="2">
        <v>56</v>
      </c>
      <c r="EF690" s="2">
        <v>0</v>
      </c>
      <c r="EG690" s="2">
        <v>3.4000000000000002E-2</v>
      </c>
      <c r="ES690">
        <v>146</v>
      </c>
      <c r="ET690">
        <v>56</v>
      </c>
      <c r="EU690">
        <v>0</v>
      </c>
      <c r="EV690">
        <v>3.4000000000000002E-2</v>
      </c>
    </row>
    <row r="691" spans="14:152" x14ac:dyDescent="0.4">
      <c r="N691" s="89">
        <v>143</v>
      </c>
      <c r="O691" s="2">
        <v>57</v>
      </c>
      <c r="P691" s="2">
        <v>0</v>
      </c>
      <c r="Q691" s="2">
        <v>6.0000000000000001E-3</v>
      </c>
      <c r="Z691" s="89">
        <v>145</v>
      </c>
      <c r="AA691" s="2">
        <v>57</v>
      </c>
      <c r="AB691" s="2">
        <v>0</v>
      </c>
      <c r="AC691" s="2">
        <v>1E-3</v>
      </c>
      <c r="AL691" s="89">
        <v>133</v>
      </c>
      <c r="AM691" s="2">
        <v>56</v>
      </c>
      <c r="AN691" s="2">
        <v>0</v>
      </c>
      <c r="AO691" s="2">
        <v>6.699426E-2</v>
      </c>
      <c r="AX691" s="89">
        <v>147</v>
      </c>
      <c r="AY691" s="2">
        <v>57</v>
      </c>
      <c r="AZ691" s="2">
        <v>0</v>
      </c>
      <c r="BA691" s="2">
        <v>6.0004000000000002E-2</v>
      </c>
      <c r="BJ691" s="89">
        <v>144</v>
      </c>
      <c r="BK691" s="2">
        <v>57</v>
      </c>
      <c r="BL691" s="2">
        <v>0</v>
      </c>
      <c r="BM691" s="2">
        <v>0.47088799999999997</v>
      </c>
      <c r="BV691" s="89">
        <v>137</v>
      </c>
      <c r="BW691" s="2">
        <v>57</v>
      </c>
      <c r="BX691" s="2">
        <v>0</v>
      </c>
      <c r="BY691" s="2">
        <v>0.02</v>
      </c>
      <c r="CH691" s="89">
        <v>143</v>
      </c>
      <c r="CI691" s="2">
        <v>56</v>
      </c>
      <c r="CJ691" s="2">
        <v>0</v>
      </c>
      <c r="CK691" s="2">
        <v>0.1757368</v>
      </c>
      <c r="CT691" s="89">
        <v>139</v>
      </c>
      <c r="CU691" s="2">
        <v>55</v>
      </c>
      <c r="CV691" s="2">
        <v>0</v>
      </c>
      <c r="CW691" s="2">
        <v>1.184804</v>
      </c>
      <c r="DF691" s="89">
        <v>148</v>
      </c>
      <c r="DG691" s="2">
        <v>56</v>
      </c>
      <c r="DH691" s="2">
        <v>0</v>
      </c>
      <c r="DI691" s="2">
        <v>2.4749E-2</v>
      </c>
      <c r="DR691" s="89">
        <v>133</v>
      </c>
      <c r="DS691" s="2">
        <v>56</v>
      </c>
      <c r="DT691" s="2">
        <v>1</v>
      </c>
      <c r="DU691" s="2">
        <v>2E-3</v>
      </c>
      <c r="ED691" s="89">
        <v>147</v>
      </c>
      <c r="EE691" s="2">
        <v>56</v>
      </c>
      <c r="EF691" s="2">
        <v>0</v>
      </c>
      <c r="EG691" s="2">
        <v>8.0000000000000002E-3</v>
      </c>
      <c r="ES691">
        <v>147</v>
      </c>
      <c r="ET691">
        <v>56</v>
      </c>
      <c r="EU691">
        <v>0</v>
      </c>
      <c r="EV691">
        <v>8.0000000000000002E-3</v>
      </c>
    </row>
    <row r="692" spans="14:152" x14ac:dyDescent="0.4">
      <c r="N692" s="89">
        <v>145</v>
      </c>
      <c r="O692" s="2">
        <v>57</v>
      </c>
      <c r="P692" s="2">
        <v>0</v>
      </c>
      <c r="Q692" s="2">
        <v>1E-3</v>
      </c>
      <c r="Z692" s="89">
        <v>147</v>
      </c>
      <c r="AA692" s="2">
        <v>57</v>
      </c>
      <c r="AB692" s="2">
        <v>0</v>
      </c>
      <c r="AC692" s="2">
        <v>2E-3</v>
      </c>
      <c r="AL692" s="89">
        <v>133</v>
      </c>
      <c r="AM692" s="2">
        <v>56</v>
      </c>
      <c r="AN692" s="2">
        <v>1</v>
      </c>
      <c r="AO692" s="2">
        <v>5.735821E-2</v>
      </c>
      <c r="AX692" s="89">
        <v>148</v>
      </c>
      <c r="AY692" s="2">
        <v>57</v>
      </c>
      <c r="AZ692" s="2">
        <v>0</v>
      </c>
      <c r="BA692" s="2">
        <v>1.7996000000000002E-2</v>
      </c>
      <c r="BJ692" s="89">
        <v>145</v>
      </c>
      <c r="BK692" s="2">
        <v>57</v>
      </c>
      <c r="BL692" s="2">
        <v>0</v>
      </c>
      <c r="BM692" s="2">
        <v>0.25971300000000003</v>
      </c>
      <c r="BV692" s="89">
        <v>138</v>
      </c>
      <c r="BW692" s="2">
        <v>57</v>
      </c>
      <c r="BX692" s="2">
        <v>0</v>
      </c>
      <c r="BY692" s="2">
        <v>5.0999999999999997E-2</v>
      </c>
      <c r="CH692" s="89">
        <v>144</v>
      </c>
      <c r="CI692" s="2">
        <v>56</v>
      </c>
      <c r="CJ692" s="2">
        <v>0</v>
      </c>
      <c r="CK692" s="2">
        <v>7.1110999999999994E-2</v>
      </c>
      <c r="CT692" s="89">
        <v>140</v>
      </c>
      <c r="CU692" s="2">
        <v>55</v>
      </c>
      <c r="CV692" s="2">
        <v>0</v>
      </c>
      <c r="CW692" s="2">
        <v>0.72932450000000004</v>
      </c>
      <c r="DF692" s="89">
        <v>149</v>
      </c>
      <c r="DG692" s="2">
        <v>56</v>
      </c>
      <c r="DH692" s="2">
        <v>0</v>
      </c>
      <c r="DI692" s="2">
        <v>8.0000000000000002E-3</v>
      </c>
      <c r="DR692" s="89">
        <v>134</v>
      </c>
      <c r="DS692" s="2">
        <v>56</v>
      </c>
      <c r="DT692" s="2">
        <v>0</v>
      </c>
      <c r="DU692" s="2">
        <v>6.2E-2</v>
      </c>
      <c r="ED692" s="89">
        <v>148</v>
      </c>
      <c r="EE692" s="2">
        <v>56</v>
      </c>
      <c r="EF692" s="2">
        <v>0</v>
      </c>
      <c r="EG692" s="2">
        <v>1E-3</v>
      </c>
      <c r="ES692">
        <v>148</v>
      </c>
      <c r="ET692">
        <v>56</v>
      </c>
      <c r="EU692">
        <v>0</v>
      </c>
      <c r="EV692">
        <v>1E-3</v>
      </c>
    </row>
    <row r="693" spans="14:152" x14ac:dyDescent="0.4">
      <c r="N693" s="89">
        <v>137</v>
      </c>
      <c r="O693" s="2">
        <v>58</v>
      </c>
      <c r="P693" s="2">
        <v>0</v>
      </c>
      <c r="Q693" s="2">
        <v>9.9210009999999992E-4</v>
      </c>
      <c r="Z693" s="89">
        <v>138</v>
      </c>
      <c r="AA693" s="2">
        <v>58</v>
      </c>
      <c r="AB693" s="2">
        <v>0</v>
      </c>
      <c r="AC693" s="2">
        <v>7.0000000000000001E-3</v>
      </c>
      <c r="AL693" s="89">
        <v>134</v>
      </c>
      <c r="AM693" s="2">
        <v>56</v>
      </c>
      <c r="AN693" s="2">
        <v>0</v>
      </c>
      <c r="AO693" s="2">
        <v>0.156</v>
      </c>
      <c r="AX693" s="89">
        <v>149</v>
      </c>
      <c r="AY693" s="2">
        <v>57</v>
      </c>
      <c r="AZ693" s="2">
        <v>0</v>
      </c>
      <c r="BA693" s="2">
        <v>6.0000000000000001E-3</v>
      </c>
      <c r="BJ693" s="89">
        <v>146</v>
      </c>
      <c r="BK693" s="2">
        <v>57</v>
      </c>
      <c r="BL693" s="2">
        <v>0</v>
      </c>
      <c r="BM693" s="2">
        <v>4.8857999999999999E-2</v>
      </c>
      <c r="BV693" s="89">
        <v>139</v>
      </c>
      <c r="BW693" s="2">
        <v>57</v>
      </c>
      <c r="BX693" s="2">
        <v>0</v>
      </c>
      <c r="BY693" s="2">
        <v>2.4740660000000001</v>
      </c>
      <c r="CH693" s="89">
        <v>145</v>
      </c>
      <c r="CI693" s="2">
        <v>56</v>
      </c>
      <c r="CJ693" s="2">
        <v>0</v>
      </c>
      <c r="CK693" s="2">
        <v>1.7857000000000001E-2</v>
      </c>
      <c r="CT693" s="89">
        <v>141</v>
      </c>
      <c r="CU693" s="2">
        <v>55</v>
      </c>
      <c r="CV693" s="2">
        <v>0</v>
      </c>
      <c r="CW693" s="2">
        <v>0.4622346</v>
      </c>
      <c r="DF693" s="89">
        <v>150</v>
      </c>
      <c r="DG693" s="2">
        <v>56</v>
      </c>
      <c r="DH693" s="2">
        <v>0</v>
      </c>
      <c r="DI693" s="2">
        <v>1E-3</v>
      </c>
      <c r="DR693" s="89">
        <v>135</v>
      </c>
      <c r="DS693" s="2">
        <v>56</v>
      </c>
      <c r="DT693" s="2">
        <v>0</v>
      </c>
      <c r="DU693" s="2">
        <v>1.7999999999999999E-2</v>
      </c>
      <c r="ED693" s="89">
        <v>150</v>
      </c>
      <c r="EE693" s="2">
        <v>56</v>
      </c>
      <c r="EF693" s="2">
        <v>0</v>
      </c>
      <c r="EG693" s="2">
        <v>1E-3</v>
      </c>
      <c r="ES693">
        <v>150</v>
      </c>
      <c r="ET693">
        <v>56</v>
      </c>
      <c r="EU693">
        <v>0</v>
      </c>
      <c r="EV693">
        <v>1E-3</v>
      </c>
    </row>
    <row r="694" spans="14:152" x14ac:dyDescent="0.4">
      <c r="N694" s="89">
        <v>137</v>
      </c>
      <c r="O694" s="2">
        <v>58</v>
      </c>
      <c r="P694" s="2">
        <v>1</v>
      </c>
      <c r="Q694" s="2">
        <v>1E-3</v>
      </c>
      <c r="Z694" s="89">
        <v>138</v>
      </c>
      <c r="AA694" s="2">
        <v>58</v>
      </c>
      <c r="AB694" s="2">
        <v>1</v>
      </c>
      <c r="AC694" s="2">
        <v>5.0000000000000001E-3</v>
      </c>
      <c r="AL694" s="89">
        <v>135</v>
      </c>
      <c r="AM694" s="2">
        <v>56</v>
      </c>
      <c r="AN694" s="2">
        <v>0</v>
      </c>
      <c r="AO694" s="2">
        <v>0.105</v>
      </c>
      <c r="AX694" s="89">
        <v>138</v>
      </c>
      <c r="AY694" s="2">
        <v>58</v>
      </c>
      <c r="AZ694" s="2">
        <v>0</v>
      </c>
      <c r="BA694" s="2">
        <v>1E-3</v>
      </c>
      <c r="BJ694" s="89">
        <v>146</v>
      </c>
      <c r="BK694" s="2">
        <v>57</v>
      </c>
      <c r="BL694" s="2">
        <v>1</v>
      </c>
      <c r="BM694" s="2">
        <v>8.5000010000000001E-2</v>
      </c>
      <c r="BV694" s="89">
        <v>140</v>
      </c>
      <c r="BW694" s="2">
        <v>57</v>
      </c>
      <c r="BX694" s="2">
        <v>0</v>
      </c>
      <c r="BY694" s="2">
        <v>2.25488</v>
      </c>
      <c r="CH694" s="89">
        <v>146</v>
      </c>
      <c r="CI694" s="2">
        <v>56</v>
      </c>
      <c r="CJ694" s="2">
        <v>0</v>
      </c>
      <c r="CK694" s="2">
        <v>3.0000000000000001E-3</v>
      </c>
      <c r="CT694" s="89">
        <v>142</v>
      </c>
      <c r="CU694" s="2">
        <v>55</v>
      </c>
      <c r="CV694" s="2">
        <v>0</v>
      </c>
      <c r="CW694" s="2">
        <v>0.24773690000000001</v>
      </c>
      <c r="DF694" s="89">
        <v>138</v>
      </c>
      <c r="DG694" s="2">
        <v>57</v>
      </c>
      <c r="DH694" s="2">
        <v>0</v>
      </c>
      <c r="DI694" s="2">
        <v>7.0000000000000001E-3</v>
      </c>
      <c r="DR694" s="89">
        <v>135</v>
      </c>
      <c r="DS694" s="2">
        <v>56</v>
      </c>
      <c r="DT694" s="2">
        <v>1</v>
      </c>
      <c r="DU694" s="2">
        <v>1.7999999999999999E-2</v>
      </c>
      <c r="ED694" s="89">
        <v>135</v>
      </c>
      <c r="EE694" s="2">
        <v>57</v>
      </c>
      <c r="EF694" s="2">
        <v>0</v>
      </c>
      <c r="EG694" s="2">
        <v>6.0000000000000001E-3</v>
      </c>
      <c r="ES694">
        <v>135</v>
      </c>
      <c r="ET694">
        <v>57</v>
      </c>
      <c r="EU694">
        <v>0</v>
      </c>
      <c r="EV694">
        <v>6.0000000000000001E-3</v>
      </c>
    </row>
    <row r="695" spans="14:152" x14ac:dyDescent="0.4">
      <c r="N695" s="89">
        <v>138</v>
      </c>
      <c r="O695" s="2">
        <v>58</v>
      </c>
      <c r="P695" s="2">
        <v>0</v>
      </c>
      <c r="Q695" s="2">
        <v>5.0000000000000001E-3</v>
      </c>
      <c r="Z695" s="89">
        <v>139</v>
      </c>
      <c r="AA695" s="2">
        <v>58</v>
      </c>
      <c r="AB695" s="2">
        <v>0</v>
      </c>
      <c r="AC695" s="2">
        <v>4.0000000000000001E-3</v>
      </c>
      <c r="AL695" s="89">
        <v>135</v>
      </c>
      <c r="AM695" s="2">
        <v>56</v>
      </c>
      <c r="AN695" s="2">
        <v>1</v>
      </c>
      <c r="AO695" s="2">
        <v>7.6000010000000007E-2</v>
      </c>
      <c r="AX695" s="89">
        <v>138</v>
      </c>
      <c r="AY695" s="2">
        <v>58</v>
      </c>
      <c r="AZ695" s="2">
        <v>1</v>
      </c>
      <c r="BA695" s="2">
        <v>1E-3</v>
      </c>
      <c r="BJ695" s="89">
        <v>147</v>
      </c>
      <c r="BK695" s="2">
        <v>57</v>
      </c>
      <c r="BL695" s="2">
        <v>0</v>
      </c>
      <c r="BM695" s="2">
        <v>5.6000000000000001E-2</v>
      </c>
      <c r="BV695" s="89">
        <v>141</v>
      </c>
      <c r="BW695" s="2">
        <v>57</v>
      </c>
      <c r="BX695" s="2">
        <v>0</v>
      </c>
      <c r="BY695" s="2">
        <v>2.0442</v>
      </c>
      <c r="CH695" s="89">
        <v>148</v>
      </c>
      <c r="CI695" s="2">
        <v>56</v>
      </c>
      <c r="CJ695" s="2">
        <v>0</v>
      </c>
      <c r="CK695" s="2">
        <v>1E-3</v>
      </c>
      <c r="CT695" s="89">
        <v>143</v>
      </c>
      <c r="CU695" s="2">
        <v>55</v>
      </c>
      <c r="CV695" s="2">
        <v>0</v>
      </c>
      <c r="CW695" s="2">
        <v>0.11502</v>
      </c>
      <c r="DF695" s="89">
        <v>139</v>
      </c>
      <c r="DG695" s="2">
        <v>57</v>
      </c>
      <c r="DH695" s="2">
        <v>0</v>
      </c>
      <c r="DI695" s="2">
        <v>3.1821100000000002</v>
      </c>
      <c r="DR695" s="89">
        <v>136</v>
      </c>
      <c r="DS695" s="2">
        <v>56</v>
      </c>
      <c r="DT695" s="2">
        <v>0</v>
      </c>
      <c r="DU695" s="2">
        <v>0.111</v>
      </c>
      <c r="ED695" s="89">
        <v>136</v>
      </c>
      <c r="EE695" s="2">
        <v>57</v>
      </c>
      <c r="EF695" s="2">
        <v>0</v>
      </c>
      <c r="EG695" s="2">
        <v>0.01</v>
      </c>
      <c r="ES695">
        <v>136</v>
      </c>
      <c r="ET695">
        <v>57</v>
      </c>
      <c r="EU695">
        <v>0</v>
      </c>
      <c r="EV695">
        <v>0.01</v>
      </c>
    </row>
    <row r="696" spans="14:152" x14ac:dyDescent="0.4">
      <c r="N696" s="89">
        <v>138</v>
      </c>
      <c r="O696" s="2">
        <v>58</v>
      </c>
      <c r="P696" s="2">
        <v>1</v>
      </c>
      <c r="Q696" s="2">
        <v>3.0000000000000001E-3</v>
      </c>
      <c r="Z696" s="89">
        <v>139</v>
      </c>
      <c r="AA696" s="2">
        <v>58</v>
      </c>
      <c r="AB696" s="2">
        <v>1</v>
      </c>
      <c r="AC696" s="2">
        <v>4.0000000000000001E-3</v>
      </c>
      <c r="AL696" s="89">
        <v>136</v>
      </c>
      <c r="AM696" s="2">
        <v>56</v>
      </c>
      <c r="AN696" s="2">
        <v>0</v>
      </c>
      <c r="AO696" s="2">
        <v>0.121</v>
      </c>
      <c r="AX696" s="89">
        <v>139</v>
      </c>
      <c r="AY696" s="2">
        <v>58</v>
      </c>
      <c r="AZ696" s="2">
        <v>0</v>
      </c>
      <c r="BA696" s="2">
        <v>4.0000000000000001E-3</v>
      </c>
      <c r="BJ696" s="89">
        <v>148</v>
      </c>
      <c r="BK696" s="2">
        <v>57</v>
      </c>
      <c r="BL696" s="2">
        <v>0</v>
      </c>
      <c r="BM696" s="2">
        <v>1.7999999999999999E-2</v>
      </c>
      <c r="BV696" s="89">
        <v>142</v>
      </c>
      <c r="BW696" s="2">
        <v>57</v>
      </c>
      <c r="BX696" s="2">
        <v>0</v>
      </c>
      <c r="BY696" s="2">
        <v>1.850922</v>
      </c>
      <c r="CH696" s="89">
        <v>133</v>
      </c>
      <c r="CI696" s="2">
        <v>57</v>
      </c>
      <c r="CJ696" s="2">
        <v>0</v>
      </c>
      <c r="CK696" s="2">
        <v>2E-3</v>
      </c>
      <c r="CT696" s="89">
        <v>144</v>
      </c>
      <c r="CU696" s="2">
        <v>55</v>
      </c>
      <c r="CV696" s="2">
        <v>0</v>
      </c>
      <c r="CW696" s="2">
        <v>4.1939999999999998E-2</v>
      </c>
      <c r="DF696" s="89">
        <v>140</v>
      </c>
      <c r="DG696" s="2">
        <v>57</v>
      </c>
      <c r="DH696" s="2">
        <v>0</v>
      </c>
      <c r="DI696" s="2">
        <v>3.1700089999999999</v>
      </c>
      <c r="DR696" s="89">
        <v>136</v>
      </c>
      <c r="DS696" s="2">
        <v>56</v>
      </c>
      <c r="DT696" s="2">
        <v>1</v>
      </c>
      <c r="DU696" s="2">
        <v>3.5355560000000001E-2</v>
      </c>
      <c r="ED696" s="89">
        <v>137</v>
      </c>
      <c r="EE696" s="2">
        <v>57</v>
      </c>
      <c r="EF696" s="2">
        <v>0</v>
      </c>
      <c r="EG696" s="2">
        <v>8.1000000000000003E-2</v>
      </c>
      <c r="ES696">
        <v>137</v>
      </c>
      <c r="ET696">
        <v>57</v>
      </c>
      <c r="EU696">
        <v>0</v>
      </c>
      <c r="EV696">
        <v>8.1000000000000003E-2</v>
      </c>
    </row>
    <row r="697" spans="14:152" x14ac:dyDescent="0.4">
      <c r="N697" s="89">
        <v>139</v>
      </c>
      <c r="O697" s="2">
        <v>58</v>
      </c>
      <c r="P697" s="2">
        <v>0</v>
      </c>
      <c r="Q697" s="2">
        <v>1.2E-2</v>
      </c>
      <c r="Z697" s="89">
        <v>140</v>
      </c>
      <c r="AA697" s="2">
        <v>58</v>
      </c>
      <c r="AB697" s="2">
        <v>0</v>
      </c>
      <c r="AC697" s="2">
        <v>5.2999999999999999E-2</v>
      </c>
      <c r="AL697" s="89">
        <v>136</v>
      </c>
      <c r="AM697" s="2">
        <v>56</v>
      </c>
      <c r="AN697" s="2">
        <v>1</v>
      </c>
      <c r="AO697" s="2">
        <v>4.4863640000000003E-2</v>
      </c>
      <c r="AX697" s="89">
        <v>139</v>
      </c>
      <c r="AY697" s="2">
        <v>58</v>
      </c>
      <c r="AZ697" s="2">
        <v>1</v>
      </c>
      <c r="BA697" s="2">
        <v>4.0000000000000001E-3</v>
      </c>
      <c r="BJ697" s="89">
        <v>149</v>
      </c>
      <c r="BK697" s="2">
        <v>57</v>
      </c>
      <c r="BL697" s="2">
        <v>0</v>
      </c>
      <c r="BM697" s="2">
        <v>3.0000000000000001E-3</v>
      </c>
      <c r="BV697" s="89">
        <v>143</v>
      </c>
      <c r="BW697" s="2">
        <v>57</v>
      </c>
      <c r="BX697" s="2">
        <v>0</v>
      </c>
      <c r="BY697" s="2">
        <v>1.4405410000000001</v>
      </c>
      <c r="CH697" s="89">
        <v>134</v>
      </c>
      <c r="CI697" s="2">
        <v>57</v>
      </c>
      <c r="CJ697" s="2">
        <v>0</v>
      </c>
      <c r="CK697" s="2">
        <v>1.2E-2</v>
      </c>
      <c r="CT697" s="89">
        <v>145</v>
      </c>
      <c r="CU697" s="2">
        <v>55</v>
      </c>
      <c r="CV697" s="2">
        <v>0</v>
      </c>
      <c r="CW697" s="2">
        <v>1.4E-2</v>
      </c>
      <c r="DF697" s="89">
        <v>141</v>
      </c>
      <c r="DG697" s="2">
        <v>57</v>
      </c>
      <c r="DH697" s="2">
        <v>0</v>
      </c>
      <c r="DI697" s="2">
        <v>3.0452180000000002</v>
      </c>
      <c r="DR697" s="89">
        <v>137</v>
      </c>
      <c r="DS697" s="2">
        <v>56</v>
      </c>
      <c r="DT697" s="2">
        <v>0</v>
      </c>
      <c r="DU697" s="2">
        <v>0.163663</v>
      </c>
      <c r="ED697" s="89">
        <v>138</v>
      </c>
      <c r="EE697" s="2">
        <v>57</v>
      </c>
      <c r="EF697" s="2">
        <v>0</v>
      </c>
      <c r="EG697" s="2">
        <v>0.14899999999999999</v>
      </c>
      <c r="ES697">
        <v>138</v>
      </c>
      <c r="ET697">
        <v>57</v>
      </c>
      <c r="EU697">
        <v>0</v>
      </c>
      <c r="EV697">
        <v>0.14899999999999999</v>
      </c>
    </row>
    <row r="698" spans="14:152" x14ac:dyDescent="0.4">
      <c r="N698" s="89">
        <v>139</v>
      </c>
      <c r="O698" s="2">
        <v>58</v>
      </c>
      <c r="P698" s="2">
        <v>1</v>
      </c>
      <c r="Q698" s="2">
        <v>9.0002009999999993E-3</v>
      </c>
      <c r="Z698" s="89">
        <v>141</v>
      </c>
      <c r="AA698" s="2">
        <v>58</v>
      </c>
      <c r="AB698" s="2">
        <v>0</v>
      </c>
      <c r="AC698" s="2">
        <v>2.8000000000000001E-2</v>
      </c>
      <c r="AL698" s="89">
        <v>137</v>
      </c>
      <c r="AM698" s="2">
        <v>56</v>
      </c>
      <c r="AN698" s="2">
        <v>0</v>
      </c>
      <c r="AO698" s="2">
        <v>7.8000009999999995E-2</v>
      </c>
      <c r="AX698" s="89">
        <v>140</v>
      </c>
      <c r="AY698" s="2">
        <v>58</v>
      </c>
      <c r="AZ698" s="2">
        <v>0</v>
      </c>
      <c r="BA698" s="2">
        <v>1.8193459999999999</v>
      </c>
      <c r="BJ698" s="89">
        <v>150</v>
      </c>
      <c r="BK698" s="2">
        <v>57</v>
      </c>
      <c r="BL698" s="2">
        <v>0</v>
      </c>
      <c r="BM698" s="2">
        <v>1E-3</v>
      </c>
      <c r="BV698" s="89">
        <v>144</v>
      </c>
      <c r="BW698" s="2">
        <v>57</v>
      </c>
      <c r="BX698" s="2">
        <v>0</v>
      </c>
      <c r="BY698" s="2">
        <v>1.0536970000000001</v>
      </c>
      <c r="CH698" s="89">
        <v>135</v>
      </c>
      <c r="CI698" s="2">
        <v>57</v>
      </c>
      <c r="CJ698" s="2">
        <v>0</v>
      </c>
      <c r="CK698" s="2">
        <v>2.7E-2</v>
      </c>
      <c r="CT698" s="89">
        <v>146</v>
      </c>
      <c r="CU698" s="2">
        <v>55</v>
      </c>
      <c r="CV698" s="2">
        <v>0</v>
      </c>
      <c r="CW698" s="2">
        <v>4.0000000000000001E-3</v>
      </c>
      <c r="DF698" s="89">
        <v>142</v>
      </c>
      <c r="DG698" s="2">
        <v>57</v>
      </c>
      <c r="DH698" s="2">
        <v>0</v>
      </c>
      <c r="DI698" s="2">
        <v>2.8060360000000002</v>
      </c>
      <c r="DR698" s="89">
        <v>137</v>
      </c>
      <c r="DS698" s="2">
        <v>56</v>
      </c>
      <c r="DT698" s="2">
        <v>1</v>
      </c>
      <c r="DU698" s="2">
        <v>0.14500080000000001</v>
      </c>
      <c r="ED698" s="89">
        <v>139</v>
      </c>
      <c r="EE698" s="2">
        <v>57</v>
      </c>
      <c r="EF698" s="2">
        <v>0</v>
      </c>
      <c r="EG698" s="2">
        <v>2.2139850000000001</v>
      </c>
      <c r="ES698">
        <v>139</v>
      </c>
      <c r="ET698">
        <v>57</v>
      </c>
      <c r="EU698">
        <v>0</v>
      </c>
      <c r="EV698">
        <v>2.2139850000000001</v>
      </c>
    </row>
    <row r="699" spans="14:152" x14ac:dyDescent="0.4">
      <c r="N699" s="89">
        <v>140</v>
      </c>
      <c r="O699" s="2">
        <v>58</v>
      </c>
      <c r="P699" s="2">
        <v>0</v>
      </c>
      <c r="Q699" s="2">
        <v>3.9E-2</v>
      </c>
      <c r="Z699" s="89">
        <v>142</v>
      </c>
      <c r="AA699" s="2">
        <v>58</v>
      </c>
      <c r="AB699" s="2">
        <v>0</v>
      </c>
      <c r="AC699" s="2">
        <v>2.3001000000000001E-2</v>
      </c>
      <c r="AL699" s="89">
        <v>137</v>
      </c>
      <c r="AM699" s="2">
        <v>56</v>
      </c>
      <c r="AN699" s="2">
        <v>1</v>
      </c>
      <c r="AO699" s="2">
        <v>3.533451E-2</v>
      </c>
      <c r="AX699" s="89">
        <v>141</v>
      </c>
      <c r="AY699" s="2">
        <v>58</v>
      </c>
      <c r="AZ699" s="2">
        <v>0</v>
      </c>
      <c r="BA699" s="2">
        <v>1.588149</v>
      </c>
      <c r="BJ699" s="89">
        <v>137</v>
      </c>
      <c r="BK699" s="2">
        <v>58</v>
      </c>
      <c r="BL699" s="2">
        <v>0</v>
      </c>
      <c r="BM699" s="2">
        <v>1.9842000000000002E-3</v>
      </c>
      <c r="BV699" s="89">
        <v>145</v>
      </c>
      <c r="BW699" s="2">
        <v>57</v>
      </c>
      <c r="BX699" s="2">
        <v>0</v>
      </c>
      <c r="BY699" s="2">
        <v>0.717422</v>
      </c>
      <c r="CH699" s="89">
        <v>136</v>
      </c>
      <c r="CI699" s="2">
        <v>57</v>
      </c>
      <c r="CJ699" s="2">
        <v>0</v>
      </c>
      <c r="CK699" s="2">
        <v>0.10199999999999999</v>
      </c>
      <c r="CT699" s="89">
        <v>130</v>
      </c>
      <c r="CU699" s="2">
        <v>56</v>
      </c>
      <c r="CV699" s="2">
        <v>0</v>
      </c>
      <c r="CW699" s="2">
        <v>1.096E-3</v>
      </c>
      <c r="DF699" s="89">
        <v>143</v>
      </c>
      <c r="DG699" s="2">
        <v>57</v>
      </c>
      <c r="DH699" s="2">
        <v>0</v>
      </c>
      <c r="DI699" s="2">
        <v>2.2957049999999999</v>
      </c>
      <c r="DR699" s="89">
        <v>138</v>
      </c>
      <c r="DS699" s="2">
        <v>56</v>
      </c>
      <c r="DT699" s="2">
        <v>0</v>
      </c>
      <c r="DU699" s="2">
        <v>0.106947</v>
      </c>
      <c r="ED699" s="89">
        <v>140</v>
      </c>
      <c r="EE699" s="2">
        <v>57</v>
      </c>
      <c r="EF699" s="2">
        <v>0</v>
      </c>
      <c r="EG699" s="2">
        <v>1.9570449999999999</v>
      </c>
      <c r="ES699">
        <v>140</v>
      </c>
      <c r="ET699">
        <v>57</v>
      </c>
      <c r="EU699">
        <v>0</v>
      </c>
      <c r="EV699">
        <v>1.9570449999999999</v>
      </c>
    </row>
    <row r="700" spans="14:152" x14ac:dyDescent="0.4">
      <c r="N700" s="89">
        <v>141</v>
      </c>
      <c r="O700" s="2">
        <v>58</v>
      </c>
      <c r="P700" s="2">
        <v>0</v>
      </c>
      <c r="Q700" s="2">
        <v>2.3E-2</v>
      </c>
      <c r="Z700" s="89">
        <v>143</v>
      </c>
      <c r="AA700" s="2">
        <v>58</v>
      </c>
      <c r="AB700" s="2">
        <v>0</v>
      </c>
      <c r="AC700" s="2">
        <v>1.4E-2</v>
      </c>
      <c r="AL700" s="89">
        <v>138</v>
      </c>
      <c r="AM700" s="2">
        <v>56</v>
      </c>
      <c r="AN700" s="2">
        <v>0</v>
      </c>
      <c r="AO700" s="2">
        <v>0.02</v>
      </c>
      <c r="AX700" s="89">
        <v>142</v>
      </c>
      <c r="AY700" s="2">
        <v>58</v>
      </c>
      <c r="AZ700" s="2">
        <v>0</v>
      </c>
      <c r="BA700" s="2">
        <v>1.524572</v>
      </c>
      <c r="BJ700" s="89">
        <v>137</v>
      </c>
      <c r="BK700" s="2">
        <v>58</v>
      </c>
      <c r="BL700" s="2">
        <v>1</v>
      </c>
      <c r="BM700" s="2">
        <v>2E-3</v>
      </c>
      <c r="BV700" s="89">
        <v>146</v>
      </c>
      <c r="BW700" s="2">
        <v>57</v>
      </c>
      <c r="BX700" s="2">
        <v>0</v>
      </c>
      <c r="BY700" s="2">
        <v>0.117717</v>
      </c>
      <c r="CH700" s="89">
        <v>137</v>
      </c>
      <c r="CI700" s="2">
        <v>57</v>
      </c>
      <c r="CJ700" s="2">
        <v>0</v>
      </c>
      <c r="CK700" s="2">
        <v>0.254</v>
      </c>
      <c r="CT700" s="89">
        <v>130</v>
      </c>
      <c r="CU700" s="2">
        <v>56</v>
      </c>
      <c r="CV700" s="2">
        <v>1</v>
      </c>
      <c r="CW700" s="2">
        <v>1E-3</v>
      </c>
      <c r="DF700" s="89">
        <v>144</v>
      </c>
      <c r="DG700" s="2">
        <v>57</v>
      </c>
      <c r="DH700" s="2">
        <v>0</v>
      </c>
      <c r="DI700" s="2">
        <v>1.8541799999999999</v>
      </c>
      <c r="DR700" s="89">
        <v>139</v>
      </c>
      <c r="DS700" s="2">
        <v>56</v>
      </c>
      <c r="DT700" s="2">
        <v>0</v>
      </c>
      <c r="DU700" s="2">
        <v>7.9000000000000001E-2</v>
      </c>
      <c r="ED700" s="89">
        <v>141</v>
      </c>
      <c r="EE700" s="2">
        <v>57</v>
      </c>
      <c r="EF700" s="2">
        <v>0</v>
      </c>
      <c r="EG700" s="2">
        <v>1.7406360000000001</v>
      </c>
      <c r="ES700">
        <v>141</v>
      </c>
      <c r="ET700">
        <v>57</v>
      </c>
      <c r="EU700">
        <v>0</v>
      </c>
      <c r="EV700">
        <v>1.7406360000000001</v>
      </c>
    </row>
    <row r="701" spans="14:152" x14ac:dyDescent="0.4">
      <c r="N701" s="89">
        <v>142</v>
      </c>
      <c r="O701" s="2">
        <v>58</v>
      </c>
      <c r="P701" s="2">
        <v>0</v>
      </c>
      <c r="Q701" s="2">
        <v>9.0022000000000001E-3</v>
      </c>
      <c r="Z701" s="89">
        <v>144</v>
      </c>
      <c r="AA701" s="2">
        <v>58</v>
      </c>
      <c r="AB701" s="2">
        <v>0</v>
      </c>
      <c r="AC701" s="2">
        <v>7.0000000000000001E-3</v>
      </c>
      <c r="AL701" s="89">
        <v>139</v>
      </c>
      <c r="AM701" s="2">
        <v>56</v>
      </c>
      <c r="AN701" s="2">
        <v>0</v>
      </c>
      <c r="AO701" s="2">
        <v>7.0000000000000001E-3</v>
      </c>
      <c r="AX701" s="89">
        <v>143</v>
      </c>
      <c r="AY701" s="2">
        <v>58</v>
      </c>
      <c r="AZ701" s="2">
        <v>0</v>
      </c>
      <c r="BA701" s="2">
        <v>1.2852790000000001</v>
      </c>
      <c r="BJ701" s="89">
        <v>138</v>
      </c>
      <c r="BK701" s="2">
        <v>58</v>
      </c>
      <c r="BL701" s="2">
        <v>0</v>
      </c>
      <c r="BM701" s="2">
        <v>1.2E-2</v>
      </c>
      <c r="BV701" s="89">
        <v>146</v>
      </c>
      <c r="BW701" s="2">
        <v>57</v>
      </c>
      <c r="BX701" s="2">
        <v>1</v>
      </c>
      <c r="BY701" s="2">
        <v>0.23</v>
      </c>
      <c r="CH701" s="89">
        <v>138</v>
      </c>
      <c r="CI701" s="2">
        <v>57</v>
      </c>
      <c r="CJ701" s="2">
        <v>0</v>
      </c>
      <c r="CK701" s="2">
        <v>0.40100000000000002</v>
      </c>
      <c r="CT701" s="89">
        <v>131</v>
      </c>
      <c r="CU701" s="2">
        <v>56</v>
      </c>
      <c r="CV701" s="2">
        <v>0</v>
      </c>
      <c r="CW701" s="2">
        <v>6.0000000000000001E-3</v>
      </c>
      <c r="DF701" s="89">
        <v>145</v>
      </c>
      <c r="DG701" s="2">
        <v>57</v>
      </c>
      <c r="DH701" s="2">
        <v>0</v>
      </c>
      <c r="DI701" s="2">
        <v>1.283984</v>
      </c>
      <c r="DR701" s="89">
        <v>140</v>
      </c>
      <c r="DS701" s="2">
        <v>56</v>
      </c>
      <c r="DT701" s="2">
        <v>0</v>
      </c>
      <c r="DU701" s="2">
        <v>5.4000010000000001E-2</v>
      </c>
      <c r="ED701" s="89">
        <v>142</v>
      </c>
      <c r="EE701" s="2">
        <v>57</v>
      </c>
      <c r="EF701" s="2">
        <v>0</v>
      </c>
      <c r="EG701" s="2">
        <v>1.4758169999999999</v>
      </c>
      <c r="ES701">
        <v>142</v>
      </c>
      <c r="ET701">
        <v>57</v>
      </c>
      <c r="EU701">
        <v>0</v>
      </c>
      <c r="EV701">
        <v>1.4758169999999999</v>
      </c>
    </row>
    <row r="702" spans="14:152" x14ac:dyDescent="0.4">
      <c r="N702" s="89">
        <v>143</v>
      </c>
      <c r="O702" s="2">
        <v>58</v>
      </c>
      <c r="P702" s="2">
        <v>0</v>
      </c>
      <c r="Q702" s="2">
        <v>1.2E-2</v>
      </c>
      <c r="Z702" s="89">
        <v>145</v>
      </c>
      <c r="AA702" s="2">
        <v>58</v>
      </c>
      <c r="AB702" s="2">
        <v>0</v>
      </c>
      <c r="AC702" s="2">
        <v>6.0000009999999996E-3</v>
      </c>
      <c r="AL702" s="89">
        <v>140</v>
      </c>
      <c r="AM702" s="2">
        <v>56</v>
      </c>
      <c r="AN702" s="2">
        <v>0</v>
      </c>
      <c r="AO702" s="2">
        <v>4.0000000000000001E-3</v>
      </c>
      <c r="AX702" s="89">
        <v>144</v>
      </c>
      <c r="AY702" s="2">
        <v>58</v>
      </c>
      <c r="AZ702" s="2">
        <v>0</v>
      </c>
      <c r="BA702" s="2">
        <v>1.0356890000000001</v>
      </c>
      <c r="BJ702" s="89">
        <v>138</v>
      </c>
      <c r="BK702" s="2">
        <v>58</v>
      </c>
      <c r="BL702" s="2">
        <v>1</v>
      </c>
      <c r="BM702" s="2">
        <v>8.0000000000000002E-3</v>
      </c>
      <c r="BV702" s="89">
        <v>147</v>
      </c>
      <c r="BW702" s="2">
        <v>57</v>
      </c>
      <c r="BX702" s="2">
        <v>0</v>
      </c>
      <c r="BY702" s="2">
        <v>0.20874699999999999</v>
      </c>
      <c r="CH702" s="89">
        <v>139</v>
      </c>
      <c r="CI702" s="2">
        <v>57</v>
      </c>
      <c r="CJ702" s="2">
        <v>0</v>
      </c>
      <c r="CK702" s="2">
        <v>2.3728820000000002</v>
      </c>
      <c r="CT702" s="89">
        <v>131</v>
      </c>
      <c r="CU702" s="2">
        <v>56</v>
      </c>
      <c r="CV702" s="2">
        <v>1</v>
      </c>
      <c r="CW702" s="2">
        <v>6.0000000000000001E-3</v>
      </c>
      <c r="DF702" s="89">
        <v>146</v>
      </c>
      <c r="DG702" s="2">
        <v>57</v>
      </c>
      <c r="DH702" s="2">
        <v>0</v>
      </c>
      <c r="DI702" s="2">
        <v>0.34524480000000002</v>
      </c>
      <c r="DR702" s="89">
        <v>141</v>
      </c>
      <c r="DS702" s="2">
        <v>56</v>
      </c>
      <c r="DT702" s="2">
        <v>0</v>
      </c>
      <c r="DU702" s="2">
        <v>2.5999999999999999E-2</v>
      </c>
      <c r="ED702" s="89">
        <v>143</v>
      </c>
      <c r="EE702" s="2">
        <v>57</v>
      </c>
      <c r="EF702" s="2">
        <v>0</v>
      </c>
      <c r="EG702" s="2">
        <v>1.1163719999999999</v>
      </c>
      <c r="ES702">
        <v>143</v>
      </c>
      <c r="ET702">
        <v>57</v>
      </c>
      <c r="EU702">
        <v>0</v>
      </c>
      <c r="EV702">
        <v>1.1163719999999999</v>
      </c>
    </row>
    <row r="703" spans="14:152" x14ac:dyDescent="0.4">
      <c r="N703" s="89">
        <v>144</v>
      </c>
      <c r="O703" s="2">
        <v>58</v>
      </c>
      <c r="P703" s="2">
        <v>0</v>
      </c>
      <c r="Q703" s="2">
        <v>7.0000000000000001E-3</v>
      </c>
      <c r="Z703" s="89">
        <v>146</v>
      </c>
      <c r="AA703" s="2">
        <v>58</v>
      </c>
      <c r="AB703" s="2">
        <v>0</v>
      </c>
      <c r="AC703" s="2">
        <v>3.0000000000000001E-3</v>
      </c>
      <c r="AL703" s="89">
        <v>141</v>
      </c>
      <c r="AM703" s="2">
        <v>56</v>
      </c>
      <c r="AN703" s="2">
        <v>0</v>
      </c>
      <c r="AO703" s="2">
        <v>2E-3</v>
      </c>
      <c r="AX703" s="89">
        <v>145</v>
      </c>
      <c r="AY703" s="2">
        <v>58</v>
      </c>
      <c r="AZ703" s="2">
        <v>0</v>
      </c>
      <c r="BA703" s="2">
        <v>0.6379532</v>
      </c>
      <c r="BJ703" s="89">
        <v>139</v>
      </c>
      <c r="BK703" s="2">
        <v>58</v>
      </c>
      <c r="BL703" s="2">
        <v>0</v>
      </c>
      <c r="BM703" s="2">
        <v>4.1000000000000002E-2</v>
      </c>
      <c r="BV703" s="89">
        <v>148</v>
      </c>
      <c r="BW703" s="2">
        <v>57</v>
      </c>
      <c r="BX703" s="2">
        <v>0</v>
      </c>
      <c r="BY703" s="2">
        <v>8.3972309999999994E-2</v>
      </c>
      <c r="CH703" s="89">
        <v>140</v>
      </c>
      <c r="CI703" s="2">
        <v>57</v>
      </c>
      <c r="CJ703" s="2">
        <v>0</v>
      </c>
      <c r="CK703" s="2">
        <v>1.721633</v>
      </c>
      <c r="CT703" s="89">
        <v>132</v>
      </c>
      <c r="CU703" s="2">
        <v>56</v>
      </c>
      <c r="CV703" s="2">
        <v>0</v>
      </c>
      <c r="CW703" s="2">
        <v>3.9300000000000002E-2</v>
      </c>
      <c r="DF703" s="89">
        <v>146</v>
      </c>
      <c r="DG703" s="2">
        <v>57</v>
      </c>
      <c r="DH703" s="2">
        <v>1</v>
      </c>
      <c r="DI703" s="2">
        <v>0.40799999999999997</v>
      </c>
      <c r="DR703" s="89">
        <v>142</v>
      </c>
      <c r="DS703" s="2">
        <v>56</v>
      </c>
      <c r="DT703" s="2">
        <v>0</v>
      </c>
      <c r="DU703" s="2">
        <v>1.20164E-2</v>
      </c>
      <c r="ED703" s="89">
        <v>144</v>
      </c>
      <c r="EE703" s="2">
        <v>57</v>
      </c>
      <c r="EF703" s="2">
        <v>0</v>
      </c>
      <c r="EG703" s="2">
        <v>0.80245069999999996</v>
      </c>
      <c r="ES703">
        <v>144</v>
      </c>
      <c r="ET703">
        <v>57</v>
      </c>
      <c r="EU703">
        <v>0</v>
      </c>
      <c r="EV703">
        <v>0.80245069999999996</v>
      </c>
    </row>
    <row r="704" spans="14:152" x14ac:dyDescent="0.4">
      <c r="N704" s="89">
        <v>145</v>
      </c>
      <c r="O704" s="2">
        <v>58</v>
      </c>
      <c r="P704" s="2">
        <v>0</v>
      </c>
      <c r="Q704" s="2">
        <v>2E-3</v>
      </c>
      <c r="Z704" s="89">
        <v>147</v>
      </c>
      <c r="AA704" s="2">
        <v>58</v>
      </c>
      <c r="AB704" s="2">
        <v>0</v>
      </c>
      <c r="AC704" s="2">
        <v>3.0000000000000001E-3</v>
      </c>
      <c r="AL704" s="89">
        <v>132</v>
      </c>
      <c r="AM704" s="2">
        <v>57</v>
      </c>
      <c r="AN704" s="2">
        <v>0</v>
      </c>
      <c r="AO704" s="2">
        <v>1.5200000000000001E-3</v>
      </c>
      <c r="AX704" s="89">
        <v>146</v>
      </c>
      <c r="AY704" s="2">
        <v>58</v>
      </c>
      <c r="AZ704" s="2">
        <v>0</v>
      </c>
      <c r="BA704" s="2">
        <v>0.40443200000000001</v>
      </c>
      <c r="BJ704" s="89">
        <v>139</v>
      </c>
      <c r="BK704" s="2">
        <v>58</v>
      </c>
      <c r="BL704" s="2">
        <v>1</v>
      </c>
      <c r="BM704" s="2">
        <v>3.5349039999999998E-2</v>
      </c>
      <c r="BV704" s="89">
        <v>149</v>
      </c>
      <c r="BW704" s="2">
        <v>57</v>
      </c>
      <c r="BX704" s="2">
        <v>0</v>
      </c>
      <c r="BY704" s="2">
        <v>2.7995699999999998E-2</v>
      </c>
      <c r="CH704" s="89">
        <v>141</v>
      </c>
      <c r="CI704" s="2">
        <v>57</v>
      </c>
      <c r="CJ704" s="2">
        <v>0</v>
      </c>
      <c r="CK704" s="2">
        <v>1.4460059999999999</v>
      </c>
      <c r="CT704" s="89">
        <v>133</v>
      </c>
      <c r="CU704" s="2">
        <v>56</v>
      </c>
      <c r="CV704" s="2">
        <v>0</v>
      </c>
      <c r="CW704" s="2">
        <v>8.2992289999999996E-2</v>
      </c>
      <c r="DF704" s="89">
        <v>147</v>
      </c>
      <c r="DG704" s="2">
        <v>57</v>
      </c>
      <c r="DH704" s="2">
        <v>0</v>
      </c>
      <c r="DI704" s="2">
        <v>0.42907000000000001</v>
      </c>
      <c r="DR704" s="89">
        <v>143</v>
      </c>
      <c r="DS704" s="2">
        <v>56</v>
      </c>
      <c r="DT704" s="2">
        <v>0</v>
      </c>
      <c r="DU704" s="2">
        <v>9.9836009999999999E-3</v>
      </c>
      <c r="ED704" s="89">
        <v>145</v>
      </c>
      <c r="EE704" s="2">
        <v>57</v>
      </c>
      <c r="EF704" s="2">
        <v>0</v>
      </c>
      <c r="EG704" s="2">
        <v>0.50228499999999998</v>
      </c>
      <c r="ES704">
        <v>145</v>
      </c>
      <c r="ET704">
        <v>57</v>
      </c>
      <c r="EU704">
        <v>0</v>
      </c>
      <c r="EV704">
        <v>0.50228499999999998</v>
      </c>
    </row>
    <row r="705" spans="14:152" x14ac:dyDescent="0.4">
      <c r="N705" s="89">
        <v>146</v>
      </c>
      <c r="O705" s="2">
        <v>58</v>
      </c>
      <c r="P705" s="2">
        <v>0</v>
      </c>
      <c r="Q705" s="2">
        <v>1E-3</v>
      </c>
      <c r="Z705" s="89">
        <v>148</v>
      </c>
      <c r="AA705" s="2">
        <v>58</v>
      </c>
      <c r="AB705" s="2">
        <v>0</v>
      </c>
      <c r="AC705" s="2">
        <v>1E-3</v>
      </c>
      <c r="AL705" s="89">
        <v>132</v>
      </c>
      <c r="AM705" s="2">
        <v>57</v>
      </c>
      <c r="AN705" s="2">
        <v>1</v>
      </c>
      <c r="AO705" s="2">
        <v>2E-3</v>
      </c>
      <c r="AX705" s="89">
        <v>147</v>
      </c>
      <c r="AY705" s="2">
        <v>58</v>
      </c>
      <c r="AZ705" s="2">
        <v>0</v>
      </c>
      <c r="BA705" s="2">
        <v>0.23900399999999999</v>
      </c>
      <c r="BJ705" s="89">
        <v>140</v>
      </c>
      <c r="BK705" s="2">
        <v>58</v>
      </c>
      <c r="BL705" s="2">
        <v>0</v>
      </c>
      <c r="BM705" s="2">
        <v>1.5181290000000001</v>
      </c>
      <c r="BV705" s="89">
        <v>150</v>
      </c>
      <c r="BW705" s="2">
        <v>57</v>
      </c>
      <c r="BX705" s="2">
        <v>0</v>
      </c>
      <c r="BY705" s="2">
        <v>8.0000000000000002E-3</v>
      </c>
      <c r="CH705" s="89">
        <v>142</v>
      </c>
      <c r="CI705" s="2">
        <v>57</v>
      </c>
      <c r="CJ705" s="2">
        <v>0</v>
      </c>
      <c r="CK705" s="2">
        <v>1.076284</v>
      </c>
      <c r="CT705" s="89">
        <v>133</v>
      </c>
      <c r="CU705" s="2">
        <v>56</v>
      </c>
      <c r="CV705" s="2">
        <v>1</v>
      </c>
      <c r="CW705" s="2">
        <v>7.7119049999999995E-2</v>
      </c>
      <c r="DF705" s="89">
        <v>148</v>
      </c>
      <c r="DG705" s="2">
        <v>57</v>
      </c>
      <c r="DH705" s="2">
        <v>0</v>
      </c>
      <c r="DI705" s="2">
        <v>0.20368439999999999</v>
      </c>
      <c r="DR705" s="89">
        <v>144</v>
      </c>
      <c r="DS705" s="2">
        <v>56</v>
      </c>
      <c r="DT705" s="2">
        <v>0</v>
      </c>
      <c r="DU705" s="2">
        <v>4.0000000000000001E-3</v>
      </c>
      <c r="ED705" s="89">
        <v>146</v>
      </c>
      <c r="EE705" s="2">
        <v>57</v>
      </c>
      <c r="EF705" s="2">
        <v>0</v>
      </c>
      <c r="EG705" s="2">
        <v>8.1000000000000003E-2</v>
      </c>
      <c r="ES705">
        <v>146</v>
      </c>
      <c r="ET705">
        <v>57</v>
      </c>
      <c r="EU705">
        <v>0</v>
      </c>
      <c r="EV705">
        <v>8.1000000000000003E-2</v>
      </c>
    </row>
    <row r="706" spans="14:152" x14ac:dyDescent="0.4">
      <c r="N706" s="89">
        <v>139</v>
      </c>
      <c r="O706" s="2">
        <v>59</v>
      </c>
      <c r="P706" s="2">
        <v>0</v>
      </c>
      <c r="Q706" s="2">
        <v>1E-3</v>
      </c>
      <c r="Z706" s="89">
        <v>150</v>
      </c>
      <c r="AA706" s="2">
        <v>58</v>
      </c>
      <c r="AB706" s="2">
        <v>0</v>
      </c>
      <c r="AC706" s="2">
        <v>1E-3</v>
      </c>
      <c r="AL706" s="89">
        <v>133</v>
      </c>
      <c r="AM706" s="2">
        <v>57</v>
      </c>
      <c r="AN706" s="2">
        <v>0</v>
      </c>
      <c r="AO706" s="2">
        <v>4.0000000000000001E-3</v>
      </c>
      <c r="AX706" s="89">
        <v>148</v>
      </c>
      <c r="AY706" s="2">
        <v>58</v>
      </c>
      <c r="AZ706" s="2">
        <v>0</v>
      </c>
      <c r="BA706" s="2">
        <v>0.10008</v>
      </c>
      <c r="BJ706" s="89">
        <v>141</v>
      </c>
      <c r="BK706" s="2">
        <v>58</v>
      </c>
      <c r="BL706" s="2">
        <v>0</v>
      </c>
      <c r="BM706" s="2">
        <v>1.3628070000000001</v>
      </c>
      <c r="BV706" s="89">
        <v>151</v>
      </c>
      <c r="BW706" s="2">
        <v>57</v>
      </c>
      <c r="BX706" s="2">
        <v>0</v>
      </c>
      <c r="BY706" s="2">
        <v>4.0000000000000001E-3</v>
      </c>
      <c r="CH706" s="89">
        <v>143</v>
      </c>
      <c r="CI706" s="2">
        <v>57</v>
      </c>
      <c r="CJ706" s="2">
        <v>0</v>
      </c>
      <c r="CK706" s="2">
        <v>0.75473679999999999</v>
      </c>
      <c r="CT706" s="89">
        <v>134</v>
      </c>
      <c r="CU706" s="2">
        <v>56</v>
      </c>
      <c r="CV706" s="2">
        <v>0</v>
      </c>
      <c r="CW706" s="2">
        <v>1.0720000000000001</v>
      </c>
      <c r="DF706" s="89">
        <v>149</v>
      </c>
      <c r="DG706" s="2">
        <v>57</v>
      </c>
      <c r="DH706" s="2">
        <v>0</v>
      </c>
      <c r="DI706" s="2">
        <v>8.29656E-2</v>
      </c>
      <c r="DR706" s="89">
        <v>145</v>
      </c>
      <c r="DS706" s="2">
        <v>56</v>
      </c>
      <c r="DT706" s="2">
        <v>0</v>
      </c>
      <c r="DU706" s="2">
        <v>2E-3</v>
      </c>
      <c r="ED706" s="89">
        <v>146</v>
      </c>
      <c r="EE706" s="2">
        <v>57</v>
      </c>
      <c r="EF706" s="2">
        <v>1</v>
      </c>
      <c r="EG706" s="2">
        <v>0.184</v>
      </c>
      <c r="ES706">
        <v>146</v>
      </c>
      <c r="ET706">
        <v>57</v>
      </c>
      <c r="EU706">
        <v>1</v>
      </c>
      <c r="EV706">
        <v>0.184</v>
      </c>
    </row>
    <row r="707" spans="14:152" x14ac:dyDescent="0.4">
      <c r="N707" s="89">
        <v>140</v>
      </c>
      <c r="O707" s="2">
        <v>59</v>
      </c>
      <c r="P707" s="2">
        <v>0</v>
      </c>
      <c r="Q707" s="2">
        <v>4.0000000000000001E-3</v>
      </c>
      <c r="Z707" s="89">
        <v>140</v>
      </c>
      <c r="AA707" s="2">
        <v>59</v>
      </c>
      <c r="AB707" s="2">
        <v>0</v>
      </c>
      <c r="AC707" s="2">
        <v>1E-3</v>
      </c>
      <c r="AL707" s="89">
        <v>134</v>
      </c>
      <c r="AM707" s="2">
        <v>57</v>
      </c>
      <c r="AN707" s="2">
        <v>0</v>
      </c>
      <c r="AO707" s="2">
        <v>1.2E-2</v>
      </c>
      <c r="AX707" s="89">
        <v>149</v>
      </c>
      <c r="AY707" s="2">
        <v>58</v>
      </c>
      <c r="AZ707" s="2">
        <v>0</v>
      </c>
      <c r="BA707" s="2">
        <v>4.2916000000000003E-2</v>
      </c>
      <c r="BJ707" s="89">
        <v>142</v>
      </c>
      <c r="BK707" s="2">
        <v>58</v>
      </c>
      <c r="BL707" s="2">
        <v>0</v>
      </c>
      <c r="BM707" s="2">
        <v>1.246928</v>
      </c>
      <c r="BV707" s="89">
        <v>139</v>
      </c>
      <c r="BW707" s="2">
        <v>58</v>
      </c>
      <c r="BX707" s="2">
        <v>0</v>
      </c>
      <c r="BY707" s="2">
        <v>5.0000000000000001E-3</v>
      </c>
      <c r="CH707" s="89">
        <v>144</v>
      </c>
      <c r="CI707" s="2">
        <v>57</v>
      </c>
      <c r="CJ707" s="2">
        <v>0</v>
      </c>
      <c r="CK707" s="2">
        <v>0.43811099999999997</v>
      </c>
      <c r="CT707" s="89">
        <v>135</v>
      </c>
      <c r="CU707" s="2">
        <v>56</v>
      </c>
      <c r="CV707" s="2">
        <v>0</v>
      </c>
      <c r="CW707" s="2">
        <v>0.45800000000000002</v>
      </c>
      <c r="DF707" s="89">
        <v>150</v>
      </c>
      <c r="DG707" s="2">
        <v>57</v>
      </c>
      <c r="DH707" s="2">
        <v>0</v>
      </c>
      <c r="DI707" s="2">
        <v>2.8000000000000001E-2</v>
      </c>
      <c r="DR707" s="89">
        <v>136</v>
      </c>
      <c r="DS707" s="2">
        <v>57</v>
      </c>
      <c r="DT707" s="2">
        <v>0</v>
      </c>
      <c r="DU707" s="2">
        <v>2E-3</v>
      </c>
      <c r="ED707" s="89">
        <v>147</v>
      </c>
      <c r="EE707" s="2">
        <v>57</v>
      </c>
      <c r="EF707" s="2">
        <v>0</v>
      </c>
      <c r="EG707" s="2">
        <v>0.14200399999999999</v>
      </c>
      <c r="ES707">
        <v>147</v>
      </c>
      <c r="ET707">
        <v>57</v>
      </c>
      <c r="EU707">
        <v>0</v>
      </c>
      <c r="EV707">
        <v>0.14200399999999999</v>
      </c>
    </row>
    <row r="708" spans="14:152" x14ac:dyDescent="0.4">
      <c r="N708" s="89">
        <v>141</v>
      </c>
      <c r="O708" s="2">
        <v>59</v>
      </c>
      <c r="P708" s="2">
        <v>0</v>
      </c>
      <c r="Q708" s="2">
        <v>2.8000000000000001E-2</v>
      </c>
      <c r="Z708" s="89">
        <v>141</v>
      </c>
      <c r="AA708" s="2">
        <v>59</v>
      </c>
      <c r="AB708" s="2">
        <v>0</v>
      </c>
      <c r="AC708" s="2">
        <v>0.03</v>
      </c>
      <c r="AL708" s="89">
        <v>135</v>
      </c>
      <c r="AM708" s="2">
        <v>57</v>
      </c>
      <c r="AN708" s="2">
        <v>0</v>
      </c>
      <c r="AO708" s="2">
        <v>2.4E-2</v>
      </c>
      <c r="AX708" s="89">
        <v>150</v>
      </c>
      <c r="AY708" s="2">
        <v>58</v>
      </c>
      <c r="AZ708" s="2">
        <v>0</v>
      </c>
      <c r="BA708" s="2">
        <v>9.0000010000000005E-3</v>
      </c>
      <c r="BJ708" s="89">
        <v>143</v>
      </c>
      <c r="BK708" s="2">
        <v>58</v>
      </c>
      <c r="BL708" s="2">
        <v>0</v>
      </c>
      <c r="BM708" s="2">
        <v>1.068589</v>
      </c>
      <c r="BV708" s="89">
        <v>139</v>
      </c>
      <c r="BW708" s="2">
        <v>58</v>
      </c>
      <c r="BX708" s="2">
        <v>1</v>
      </c>
      <c r="BY708" s="2">
        <v>4.0000000000000001E-3</v>
      </c>
      <c r="CH708" s="89">
        <v>145</v>
      </c>
      <c r="CI708" s="2">
        <v>57</v>
      </c>
      <c r="CJ708" s="2">
        <v>0</v>
      </c>
      <c r="CK708" s="2">
        <v>0.23585700000000001</v>
      </c>
      <c r="CT708" s="89">
        <v>135</v>
      </c>
      <c r="CU708" s="2">
        <v>56</v>
      </c>
      <c r="CV708" s="2">
        <v>1</v>
      </c>
      <c r="CW708" s="2">
        <v>0.377</v>
      </c>
      <c r="DF708" s="89">
        <v>151</v>
      </c>
      <c r="DG708" s="2">
        <v>57</v>
      </c>
      <c r="DH708" s="2">
        <v>0</v>
      </c>
      <c r="DI708" s="2">
        <v>4.0000000000000001E-3</v>
      </c>
      <c r="DR708" s="89">
        <v>137</v>
      </c>
      <c r="DS708" s="2">
        <v>57</v>
      </c>
      <c r="DT708" s="2">
        <v>0</v>
      </c>
      <c r="DU708" s="2">
        <v>8.0000000000000002E-3</v>
      </c>
      <c r="ED708" s="89">
        <v>148</v>
      </c>
      <c r="EE708" s="2">
        <v>57</v>
      </c>
      <c r="EF708" s="2">
        <v>0</v>
      </c>
      <c r="EG708" s="2">
        <v>3.9995999999999997E-2</v>
      </c>
      <c r="ES708">
        <v>148</v>
      </c>
      <c r="ET708">
        <v>57</v>
      </c>
      <c r="EU708">
        <v>0</v>
      </c>
      <c r="EV708">
        <v>3.9995999999999997E-2</v>
      </c>
    </row>
    <row r="709" spans="14:152" x14ac:dyDescent="0.4">
      <c r="N709" s="89">
        <v>142</v>
      </c>
      <c r="O709" s="2">
        <v>59</v>
      </c>
      <c r="P709" s="2">
        <v>0</v>
      </c>
      <c r="Q709" s="2">
        <v>1.0999999999999999E-2</v>
      </c>
      <c r="Z709" s="89">
        <v>142</v>
      </c>
      <c r="AA709" s="2">
        <v>59</v>
      </c>
      <c r="AB709" s="2">
        <v>0</v>
      </c>
      <c r="AC709" s="2">
        <v>5.0000000000000001E-3</v>
      </c>
      <c r="AL709" s="89">
        <v>136</v>
      </c>
      <c r="AM709" s="2">
        <v>57</v>
      </c>
      <c r="AN709" s="2">
        <v>0</v>
      </c>
      <c r="AO709" s="2">
        <v>3.5999999999999997E-2</v>
      </c>
      <c r="AX709" s="89">
        <v>151</v>
      </c>
      <c r="AY709" s="2">
        <v>58</v>
      </c>
      <c r="AZ709" s="2">
        <v>0</v>
      </c>
      <c r="BA709" s="2">
        <v>4.0000000000000001E-3</v>
      </c>
      <c r="BJ709" s="89">
        <v>144</v>
      </c>
      <c r="BK709" s="2">
        <v>58</v>
      </c>
      <c r="BL709" s="2">
        <v>0</v>
      </c>
      <c r="BM709" s="2">
        <v>0.77288789999999996</v>
      </c>
      <c r="BV709" s="89">
        <v>140</v>
      </c>
      <c r="BW709" s="2">
        <v>58</v>
      </c>
      <c r="BX709" s="2">
        <v>0</v>
      </c>
      <c r="BY709" s="2">
        <v>2.2758799999999999</v>
      </c>
      <c r="CH709" s="89">
        <v>146</v>
      </c>
      <c r="CI709" s="2">
        <v>57</v>
      </c>
      <c r="CJ709" s="2">
        <v>0</v>
      </c>
      <c r="CK709" s="2">
        <v>0.02</v>
      </c>
      <c r="CT709" s="89">
        <v>136</v>
      </c>
      <c r="CU709" s="2">
        <v>56</v>
      </c>
      <c r="CV709" s="2">
        <v>0</v>
      </c>
      <c r="CW709" s="2">
        <v>2.0539999999999998</v>
      </c>
      <c r="DF709" s="89">
        <v>152</v>
      </c>
      <c r="DG709" s="2">
        <v>57</v>
      </c>
      <c r="DH709" s="2">
        <v>0</v>
      </c>
      <c r="DI709" s="2">
        <v>1E-3</v>
      </c>
      <c r="DR709" s="89">
        <v>138</v>
      </c>
      <c r="DS709" s="2">
        <v>57</v>
      </c>
      <c r="DT709" s="2">
        <v>0</v>
      </c>
      <c r="DU709" s="2">
        <v>1.4999999999999999E-2</v>
      </c>
      <c r="ED709" s="89">
        <v>149</v>
      </c>
      <c r="EE709" s="2">
        <v>57</v>
      </c>
      <c r="EF709" s="2">
        <v>0</v>
      </c>
      <c r="EG709" s="2">
        <v>0.01</v>
      </c>
      <c r="ES709">
        <v>149</v>
      </c>
      <c r="ET709">
        <v>57</v>
      </c>
      <c r="EU709">
        <v>0</v>
      </c>
      <c r="EV709">
        <v>0.01</v>
      </c>
    </row>
    <row r="710" spans="14:152" x14ac:dyDescent="0.4">
      <c r="N710" s="89">
        <v>142</v>
      </c>
      <c r="O710" s="2">
        <v>59</v>
      </c>
      <c r="P710" s="2">
        <v>1</v>
      </c>
      <c r="Q710" s="2">
        <v>1.0999999999999999E-2</v>
      </c>
      <c r="Z710" s="89">
        <v>142</v>
      </c>
      <c r="AA710" s="2">
        <v>59</v>
      </c>
      <c r="AB710" s="2">
        <v>1</v>
      </c>
      <c r="AC710" s="2">
        <v>5.0000000000000001E-3</v>
      </c>
      <c r="AL710" s="89">
        <v>137</v>
      </c>
      <c r="AM710" s="2">
        <v>57</v>
      </c>
      <c r="AN710" s="2">
        <v>0</v>
      </c>
      <c r="AO710" s="2">
        <v>3.5000000000000003E-2</v>
      </c>
      <c r="AX710" s="89">
        <v>141</v>
      </c>
      <c r="AY710" s="2">
        <v>59</v>
      </c>
      <c r="AZ710" s="2">
        <v>0</v>
      </c>
      <c r="BA710" s="2">
        <v>1.592149</v>
      </c>
      <c r="BJ710" s="89">
        <v>145</v>
      </c>
      <c r="BK710" s="2">
        <v>58</v>
      </c>
      <c r="BL710" s="2">
        <v>0</v>
      </c>
      <c r="BM710" s="2">
        <v>0.542713</v>
      </c>
      <c r="BV710" s="89">
        <v>141</v>
      </c>
      <c r="BW710" s="2">
        <v>58</v>
      </c>
      <c r="BX710" s="2">
        <v>0</v>
      </c>
      <c r="BY710" s="2">
        <v>2.0901999999999998</v>
      </c>
      <c r="CH710" s="89">
        <v>146</v>
      </c>
      <c r="CI710" s="2">
        <v>57</v>
      </c>
      <c r="CJ710" s="2">
        <v>1</v>
      </c>
      <c r="CK710" s="2">
        <v>7.4999999999999997E-2</v>
      </c>
      <c r="CT710" s="89">
        <v>136</v>
      </c>
      <c r="CU710" s="2">
        <v>56</v>
      </c>
      <c r="CV710" s="2">
        <v>1</v>
      </c>
      <c r="CW710" s="2">
        <v>0.56767239999999997</v>
      </c>
      <c r="DF710" s="89">
        <v>153</v>
      </c>
      <c r="DG710" s="2">
        <v>57</v>
      </c>
      <c r="DH710" s="2">
        <v>0</v>
      </c>
      <c r="DI710" s="2">
        <v>1E-3</v>
      </c>
      <c r="DR710" s="89">
        <v>139</v>
      </c>
      <c r="DS710" s="2">
        <v>57</v>
      </c>
      <c r="DT710" s="2">
        <v>0</v>
      </c>
      <c r="DU710" s="2">
        <v>0.113</v>
      </c>
      <c r="ED710" s="89">
        <v>150</v>
      </c>
      <c r="EE710" s="2">
        <v>57</v>
      </c>
      <c r="EF710" s="2">
        <v>0</v>
      </c>
      <c r="EG710" s="2">
        <v>7.0000000000000001E-3</v>
      </c>
      <c r="ES710">
        <v>150</v>
      </c>
      <c r="ET710">
        <v>57</v>
      </c>
      <c r="EU710">
        <v>0</v>
      </c>
      <c r="EV710">
        <v>7.0000000000000001E-3</v>
      </c>
    </row>
    <row r="711" spans="14:152" x14ac:dyDescent="0.4">
      <c r="N711" s="89">
        <v>143</v>
      </c>
      <c r="O711" s="2">
        <v>59</v>
      </c>
      <c r="P711" s="2">
        <v>0</v>
      </c>
      <c r="Q711" s="2">
        <v>2.3E-2</v>
      </c>
      <c r="Z711" s="89">
        <v>143</v>
      </c>
      <c r="AA711" s="2">
        <v>59</v>
      </c>
      <c r="AB711" s="2">
        <v>0</v>
      </c>
      <c r="AC711" s="2">
        <v>2.5999999999999999E-2</v>
      </c>
      <c r="AL711" s="89">
        <v>138</v>
      </c>
      <c r="AM711" s="2">
        <v>57</v>
      </c>
      <c r="AN711" s="2">
        <v>0</v>
      </c>
      <c r="AO711" s="2">
        <v>0.02</v>
      </c>
      <c r="AX711" s="89">
        <v>142</v>
      </c>
      <c r="AY711" s="2">
        <v>59</v>
      </c>
      <c r="AZ711" s="2">
        <v>0</v>
      </c>
      <c r="BA711" s="2">
        <v>4.0000000000000001E-3</v>
      </c>
      <c r="BJ711" s="89">
        <v>146</v>
      </c>
      <c r="BK711" s="2">
        <v>58</v>
      </c>
      <c r="BL711" s="2">
        <v>0</v>
      </c>
      <c r="BM711" s="2">
        <v>0.35485800000000001</v>
      </c>
      <c r="BV711" s="89">
        <v>142</v>
      </c>
      <c r="BW711" s="2">
        <v>58</v>
      </c>
      <c r="BX711" s="2">
        <v>0</v>
      </c>
      <c r="BY711" s="2">
        <v>1.9639230000000001</v>
      </c>
      <c r="CH711" s="89">
        <v>147</v>
      </c>
      <c r="CI711" s="2">
        <v>57</v>
      </c>
      <c r="CJ711" s="2">
        <v>0</v>
      </c>
      <c r="CK711" s="2">
        <v>4.0003999999999998E-2</v>
      </c>
      <c r="CT711" s="89">
        <v>137</v>
      </c>
      <c r="CU711" s="2">
        <v>56</v>
      </c>
      <c r="CV711" s="2">
        <v>0</v>
      </c>
      <c r="CW711" s="2">
        <v>3.4690810000000001</v>
      </c>
      <c r="DF711" s="89">
        <v>139</v>
      </c>
      <c r="DG711" s="2">
        <v>58</v>
      </c>
      <c r="DH711" s="2">
        <v>0</v>
      </c>
      <c r="DI711" s="2">
        <v>1E-3</v>
      </c>
      <c r="DR711" s="89">
        <v>140</v>
      </c>
      <c r="DS711" s="2">
        <v>57</v>
      </c>
      <c r="DT711" s="2">
        <v>0</v>
      </c>
      <c r="DU711" s="2">
        <v>7.6000010000000007E-2</v>
      </c>
      <c r="ED711" s="89">
        <v>137</v>
      </c>
      <c r="EE711" s="2">
        <v>58</v>
      </c>
      <c r="EF711" s="2">
        <v>0</v>
      </c>
      <c r="EG711" s="2">
        <v>2.9762999999999999E-3</v>
      </c>
      <c r="ES711">
        <v>137</v>
      </c>
      <c r="ET711">
        <v>58</v>
      </c>
      <c r="EU711">
        <v>0</v>
      </c>
      <c r="EV711">
        <v>2.9762999999999999E-3</v>
      </c>
    </row>
    <row r="712" spans="14:152" x14ac:dyDescent="0.4">
      <c r="N712" s="89">
        <v>144</v>
      </c>
      <c r="O712" s="2">
        <v>59</v>
      </c>
      <c r="P712" s="2">
        <v>0</v>
      </c>
      <c r="Q712" s="2">
        <v>1.399575E-2</v>
      </c>
      <c r="Z712" s="89">
        <v>144</v>
      </c>
      <c r="AA712" s="2">
        <v>59</v>
      </c>
      <c r="AB712" s="2">
        <v>0</v>
      </c>
      <c r="AC712" s="2">
        <v>1.6993950000000001E-2</v>
      </c>
      <c r="AL712" s="89">
        <v>139</v>
      </c>
      <c r="AM712" s="2">
        <v>57</v>
      </c>
      <c r="AN712" s="2">
        <v>0</v>
      </c>
      <c r="AO712" s="2">
        <v>7.0000000000000007E-2</v>
      </c>
      <c r="AX712" s="89">
        <v>142</v>
      </c>
      <c r="AY712" s="2">
        <v>59</v>
      </c>
      <c r="AZ712" s="2">
        <v>1</v>
      </c>
      <c r="BA712" s="2">
        <v>4.0000000000000001E-3</v>
      </c>
      <c r="BJ712" s="89">
        <v>147</v>
      </c>
      <c r="BK712" s="2">
        <v>58</v>
      </c>
      <c r="BL712" s="2">
        <v>0</v>
      </c>
      <c r="BM712" s="2">
        <v>0.193</v>
      </c>
      <c r="BV712" s="89">
        <v>143</v>
      </c>
      <c r="BW712" s="2">
        <v>58</v>
      </c>
      <c r="BX712" s="2">
        <v>0</v>
      </c>
      <c r="BY712" s="2">
        <v>1.687541</v>
      </c>
      <c r="CH712" s="89">
        <v>148</v>
      </c>
      <c r="CI712" s="2">
        <v>57</v>
      </c>
      <c r="CJ712" s="2">
        <v>0</v>
      </c>
      <c r="CK712" s="2">
        <v>1.0996000000000001E-2</v>
      </c>
      <c r="CT712" s="89">
        <v>137</v>
      </c>
      <c r="CU712" s="2">
        <v>56</v>
      </c>
      <c r="CV712" s="2">
        <v>1</v>
      </c>
      <c r="CW712" s="2">
        <v>2.9068659999999999</v>
      </c>
      <c r="DF712" s="89">
        <v>139</v>
      </c>
      <c r="DG712" s="2">
        <v>58</v>
      </c>
      <c r="DH712" s="2">
        <v>1</v>
      </c>
      <c r="DI712" s="2">
        <v>1E-3</v>
      </c>
      <c r="DR712" s="89">
        <v>141</v>
      </c>
      <c r="DS712" s="2">
        <v>57</v>
      </c>
      <c r="DT712" s="2">
        <v>0</v>
      </c>
      <c r="DU712" s="2">
        <v>5.0999999999999997E-2</v>
      </c>
      <c r="ED712" s="89">
        <v>137</v>
      </c>
      <c r="EE712" s="2">
        <v>58</v>
      </c>
      <c r="EF712" s="2">
        <v>1</v>
      </c>
      <c r="EG712" s="2">
        <v>3.0000000000000001E-3</v>
      </c>
      <c r="ES712">
        <v>137</v>
      </c>
      <c r="ET712">
        <v>58</v>
      </c>
      <c r="EU712">
        <v>1</v>
      </c>
      <c r="EV712">
        <v>3.0000000000000001E-3</v>
      </c>
    </row>
    <row r="713" spans="14:152" x14ac:dyDescent="0.4">
      <c r="N713" s="89">
        <v>144</v>
      </c>
      <c r="O713" s="2">
        <v>59</v>
      </c>
      <c r="P713" s="2">
        <v>1</v>
      </c>
      <c r="Q713" s="2">
        <v>7.0805E-3</v>
      </c>
      <c r="Z713" s="89">
        <v>144</v>
      </c>
      <c r="AA713" s="2">
        <v>59</v>
      </c>
      <c r="AB713" s="2">
        <v>1</v>
      </c>
      <c r="AC713" s="2">
        <v>1.0080499999999999E-2</v>
      </c>
      <c r="AL713" s="89">
        <v>140</v>
      </c>
      <c r="AM713" s="2">
        <v>57</v>
      </c>
      <c r="AN713" s="2">
        <v>0</v>
      </c>
      <c r="AO713" s="2">
        <v>0.01</v>
      </c>
      <c r="AX713" s="89">
        <v>143</v>
      </c>
      <c r="AY713" s="2">
        <v>59</v>
      </c>
      <c r="AZ713" s="2">
        <v>0</v>
      </c>
      <c r="BA713" s="2">
        <v>1.316279</v>
      </c>
      <c r="BJ713" s="89">
        <v>148</v>
      </c>
      <c r="BK713" s="2">
        <v>58</v>
      </c>
      <c r="BL713" s="2">
        <v>0</v>
      </c>
      <c r="BM713" s="2">
        <v>0.105042</v>
      </c>
      <c r="BV713" s="89">
        <v>144</v>
      </c>
      <c r="BW713" s="2">
        <v>58</v>
      </c>
      <c r="BX713" s="2">
        <v>0</v>
      </c>
      <c r="BY713" s="2">
        <v>1.395697</v>
      </c>
      <c r="CH713" s="89">
        <v>149</v>
      </c>
      <c r="CI713" s="2">
        <v>57</v>
      </c>
      <c r="CJ713" s="2">
        <v>0</v>
      </c>
      <c r="CK713" s="2">
        <v>1E-3</v>
      </c>
      <c r="CT713" s="89">
        <v>138</v>
      </c>
      <c r="CU713" s="2">
        <v>56</v>
      </c>
      <c r="CV713" s="2">
        <v>0</v>
      </c>
      <c r="CW713" s="2">
        <v>2.707144</v>
      </c>
      <c r="DF713" s="89">
        <v>140</v>
      </c>
      <c r="DG713" s="2">
        <v>58</v>
      </c>
      <c r="DH713" s="2">
        <v>0</v>
      </c>
      <c r="DI713" s="2">
        <v>3.173009</v>
      </c>
      <c r="DR713" s="89">
        <v>142</v>
      </c>
      <c r="DS713" s="2">
        <v>57</v>
      </c>
      <c r="DT713" s="2">
        <v>0</v>
      </c>
      <c r="DU713" s="2">
        <v>4.0016400000000001E-2</v>
      </c>
      <c r="ED713" s="89">
        <v>138</v>
      </c>
      <c r="EE713" s="2">
        <v>58</v>
      </c>
      <c r="EF713" s="2">
        <v>0</v>
      </c>
      <c r="EG713" s="2">
        <v>0.01</v>
      </c>
      <c r="ES713">
        <v>138</v>
      </c>
      <c r="ET713">
        <v>58</v>
      </c>
      <c r="EU713">
        <v>0</v>
      </c>
      <c r="EV713">
        <v>0.01</v>
      </c>
    </row>
    <row r="714" spans="14:152" x14ac:dyDescent="0.4">
      <c r="N714" s="89">
        <v>145</v>
      </c>
      <c r="O714" s="2">
        <v>59</v>
      </c>
      <c r="P714" s="2">
        <v>0</v>
      </c>
      <c r="Q714" s="2">
        <v>1.0999999999999999E-2</v>
      </c>
      <c r="Z714" s="89">
        <v>145</v>
      </c>
      <c r="AA714" s="2">
        <v>59</v>
      </c>
      <c r="AB714" s="2">
        <v>0</v>
      </c>
      <c r="AC714" s="2">
        <v>1.9E-2</v>
      </c>
      <c r="AL714" s="89">
        <v>141</v>
      </c>
      <c r="AM714" s="2">
        <v>57</v>
      </c>
      <c r="AN714" s="2">
        <v>0</v>
      </c>
      <c r="AO714" s="2">
        <v>9.0000010000000005E-3</v>
      </c>
      <c r="AX714" s="89">
        <v>144</v>
      </c>
      <c r="AY714" s="2">
        <v>59</v>
      </c>
      <c r="AZ714" s="2">
        <v>0</v>
      </c>
      <c r="BA714" s="2">
        <v>1.097645</v>
      </c>
      <c r="BJ714" s="89">
        <v>149</v>
      </c>
      <c r="BK714" s="2">
        <v>58</v>
      </c>
      <c r="BL714" s="2">
        <v>0</v>
      </c>
      <c r="BM714" s="2">
        <v>3.1985E-2</v>
      </c>
      <c r="BV714" s="89">
        <v>145</v>
      </c>
      <c r="BW714" s="2">
        <v>58</v>
      </c>
      <c r="BX714" s="2">
        <v>0</v>
      </c>
      <c r="BY714" s="2">
        <v>1.1474219999999999</v>
      </c>
      <c r="CH714" s="89">
        <v>150</v>
      </c>
      <c r="CI714" s="2">
        <v>57</v>
      </c>
      <c r="CJ714" s="2">
        <v>0</v>
      </c>
      <c r="CK714" s="2">
        <v>2E-3</v>
      </c>
      <c r="CT714" s="89">
        <v>139</v>
      </c>
      <c r="CU714" s="2">
        <v>56</v>
      </c>
      <c r="CV714" s="2">
        <v>0</v>
      </c>
      <c r="CW714" s="2">
        <v>2.2528039999999998</v>
      </c>
      <c r="DF714" s="89">
        <v>141</v>
      </c>
      <c r="DG714" s="2">
        <v>58</v>
      </c>
      <c r="DH714" s="2">
        <v>0</v>
      </c>
      <c r="DI714" s="2">
        <v>3.0582180000000001</v>
      </c>
      <c r="DR714" s="89">
        <v>143</v>
      </c>
      <c r="DS714" s="2">
        <v>57</v>
      </c>
      <c r="DT714" s="2">
        <v>0</v>
      </c>
      <c r="DU714" s="2">
        <v>1.89836E-2</v>
      </c>
      <c r="ED714" s="89">
        <v>138</v>
      </c>
      <c r="EE714" s="2">
        <v>58</v>
      </c>
      <c r="EF714" s="2">
        <v>1</v>
      </c>
      <c r="EG714" s="2">
        <v>8.0000000000000002E-3</v>
      </c>
      <c r="ES714">
        <v>138</v>
      </c>
      <c r="ET714">
        <v>58</v>
      </c>
      <c r="EU714">
        <v>1</v>
      </c>
      <c r="EV714">
        <v>8.0000000000000002E-3</v>
      </c>
    </row>
    <row r="715" spans="14:152" x14ac:dyDescent="0.4">
      <c r="N715" s="89">
        <v>146</v>
      </c>
      <c r="O715" s="2">
        <v>59</v>
      </c>
      <c r="P715" s="2">
        <v>0</v>
      </c>
      <c r="Q715" s="2">
        <v>4.0000000000000001E-3</v>
      </c>
      <c r="Z715" s="89">
        <v>146</v>
      </c>
      <c r="AA715" s="2">
        <v>59</v>
      </c>
      <c r="AB715" s="2">
        <v>0</v>
      </c>
      <c r="AC715" s="2">
        <v>1.4999999999999999E-2</v>
      </c>
      <c r="AL715" s="89">
        <v>142</v>
      </c>
      <c r="AM715" s="2">
        <v>57</v>
      </c>
      <c r="AN715" s="2">
        <v>0</v>
      </c>
      <c r="AO715" s="2">
        <v>1E-3</v>
      </c>
      <c r="AX715" s="89">
        <v>144</v>
      </c>
      <c r="AY715" s="2">
        <v>59</v>
      </c>
      <c r="AZ715" s="2">
        <v>1</v>
      </c>
      <c r="BA715" s="2">
        <v>7.1910420000000003E-2</v>
      </c>
      <c r="BJ715" s="89">
        <v>150</v>
      </c>
      <c r="BK715" s="2">
        <v>58</v>
      </c>
      <c r="BL715" s="2">
        <v>0</v>
      </c>
      <c r="BM715" s="2">
        <v>1.5973000000000001E-2</v>
      </c>
      <c r="BV715" s="89">
        <v>146</v>
      </c>
      <c r="BW715" s="2">
        <v>58</v>
      </c>
      <c r="BX715" s="2">
        <v>0</v>
      </c>
      <c r="BY715" s="2">
        <v>0.73171699999999995</v>
      </c>
      <c r="CH715" s="89">
        <v>136</v>
      </c>
      <c r="CI715" s="2">
        <v>58</v>
      </c>
      <c r="CJ715" s="2">
        <v>0</v>
      </c>
      <c r="CK715" s="2">
        <v>3.0000000000000001E-3</v>
      </c>
      <c r="CT715" s="89">
        <v>140</v>
      </c>
      <c r="CU715" s="2">
        <v>56</v>
      </c>
      <c r="CV715" s="2">
        <v>0</v>
      </c>
      <c r="CW715" s="2">
        <v>1.8353250000000001</v>
      </c>
      <c r="DF715" s="89">
        <v>142</v>
      </c>
      <c r="DG715" s="2">
        <v>58</v>
      </c>
      <c r="DH715" s="2">
        <v>0</v>
      </c>
      <c r="DI715" s="2">
        <v>2.8580359999999998</v>
      </c>
      <c r="DR715" s="89">
        <v>144</v>
      </c>
      <c r="DS715" s="2">
        <v>57</v>
      </c>
      <c r="DT715" s="2">
        <v>0</v>
      </c>
      <c r="DU715" s="2">
        <v>1.2E-2</v>
      </c>
      <c r="ED715" s="89">
        <v>139</v>
      </c>
      <c r="EE715" s="2">
        <v>58</v>
      </c>
      <c r="EF715" s="2">
        <v>0</v>
      </c>
      <c r="EG715" s="2">
        <v>3.2000000000000001E-2</v>
      </c>
      <c r="ES715">
        <v>139</v>
      </c>
      <c r="ET715">
        <v>58</v>
      </c>
      <c r="EU715">
        <v>0</v>
      </c>
      <c r="EV715">
        <v>3.2000000000000001E-2</v>
      </c>
    </row>
    <row r="716" spans="14:152" x14ac:dyDescent="0.4">
      <c r="N716" s="89">
        <v>147</v>
      </c>
      <c r="O716" s="2">
        <v>59</v>
      </c>
      <c r="P716" s="2">
        <v>0</v>
      </c>
      <c r="Q716" s="2">
        <v>3.0000000000000001E-3</v>
      </c>
      <c r="Z716" s="89">
        <v>147</v>
      </c>
      <c r="AA716" s="2">
        <v>59</v>
      </c>
      <c r="AB716" s="2">
        <v>0</v>
      </c>
      <c r="AC716" s="2">
        <v>8.0000000000000002E-3</v>
      </c>
      <c r="AL716" s="89">
        <v>143</v>
      </c>
      <c r="AM716" s="2">
        <v>57</v>
      </c>
      <c r="AN716" s="2">
        <v>0</v>
      </c>
      <c r="AO716" s="2">
        <v>2E-3</v>
      </c>
      <c r="AX716" s="89">
        <v>145</v>
      </c>
      <c r="AY716" s="2">
        <v>59</v>
      </c>
      <c r="AZ716" s="2">
        <v>0</v>
      </c>
      <c r="BA716" s="2">
        <v>0.78295309999999996</v>
      </c>
      <c r="BJ716" s="89">
        <v>151</v>
      </c>
      <c r="BK716" s="2">
        <v>58</v>
      </c>
      <c r="BL716" s="2">
        <v>0</v>
      </c>
      <c r="BM716" s="2">
        <v>1E-3</v>
      </c>
      <c r="BV716" s="89">
        <v>147</v>
      </c>
      <c r="BW716" s="2">
        <v>58</v>
      </c>
      <c r="BX716" s="2">
        <v>0</v>
      </c>
      <c r="BY716" s="2">
        <v>0.50674699999999995</v>
      </c>
      <c r="CH716" s="89">
        <v>137</v>
      </c>
      <c r="CI716" s="2">
        <v>58</v>
      </c>
      <c r="CJ716" s="2">
        <v>0</v>
      </c>
      <c r="CK716" s="2">
        <v>1.1913099999999999E-2</v>
      </c>
      <c r="CT716" s="89">
        <v>141</v>
      </c>
      <c r="CU716" s="2">
        <v>56</v>
      </c>
      <c r="CV716" s="2">
        <v>0</v>
      </c>
      <c r="CW716" s="2">
        <v>1.3192349999999999</v>
      </c>
      <c r="DF716" s="89">
        <v>143</v>
      </c>
      <c r="DG716" s="2">
        <v>58</v>
      </c>
      <c r="DH716" s="2">
        <v>0</v>
      </c>
      <c r="DI716" s="2">
        <v>2.3937050000000002</v>
      </c>
      <c r="DR716" s="89">
        <v>145</v>
      </c>
      <c r="DS716" s="2">
        <v>57</v>
      </c>
      <c r="DT716" s="2">
        <v>0</v>
      </c>
      <c r="DU716" s="2">
        <v>8.0000000000000002E-3</v>
      </c>
      <c r="ED716" s="89">
        <v>139</v>
      </c>
      <c r="EE716" s="2">
        <v>58</v>
      </c>
      <c r="EF716" s="2">
        <v>1</v>
      </c>
      <c r="EG716" s="2">
        <v>2.51877E-2</v>
      </c>
      <c r="ES716">
        <v>139</v>
      </c>
      <c r="ET716">
        <v>58</v>
      </c>
      <c r="EU716">
        <v>1</v>
      </c>
      <c r="EV716">
        <v>2.51877E-2</v>
      </c>
    </row>
    <row r="717" spans="14:152" x14ac:dyDescent="0.4">
      <c r="N717" s="89">
        <v>148</v>
      </c>
      <c r="O717" s="2">
        <v>59</v>
      </c>
      <c r="P717" s="2">
        <v>1</v>
      </c>
      <c r="Q717" s="2">
        <v>1E-3</v>
      </c>
      <c r="Z717" s="89">
        <v>148</v>
      </c>
      <c r="AA717" s="2">
        <v>59</v>
      </c>
      <c r="AB717" s="2">
        <v>0</v>
      </c>
      <c r="AC717" s="2">
        <v>1.75E-3</v>
      </c>
      <c r="AL717" s="89">
        <v>133</v>
      </c>
      <c r="AM717" s="2">
        <v>58</v>
      </c>
      <c r="AN717" s="2">
        <v>1</v>
      </c>
      <c r="AO717" s="2">
        <v>1E-3</v>
      </c>
      <c r="AX717" s="89">
        <v>146</v>
      </c>
      <c r="AY717" s="2">
        <v>59</v>
      </c>
      <c r="AZ717" s="2">
        <v>0</v>
      </c>
      <c r="BA717" s="2">
        <v>0.61843199999999998</v>
      </c>
      <c r="BJ717" s="89">
        <v>139</v>
      </c>
      <c r="BK717" s="2">
        <v>59</v>
      </c>
      <c r="BL717" s="2">
        <v>0</v>
      </c>
      <c r="BM717" s="2">
        <v>1E-3</v>
      </c>
      <c r="BV717" s="89">
        <v>148</v>
      </c>
      <c r="BW717" s="2">
        <v>58</v>
      </c>
      <c r="BX717" s="2">
        <v>0</v>
      </c>
      <c r="BY717" s="2">
        <v>0.3283643</v>
      </c>
      <c r="CH717" s="89">
        <v>137</v>
      </c>
      <c r="CI717" s="2">
        <v>58</v>
      </c>
      <c r="CJ717" s="2">
        <v>1</v>
      </c>
      <c r="CK717" s="2">
        <v>1.0999999999999999E-2</v>
      </c>
      <c r="CT717" s="89">
        <v>142</v>
      </c>
      <c r="CU717" s="2">
        <v>56</v>
      </c>
      <c r="CV717" s="2">
        <v>0</v>
      </c>
      <c r="CW717" s="2">
        <v>1.0206230000000001</v>
      </c>
      <c r="DF717" s="89">
        <v>144</v>
      </c>
      <c r="DG717" s="2">
        <v>58</v>
      </c>
      <c r="DH717" s="2">
        <v>0</v>
      </c>
      <c r="DI717" s="2">
        <v>2.12418</v>
      </c>
      <c r="DR717" s="89">
        <v>146</v>
      </c>
      <c r="DS717" s="2">
        <v>57</v>
      </c>
      <c r="DT717" s="2">
        <v>1</v>
      </c>
      <c r="DU717" s="2">
        <v>2E-3</v>
      </c>
      <c r="ED717" s="89">
        <v>140</v>
      </c>
      <c r="EE717" s="2">
        <v>58</v>
      </c>
      <c r="EF717" s="2">
        <v>0</v>
      </c>
      <c r="EG717" s="2">
        <v>2.0630449999999998</v>
      </c>
      <c r="ES717">
        <v>140</v>
      </c>
      <c r="ET717">
        <v>58</v>
      </c>
      <c r="EU717">
        <v>0</v>
      </c>
      <c r="EV717">
        <v>2.0630449999999998</v>
      </c>
    </row>
    <row r="718" spans="14:152" x14ac:dyDescent="0.4">
      <c r="N718" s="89">
        <v>150</v>
      </c>
      <c r="O718" s="2">
        <v>59</v>
      </c>
      <c r="P718" s="2">
        <v>0</v>
      </c>
      <c r="Q718" s="2">
        <v>1E-3</v>
      </c>
      <c r="Z718" s="89">
        <v>148</v>
      </c>
      <c r="AA718" s="2">
        <v>59</v>
      </c>
      <c r="AB718" s="2">
        <v>1</v>
      </c>
      <c r="AC718" s="2">
        <v>2.2499999999999998E-3</v>
      </c>
      <c r="AL718" s="89">
        <v>134</v>
      </c>
      <c r="AM718" s="2">
        <v>58</v>
      </c>
      <c r="AN718" s="2">
        <v>0</v>
      </c>
      <c r="AO718" s="2">
        <v>1E-3</v>
      </c>
      <c r="AX718" s="89">
        <v>147</v>
      </c>
      <c r="AY718" s="2">
        <v>59</v>
      </c>
      <c r="AZ718" s="2">
        <v>0</v>
      </c>
      <c r="BA718" s="2">
        <v>0.44100400000000001</v>
      </c>
      <c r="BJ718" s="89">
        <v>140</v>
      </c>
      <c r="BK718" s="2">
        <v>59</v>
      </c>
      <c r="BL718" s="2">
        <v>0</v>
      </c>
      <c r="BM718" s="2">
        <v>5.0000000000000001E-3</v>
      </c>
      <c r="BV718" s="89">
        <v>149</v>
      </c>
      <c r="BW718" s="2">
        <v>58</v>
      </c>
      <c r="BX718" s="2">
        <v>0</v>
      </c>
      <c r="BY718" s="2">
        <v>0.15881980000000001</v>
      </c>
      <c r="CH718" s="89">
        <v>138</v>
      </c>
      <c r="CI718" s="2">
        <v>58</v>
      </c>
      <c r="CJ718" s="2">
        <v>0</v>
      </c>
      <c r="CK718" s="2">
        <v>4.5999999999999999E-2</v>
      </c>
      <c r="CT718" s="89">
        <v>143</v>
      </c>
      <c r="CU718" s="2">
        <v>56</v>
      </c>
      <c r="CV718" s="2">
        <v>0</v>
      </c>
      <c r="CW718" s="2">
        <v>0.56647579999999997</v>
      </c>
      <c r="DF718" s="89">
        <v>145</v>
      </c>
      <c r="DG718" s="2">
        <v>58</v>
      </c>
      <c r="DH718" s="2">
        <v>0</v>
      </c>
      <c r="DI718" s="2">
        <v>1.7329840000000001</v>
      </c>
      <c r="DR718" s="89">
        <v>147</v>
      </c>
      <c r="DS718" s="2">
        <v>57</v>
      </c>
      <c r="DT718" s="2">
        <v>0</v>
      </c>
      <c r="DU718" s="2">
        <v>2E-3</v>
      </c>
      <c r="ED718" s="89">
        <v>141</v>
      </c>
      <c r="EE718" s="2">
        <v>58</v>
      </c>
      <c r="EF718" s="2">
        <v>0</v>
      </c>
      <c r="EG718" s="2">
        <v>1.8856360000000001</v>
      </c>
      <c r="ES718">
        <v>141</v>
      </c>
      <c r="ET718">
        <v>58</v>
      </c>
      <c r="EU718">
        <v>0</v>
      </c>
      <c r="EV718">
        <v>1.8856360000000001</v>
      </c>
    </row>
    <row r="719" spans="14:152" x14ac:dyDescent="0.4">
      <c r="N719" s="89">
        <v>142</v>
      </c>
      <c r="O719" s="2">
        <v>60</v>
      </c>
      <c r="P719" s="2">
        <v>0</v>
      </c>
      <c r="Q719" s="2">
        <v>1.1997799999999999E-2</v>
      </c>
      <c r="Z719" s="89">
        <v>149</v>
      </c>
      <c r="AA719" s="2">
        <v>59</v>
      </c>
      <c r="AB719" s="2">
        <v>0</v>
      </c>
      <c r="AC719" s="2">
        <v>1E-3</v>
      </c>
      <c r="AL719" s="89">
        <v>135</v>
      </c>
      <c r="AM719" s="2">
        <v>58</v>
      </c>
      <c r="AN719" s="2">
        <v>0</v>
      </c>
      <c r="AO719" s="2">
        <v>1E-3</v>
      </c>
      <c r="AX719" s="89">
        <v>148</v>
      </c>
      <c r="AY719" s="2">
        <v>59</v>
      </c>
      <c r="AZ719" s="2">
        <v>0</v>
      </c>
      <c r="BA719" s="2">
        <v>0.1184337</v>
      </c>
      <c r="BJ719" s="89">
        <v>141</v>
      </c>
      <c r="BK719" s="2">
        <v>59</v>
      </c>
      <c r="BL719" s="2">
        <v>0</v>
      </c>
      <c r="BM719" s="2">
        <v>1.3828069999999999</v>
      </c>
      <c r="BV719" s="89">
        <v>150</v>
      </c>
      <c r="BW719" s="2">
        <v>58</v>
      </c>
      <c r="BX719" s="2">
        <v>0</v>
      </c>
      <c r="BY719" s="2">
        <v>8.1783999999999996E-2</v>
      </c>
      <c r="CH719" s="89">
        <v>138</v>
      </c>
      <c r="CI719" s="2">
        <v>58</v>
      </c>
      <c r="CJ719" s="2">
        <v>1</v>
      </c>
      <c r="CK719" s="2">
        <v>0.04</v>
      </c>
      <c r="CT719" s="89">
        <v>144</v>
      </c>
      <c r="CU719" s="2">
        <v>56</v>
      </c>
      <c r="CV719" s="2">
        <v>0</v>
      </c>
      <c r="CW719" s="2">
        <v>0.3255999</v>
      </c>
      <c r="DF719" s="89">
        <v>146</v>
      </c>
      <c r="DG719" s="2">
        <v>58</v>
      </c>
      <c r="DH719" s="2">
        <v>0</v>
      </c>
      <c r="DI719" s="2">
        <v>1.2982450000000001</v>
      </c>
      <c r="DR719" s="89">
        <v>148</v>
      </c>
      <c r="DS719" s="2">
        <v>57</v>
      </c>
      <c r="DT719" s="2">
        <v>0</v>
      </c>
      <c r="DU719" s="2">
        <v>1E-3</v>
      </c>
      <c r="ED719" s="89">
        <v>142</v>
      </c>
      <c r="EE719" s="2">
        <v>58</v>
      </c>
      <c r="EF719" s="2">
        <v>0</v>
      </c>
      <c r="EG719" s="2">
        <v>1.7348209999999999</v>
      </c>
      <c r="ES719">
        <v>142</v>
      </c>
      <c r="ET719">
        <v>58</v>
      </c>
      <c r="EU719">
        <v>0</v>
      </c>
      <c r="EV719">
        <v>1.7348209999999999</v>
      </c>
    </row>
    <row r="720" spans="14:152" x14ac:dyDescent="0.4">
      <c r="N720" s="89">
        <v>143</v>
      </c>
      <c r="O720" s="2">
        <v>60</v>
      </c>
      <c r="P720" s="2">
        <v>0</v>
      </c>
      <c r="Q720" s="2">
        <v>2.4E-2</v>
      </c>
      <c r="Z720" s="89">
        <v>150</v>
      </c>
      <c r="AA720" s="2">
        <v>59</v>
      </c>
      <c r="AB720" s="2">
        <v>0</v>
      </c>
      <c r="AC720" s="2">
        <v>2E-3</v>
      </c>
      <c r="AL720" s="89">
        <v>135</v>
      </c>
      <c r="AM720" s="2">
        <v>58</v>
      </c>
      <c r="AN720" s="2">
        <v>1</v>
      </c>
      <c r="AO720" s="2">
        <v>1E-3</v>
      </c>
      <c r="AX720" s="89">
        <v>148</v>
      </c>
      <c r="AY720" s="2">
        <v>59</v>
      </c>
      <c r="AZ720" s="2">
        <v>1</v>
      </c>
      <c r="BA720" s="2">
        <v>0.1236463</v>
      </c>
      <c r="BJ720" s="89">
        <v>142</v>
      </c>
      <c r="BK720" s="2">
        <v>59</v>
      </c>
      <c r="BL720" s="2">
        <v>0</v>
      </c>
      <c r="BM720" s="2">
        <v>2.5999999999999999E-2</v>
      </c>
      <c r="BV720" s="89">
        <v>151</v>
      </c>
      <c r="BW720" s="2">
        <v>58</v>
      </c>
      <c r="BX720" s="2">
        <v>0</v>
      </c>
      <c r="BY720" s="2">
        <v>1.9E-2</v>
      </c>
      <c r="CH720" s="89">
        <v>139</v>
      </c>
      <c r="CI720" s="2">
        <v>58</v>
      </c>
      <c r="CJ720" s="2">
        <v>0</v>
      </c>
      <c r="CK720" s="2">
        <v>0.122</v>
      </c>
      <c r="CT720" s="89">
        <v>145</v>
      </c>
      <c r="CU720" s="2">
        <v>56</v>
      </c>
      <c r="CV720" s="2">
        <v>0</v>
      </c>
      <c r="CW720" s="2">
        <v>0.13656599999999999</v>
      </c>
      <c r="DF720" s="89">
        <v>147</v>
      </c>
      <c r="DG720" s="2">
        <v>58</v>
      </c>
      <c r="DH720" s="2">
        <v>0</v>
      </c>
      <c r="DI720" s="2">
        <v>0.97806999999999999</v>
      </c>
      <c r="DR720" s="89">
        <v>150</v>
      </c>
      <c r="DS720" s="2">
        <v>57</v>
      </c>
      <c r="DT720" s="2">
        <v>0</v>
      </c>
      <c r="DU720" s="2">
        <v>1E-3</v>
      </c>
      <c r="ED720" s="89">
        <v>143</v>
      </c>
      <c r="EE720" s="2">
        <v>58</v>
      </c>
      <c r="EF720" s="2">
        <v>0</v>
      </c>
      <c r="EG720" s="2">
        <v>1.4473720000000001</v>
      </c>
      <c r="ES720">
        <v>143</v>
      </c>
      <c r="ET720">
        <v>58</v>
      </c>
      <c r="EU720">
        <v>0</v>
      </c>
      <c r="EV720">
        <v>1.4473720000000001</v>
      </c>
    </row>
    <row r="721" spans="14:152" x14ac:dyDescent="0.4">
      <c r="N721" s="89">
        <v>144</v>
      </c>
      <c r="O721" s="2">
        <v>60</v>
      </c>
      <c r="P721" s="2">
        <v>0</v>
      </c>
      <c r="Q721" s="2">
        <v>2.1000000000000001E-2</v>
      </c>
      <c r="Z721" s="89">
        <v>142</v>
      </c>
      <c r="AA721" s="2">
        <v>60</v>
      </c>
      <c r="AB721" s="2">
        <v>0</v>
      </c>
      <c r="AC721" s="2">
        <v>4.9990010000000003E-3</v>
      </c>
      <c r="AL721" s="89">
        <v>136</v>
      </c>
      <c r="AM721" s="2">
        <v>58</v>
      </c>
      <c r="AN721" s="2">
        <v>0</v>
      </c>
      <c r="AO721" s="2">
        <v>3.0000000000000001E-3</v>
      </c>
      <c r="AX721" s="89">
        <v>149</v>
      </c>
      <c r="AY721" s="2">
        <v>59</v>
      </c>
      <c r="AZ721" s="2">
        <v>0</v>
      </c>
      <c r="BA721" s="2">
        <v>0.154916</v>
      </c>
      <c r="BJ721" s="89">
        <v>142</v>
      </c>
      <c r="BK721" s="2">
        <v>59</v>
      </c>
      <c r="BL721" s="2">
        <v>1</v>
      </c>
      <c r="BM721" s="2">
        <v>2.4E-2</v>
      </c>
      <c r="BV721" s="89">
        <v>152</v>
      </c>
      <c r="BW721" s="2">
        <v>58</v>
      </c>
      <c r="BX721" s="2">
        <v>0</v>
      </c>
      <c r="BY721" s="2">
        <v>5.0000000000000001E-3</v>
      </c>
      <c r="CH721" s="89">
        <v>139</v>
      </c>
      <c r="CI721" s="2">
        <v>58</v>
      </c>
      <c r="CJ721" s="2">
        <v>1</v>
      </c>
      <c r="CK721" s="2">
        <v>9.5040399999999997E-2</v>
      </c>
      <c r="CT721" s="89">
        <v>146</v>
      </c>
      <c r="CU721" s="2">
        <v>56</v>
      </c>
      <c r="CV721" s="2">
        <v>0</v>
      </c>
      <c r="CW721" s="2">
        <v>4.9431999999999997E-2</v>
      </c>
      <c r="DF721" s="89">
        <v>148</v>
      </c>
      <c r="DG721" s="2">
        <v>58</v>
      </c>
      <c r="DH721" s="2">
        <v>0</v>
      </c>
      <c r="DI721" s="2">
        <v>0.61384590000000006</v>
      </c>
      <c r="DR721" s="89">
        <v>138</v>
      </c>
      <c r="DS721" s="2">
        <v>58</v>
      </c>
      <c r="DT721" s="2">
        <v>0</v>
      </c>
      <c r="DU721" s="2">
        <v>1E-3</v>
      </c>
      <c r="ED721" s="89">
        <v>144</v>
      </c>
      <c r="EE721" s="2">
        <v>58</v>
      </c>
      <c r="EF721" s="2">
        <v>0</v>
      </c>
      <c r="EG721" s="2">
        <v>1.2514510000000001</v>
      </c>
      <c r="ES721">
        <v>144</v>
      </c>
      <c r="ET721">
        <v>58</v>
      </c>
      <c r="EU721">
        <v>0</v>
      </c>
      <c r="EV721">
        <v>1.2514510000000001</v>
      </c>
    </row>
    <row r="722" spans="14:152" x14ac:dyDescent="0.4">
      <c r="N722" s="89">
        <v>145</v>
      </c>
      <c r="O722" s="2">
        <v>60</v>
      </c>
      <c r="P722" s="2">
        <v>0</v>
      </c>
      <c r="Q722" s="2">
        <v>1.6E-2</v>
      </c>
      <c r="Z722" s="89">
        <v>143</v>
      </c>
      <c r="AA722" s="2">
        <v>60</v>
      </c>
      <c r="AB722" s="2">
        <v>0</v>
      </c>
      <c r="AC722" s="2">
        <v>2.5999999999999999E-2</v>
      </c>
      <c r="AL722" s="89">
        <v>137</v>
      </c>
      <c r="AM722" s="2">
        <v>58</v>
      </c>
      <c r="AN722" s="2">
        <v>0</v>
      </c>
      <c r="AO722" s="2">
        <v>7.9368010000000003E-3</v>
      </c>
      <c r="AX722" s="89">
        <v>150</v>
      </c>
      <c r="AY722" s="2">
        <v>59</v>
      </c>
      <c r="AZ722" s="2">
        <v>0</v>
      </c>
      <c r="BA722" s="2">
        <v>5.5E-2</v>
      </c>
      <c r="BJ722" s="89">
        <v>143</v>
      </c>
      <c r="BK722" s="2">
        <v>59</v>
      </c>
      <c r="BL722" s="2">
        <v>0</v>
      </c>
      <c r="BM722" s="2">
        <v>1.1445890000000001</v>
      </c>
      <c r="BV722" s="89">
        <v>154</v>
      </c>
      <c r="BW722" s="2">
        <v>58</v>
      </c>
      <c r="BX722" s="2">
        <v>0</v>
      </c>
      <c r="BY722" s="2">
        <v>1E-3</v>
      </c>
      <c r="CH722" s="89">
        <v>140</v>
      </c>
      <c r="CI722" s="2">
        <v>58</v>
      </c>
      <c r="CJ722" s="2">
        <v>0</v>
      </c>
      <c r="CK722" s="2">
        <v>1.985633</v>
      </c>
      <c r="CT722" s="89">
        <v>147</v>
      </c>
      <c r="CU722" s="2">
        <v>56</v>
      </c>
      <c r="CV722" s="2">
        <v>0</v>
      </c>
      <c r="CW722" s="2">
        <v>1.0999999999999999E-2</v>
      </c>
      <c r="DF722" s="89">
        <v>149</v>
      </c>
      <c r="DG722" s="2">
        <v>58</v>
      </c>
      <c r="DH722" s="2">
        <v>0</v>
      </c>
      <c r="DI722" s="2">
        <v>0.32556010000000002</v>
      </c>
      <c r="DR722" s="89">
        <v>138</v>
      </c>
      <c r="DS722" s="2">
        <v>58</v>
      </c>
      <c r="DT722" s="2">
        <v>1</v>
      </c>
      <c r="DU722" s="2">
        <v>1E-3</v>
      </c>
      <c r="ED722" s="89">
        <v>145</v>
      </c>
      <c r="EE722" s="2">
        <v>58</v>
      </c>
      <c r="EF722" s="2">
        <v>0</v>
      </c>
      <c r="EG722" s="2">
        <v>0.95328500000000005</v>
      </c>
      <c r="ES722">
        <v>145</v>
      </c>
      <c r="ET722">
        <v>58</v>
      </c>
      <c r="EU722">
        <v>0</v>
      </c>
      <c r="EV722">
        <v>0.95328500000000005</v>
      </c>
    </row>
    <row r="723" spans="14:152" x14ac:dyDescent="0.4">
      <c r="N723" s="89">
        <v>146</v>
      </c>
      <c r="O723" s="2">
        <v>60</v>
      </c>
      <c r="P723" s="2">
        <v>0</v>
      </c>
      <c r="Q723" s="2">
        <v>9.0000010000000005E-3</v>
      </c>
      <c r="Z723" s="89">
        <v>144</v>
      </c>
      <c r="AA723" s="2">
        <v>60</v>
      </c>
      <c r="AB723" s="2">
        <v>0</v>
      </c>
      <c r="AC723" s="2">
        <v>1.7000000000000001E-2</v>
      </c>
      <c r="AL723" s="89">
        <v>137</v>
      </c>
      <c r="AM723" s="2">
        <v>58</v>
      </c>
      <c r="AN723" s="2">
        <v>1</v>
      </c>
      <c r="AO723" s="2">
        <v>8.0000000000000002E-3</v>
      </c>
      <c r="AX723" s="89">
        <v>151</v>
      </c>
      <c r="AY723" s="2">
        <v>59</v>
      </c>
      <c r="AZ723" s="2">
        <v>0</v>
      </c>
      <c r="BA723" s="2">
        <v>3.5000000000000003E-2</v>
      </c>
      <c r="BJ723" s="89">
        <v>144</v>
      </c>
      <c r="BK723" s="2">
        <v>59</v>
      </c>
      <c r="BL723" s="2">
        <v>0</v>
      </c>
      <c r="BM723" s="2">
        <v>0.88181969999999998</v>
      </c>
      <c r="BV723" s="89">
        <v>141</v>
      </c>
      <c r="BW723" s="2">
        <v>59</v>
      </c>
      <c r="BX723" s="2">
        <v>0</v>
      </c>
      <c r="BY723" s="2">
        <v>2.0931999999999999</v>
      </c>
      <c r="CH723" s="89">
        <v>141</v>
      </c>
      <c r="CI723" s="2">
        <v>58</v>
      </c>
      <c r="CJ723" s="2">
        <v>0</v>
      </c>
      <c r="CK723" s="2">
        <v>1.816006</v>
      </c>
      <c r="CT723" s="89">
        <v>148</v>
      </c>
      <c r="CU723" s="2">
        <v>56</v>
      </c>
      <c r="CV723" s="2">
        <v>0</v>
      </c>
      <c r="CW723" s="2">
        <v>6.0000000000000001E-3</v>
      </c>
      <c r="DF723" s="89">
        <v>150</v>
      </c>
      <c r="DG723" s="2">
        <v>58</v>
      </c>
      <c r="DH723" s="2">
        <v>0</v>
      </c>
      <c r="DI723" s="2">
        <v>0.14324400000000001</v>
      </c>
      <c r="DR723" s="89">
        <v>139</v>
      </c>
      <c r="DS723" s="2">
        <v>58</v>
      </c>
      <c r="DT723" s="2">
        <v>0</v>
      </c>
      <c r="DU723" s="2">
        <v>4.0000000000000001E-3</v>
      </c>
      <c r="ED723" s="89">
        <v>146</v>
      </c>
      <c r="EE723" s="2">
        <v>58</v>
      </c>
      <c r="EF723" s="2">
        <v>0</v>
      </c>
      <c r="EG723" s="2">
        <v>0.65</v>
      </c>
      <c r="ES723">
        <v>146</v>
      </c>
      <c r="ET723">
        <v>58</v>
      </c>
      <c r="EU723">
        <v>0</v>
      </c>
      <c r="EV723">
        <v>0.65</v>
      </c>
    </row>
    <row r="724" spans="14:152" x14ac:dyDescent="0.4">
      <c r="N724" s="89">
        <v>147</v>
      </c>
      <c r="O724" s="2">
        <v>60</v>
      </c>
      <c r="P724" s="2">
        <v>0</v>
      </c>
      <c r="Q724" s="2">
        <v>5.0000000000000001E-3</v>
      </c>
      <c r="Z724" s="89">
        <v>145</v>
      </c>
      <c r="AA724" s="2">
        <v>60</v>
      </c>
      <c r="AB724" s="2">
        <v>0</v>
      </c>
      <c r="AC724" s="2">
        <v>2.1000000000000001E-2</v>
      </c>
      <c r="AL724" s="89">
        <v>138</v>
      </c>
      <c r="AM724" s="2">
        <v>58</v>
      </c>
      <c r="AN724" s="2">
        <v>0</v>
      </c>
      <c r="AO724" s="2">
        <v>0.03</v>
      </c>
      <c r="AX724" s="89">
        <v>152</v>
      </c>
      <c r="AY724" s="2">
        <v>59</v>
      </c>
      <c r="AZ724" s="2">
        <v>0</v>
      </c>
      <c r="BA724" s="2">
        <v>0.01</v>
      </c>
      <c r="BJ724" s="89">
        <v>144</v>
      </c>
      <c r="BK724" s="2">
        <v>59</v>
      </c>
      <c r="BL724" s="2">
        <v>1</v>
      </c>
      <c r="BM724" s="2">
        <v>0.11388819999999999</v>
      </c>
      <c r="BV724" s="89">
        <v>142</v>
      </c>
      <c r="BW724" s="2">
        <v>59</v>
      </c>
      <c r="BX724" s="2">
        <v>0</v>
      </c>
      <c r="BY724" s="2">
        <v>4.0000000000000001E-3</v>
      </c>
      <c r="CH724" s="89">
        <v>142</v>
      </c>
      <c r="CI724" s="2">
        <v>58</v>
      </c>
      <c r="CJ724" s="2">
        <v>0</v>
      </c>
      <c r="CK724" s="2">
        <v>1.545307</v>
      </c>
      <c r="CT724" s="89">
        <v>149</v>
      </c>
      <c r="CU724" s="2">
        <v>56</v>
      </c>
      <c r="CV724" s="2">
        <v>0</v>
      </c>
      <c r="CW724" s="2">
        <v>2E-3</v>
      </c>
      <c r="DF724" s="89">
        <v>151</v>
      </c>
      <c r="DG724" s="2">
        <v>58</v>
      </c>
      <c r="DH724" s="2">
        <v>0</v>
      </c>
      <c r="DI724" s="2">
        <v>5.1060399999999999E-2</v>
      </c>
      <c r="DR724" s="89">
        <v>139</v>
      </c>
      <c r="DS724" s="2">
        <v>58</v>
      </c>
      <c r="DT724" s="2">
        <v>1</v>
      </c>
      <c r="DU724" s="2">
        <v>4.0000000000000001E-3</v>
      </c>
      <c r="ED724" s="89">
        <v>147</v>
      </c>
      <c r="EE724" s="2">
        <v>58</v>
      </c>
      <c r="EF724" s="2">
        <v>0</v>
      </c>
      <c r="EG724" s="2">
        <v>0.41000399999999998</v>
      </c>
      <c r="ES724">
        <v>147</v>
      </c>
      <c r="ET724">
        <v>58</v>
      </c>
      <c r="EU724">
        <v>0</v>
      </c>
      <c r="EV724">
        <v>0.41000399999999998</v>
      </c>
    </row>
    <row r="725" spans="14:152" x14ac:dyDescent="0.4">
      <c r="N725" s="89">
        <v>148</v>
      </c>
      <c r="O725" s="2">
        <v>60</v>
      </c>
      <c r="P725" s="2">
        <v>0</v>
      </c>
      <c r="Q725" s="2">
        <v>1E-3</v>
      </c>
      <c r="Z725" s="89">
        <v>146</v>
      </c>
      <c r="AA725" s="2">
        <v>60</v>
      </c>
      <c r="AB725" s="2">
        <v>0</v>
      </c>
      <c r="AC725" s="2">
        <v>2.5319999999999999E-2</v>
      </c>
      <c r="AL725" s="89">
        <v>138</v>
      </c>
      <c r="AM725" s="2">
        <v>58</v>
      </c>
      <c r="AN725" s="2">
        <v>1</v>
      </c>
      <c r="AO725" s="2">
        <v>1.7000000000000001E-2</v>
      </c>
      <c r="AX725" s="89">
        <v>153</v>
      </c>
      <c r="AY725" s="2">
        <v>59</v>
      </c>
      <c r="AZ725" s="2">
        <v>0</v>
      </c>
      <c r="BA725" s="2">
        <v>3.0000000000000001E-3</v>
      </c>
      <c r="BJ725" s="89">
        <v>145</v>
      </c>
      <c r="BK725" s="2">
        <v>59</v>
      </c>
      <c r="BL725" s="2">
        <v>0</v>
      </c>
      <c r="BM725" s="2">
        <v>0.70771309999999998</v>
      </c>
      <c r="BV725" s="89">
        <v>142</v>
      </c>
      <c r="BW725" s="2">
        <v>59</v>
      </c>
      <c r="BX725" s="2">
        <v>1</v>
      </c>
      <c r="BY725" s="2">
        <v>4.0000000000000001E-3</v>
      </c>
      <c r="CH725" s="89">
        <v>143</v>
      </c>
      <c r="CI725" s="2">
        <v>58</v>
      </c>
      <c r="CJ725" s="2">
        <v>0</v>
      </c>
      <c r="CK725" s="2">
        <v>1.246737</v>
      </c>
      <c r="CT725" s="89">
        <v>132</v>
      </c>
      <c r="CU725" s="2">
        <v>57</v>
      </c>
      <c r="CV725" s="2">
        <v>0</v>
      </c>
      <c r="CW725" s="2">
        <v>1.7600000000000001E-3</v>
      </c>
      <c r="DF725" s="89">
        <v>152</v>
      </c>
      <c r="DG725" s="2">
        <v>58</v>
      </c>
      <c r="DH725" s="2">
        <v>0</v>
      </c>
      <c r="DI725" s="2">
        <v>1.2939600000000001E-2</v>
      </c>
      <c r="DR725" s="89">
        <v>140</v>
      </c>
      <c r="DS725" s="2">
        <v>58</v>
      </c>
      <c r="DT725" s="2">
        <v>0</v>
      </c>
      <c r="DU725" s="2">
        <v>8.5000010000000001E-2</v>
      </c>
      <c r="ED725" s="89">
        <v>148</v>
      </c>
      <c r="EE725" s="2">
        <v>58</v>
      </c>
      <c r="EF725" s="2">
        <v>0</v>
      </c>
      <c r="EG725" s="2">
        <v>0.223136</v>
      </c>
      <c r="ES725">
        <v>148</v>
      </c>
      <c r="ET725">
        <v>58</v>
      </c>
      <c r="EU725">
        <v>0</v>
      </c>
      <c r="EV725">
        <v>0.223136</v>
      </c>
    </row>
    <row r="726" spans="14:152" x14ac:dyDescent="0.4">
      <c r="N726" s="89">
        <v>149</v>
      </c>
      <c r="O726" s="2">
        <v>60</v>
      </c>
      <c r="P726" s="2">
        <v>0</v>
      </c>
      <c r="Q726" s="2">
        <v>2E-3</v>
      </c>
      <c r="Z726" s="89">
        <v>147</v>
      </c>
      <c r="AA726" s="2">
        <v>60</v>
      </c>
      <c r="AB726" s="2">
        <v>0</v>
      </c>
      <c r="AC726" s="2">
        <v>1.0999999999999999E-2</v>
      </c>
      <c r="AL726" s="89">
        <v>139</v>
      </c>
      <c r="AM726" s="2">
        <v>58</v>
      </c>
      <c r="AN726" s="2">
        <v>0</v>
      </c>
      <c r="AO726" s="2">
        <v>3.6999999999999998E-2</v>
      </c>
      <c r="AX726" s="89">
        <v>142</v>
      </c>
      <c r="AY726" s="2">
        <v>60</v>
      </c>
      <c r="AZ726" s="2">
        <v>0</v>
      </c>
      <c r="BA726" s="2">
        <v>3.9991999999999996E-3</v>
      </c>
      <c r="BJ726" s="89">
        <v>146</v>
      </c>
      <c r="BK726" s="2">
        <v>59</v>
      </c>
      <c r="BL726" s="2">
        <v>0</v>
      </c>
      <c r="BM726" s="2">
        <v>0.61685809999999996</v>
      </c>
      <c r="BV726" s="89">
        <v>143</v>
      </c>
      <c r="BW726" s="2">
        <v>59</v>
      </c>
      <c r="BX726" s="2">
        <v>0</v>
      </c>
      <c r="BY726" s="2">
        <v>1.701541</v>
      </c>
      <c r="CH726" s="89">
        <v>144</v>
      </c>
      <c r="CI726" s="2">
        <v>58</v>
      </c>
      <c r="CJ726" s="2">
        <v>0</v>
      </c>
      <c r="CK726" s="2">
        <v>0.96911099999999994</v>
      </c>
      <c r="CT726" s="89">
        <v>132</v>
      </c>
      <c r="CU726" s="2">
        <v>57</v>
      </c>
      <c r="CV726" s="2">
        <v>1</v>
      </c>
      <c r="CW726" s="2">
        <v>1E-3</v>
      </c>
      <c r="DF726" s="89">
        <v>153</v>
      </c>
      <c r="DG726" s="2">
        <v>58</v>
      </c>
      <c r="DH726" s="2">
        <v>0</v>
      </c>
      <c r="DI726" s="2">
        <v>8.0000000000000002E-3</v>
      </c>
      <c r="DR726" s="89">
        <v>141</v>
      </c>
      <c r="DS726" s="2">
        <v>58</v>
      </c>
      <c r="DT726" s="2">
        <v>0</v>
      </c>
      <c r="DU726" s="2">
        <v>6.9000000000000006E-2</v>
      </c>
      <c r="ED726" s="89">
        <v>149</v>
      </c>
      <c r="EE726" s="2">
        <v>58</v>
      </c>
      <c r="EF726" s="2">
        <v>0</v>
      </c>
      <c r="EG726" s="2">
        <v>0.101049</v>
      </c>
      <c r="ES726">
        <v>149</v>
      </c>
      <c r="ET726">
        <v>58</v>
      </c>
      <c r="EU726">
        <v>0</v>
      </c>
      <c r="EV726">
        <v>0.101049</v>
      </c>
    </row>
    <row r="727" spans="14:152" x14ac:dyDescent="0.4">
      <c r="N727" s="89">
        <v>150</v>
      </c>
      <c r="O727" s="2">
        <v>60</v>
      </c>
      <c r="P727" s="2">
        <v>0</v>
      </c>
      <c r="Q727" s="2">
        <v>1E-3</v>
      </c>
      <c r="Z727" s="89">
        <v>148</v>
      </c>
      <c r="AA727" s="2">
        <v>60</v>
      </c>
      <c r="AB727" s="2">
        <v>0</v>
      </c>
      <c r="AC727" s="2">
        <v>9.0000010000000005E-3</v>
      </c>
      <c r="AL727" s="89">
        <v>139</v>
      </c>
      <c r="AM727" s="2">
        <v>58</v>
      </c>
      <c r="AN727" s="2">
        <v>1</v>
      </c>
      <c r="AO727" s="2">
        <v>2.9118450000000001E-2</v>
      </c>
      <c r="AX727" s="89">
        <v>143</v>
      </c>
      <c r="AY727" s="2">
        <v>60</v>
      </c>
      <c r="AZ727" s="2">
        <v>0</v>
      </c>
      <c r="BA727" s="2">
        <v>1.3172790000000001</v>
      </c>
      <c r="BJ727" s="89">
        <v>147</v>
      </c>
      <c r="BK727" s="2">
        <v>59</v>
      </c>
      <c r="BL727" s="2">
        <v>0</v>
      </c>
      <c r="BM727" s="2">
        <v>0.41299999999999998</v>
      </c>
      <c r="BV727" s="89">
        <v>144</v>
      </c>
      <c r="BW727" s="2">
        <v>59</v>
      </c>
      <c r="BX727" s="2">
        <v>0</v>
      </c>
      <c r="BY727" s="2">
        <v>1.4476560000000001</v>
      </c>
      <c r="CH727" s="89">
        <v>145</v>
      </c>
      <c r="CI727" s="2">
        <v>58</v>
      </c>
      <c r="CJ727" s="2">
        <v>0</v>
      </c>
      <c r="CK727" s="2">
        <v>0.63985709999999996</v>
      </c>
      <c r="CT727" s="89">
        <v>133</v>
      </c>
      <c r="CU727" s="2">
        <v>57</v>
      </c>
      <c r="CV727" s="2">
        <v>0</v>
      </c>
      <c r="CW727" s="2">
        <v>1E-3</v>
      </c>
      <c r="DF727" s="89">
        <v>154</v>
      </c>
      <c r="DG727" s="2">
        <v>58</v>
      </c>
      <c r="DH727" s="2">
        <v>0</v>
      </c>
      <c r="DI727" s="2">
        <v>1E-3</v>
      </c>
      <c r="DR727" s="89">
        <v>142</v>
      </c>
      <c r="DS727" s="2">
        <v>58</v>
      </c>
      <c r="DT727" s="2">
        <v>0</v>
      </c>
      <c r="DU727" s="2">
        <v>5.6016400000000001E-2</v>
      </c>
      <c r="ED727" s="89">
        <v>150</v>
      </c>
      <c r="EE727" s="2">
        <v>58</v>
      </c>
      <c r="EF727" s="2">
        <v>0</v>
      </c>
      <c r="EG727" s="2">
        <v>4.1811000000000001E-2</v>
      </c>
      <c r="ES727">
        <v>150</v>
      </c>
      <c r="ET727">
        <v>58</v>
      </c>
      <c r="EU727">
        <v>0</v>
      </c>
      <c r="EV727">
        <v>4.1811000000000001E-2</v>
      </c>
    </row>
    <row r="728" spans="14:152" x14ac:dyDescent="0.4">
      <c r="N728" s="89">
        <v>152</v>
      </c>
      <c r="O728" s="2">
        <v>60</v>
      </c>
      <c r="P728" s="2">
        <v>0</v>
      </c>
      <c r="Q728" s="2">
        <v>2E-3</v>
      </c>
      <c r="Z728" s="89">
        <v>149</v>
      </c>
      <c r="AA728" s="2">
        <v>60</v>
      </c>
      <c r="AB728" s="2">
        <v>0</v>
      </c>
      <c r="AC728" s="2">
        <v>2E-3</v>
      </c>
      <c r="AL728" s="89">
        <v>140</v>
      </c>
      <c r="AM728" s="2">
        <v>58</v>
      </c>
      <c r="AN728" s="2">
        <v>0</v>
      </c>
      <c r="AO728" s="2">
        <v>3.9E-2</v>
      </c>
      <c r="AX728" s="89">
        <v>144</v>
      </c>
      <c r="AY728" s="2">
        <v>60</v>
      </c>
      <c r="AZ728" s="2">
        <v>0</v>
      </c>
      <c r="BA728" s="2">
        <v>1.1016889999999999</v>
      </c>
      <c r="BJ728" s="89">
        <v>148</v>
      </c>
      <c r="BK728" s="2">
        <v>59</v>
      </c>
      <c r="BL728" s="2">
        <v>0</v>
      </c>
      <c r="BM728" s="2">
        <v>0.1129941</v>
      </c>
      <c r="BV728" s="89">
        <v>144</v>
      </c>
      <c r="BW728" s="2">
        <v>59</v>
      </c>
      <c r="BX728" s="2">
        <v>1</v>
      </c>
      <c r="BY728" s="2">
        <v>6.8050520000000003E-2</v>
      </c>
      <c r="CH728" s="89">
        <v>146</v>
      </c>
      <c r="CI728" s="2">
        <v>58</v>
      </c>
      <c r="CJ728" s="2">
        <v>0</v>
      </c>
      <c r="CK728" s="2">
        <v>0.42199999999999999</v>
      </c>
      <c r="CT728" s="89">
        <v>134</v>
      </c>
      <c r="CU728" s="2">
        <v>57</v>
      </c>
      <c r="CV728" s="2">
        <v>0</v>
      </c>
      <c r="CW728" s="2">
        <v>1.2E-2</v>
      </c>
      <c r="DF728" s="89">
        <v>141</v>
      </c>
      <c r="DG728" s="2">
        <v>59</v>
      </c>
      <c r="DH728" s="2">
        <v>0</v>
      </c>
      <c r="DI728" s="2">
        <v>3.0582180000000001</v>
      </c>
      <c r="DR728" s="89">
        <v>143</v>
      </c>
      <c r="DS728" s="2">
        <v>58</v>
      </c>
      <c r="DT728" s="2">
        <v>0</v>
      </c>
      <c r="DU728" s="2">
        <v>4.1983600000000003E-2</v>
      </c>
      <c r="ED728" s="89">
        <v>151</v>
      </c>
      <c r="EE728" s="2">
        <v>58</v>
      </c>
      <c r="EF728" s="2">
        <v>0</v>
      </c>
      <c r="EG728" s="2">
        <v>1.4999999999999999E-2</v>
      </c>
      <c r="ES728">
        <v>151</v>
      </c>
      <c r="ET728">
        <v>58</v>
      </c>
      <c r="EU728">
        <v>0</v>
      </c>
      <c r="EV728">
        <v>1.4999999999999999E-2</v>
      </c>
    </row>
    <row r="729" spans="14:152" x14ac:dyDescent="0.4">
      <c r="N729" s="89">
        <v>145</v>
      </c>
      <c r="O729" s="2">
        <v>61</v>
      </c>
      <c r="P729" s="2">
        <v>0</v>
      </c>
      <c r="Q729" s="2">
        <v>1E-3</v>
      </c>
      <c r="Z729" s="89">
        <v>150</v>
      </c>
      <c r="AA729" s="2">
        <v>60</v>
      </c>
      <c r="AB729" s="2">
        <v>0</v>
      </c>
      <c r="AC729" s="2">
        <v>3.0000000000000001E-3</v>
      </c>
      <c r="AL729" s="89">
        <v>141</v>
      </c>
      <c r="AM729" s="2">
        <v>58</v>
      </c>
      <c r="AN729" s="2">
        <v>0</v>
      </c>
      <c r="AO729" s="2">
        <v>2.8000000000000001E-2</v>
      </c>
      <c r="AX729" s="89">
        <v>145</v>
      </c>
      <c r="AY729" s="2">
        <v>60</v>
      </c>
      <c r="AZ729" s="2">
        <v>0</v>
      </c>
      <c r="BA729" s="2">
        <v>0.79195309999999997</v>
      </c>
      <c r="BJ729" s="89">
        <v>148</v>
      </c>
      <c r="BK729" s="2">
        <v>59</v>
      </c>
      <c r="BL729" s="2">
        <v>1</v>
      </c>
      <c r="BM729" s="2">
        <v>0.15804789999999999</v>
      </c>
      <c r="BV729" s="89">
        <v>145</v>
      </c>
      <c r="BW729" s="2">
        <v>59</v>
      </c>
      <c r="BX729" s="2">
        <v>0</v>
      </c>
      <c r="BY729" s="2">
        <v>1.2624219999999999</v>
      </c>
      <c r="CH729" s="89">
        <v>147</v>
      </c>
      <c r="CI729" s="2">
        <v>58</v>
      </c>
      <c r="CJ729" s="2">
        <v>0</v>
      </c>
      <c r="CK729" s="2">
        <v>0.19700400000000001</v>
      </c>
      <c r="CT729" s="89">
        <v>135</v>
      </c>
      <c r="CU729" s="2">
        <v>57</v>
      </c>
      <c r="CV729" s="2">
        <v>0</v>
      </c>
      <c r="CW729" s="2">
        <v>3.6999999999999998E-2</v>
      </c>
      <c r="DF729" s="89">
        <v>143</v>
      </c>
      <c r="DG729" s="2">
        <v>59</v>
      </c>
      <c r="DH729" s="2">
        <v>0</v>
      </c>
      <c r="DI729" s="2">
        <v>2.3977050000000002</v>
      </c>
      <c r="DR729" s="89">
        <v>144</v>
      </c>
      <c r="DS729" s="2">
        <v>58</v>
      </c>
      <c r="DT729" s="2">
        <v>0</v>
      </c>
      <c r="DU729" s="2">
        <v>3.3000000000000002E-2</v>
      </c>
      <c r="ED729" s="89">
        <v>152</v>
      </c>
      <c r="EE729" s="2">
        <v>58</v>
      </c>
      <c r="EF729" s="2">
        <v>0</v>
      </c>
      <c r="EG729" s="2">
        <v>5.0000000000000001E-3</v>
      </c>
      <c r="ES729">
        <v>152</v>
      </c>
      <c r="ET729">
        <v>58</v>
      </c>
      <c r="EU729">
        <v>0</v>
      </c>
      <c r="EV729">
        <v>5.0000000000000001E-3</v>
      </c>
    </row>
    <row r="730" spans="14:152" x14ac:dyDescent="0.4">
      <c r="N730" s="89">
        <v>147</v>
      </c>
      <c r="O730" s="2">
        <v>61</v>
      </c>
      <c r="P730" s="2">
        <v>0</v>
      </c>
      <c r="Q730" s="2">
        <v>8.9999999999999993E-3</v>
      </c>
      <c r="Z730" s="89">
        <v>151</v>
      </c>
      <c r="AA730" s="2">
        <v>60</v>
      </c>
      <c r="AB730" s="2">
        <v>0</v>
      </c>
      <c r="AC730" s="2">
        <v>1E-3</v>
      </c>
      <c r="AL730" s="89">
        <v>142</v>
      </c>
      <c r="AM730" s="2">
        <v>58</v>
      </c>
      <c r="AN730" s="2">
        <v>0</v>
      </c>
      <c r="AO730" s="2">
        <v>1.2002000000000001E-2</v>
      </c>
      <c r="AX730" s="89">
        <v>146</v>
      </c>
      <c r="AY730" s="2">
        <v>60</v>
      </c>
      <c r="AZ730" s="2">
        <v>0</v>
      </c>
      <c r="BA730" s="2">
        <v>0.652092</v>
      </c>
      <c r="BJ730" s="89">
        <v>149</v>
      </c>
      <c r="BK730" s="2">
        <v>59</v>
      </c>
      <c r="BL730" s="2">
        <v>0</v>
      </c>
      <c r="BM730" s="2">
        <v>0.11898499999999999</v>
      </c>
      <c r="BV730" s="89">
        <v>146</v>
      </c>
      <c r="BW730" s="2">
        <v>59</v>
      </c>
      <c r="BX730" s="2">
        <v>0</v>
      </c>
      <c r="BY730" s="2">
        <v>0.93671700000000002</v>
      </c>
      <c r="CH730" s="89">
        <v>148</v>
      </c>
      <c r="CI730" s="2">
        <v>58</v>
      </c>
      <c r="CJ730" s="2">
        <v>0</v>
      </c>
      <c r="CK730" s="2">
        <v>0.10501000000000001</v>
      </c>
      <c r="CT730" s="89">
        <v>136</v>
      </c>
      <c r="CU730" s="2">
        <v>57</v>
      </c>
      <c r="CV730" s="2">
        <v>0</v>
      </c>
      <c r="CW730" s="2">
        <v>8.0000009999999996E-2</v>
      </c>
      <c r="DF730" s="89">
        <v>144</v>
      </c>
      <c r="DG730" s="2">
        <v>59</v>
      </c>
      <c r="DH730" s="2">
        <v>0</v>
      </c>
      <c r="DI730" s="2">
        <v>2.1301619999999999</v>
      </c>
      <c r="DR730" s="89">
        <v>145</v>
      </c>
      <c r="DS730" s="2">
        <v>58</v>
      </c>
      <c r="DT730" s="2">
        <v>0</v>
      </c>
      <c r="DU730" s="2">
        <v>2.4E-2</v>
      </c>
      <c r="ED730" s="89">
        <v>139</v>
      </c>
      <c r="EE730" s="2">
        <v>59</v>
      </c>
      <c r="EF730" s="2">
        <v>0</v>
      </c>
      <c r="EG730" s="2">
        <v>1E-3</v>
      </c>
      <c r="ES730">
        <v>139</v>
      </c>
      <c r="ET730">
        <v>59</v>
      </c>
      <c r="EU730">
        <v>0</v>
      </c>
      <c r="EV730">
        <v>1E-3</v>
      </c>
    </row>
    <row r="731" spans="14:152" x14ac:dyDescent="0.4">
      <c r="N731" s="89">
        <v>148</v>
      </c>
      <c r="O731" s="2">
        <v>61</v>
      </c>
      <c r="P731" s="2">
        <v>0</v>
      </c>
      <c r="Q731" s="2">
        <v>1.12E-4</v>
      </c>
      <c r="Z731" s="89">
        <v>152</v>
      </c>
      <c r="AA731" s="2">
        <v>60</v>
      </c>
      <c r="AB731" s="2">
        <v>0</v>
      </c>
      <c r="AC731" s="2">
        <v>1E-3</v>
      </c>
      <c r="AL731" s="89">
        <v>143</v>
      </c>
      <c r="AM731" s="2">
        <v>58</v>
      </c>
      <c r="AN731" s="2">
        <v>0</v>
      </c>
      <c r="AO731" s="2">
        <v>1.0999999999999999E-2</v>
      </c>
      <c r="AX731" s="89">
        <v>147</v>
      </c>
      <c r="AY731" s="2">
        <v>60</v>
      </c>
      <c r="AZ731" s="2">
        <v>0</v>
      </c>
      <c r="BA731" s="2">
        <v>0.492004</v>
      </c>
      <c r="BJ731" s="89">
        <v>150</v>
      </c>
      <c r="BK731" s="2">
        <v>59</v>
      </c>
      <c r="BL731" s="2">
        <v>0</v>
      </c>
      <c r="BM731" s="2">
        <v>6.0972999999999999E-2</v>
      </c>
      <c r="BV731" s="89">
        <v>147</v>
      </c>
      <c r="BW731" s="2">
        <v>59</v>
      </c>
      <c r="BX731" s="2">
        <v>0</v>
      </c>
      <c r="BY731" s="2">
        <v>0.78774699999999998</v>
      </c>
      <c r="CH731" s="89">
        <v>149</v>
      </c>
      <c r="CI731" s="2">
        <v>58</v>
      </c>
      <c r="CJ731" s="2">
        <v>0</v>
      </c>
      <c r="CK731" s="2">
        <v>3.0040000000000001E-2</v>
      </c>
      <c r="CT731" s="89">
        <v>137</v>
      </c>
      <c r="CU731" s="2">
        <v>57</v>
      </c>
      <c r="CV731" s="2">
        <v>0</v>
      </c>
      <c r="CW731" s="2">
        <v>0.27600000000000002</v>
      </c>
      <c r="DF731" s="89">
        <v>144</v>
      </c>
      <c r="DG731" s="2">
        <v>59</v>
      </c>
      <c r="DH731" s="2">
        <v>1</v>
      </c>
      <c r="DI731" s="2">
        <v>3.0428070000000002E-2</v>
      </c>
      <c r="DR731" s="89">
        <v>146</v>
      </c>
      <c r="DS731" s="2">
        <v>58</v>
      </c>
      <c r="DT731" s="2">
        <v>0</v>
      </c>
      <c r="DU731" s="2">
        <v>1.6E-2</v>
      </c>
      <c r="ED731" s="89">
        <v>140</v>
      </c>
      <c r="EE731" s="2">
        <v>59</v>
      </c>
      <c r="EF731" s="2">
        <v>0</v>
      </c>
      <c r="EG731" s="2">
        <v>1E-3</v>
      </c>
      <c r="ES731">
        <v>140</v>
      </c>
      <c r="ET731">
        <v>59</v>
      </c>
      <c r="EU731">
        <v>0</v>
      </c>
      <c r="EV731">
        <v>1E-3</v>
      </c>
    </row>
    <row r="732" spans="14:152" x14ac:dyDescent="0.4">
      <c r="N732" s="89">
        <v>148</v>
      </c>
      <c r="O732" s="2">
        <v>61</v>
      </c>
      <c r="P732" s="2">
        <v>1</v>
      </c>
      <c r="Q732" s="2">
        <v>2E-3</v>
      </c>
      <c r="Z732" s="89">
        <v>146</v>
      </c>
      <c r="AA732" s="2">
        <v>61</v>
      </c>
      <c r="AB732" s="2">
        <v>0</v>
      </c>
      <c r="AC732" s="2">
        <v>2E-3</v>
      </c>
      <c r="AL732" s="89">
        <v>144</v>
      </c>
      <c r="AM732" s="2">
        <v>58</v>
      </c>
      <c r="AN732" s="2">
        <v>0</v>
      </c>
      <c r="AO732" s="2">
        <v>5.0000000000000001E-3</v>
      </c>
      <c r="AX732" s="89">
        <v>148</v>
      </c>
      <c r="AY732" s="2">
        <v>60</v>
      </c>
      <c r="AZ732" s="2">
        <v>0</v>
      </c>
      <c r="BA732" s="2">
        <v>0.30208000000000002</v>
      </c>
      <c r="BJ732" s="89">
        <v>151</v>
      </c>
      <c r="BK732" s="2">
        <v>59</v>
      </c>
      <c r="BL732" s="2">
        <v>0</v>
      </c>
      <c r="BM732" s="2">
        <v>0.02</v>
      </c>
      <c r="BV732" s="89">
        <v>148</v>
      </c>
      <c r="BW732" s="2">
        <v>59</v>
      </c>
      <c r="BX732" s="2">
        <v>0</v>
      </c>
      <c r="BY732" s="2">
        <v>0.34098820000000002</v>
      </c>
      <c r="CH732" s="89">
        <v>150</v>
      </c>
      <c r="CI732" s="2">
        <v>58</v>
      </c>
      <c r="CJ732" s="2">
        <v>0</v>
      </c>
      <c r="CK732" s="2">
        <v>1.6945999999999999E-2</v>
      </c>
      <c r="CT732" s="89">
        <v>138</v>
      </c>
      <c r="CU732" s="2">
        <v>57</v>
      </c>
      <c r="CV732" s="2">
        <v>0</v>
      </c>
      <c r="CW732" s="2">
        <v>0.435</v>
      </c>
      <c r="DF732" s="89">
        <v>145</v>
      </c>
      <c r="DG732" s="2">
        <v>59</v>
      </c>
      <c r="DH732" s="2">
        <v>0</v>
      </c>
      <c r="DI732" s="2">
        <v>1.773984</v>
      </c>
      <c r="DR732" s="89">
        <v>147</v>
      </c>
      <c r="DS732" s="2">
        <v>58</v>
      </c>
      <c r="DT732" s="2">
        <v>0</v>
      </c>
      <c r="DU732" s="2">
        <v>9.0000010000000005E-3</v>
      </c>
      <c r="ED732" s="89">
        <v>141</v>
      </c>
      <c r="EE732" s="2">
        <v>59</v>
      </c>
      <c r="EF732" s="2">
        <v>0</v>
      </c>
      <c r="EG732" s="2">
        <v>1.894636</v>
      </c>
      <c r="ES732">
        <v>141</v>
      </c>
      <c r="ET732">
        <v>59</v>
      </c>
      <c r="EU732">
        <v>0</v>
      </c>
      <c r="EV732">
        <v>1.894636</v>
      </c>
    </row>
    <row r="733" spans="14:152" x14ac:dyDescent="0.4">
      <c r="N733" s="89">
        <v>149</v>
      </c>
      <c r="O733" s="2">
        <v>61</v>
      </c>
      <c r="P733" s="2">
        <v>0</v>
      </c>
      <c r="Q733" s="2">
        <v>6.0000000000000001E-3</v>
      </c>
      <c r="Z733" s="89">
        <v>147</v>
      </c>
      <c r="AA733" s="2">
        <v>61</v>
      </c>
      <c r="AB733" s="2">
        <v>0</v>
      </c>
      <c r="AC733" s="2">
        <v>1.2999999999999999E-2</v>
      </c>
      <c r="AL733" s="89">
        <v>145</v>
      </c>
      <c r="AM733" s="2">
        <v>58</v>
      </c>
      <c r="AN733" s="2">
        <v>0</v>
      </c>
      <c r="AO733" s="2">
        <v>1E-3</v>
      </c>
      <c r="AX733" s="89">
        <v>149</v>
      </c>
      <c r="AY733" s="2">
        <v>60</v>
      </c>
      <c r="AZ733" s="2">
        <v>0</v>
      </c>
      <c r="BA733" s="2">
        <v>0.218916</v>
      </c>
      <c r="BJ733" s="89">
        <v>152</v>
      </c>
      <c r="BK733" s="2">
        <v>59</v>
      </c>
      <c r="BL733" s="2">
        <v>0</v>
      </c>
      <c r="BM733" s="2">
        <v>7.0000000000000001E-3</v>
      </c>
      <c r="BV733" s="89">
        <v>148</v>
      </c>
      <c r="BW733" s="2">
        <v>59</v>
      </c>
      <c r="BX733" s="2">
        <v>1</v>
      </c>
      <c r="BY733" s="2">
        <v>0.22237599999999999</v>
      </c>
      <c r="CH733" s="89">
        <v>151</v>
      </c>
      <c r="CI733" s="2">
        <v>58</v>
      </c>
      <c r="CJ733" s="2">
        <v>0</v>
      </c>
      <c r="CK733" s="2">
        <v>2E-3</v>
      </c>
      <c r="CT733" s="89">
        <v>139</v>
      </c>
      <c r="CU733" s="2">
        <v>57</v>
      </c>
      <c r="CV733" s="2">
        <v>0</v>
      </c>
      <c r="CW733" s="2">
        <v>3.1118039999999998</v>
      </c>
      <c r="DF733" s="89">
        <v>146</v>
      </c>
      <c r="DG733" s="2">
        <v>59</v>
      </c>
      <c r="DH733" s="2">
        <v>0</v>
      </c>
      <c r="DI733" s="2">
        <v>1.3972450000000001</v>
      </c>
      <c r="DR733" s="89">
        <v>148</v>
      </c>
      <c r="DS733" s="2">
        <v>58</v>
      </c>
      <c r="DT733" s="2">
        <v>0</v>
      </c>
      <c r="DU733" s="2">
        <v>6.0000009999999996E-3</v>
      </c>
      <c r="ED733" s="89">
        <v>142</v>
      </c>
      <c r="EE733" s="2">
        <v>59</v>
      </c>
      <c r="EF733" s="2">
        <v>0</v>
      </c>
      <c r="EG733" s="2">
        <v>2.1999999999999999E-2</v>
      </c>
      <c r="ES733">
        <v>142</v>
      </c>
      <c r="ET733">
        <v>59</v>
      </c>
      <c r="EU733">
        <v>0</v>
      </c>
      <c r="EV733">
        <v>2.1999999999999999E-2</v>
      </c>
    </row>
    <row r="734" spans="14:152" x14ac:dyDescent="0.4">
      <c r="N734" s="89">
        <v>150</v>
      </c>
      <c r="O734" s="2">
        <v>61</v>
      </c>
      <c r="P734" s="2">
        <v>0</v>
      </c>
      <c r="Q734" s="2">
        <v>2E-3</v>
      </c>
      <c r="Z734" s="89">
        <v>148</v>
      </c>
      <c r="AA734" s="2">
        <v>61</v>
      </c>
      <c r="AB734" s="2">
        <v>0</v>
      </c>
      <c r="AC734" s="2">
        <v>1.5839999999999999E-3</v>
      </c>
      <c r="AL734" s="89">
        <v>146</v>
      </c>
      <c r="AM734" s="2">
        <v>58</v>
      </c>
      <c r="AN734" s="2">
        <v>0</v>
      </c>
      <c r="AO734" s="2">
        <v>1E-3</v>
      </c>
      <c r="AX734" s="89">
        <v>150</v>
      </c>
      <c r="AY734" s="2">
        <v>60</v>
      </c>
      <c r="AZ734" s="2">
        <v>0</v>
      </c>
      <c r="BA734" s="2">
        <v>0.11</v>
      </c>
      <c r="BJ734" s="89">
        <v>153</v>
      </c>
      <c r="BK734" s="2">
        <v>59</v>
      </c>
      <c r="BL734" s="2">
        <v>0</v>
      </c>
      <c r="BM734" s="2">
        <v>1E-3</v>
      </c>
      <c r="BV734" s="89">
        <v>149</v>
      </c>
      <c r="BW734" s="2">
        <v>59</v>
      </c>
      <c r="BX734" s="2">
        <v>0</v>
      </c>
      <c r="BY734" s="2">
        <v>0.36881979999999998</v>
      </c>
      <c r="CH734" s="89">
        <v>152</v>
      </c>
      <c r="CI734" s="2">
        <v>58</v>
      </c>
      <c r="CJ734" s="2">
        <v>0</v>
      </c>
      <c r="CK734" s="2">
        <v>1E-3</v>
      </c>
      <c r="CT734" s="89">
        <v>140</v>
      </c>
      <c r="CU734" s="2">
        <v>57</v>
      </c>
      <c r="CV734" s="2">
        <v>0</v>
      </c>
      <c r="CW734" s="2">
        <v>2.6573250000000002</v>
      </c>
      <c r="DF734" s="89">
        <v>147</v>
      </c>
      <c r="DG734" s="2">
        <v>59</v>
      </c>
      <c r="DH734" s="2">
        <v>0</v>
      </c>
      <c r="DI734" s="2">
        <v>1.1300699999999999</v>
      </c>
      <c r="DR734" s="89">
        <v>149</v>
      </c>
      <c r="DS734" s="2">
        <v>58</v>
      </c>
      <c r="DT734" s="2">
        <v>0</v>
      </c>
      <c r="DU734" s="2">
        <v>3.0270000000000002E-3</v>
      </c>
      <c r="ED734" s="89">
        <v>142</v>
      </c>
      <c r="EE734" s="2">
        <v>59</v>
      </c>
      <c r="EF734" s="2">
        <v>1</v>
      </c>
      <c r="EG734" s="2">
        <v>2.1000000000000001E-2</v>
      </c>
      <c r="ES734">
        <v>142</v>
      </c>
      <c r="ET734">
        <v>59</v>
      </c>
      <c r="EU734">
        <v>1</v>
      </c>
      <c r="EV734">
        <v>2.1000000000000001E-2</v>
      </c>
    </row>
    <row r="735" spans="14:152" x14ac:dyDescent="0.4">
      <c r="N735" s="89">
        <v>151</v>
      </c>
      <c r="O735" s="2">
        <v>61</v>
      </c>
      <c r="P735" s="2">
        <v>0</v>
      </c>
      <c r="Q735" s="2">
        <v>3.0000000000000001E-3</v>
      </c>
      <c r="Z735" s="89">
        <v>148</v>
      </c>
      <c r="AA735" s="2">
        <v>61</v>
      </c>
      <c r="AB735" s="2">
        <v>1</v>
      </c>
      <c r="AC735" s="2">
        <v>1.5E-3</v>
      </c>
      <c r="AL735" s="89">
        <v>148</v>
      </c>
      <c r="AM735" s="2">
        <v>58</v>
      </c>
      <c r="AN735" s="2">
        <v>0</v>
      </c>
      <c r="AO735" s="2">
        <v>1E-3</v>
      </c>
      <c r="AX735" s="89">
        <v>151</v>
      </c>
      <c r="AY735" s="2">
        <v>60</v>
      </c>
      <c r="AZ735" s="2">
        <v>0</v>
      </c>
      <c r="BA735" s="2">
        <v>7.0999999999999994E-2</v>
      </c>
      <c r="BJ735" s="89">
        <v>142</v>
      </c>
      <c r="BK735" s="2">
        <v>60</v>
      </c>
      <c r="BL735" s="2">
        <v>0</v>
      </c>
      <c r="BM735" s="2">
        <v>2.79948E-2</v>
      </c>
      <c r="BV735" s="89">
        <v>150</v>
      </c>
      <c r="BW735" s="2">
        <v>59</v>
      </c>
      <c r="BX735" s="2">
        <v>0</v>
      </c>
      <c r="BY735" s="2">
        <v>0.20478399999999999</v>
      </c>
      <c r="CH735" s="89">
        <v>139</v>
      </c>
      <c r="CI735" s="2">
        <v>59</v>
      </c>
      <c r="CJ735" s="2">
        <v>0</v>
      </c>
      <c r="CK735" s="2">
        <v>2E-3</v>
      </c>
      <c r="CT735" s="89">
        <v>141</v>
      </c>
      <c r="CU735" s="2">
        <v>57</v>
      </c>
      <c r="CV735" s="2">
        <v>0</v>
      </c>
      <c r="CW735" s="2">
        <v>2.2522350000000002</v>
      </c>
      <c r="DF735" s="89">
        <v>148</v>
      </c>
      <c r="DG735" s="2">
        <v>59</v>
      </c>
      <c r="DH735" s="2">
        <v>0</v>
      </c>
      <c r="DI735" s="2">
        <v>0.63671290000000003</v>
      </c>
      <c r="DR735" s="89">
        <v>150</v>
      </c>
      <c r="DS735" s="2">
        <v>58</v>
      </c>
      <c r="DT735" s="2">
        <v>0</v>
      </c>
      <c r="DU735" s="2">
        <v>9.7300000000000002E-4</v>
      </c>
      <c r="ED735" s="89">
        <v>143</v>
      </c>
      <c r="EE735" s="2">
        <v>59</v>
      </c>
      <c r="EF735" s="2">
        <v>0</v>
      </c>
      <c r="EG735" s="2">
        <v>1.4953719999999999</v>
      </c>
      <c r="ES735">
        <v>143</v>
      </c>
      <c r="ET735">
        <v>59</v>
      </c>
      <c r="EU735">
        <v>0</v>
      </c>
      <c r="EV735">
        <v>1.4953719999999999</v>
      </c>
    </row>
    <row r="736" spans="14:152" x14ac:dyDescent="0.4">
      <c r="N736" s="89">
        <v>152</v>
      </c>
      <c r="O736" s="2">
        <v>61</v>
      </c>
      <c r="P736" s="2">
        <v>0</v>
      </c>
      <c r="Q736" s="2">
        <v>2E-3</v>
      </c>
      <c r="Z736" s="89">
        <v>149</v>
      </c>
      <c r="AA736" s="2">
        <v>61</v>
      </c>
      <c r="AB736" s="2">
        <v>0</v>
      </c>
      <c r="AC736" s="2">
        <v>5.0000000000000001E-3</v>
      </c>
      <c r="AL736" s="89">
        <v>138</v>
      </c>
      <c r="AM736" s="2">
        <v>59</v>
      </c>
      <c r="AN736" s="2">
        <v>1</v>
      </c>
      <c r="AO736" s="2">
        <v>2E-3</v>
      </c>
      <c r="AX736" s="89">
        <v>152</v>
      </c>
      <c r="AY736" s="2">
        <v>60</v>
      </c>
      <c r="AZ736" s="2">
        <v>0</v>
      </c>
      <c r="BA736" s="2">
        <v>3.3000000000000002E-2</v>
      </c>
      <c r="BJ736" s="89">
        <v>143</v>
      </c>
      <c r="BK736" s="2">
        <v>60</v>
      </c>
      <c r="BL736" s="2">
        <v>0</v>
      </c>
      <c r="BM736" s="2">
        <v>1.1485890000000001</v>
      </c>
      <c r="BV736" s="89">
        <v>151</v>
      </c>
      <c r="BW736" s="2">
        <v>59</v>
      </c>
      <c r="BX736" s="2">
        <v>0</v>
      </c>
      <c r="BY736" s="2">
        <v>0.105</v>
      </c>
      <c r="CH736" s="89">
        <v>140</v>
      </c>
      <c r="CI736" s="2">
        <v>59</v>
      </c>
      <c r="CJ736" s="2">
        <v>0</v>
      </c>
      <c r="CK736" s="2">
        <v>2.4E-2</v>
      </c>
      <c r="CT736" s="89">
        <v>142</v>
      </c>
      <c r="CU736" s="2">
        <v>57</v>
      </c>
      <c r="CV736" s="2">
        <v>0</v>
      </c>
      <c r="CW736" s="2">
        <v>1.914623</v>
      </c>
      <c r="DF736" s="89">
        <v>148</v>
      </c>
      <c r="DG736" s="2">
        <v>59</v>
      </c>
      <c r="DH736" s="2">
        <v>1</v>
      </c>
      <c r="DI736" s="2">
        <v>0.19913310000000001</v>
      </c>
      <c r="DR736" s="89">
        <v>141</v>
      </c>
      <c r="DS736" s="2">
        <v>59</v>
      </c>
      <c r="DT736" s="2">
        <v>0</v>
      </c>
      <c r="DU736" s="2">
        <v>6.9000000000000006E-2</v>
      </c>
      <c r="ED736" s="89">
        <v>144</v>
      </c>
      <c r="EE736" s="2">
        <v>59</v>
      </c>
      <c r="EF736" s="2">
        <v>0</v>
      </c>
      <c r="EG736" s="2">
        <v>1.358379</v>
      </c>
      <c r="ES736">
        <v>144</v>
      </c>
      <c r="ET736">
        <v>59</v>
      </c>
      <c r="EU736">
        <v>0</v>
      </c>
      <c r="EV736">
        <v>1.358379</v>
      </c>
    </row>
    <row r="737" spans="14:152" x14ac:dyDescent="0.4">
      <c r="N737" s="89">
        <v>147</v>
      </c>
      <c r="O737" s="2">
        <v>62</v>
      </c>
      <c r="P737" s="2">
        <v>0</v>
      </c>
      <c r="Q737" s="2">
        <v>8.9999999999999993E-3</v>
      </c>
      <c r="Z737" s="89">
        <v>150</v>
      </c>
      <c r="AA737" s="2">
        <v>61</v>
      </c>
      <c r="AB737" s="2">
        <v>0</v>
      </c>
      <c r="AC737" s="2">
        <v>3.0000000000000001E-3</v>
      </c>
      <c r="AL737" s="89">
        <v>139</v>
      </c>
      <c r="AM737" s="2">
        <v>59</v>
      </c>
      <c r="AN737" s="2">
        <v>0</v>
      </c>
      <c r="AO737" s="2">
        <v>4.0000000000000001E-3</v>
      </c>
      <c r="AX737" s="89">
        <v>153</v>
      </c>
      <c r="AY737" s="2">
        <v>60</v>
      </c>
      <c r="AZ737" s="2">
        <v>0</v>
      </c>
      <c r="BA737" s="2">
        <v>1.4E-2</v>
      </c>
      <c r="BJ737" s="89">
        <v>144</v>
      </c>
      <c r="BK737" s="2">
        <v>60</v>
      </c>
      <c r="BL737" s="2">
        <v>0</v>
      </c>
      <c r="BM737" s="2">
        <v>0.89488800000000002</v>
      </c>
      <c r="BV737" s="89">
        <v>152</v>
      </c>
      <c r="BW737" s="2">
        <v>59</v>
      </c>
      <c r="BX737" s="2">
        <v>0</v>
      </c>
      <c r="BY737" s="2">
        <v>3.3000000000000002E-2</v>
      </c>
      <c r="CH737" s="89">
        <v>141</v>
      </c>
      <c r="CI737" s="2">
        <v>59</v>
      </c>
      <c r="CJ737" s="2">
        <v>0</v>
      </c>
      <c r="CK737" s="2">
        <v>1.881006</v>
      </c>
      <c r="CT737" s="89">
        <v>143</v>
      </c>
      <c r="CU737" s="2">
        <v>57</v>
      </c>
      <c r="CV737" s="2">
        <v>0</v>
      </c>
      <c r="CW737" s="2">
        <v>1.578476</v>
      </c>
      <c r="DF737" s="89">
        <v>149</v>
      </c>
      <c r="DG737" s="2">
        <v>59</v>
      </c>
      <c r="DH737" s="2">
        <v>0</v>
      </c>
      <c r="DI737" s="2">
        <v>0.5565601</v>
      </c>
      <c r="DR737" s="89">
        <v>143</v>
      </c>
      <c r="DS737" s="2">
        <v>59</v>
      </c>
      <c r="DT737" s="2">
        <v>0</v>
      </c>
      <c r="DU737" s="2">
        <v>4.3983599999999998E-2</v>
      </c>
      <c r="ED737" s="89">
        <v>144</v>
      </c>
      <c r="EE737" s="2">
        <v>59</v>
      </c>
      <c r="EF737" s="2">
        <v>1</v>
      </c>
      <c r="EG737" s="2">
        <v>0.1193917</v>
      </c>
      <c r="ES737">
        <v>144</v>
      </c>
      <c r="ET737">
        <v>59</v>
      </c>
      <c r="EU737">
        <v>1</v>
      </c>
      <c r="EV737">
        <v>0.1193917</v>
      </c>
    </row>
    <row r="738" spans="14:152" x14ac:dyDescent="0.4">
      <c r="N738" s="89">
        <v>148</v>
      </c>
      <c r="O738" s="2">
        <v>62</v>
      </c>
      <c r="P738" s="2">
        <v>0</v>
      </c>
      <c r="Q738" s="2">
        <v>2E-3</v>
      </c>
      <c r="Z738" s="89">
        <v>151</v>
      </c>
      <c r="AA738" s="2">
        <v>61</v>
      </c>
      <c r="AB738" s="2">
        <v>0</v>
      </c>
      <c r="AC738" s="2">
        <v>2E-3</v>
      </c>
      <c r="AL738" s="89">
        <v>140</v>
      </c>
      <c r="AM738" s="2">
        <v>59</v>
      </c>
      <c r="AN738" s="2">
        <v>0</v>
      </c>
      <c r="AO738" s="2">
        <v>6.0000000000000001E-3</v>
      </c>
      <c r="AX738" s="89">
        <v>154</v>
      </c>
      <c r="AY738" s="2">
        <v>60</v>
      </c>
      <c r="AZ738" s="2">
        <v>0</v>
      </c>
      <c r="BA738" s="2">
        <v>4.0000000000000001E-3</v>
      </c>
      <c r="BJ738" s="89">
        <v>145</v>
      </c>
      <c r="BK738" s="2">
        <v>60</v>
      </c>
      <c r="BL738" s="2">
        <v>0</v>
      </c>
      <c r="BM738" s="2">
        <v>0.73971310000000001</v>
      </c>
      <c r="BV738" s="89">
        <v>153</v>
      </c>
      <c r="BW738" s="2">
        <v>59</v>
      </c>
      <c r="BX738" s="2">
        <v>0</v>
      </c>
      <c r="BY738" s="2">
        <v>9.0064010000000007E-3</v>
      </c>
      <c r="CH738" s="89">
        <v>142</v>
      </c>
      <c r="CI738" s="2">
        <v>59</v>
      </c>
      <c r="CJ738" s="2">
        <v>0</v>
      </c>
      <c r="CK738" s="2">
        <v>0.111</v>
      </c>
      <c r="CT738" s="89">
        <v>144</v>
      </c>
      <c r="CU738" s="2">
        <v>57</v>
      </c>
      <c r="CV738" s="2">
        <v>0</v>
      </c>
      <c r="CW738" s="2">
        <v>1.0596000000000001</v>
      </c>
      <c r="DF738" s="89">
        <v>150</v>
      </c>
      <c r="DG738" s="2">
        <v>59</v>
      </c>
      <c r="DH738" s="2">
        <v>0</v>
      </c>
      <c r="DI738" s="2">
        <v>0.33924399999999999</v>
      </c>
      <c r="DR738" s="89">
        <v>144</v>
      </c>
      <c r="DS738" s="2">
        <v>59</v>
      </c>
      <c r="DT738" s="2">
        <v>0</v>
      </c>
      <c r="DU738" s="2">
        <v>3.6997370000000002E-2</v>
      </c>
      <c r="ED738" s="89">
        <v>145</v>
      </c>
      <c r="EE738" s="2">
        <v>59</v>
      </c>
      <c r="EF738" s="2">
        <v>0</v>
      </c>
      <c r="EG738" s="2">
        <v>1.1032850000000001</v>
      </c>
      <c r="ES738">
        <v>145</v>
      </c>
      <c r="ET738">
        <v>59</v>
      </c>
      <c r="EU738">
        <v>0</v>
      </c>
      <c r="EV738">
        <v>1.1032850000000001</v>
      </c>
    </row>
    <row r="739" spans="14:152" x14ac:dyDescent="0.4">
      <c r="N739" s="89">
        <v>149</v>
      </c>
      <c r="O739" s="2">
        <v>62</v>
      </c>
      <c r="P739" s="2">
        <v>0</v>
      </c>
      <c r="Q739" s="2">
        <v>7.0000000000000001E-3</v>
      </c>
      <c r="Z739" s="89">
        <v>152</v>
      </c>
      <c r="AA739" s="2">
        <v>61</v>
      </c>
      <c r="AB739" s="2">
        <v>0</v>
      </c>
      <c r="AC739" s="2">
        <v>1E-3</v>
      </c>
      <c r="AL739" s="89">
        <v>141</v>
      </c>
      <c r="AM739" s="2">
        <v>59</v>
      </c>
      <c r="AN739" s="2">
        <v>0</v>
      </c>
      <c r="AO739" s="2">
        <v>3.5999999999999997E-2</v>
      </c>
      <c r="AX739" s="89">
        <v>155</v>
      </c>
      <c r="AY739" s="2">
        <v>60</v>
      </c>
      <c r="AZ739" s="2">
        <v>0</v>
      </c>
      <c r="BA739" s="2">
        <v>1E-3</v>
      </c>
      <c r="BJ739" s="89">
        <v>146</v>
      </c>
      <c r="BK739" s="2">
        <v>60</v>
      </c>
      <c r="BL739" s="2">
        <v>0</v>
      </c>
      <c r="BM739" s="2">
        <v>0.68783810000000001</v>
      </c>
      <c r="BV739" s="89">
        <v>154</v>
      </c>
      <c r="BW739" s="2">
        <v>59</v>
      </c>
      <c r="BX739" s="2">
        <v>0</v>
      </c>
      <c r="BY739" s="2">
        <v>2.9935999999999999E-3</v>
      </c>
      <c r="CH739" s="89">
        <v>142</v>
      </c>
      <c r="CI739" s="2">
        <v>59</v>
      </c>
      <c r="CJ739" s="2">
        <v>1</v>
      </c>
      <c r="CK739" s="2">
        <v>0.1</v>
      </c>
      <c r="CT739" s="89">
        <v>145</v>
      </c>
      <c r="CU739" s="2">
        <v>57</v>
      </c>
      <c r="CV739" s="2">
        <v>0</v>
      </c>
      <c r="CW739" s="2">
        <v>0.69756600000000002</v>
      </c>
      <c r="DF739" s="89">
        <v>151</v>
      </c>
      <c r="DG739" s="2">
        <v>59</v>
      </c>
      <c r="DH739" s="2">
        <v>0</v>
      </c>
      <c r="DI739" s="2">
        <v>0.16206039999999999</v>
      </c>
      <c r="DR739" s="89">
        <v>144</v>
      </c>
      <c r="DS739" s="2">
        <v>59</v>
      </c>
      <c r="DT739" s="2">
        <v>1</v>
      </c>
      <c r="DU739" s="2">
        <v>4.3794999999999997E-3</v>
      </c>
      <c r="ED739" s="89">
        <v>146</v>
      </c>
      <c r="EE739" s="2">
        <v>59</v>
      </c>
      <c r="EF739" s="2">
        <v>0</v>
      </c>
      <c r="EG739" s="2">
        <v>0.91700000000000004</v>
      </c>
      <c r="ES739">
        <v>146</v>
      </c>
      <c r="ET739">
        <v>59</v>
      </c>
      <c r="EU739">
        <v>0</v>
      </c>
      <c r="EV739">
        <v>0.91700000000000004</v>
      </c>
    </row>
    <row r="740" spans="14:152" x14ac:dyDescent="0.4">
      <c r="N740" s="89">
        <v>150</v>
      </c>
      <c r="O740" s="2">
        <v>62</v>
      </c>
      <c r="P740" s="2">
        <v>0</v>
      </c>
      <c r="Q740" s="2">
        <v>2E-3</v>
      </c>
      <c r="Z740" s="89">
        <v>152</v>
      </c>
      <c r="AA740" s="2">
        <v>61</v>
      </c>
      <c r="AB740" s="2">
        <v>1</v>
      </c>
      <c r="AC740" s="2">
        <v>1E-3</v>
      </c>
      <c r="AL740" s="89">
        <v>142</v>
      </c>
      <c r="AM740" s="2">
        <v>59</v>
      </c>
      <c r="AN740" s="2">
        <v>0</v>
      </c>
      <c r="AO740" s="2">
        <v>0.01</v>
      </c>
      <c r="AX740" s="89">
        <v>145</v>
      </c>
      <c r="AY740" s="2">
        <v>61</v>
      </c>
      <c r="AZ740" s="2">
        <v>0</v>
      </c>
      <c r="BA740" s="2">
        <v>1E-3</v>
      </c>
      <c r="BJ740" s="89">
        <v>147</v>
      </c>
      <c r="BK740" s="2">
        <v>60</v>
      </c>
      <c r="BL740" s="2">
        <v>0</v>
      </c>
      <c r="BM740" s="2">
        <v>0.50800009999999995</v>
      </c>
      <c r="BV740" s="89">
        <v>142</v>
      </c>
      <c r="BW740" s="2">
        <v>60</v>
      </c>
      <c r="BX740" s="2">
        <v>0</v>
      </c>
      <c r="BY740" s="2">
        <v>3.9991999999999996E-3</v>
      </c>
      <c r="CH740" s="89">
        <v>143</v>
      </c>
      <c r="CI740" s="2">
        <v>59</v>
      </c>
      <c r="CJ740" s="2">
        <v>0</v>
      </c>
      <c r="CK740" s="2">
        <v>1.435737</v>
      </c>
      <c r="CT740" s="89">
        <v>146</v>
      </c>
      <c r="CU740" s="2">
        <v>57</v>
      </c>
      <c r="CV740" s="2">
        <v>0</v>
      </c>
      <c r="CW740" s="2">
        <v>9.0431999999999998E-2</v>
      </c>
      <c r="DF740" s="89">
        <v>152</v>
      </c>
      <c r="DG740" s="2">
        <v>59</v>
      </c>
      <c r="DH740" s="2">
        <v>0</v>
      </c>
      <c r="DI740" s="2">
        <v>7.0989200000000002E-2</v>
      </c>
      <c r="DR740" s="89">
        <v>145</v>
      </c>
      <c r="DS740" s="2">
        <v>59</v>
      </c>
      <c r="DT740" s="2">
        <v>0</v>
      </c>
      <c r="DU740" s="2">
        <v>2.9000000000000001E-2</v>
      </c>
      <c r="ED740" s="89">
        <v>147</v>
      </c>
      <c r="EE740" s="2">
        <v>59</v>
      </c>
      <c r="EF740" s="2">
        <v>0</v>
      </c>
      <c r="EG740" s="2">
        <v>0.66900400000000004</v>
      </c>
      <c r="ES740">
        <v>147</v>
      </c>
      <c r="ET740">
        <v>59</v>
      </c>
      <c r="EU740">
        <v>0</v>
      </c>
      <c r="EV740">
        <v>0.66900400000000004</v>
      </c>
    </row>
    <row r="741" spans="14:152" x14ac:dyDescent="0.4">
      <c r="N741" s="89">
        <v>151</v>
      </c>
      <c r="O741" s="2">
        <v>62</v>
      </c>
      <c r="P741" s="2">
        <v>0</v>
      </c>
      <c r="Q741" s="2">
        <v>3.0000000000000001E-3</v>
      </c>
      <c r="Z741" s="89">
        <v>154</v>
      </c>
      <c r="AA741" s="2">
        <v>61</v>
      </c>
      <c r="AB741" s="2">
        <v>0</v>
      </c>
      <c r="AC741" s="2">
        <v>1E-3</v>
      </c>
      <c r="AL741" s="89">
        <v>142</v>
      </c>
      <c r="AM741" s="2">
        <v>59</v>
      </c>
      <c r="AN741" s="2">
        <v>1</v>
      </c>
      <c r="AO741" s="2">
        <v>8.0000000000000002E-3</v>
      </c>
      <c r="AX741" s="89">
        <v>146</v>
      </c>
      <c r="AY741" s="2">
        <v>61</v>
      </c>
      <c r="AZ741" s="2">
        <v>0</v>
      </c>
      <c r="BA741" s="2">
        <v>1E-3</v>
      </c>
      <c r="BJ741" s="89">
        <v>148</v>
      </c>
      <c r="BK741" s="2">
        <v>60</v>
      </c>
      <c r="BL741" s="2">
        <v>0</v>
      </c>
      <c r="BM741" s="2">
        <v>0.37204199999999998</v>
      </c>
      <c r="BV741" s="89">
        <v>143</v>
      </c>
      <c r="BW741" s="2">
        <v>60</v>
      </c>
      <c r="BX741" s="2">
        <v>0</v>
      </c>
      <c r="BY741" s="2">
        <v>1.701541</v>
      </c>
      <c r="CH741" s="89">
        <v>144</v>
      </c>
      <c r="CI741" s="2">
        <v>59</v>
      </c>
      <c r="CJ741" s="2">
        <v>0</v>
      </c>
      <c r="CK741" s="2">
        <v>1.218958</v>
      </c>
      <c r="CT741" s="89">
        <v>146</v>
      </c>
      <c r="CU741" s="2">
        <v>57</v>
      </c>
      <c r="CV741" s="2">
        <v>1</v>
      </c>
      <c r="CW741" s="2">
        <v>0.29599999999999999</v>
      </c>
      <c r="DF741" s="89">
        <v>153</v>
      </c>
      <c r="DG741" s="2">
        <v>59</v>
      </c>
      <c r="DH741" s="2">
        <v>0</v>
      </c>
      <c r="DI741" s="2">
        <v>2.79568E-2</v>
      </c>
      <c r="DR741" s="89">
        <v>146</v>
      </c>
      <c r="DS741" s="2">
        <v>59</v>
      </c>
      <c r="DT741" s="2">
        <v>0</v>
      </c>
      <c r="DU741" s="2">
        <v>2.5999999999999999E-2</v>
      </c>
      <c r="ED741" s="89">
        <v>148</v>
      </c>
      <c r="EE741" s="2">
        <v>59</v>
      </c>
      <c r="EF741" s="2">
        <v>0</v>
      </c>
      <c r="EG741" s="2">
        <v>0.24451249999999999</v>
      </c>
      <c r="ES741">
        <v>148</v>
      </c>
      <c r="ET741">
        <v>59</v>
      </c>
      <c r="EU741">
        <v>0</v>
      </c>
      <c r="EV741">
        <v>0.24451249999999999</v>
      </c>
    </row>
    <row r="742" spans="14:152" x14ac:dyDescent="0.4">
      <c r="N742" s="89">
        <v>152</v>
      </c>
      <c r="O742" s="2">
        <v>62</v>
      </c>
      <c r="P742" s="2">
        <v>0</v>
      </c>
      <c r="Q742" s="2">
        <v>4.163E-3</v>
      </c>
      <c r="Z742" s="89">
        <v>155</v>
      </c>
      <c r="AA742" s="2">
        <v>61</v>
      </c>
      <c r="AB742" s="2">
        <v>0</v>
      </c>
      <c r="AC742" s="2">
        <v>1E-3</v>
      </c>
      <c r="AL742" s="89">
        <v>143</v>
      </c>
      <c r="AM742" s="2">
        <v>59</v>
      </c>
      <c r="AN742" s="2">
        <v>0</v>
      </c>
      <c r="AO742" s="2">
        <v>2.1000000000000001E-2</v>
      </c>
      <c r="AX742" s="89">
        <v>147</v>
      </c>
      <c r="AY742" s="2">
        <v>61</v>
      </c>
      <c r="AZ742" s="2">
        <v>0</v>
      </c>
      <c r="BA742" s="2">
        <v>0.497004</v>
      </c>
      <c r="BJ742" s="89">
        <v>149</v>
      </c>
      <c r="BK742" s="2">
        <v>60</v>
      </c>
      <c r="BL742" s="2">
        <v>0</v>
      </c>
      <c r="BM742" s="2">
        <v>0.21898500000000001</v>
      </c>
      <c r="BV742" s="89">
        <v>144</v>
      </c>
      <c r="BW742" s="2">
        <v>60</v>
      </c>
      <c r="BX742" s="2">
        <v>0</v>
      </c>
      <c r="BY742" s="2">
        <v>1.449697</v>
      </c>
      <c r="CH742" s="89">
        <v>144</v>
      </c>
      <c r="CI742" s="2">
        <v>59</v>
      </c>
      <c r="CJ742" s="2">
        <v>1</v>
      </c>
      <c r="CK742" s="2">
        <v>0.2551448</v>
      </c>
      <c r="CT742" s="89">
        <v>147</v>
      </c>
      <c r="CU742" s="2">
        <v>57</v>
      </c>
      <c r="CV742" s="2">
        <v>0</v>
      </c>
      <c r="CW742" s="2">
        <v>0.190024</v>
      </c>
      <c r="DF742" s="89">
        <v>154</v>
      </c>
      <c r="DG742" s="2">
        <v>59</v>
      </c>
      <c r="DH742" s="2">
        <v>0</v>
      </c>
      <c r="DI742" s="2">
        <v>8.9935999999999992E-3</v>
      </c>
      <c r="DR742" s="89">
        <v>147</v>
      </c>
      <c r="DS742" s="2">
        <v>59</v>
      </c>
      <c r="DT742" s="2">
        <v>0</v>
      </c>
      <c r="DU742" s="2">
        <v>1.9E-2</v>
      </c>
      <c r="ED742" s="89">
        <v>148</v>
      </c>
      <c r="EE742" s="2">
        <v>59</v>
      </c>
      <c r="EF742" s="2">
        <v>1</v>
      </c>
      <c r="EG742" s="2">
        <v>0.2186235</v>
      </c>
      <c r="ES742">
        <v>148</v>
      </c>
      <c r="ET742">
        <v>59</v>
      </c>
      <c r="EU742">
        <v>1</v>
      </c>
      <c r="EV742">
        <v>0.2186235</v>
      </c>
    </row>
    <row r="743" spans="14:152" x14ac:dyDescent="0.4">
      <c r="N743" s="89">
        <v>151</v>
      </c>
      <c r="O743" s="2">
        <v>63</v>
      </c>
      <c r="P743" s="2">
        <v>0</v>
      </c>
      <c r="Q743" s="2">
        <v>4.0000000000000001E-3</v>
      </c>
      <c r="Z743" s="89">
        <v>146</v>
      </c>
      <c r="AA743" s="2">
        <v>62</v>
      </c>
      <c r="AB743" s="2">
        <v>0</v>
      </c>
      <c r="AC743" s="2">
        <v>6.8000009999999997E-4</v>
      </c>
      <c r="AL743" s="89">
        <v>144</v>
      </c>
      <c r="AM743" s="2">
        <v>59</v>
      </c>
      <c r="AN743" s="2">
        <v>0</v>
      </c>
      <c r="AO743" s="2">
        <v>1.1995769999999999E-2</v>
      </c>
      <c r="AX743" s="89">
        <v>148</v>
      </c>
      <c r="AY743" s="2">
        <v>61</v>
      </c>
      <c r="AZ743" s="2">
        <v>0</v>
      </c>
      <c r="BA743" s="2">
        <v>1.3359999999999999E-3</v>
      </c>
      <c r="BJ743" s="89">
        <v>150</v>
      </c>
      <c r="BK743" s="2">
        <v>60</v>
      </c>
      <c r="BL743" s="2">
        <v>0</v>
      </c>
      <c r="BM743" s="2">
        <v>0.151973</v>
      </c>
      <c r="BV743" s="89">
        <v>145</v>
      </c>
      <c r="BW743" s="2">
        <v>60</v>
      </c>
      <c r="BX743" s="2">
        <v>0</v>
      </c>
      <c r="BY743" s="2">
        <v>1.2684219999999999</v>
      </c>
      <c r="CH743" s="89">
        <v>145</v>
      </c>
      <c r="CI743" s="2">
        <v>59</v>
      </c>
      <c r="CJ743" s="2">
        <v>0</v>
      </c>
      <c r="CK743" s="2">
        <v>1.0148569999999999</v>
      </c>
      <c r="CT743" s="89">
        <v>148</v>
      </c>
      <c r="CU743" s="2">
        <v>57</v>
      </c>
      <c r="CV743" s="2">
        <v>0</v>
      </c>
      <c r="CW743" s="2">
        <v>9.9984600000000007E-2</v>
      </c>
      <c r="DF743" s="89">
        <v>155</v>
      </c>
      <c r="DG743" s="2">
        <v>59</v>
      </c>
      <c r="DH743" s="2">
        <v>0</v>
      </c>
      <c r="DI743" s="2">
        <v>3.0000000000000001E-3</v>
      </c>
      <c r="DR743" s="89">
        <v>148</v>
      </c>
      <c r="DS743" s="2">
        <v>59</v>
      </c>
      <c r="DT743" s="2">
        <v>0</v>
      </c>
      <c r="DU743" s="2">
        <v>6.0000009999999996E-3</v>
      </c>
      <c r="ED743" s="89">
        <v>149</v>
      </c>
      <c r="EE743" s="2">
        <v>59</v>
      </c>
      <c r="EF743" s="2">
        <v>0</v>
      </c>
      <c r="EG743" s="2">
        <v>0.31004900000000002</v>
      </c>
      <c r="ES743">
        <v>149</v>
      </c>
      <c r="ET743">
        <v>59</v>
      </c>
      <c r="EU743">
        <v>0</v>
      </c>
      <c r="EV743">
        <v>0.31004900000000002</v>
      </c>
    </row>
    <row r="744" spans="14:152" x14ac:dyDescent="0.4">
      <c r="N744" s="89">
        <v>152</v>
      </c>
      <c r="O744" s="2">
        <v>63</v>
      </c>
      <c r="P744" s="2">
        <v>0</v>
      </c>
      <c r="Q744" s="2">
        <v>3.0000000000000001E-3</v>
      </c>
      <c r="Z744" s="89">
        <v>147</v>
      </c>
      <c r="AA744" s="2">
        <v>62</v>
      </c>
      <c r="AB744" s="2">
        <v>0</v>
      </c>
      <c r="AC744" s="2">
        <v>1.2999999999999999E-2</v>
      </c>
      <c r="AL744" s="89">
        <v>144</v>
      </c>
      <c r="AM744" s="2">
        <v>59</v>
      </c>
      <c r="AN744" s="2">
        <v>1</v>
      </c>
      <c r="AO744" s="2">
        <v>7.0575000000000004E-3</v>
      </c>
      <c r="AX744" s="89">
        <v>148</v>
      </c>
      <c r="AY744" s="2">
        <v>61</v>
      </c>
      <c r="AZ744" s="2">
        <v>1</v>
      </c>
      <c r="BA744" s="2">
        <v>6.0000009999999996E-3</v>
      </c>
      <c r="BJ744" s="89">
        <v>151</v>
      </c>
      <c r="BK744" s="2">
        <v>60</v>
      </c>
      <c r="BL744" s="2">
        <v>0</v>
      </c>
      <c r="BM744" s="2">
        <v>6.8000000000000005E-2</v>
      </c>
      <c r="BV744" s="89">
        <v>146</v>
      </c>
      <c r="BW744" s="2">
        <v>60</v>
      </c>
      <c r="BX744" s="2">
        <v>0</v>
      </c>
      <c r="BY744" s="2">
        <v>0.95571700000000004</v>
      </c>
      <c r="CH744" s="89">
        <v>146</v>
      </c>
      <c r="CI744" s="2">
        <v>59</v>
      </c>
      <c r="CJ744" s="2">
        <v>0</v>
      </c>
      <c r="CK744" s="2">
        <v>0.88000009999999995</v>
      </c>
      <c r="CT744" s="89">
        <v>149</v>
      </c>
      <c r="CU744" s="2">
        <v>57</v>
      </c>
      <c r="CV744" s="2">
        <v>0</v>
      </c>
      <c r="CW744" s="2">
        <v>3.1991400000000003E-2</v>
      </c>
      <c r="DF744" s="89">
        <v>156</v>
      </c>
      <c r="DG744" s="2">
        <v>59</v>
      </c>
      <c r="DH744" s="2">
        <v>0</v>
      </c>
      <c r="DI744" s="2">
        <v>1E-3</v>
      </c>
      <c r="DR744" s="89">
        <v>148</v>
      </c>
      <c r="DS744" s="2">
        <v>59</v>
      </c>
      <c r="DT744" s="2">
        <v>1</v>
      </c>
      <c r="DU744" s="2">
        <v>4.0000000000000001E-3</v>
      </c>
      <c r="ED744" s="89">
        <v>150</v>
      </c>
      <c r="EE744" s="2">
        <v>59</v>
      </c>
      <c r="EF744" s="2">
        <v>0</v>
      </c>
      <c r="EG744" s="2">
        <v>0.17181099999999999</v>
      </c>
      <c r="ES744">
        <v>150</v>
      </c>
      <c r="ET744">
        <v>59</v>
      </c>
      <c r="EU744">
        <v>0</v>
      </c>
      <c r="EV744">
        <v>0.17181099999999999</v>
      </c>
    </row>
    <row r="745" spans="14:152" x14ac:dyDescent="0.4">
      <c r="N745" s="89">
        <v>152</v>
      </c>
      <c r="O745" s="2">
        <v>63</v>
      </c>
      <c r="P745" s="2">
        <v>2</v>
      </c>
      <c r="Q745" s="2">
        <v>3.0000000000000001E-3</v>
      </c>
      <c r="Z745" s="89">
        <v>148</v>
      </c>
      <c r="AA745" s="2">
        <v>62</v>
      </c>
      <c r="AB745" s="2">
        <v>0</v>
      </c>
      <c r="AC745" s="2">
        <v>3.0000000000000001E-3</v>
      </c>
      <c r="AL745" s="89">
        <v>145</v>
      </c>
      <c r="AM745" s="2">
        <v>59</v>
      </c>
      <c r="AN745" s="2">
        <v>0</v>
      </c>
      <c r="AO745" s="2">
        <v>7.0000000000000001E-3</v>
      </c>
      <c r="AX745" s="89">
        <v>149</v>
      </c>
      <c r="AY745" s="2">
        <v>61</v>
      </c>
      <c r="AZ745" s="2">
        <v>0</v>
      </c>
      <c r="BA745" s="2">
        <v>0.23091600000000001</v>
      </c>
      <c r="BJ745" s="89">
        <v>152</v>
      </c>
      <c r="BK745" s="2">
        <v>60</v>
      </c>
      <c r="BL745" s="2">
        <v>0</v>
      </c>
      <c r="BM745" s="2">
        <v>3.7999999999999999E-2</v>
      </c>
      <c r="BV745" s="89">
        <v>147</v>
      </c>
      <c r="BW745" s="2">
        <v>60</v>
      </c>
      <c r="BX745" s="2">
        <v>0</v>
      </c>
      <c r="BY745" s="2">
        <v>0.82474700000000001</v>
      </c>
      <c r="CH745" s="89">
        <v>147</v>
      </c>
      <c r="CI745" s="2">
        <v>59</v>
      </c>
      <c r="CJ745" s="2">
        <v>0</v>
      </c>
      <c r="CK745" s="2">
        <v>0.54800400000000005</v>
      </c>
      <c r="CT745" s="89">
        <v>150</v>
      </c>
      <c r="CU745" s="2">
        <v>57</v>
      </c>
      <c r="CV745" s="2">
        <v>0</v>
      </c>
      <c r="CW745" s="2">
        <v>8.0000000000000002E-3</v>
      </c>
      <c r="DF745" s="89">
        <v>143</v>
      </c>
      <c r="DG745" s="2">
        <v>60</v>
      </c>
      <c r="DH745" s="2">
        <v>0</v>
      </c>
      <c r="DI745" s="2">
        <v>2.3977050000000002</v>
      </c>
      <c r="DR745" s="89">
        <v>149</v>
      </c>
      <c r="DS745" s="2">
        <v>59</v>
      </c>
      <c r="DT745" s="2">
        <v>0</v>
      </c>
      <c r="DU745" s="2">
        <v>8.0269999999999994E-3</v>
      </c>
      <c r="ED745" s="89">
        <v>151</v>
      </c>
      <c r="EE745" s="2">
        <v>59</v>
      </c>
      <c r="EF745" s="2">
        <v>0</v>
      </c>
      <c r="EG745" s="2">
        <v>0.105</v>
      </c>
      <c r="ES745">
        <v>151</v>
      </c>
      <c r="ET745">
        <v>59</v>
      </c>
      <c r="EU745">
        <v>0</v>
      </c>
      <c r="EV745">
        <v>0.105</v>
      </c>
    </row>
    <row r="746" spans="14:152" x14ac:dyDescent="0.4">
      <c r="N746" s="89">
        <v>153</v>
      </c>
      <c r="O746" s="2">
        <v>63</v>
      </c>
      <c r="P746" s="2">
        <v>0</v>
      </c>
      <c r="Q746" s="2">
        <v>1E-3</v>
      </c>
      <c r="Z746" s="89">
        <v>149</v>
      </c>
      <c r="AA746" s="2">
        <v>62</v>
      </c>
      <c r="AB746" s="2">
        <v>0</v>
      </c>
      <c r="AC746" s="2">
        <v>5.0000000000000001E-3</v>
      </c>
      <c r="AL746" s="89">
        <v>146</v>
      </c>
      <c r="AM746" s="2">
        <v>59</v>
      </c>
      <c r="AN746" s="2">
        <v>0</v>
      </c>
      <c r="AO746" s="2">
        <v>4.0000000000000001E-3</v>
      </c>
      <c r="AX746" s="89">
        <v>150</v>
      </c>
      <c r="AY746" s="2">
        <v>61</v>
      </c>
      <c r="AZ746" s="2">
        <v>0</v>
      </c>
      <c r="BA746" s="2">
        <v>0.02</v>
      </c>
      <c r="BJ746" s="89">
        <v>153</v>
      </c>
      <c r="BK746" s="2">
        <v>60</v>
      </c>
      <c r="BL746" s="2">
        <v>0</v>
      </c>
      <c r="BM746" s="2">
        <v>8.0000000000000002E-3</v>
      </c>
      <c r="BV746" s="89">
        <v>148</v>
      </c>
      <c r="BW746" s="2">
        <v>60</v>
      </c>
      <c r="BX746" s="2">
        <v>0</v>
      </c>
      <c r="BY746" s="2">
        <v>0.66536430000000002</v>
      </c>
      <c r="CH746" s="89">
        <v>148</v>
      </c>
      <c r="CI746" s="2">
        <v>59</v>
      </c>
      <c r="CJ746" s="2">
        <v>0</v>
      </c>
      <c r="CK746" s="2">
        <v>0.11959500000000001</v>
      </c>
      <c r="CT746" s="89">
        <v>151</v>
      </c>
      <c r="CU746" s="2">
        <v>57</v>
      </c>
      <c r="CV746" s="2">
        <v>0</v>
      </c>
      <c r="CW746" s="2">
        <v>1E-3</v>
      </c>
      <c r="DF746" s="89">
        <v>144</v>
      </c>
      <c r="DG746" s="2">
        <v>60</v>
      </c>
      <c r="DH746" s="2">
        <v>0</v>
      </c>
      <c r="DI746" s="2">
        <v>2.1301800000000002</v>
      </c>
      <c r="DR746" s="89">
        <v>150</v>
      </c>
      <c r="DS746" s="2">
        <v>59</v>
      </c>
      <c r="DT746" s="2">
        <v>0</v>
      </c>
      <c r="DU746" s="2">
        <v>2.9729999999999999E-3</v>
      </c>
      <c r="ED746" s="89">
        <v>152</v>
      </c>
      <c r="EE746" s="2">
        <v>59</v>
      </c>
      <c r="EF746" s="2">
        <v>0</v>
      </c>
      <c r="EG746" s="2">
        <v>3.6999999999999998E-2</v>
      </c>
      <c r="ES746">
        <v>152</v>
      </c>
      <c r="ET746">
        <v>59</v>
      </c>
      <c r="EU746">
        <v>0</v>
      </c>
      <c r="EV746">
        <v>3.6999999999999998E-2</v>
      </c>
    </row>
    <row r="747" spans="14:152" x14ac:dyDescent="0.4">
      <c r="N747" s="89">
        <v>155</v>
      </c>
      <c r="O747" s="2">
        <v>63</v>
      </c>
      <c r="P747" s="2">
        <v>0</v>
      </c>
      <c r="Q747" s="2">
        <v>3.0000000000000001E-3</v>
      </c>
      <c r="Z747" s="89">
        <v>150</v>
      </c>
      <c r="AA747" s="2">
        <v>62</v>
      </c>
      <c r="AB747" s="2">
        <v>0</v>
      </c>
      <c r="AC747" s="2">
        <v>3.0000000000000001E-3</v>
      </c>
      <c r="AL747" s="89">
        <v>148</v>
      </c>
      <c r="AM747" s="2">
        <v>59</v>
      </c>
      <c r="AN747" s="2">
        <v>0</v>
      </c>
      <c r="AO747" s="2">
        <v>1E-3</v>
      </c>
      <c r="AX747" s="89">
        <v>151</v>
      </c>
      <c r="AY747" s="2">
        <v>61</v>
      </c>
      <c r="AZ747" s="2">
        <v>0</v>
      </c>
      <c r="BA747" s="2">
        <v>9.5000000000000001E-2</v>
      </c>
      <c r="BJ747" s="89">
        <v>154</v>
      </c>
      <c r="BK747" s="2">
        <v>60</v>
      </c>
      <c r="BL747" s="2">
        <v>0</v>
      </c>
      <c r="BM747" s="2">
        <v>1E-3</v>
      </c>
      <c r="BV747" s="89">
        <v>149</v>
      </c>
      <c r="BW747" s="2">
        <v>60</v>
      </c>
      <c r="BX747" s="2">
        <v>0</v>
      </c>
      <c r="BY747" s="2">
        <v>0.48781980000000003</v>
      </c>
      <c r="CH747" s="89">
        <v>148</v>
      </c>
      <c r="CI747" s="2">
        <v>59</v>
      </c>
      <c r="CJ747" s="2">
        <v>1</v>
      </c>
      <c r="CK747" s="2">
        <v>0.23141500000000001</v>
      </c>
      <c r="CT747" s="89">
        <v>152</v>
      </c>
      <c r="CU747" s="2">
        <v>57</v>
      </c>
      <c r="CV747" s="2">
        <v>0</v>
      </c>
      <c r="CW747" s="2">
        <v>2E-3</v>
      </c>
      <c r="DF747" s="89">
        <v>145</v>
      </c>
      <c r="DG747" s="2">
        <v>60</v>
      </c>
      <c r="DH747" s="2">
        <v>0</v>
      </c>
      <c r="DI747" s="2">
        <v>1.775984</v>
      </c>
      <c r="DR747" s="89">
        <v>151</v>
      </c>
      <c r="DS747" s="2">
        <v>59</v>
      </c>
      <c r="DT747" s="2">
        <v>0</v>
      </c>
      <c r="DU747" s="2">
        <v>1E-3</v>
      </c>
      <c r="ED747" s="89">
        <v>153</v>
      </c>
      <c r="EE747" s="2">
        <v>59</v>
      </c>
      <c r="EF747" s="2">
        <v>0</v>
      </c>
      <c r="EG747" s="2">
        <v>6.0000000000000001E-3</v>
      </c>
      <c r="ES747">
        <v>153</v>
      </c>
      <c r="ET747">
        <v>59</v>
      </c>
      <c r="EU747">
        <v>0</v>
      </c>
      <c r="EV747">
        <v>6.0000000000000001E-3</v>
      </c>
    </row>
    <row r="748" spans="14:152" x14ac:dyDescent="0.4">
      <c r="N748" s="89">
        <v>152</v>
      </c>
      <c r="O748" s="2">
        <v>64</v>
      </c>
      <c r="P748" s="2">
        <v>0</v>
      </c>
      <c r="Q748" s="2">
        <v>8.3699999999999996E-4</v>
      </c>
      <c r="Z748" s="89">
        <v>151</v>
      </c>
      <c r="AA748" s="2">
        <v>62</v>
      </c>
      <c r="AB748" s="2">
        <v>0</v>
      </c>
      <c r="AC748" s="2">
        <v>2E-3</v>
      </c>
      <c r="AL748" s="89">
        <v>148</v>
      </c>
      <c r="AM748" s="2">
        <v>59</v>
      </c>
      <c r="AN748" s="2">
        <v>1</v>
      </c>
      <c r="AO748" s="2">
        <v>1E-3</v>
      </c>
      <c r="AX748" s="89">
        <v>152</v>
      </c>
      <c r="AY748" s="2">
        <v>61</v>
      </c>
      <c r="AZ748" s="2">
        <v>0</v>
      </c>
      <c r="BA748" s="2">
        <v>3.4000000000000002E-2</v>
      </c>
      <c r="BJ748" s="89">
        <v>156</v>
      </c>
      <c r="BK748" s="2">
        <v>60</v>
      </c>
      <c r="BL748" s="2">
        <v>0</v>
      </c>
      <c r="BM748" s="2">
        <v>3.0000000000000001E-3</v>
      </c>
      <c r="BV748" s="89">
        <v>150</v>
      </c>
      <c r="BW748" s="2">
        <v>60</v>
      </c>
      <c r="BX748" s="2">
        <v>0</v>
      </c>
      <c r="BY748" s="2">
        <v>0.35378399999999999</v>
      </c>
      <c r="CH748" s="89">
        <v>149</v>
      </c>
      <c r="CI748" s="2">
        <v>59</v>
      </c>
      <c r="CJ748" s="2">
        <v>0</v>
      </c>
      <c r="CK748" s="2">
        <v>0.17704</v>
      </c>
      <c r="CT748" s="89">
        <v>135</v>
      </c>
      <c r="CU748" s="2">
        <v>58</v>
      </c>
      <c r="CV748" s="2">
        <v>0</v>
      </c>
      <c r="CW748" s="2">
        <v>1E-3</v>
      </c>
      <c r="DF748" s="89">
        <v>146</v>
      </c>
      <c r="DG748" s="2">
        <v>60</v>
      </c>
      <c r="DH748" s="2">
        <v>0</v>
      </c>
      <c r="DI748" s="2">
        <v>1.4032450000000001</v>
      </c>
      <c r="DR748" s="89">
        <v>153</v>
      </c>
      <c r="DS748" s="2">
        <v>59</v>
      </c>
      <c r="DT748" s="2">
        <v>0</v>
      </c>
      <c r="DU748" s="2">
        <v>1E-3</v>
      </c>
      <c r="ED748" s="89">
        <v>154</v>
      </c>
      <c r="EE748" s="2">
        <v>59</v>
      </c>
      <c r="EF748" s="2">
        <v>0</v>
      </c>
      <c r="EG748" s="2">
        <v>5.0000000000000001E-3</v>
      </c>
      <c r="ES748">
        <v>154</v>
      </c>
      <c r="ET748">
        <v>59</v>
      </c>
      <c r="EU748">
        <v>0</v>
      </c>
      <c r="EV748">
        <v>5.0000000000000001E-3</v>
      </c>
    </row>
    <row r="749" spans="14:152" x14ac:dyDescent="0.4">
      <c r="N749" s="89">
        <v>155</v>
      </c>
      <c r="O749" s="2">
        <v>64</v>
      </c>
      <c r="P749" s="2">
        <v>0</v>
      </c>
      <c r="Q749" s="2">
        <v>3.0000000000000001E-3</v>
      </c>
      <c r="Z749" s="89">
        <v>152</v>
      </c>
      <c r="AA749" s="2">
        <v>62</v>
      </c>
      <c r="AB749" s="2">
        <v>0</v>
      </c>
      <c r="AC749" s="2">
        <v>2E-3</v>
      </c>
      <c r="AL749" s="89">
        <v>149</v>
      </c>
      <c r="AM749" s="2">
        <v>59</v>
      </c>
      <c r="AN749" s="2">
        <v>0</v>
      </c>
      <c r="AO749" s="2">
        <v>1E-3</v>
      </c>
      <c r="AX749" s="89">
        <v>152</v>
      </c>
      <c r="AY749" s="2">
        <v>61</v>
      </c>
      <c r="AZ749" s="2">
        <v>1</v>
      </c>
      <c r="BA749" s="2">
        <v>5.0000000000000001E-3</v>
      </c>
      <c r="BJ749" s="89">
        <v>157</v>
      </c>
      <c r="BK749" s="2">
        <v>60</v>
      </c>
      <c r="BL749" s="2">
        <v>0</v>
      </c>
      <c r="BM749" s="2">
        <v>2E-3</v>
      </c>
      <c r="BV749" s="89">
        <v>151</v>
      </c>
      <c r="BW749" s="2">
        <v>60</v>
      </c>
      <c r="BX749" s="2">
        <v>0</v>
      </c>
      <c r="BY749" s="2">
        <v>0.20100000000000001</v>
      </c>
      <c r="CH749" s="89">
        <v>150</v>
      </c>
      <c r="CI749" s="2">
        <v>59</v>
      </c>
      <c r="CJ749" s="2">
        <v>0</v>
      </c>
      <c r="CK749" s="2">
        <v>9.6946009999999999E-2</v>
      </c>
      <c r="CT749" s="89">
        <v>135</v>
      </c>
      <c r="CU749" s="2">
        <v>58</v>
      </c>
      <c r="CV749" s="2">
        <v>1</v>
      </c>
      <c r="CW749" s="2">
        <v>1E-3</v>
      </c>
      <c r="DF749" s="89">
        <v>147</v>
      </c>
      <c r="DG749" s="2">
        <v>60</v>
      </c>
      <c r="DH749" s="2">
        <v>0</v>
      </c>
      <c r="DI749" s="2">
        <v>1.14307</v>
      </c>
      <c r="DR749" s="89">
        <v>143</v>
      </c>
      <c r="DS749" s="2">
        <v>60</v>
      </c>
      <c r="DT749" s="2">
        <v>0</v>
      </c>
      <c r="DU749" s="2">
        <v>4.3983599999999998E-2</v>
      </c>
      <c r="ED749" s="89">
        <v>155</v>
      </c>
      <c r="EE749" s="2">
        <v>59</v>
      </c>
      <c r="EF749" s="2">
        <v>0</v>
      </c>
      <c r="EG749" s="2">
        <v>1E-3</v>
      </c>
      <c r="ES749">
        <v>155</v>
      </c>
      <c r="ET749">
        <v>59</v>
      </c>
      <c r="EU749">
        <v>0</v>
      </c>
      <c r="EV749">
        <v>1E-3</v>
      </c>
    </row>
    <row r="750" spans="14:152" x14ac:dyDescent="0.4">
      <c r="N750" s="89">
        <v>156</v>
      </c>
      <c r="O750" s="2">
        <v>64</v>
      </c>
      <c r="P750" s="2">
        <v>0</v>
      </c>
      <c r="Q750" s="2">
        <v>2E-3</v>
      </c>
      <c r="Z750" s="89">
        <v>153</v>
      </c>
      <c r="AA750" s="2">
        <v>62</v>
      </c>
      <c r="AB750" s="2">
        <v>0</v>
      </c>
      <c r="AC750" s="2">
        <v>2E-3</v>
      </c>
      <c r="AL750" s="89">
        <v>141</v>
      </c>
      <c r="AM750" s="2">
        <v>60</v>
      </c>
      <c r="AN750" s="2">
        <v>0</v>
      </c>
      <c r="AO750" s="2">
        <v>1.9997000000000001E-3</v>
      </c>
      <c r="AX750" s="89">
        <v>152</v>
      </c>
      <c r="AY750" s="2">
        <v>61</v>
      </c>
      <c r="AZ750" s="2">
        <v>2</v>
      </c>
      <c r="BA750" s="2">
        <v>1.4999999999999999E-2</v>
      </c>
      <c r="BJ750" s="89">
        <v>146</v>
      </c>
      <c r="BK750" s="2">
        <v>61</v>
      </c>
      <c r="BL750" s="2">
        <v>0</v>
      </c>
      <c r="BM750" s="2">
        <v>3.0000000000000001E-3</v>
      </c>
      <c r="BV750" s="89">
        <v>152</v>
      </c>
      <c r="BW750" s="2">
        <v>60</v>
      </c>
      <c r="BX750" s="2">
        <v>0</v>
      </c>
      <c r="BY750" s="2">
        <v>9.2000009999999993E-2</v>
      </c>
      <c r="CH750" s="89">
        <v>151</v>
      </c>
      <c r="CI750" s="2">
        <v>59</v>
      </c>
      <c r="CJ750" s="2">
        <v>0</v>
      </c>
      <c r="CK750" s="2">
        <v>3.9E-2</v>
      </c>
      <c r="CT750" s="89">
        <v>136</v>
      </c>
      <c r="CU750" s="2">
        <v>58</v>
      </c>
      <c r="CV750" s="2">
        <v>0</v>
      </c>
      <c r="CW750" s="2">
        <v>5.0000000000000001E-3</v>
      </c>
      <c r="DF750" s="89">
        <v>148</v>
      </c>
      <c r="DG750" s="2">
        <v>60</v>
      </c>
      <c r="DH750" s="2">
        <v>0</v>
      </c>
      <c r="DI750" s="2">
        <v>0.89484600000000003</v>
      </c>
      <c r="DR750" s="89">
        <v>144</v>
      </c>
      <c r="DS750" s="2">
        <v>60</v>
      </c>
      <c r="DT750" s="2">
        <v>0</v>
      </c>
      <c r="DU750" s="2">
        <v>3.6999999999999998E-2</v>
      </c>
      <c r="ED750" s="89">
        <v>156</v>
      </c>
      <c r="EE750" s="2">
        <v>59</v>
      </c>
      <c r="EF750" s="2">
        <v>0</v>
      </c>
      <c r="EG750" s="2">
        <v>1E-3</v>
      </c>
      <c r="ES750">
        <v>156</v>
      </c>
      <c r="ET750">
        <v>59</v>
      </c>
      <c r="EU750">
        <v>0</v>
      </c>
      <c r="EV750">
        <v>1E-3</v>
      </c>
    </row>
    <row r="751" spans="14:152" x14ac:dyDescent="0.4">
      <c r="N751" s="89">
        <v>157</v>
      </c>
      <c r="O751" s="2">
        <v>64</v>
      </c>
      <c r="P751" s="2">
        <v>0</v>
      </c>
      <c r="Q751" s="2">
        <v>1E-3</v>
      </c>
      <c r="Z751" s="89">
        <v>153</v>
      </c>
      <c r="AA751" s="2">
        <v>62</v>
      </c>
      <c r="AB751" s="2">
        <v>1</v>
      </c>
      <c r="AC751" s="2">
        <v>2E-3</v>
      </c>
      <c r="AL751" s="89">
        <v>141</v>
      </c>
      <c r="AM751" s="2">
        <v>60</v>
      </c>
      <c r="AN751" s="2">
        <v>1</v>
      </c>
      <c r="AO751" s="2">
        <v>1E-3</v>
      </c>
      <c r="AX751" s="89">
        <v>153</v>
      </c>
      <c r="AY751" s="2">
        <v>61</v>
      </c>
      <c r="AZ751" s="2">
        <v>0</v>
      </c>
      <c r="BA751" s="2">
        <v>2.8000000000000001E-2</v>
      </c>
      <c r="BJ751" s="89">
        <v>147</v>
      </c>
      <c r="BK751" s="2">
        <v>61</v>
      </c>
      <c r="BL751" s="2">
        <v>0</v>
      </c>
      <c r="BM751" s="2">
        <v>0.53600009999999998</v>
      </c>
      <c r="BV751" s="89">
        <v>153</v>
      </c>
      <c r="BW751" s="2">
        <v>60</v>
      </c>
      <c r="BX751" s="2">
        <v>0</v>
      </c>
      <c r="BY751" s="2">
        <v>4.4006400000000001E-2</v>
      </c>
      <c r="CH751" s="89">
        <v>152</v>
      </c>
      <c r="CI751" s="2">
        <v>59</v>
      </c>
      <c r="CJ751" s="2">
        <v>0</v>
      </c>
      <c r="CK751" s="2">
        <v>1.0999999999999999E-2</v>
      </c>
      <c r="CT751" s="89">
        <v>137</v>
      </c>
      <c r="CU751" s="2">
        <v>58</v>
      </c>
      <c r="CV751" s="2">
        <v>0</v>
      </c>
      <c r="CW751" s="2">
        <v>1.8865699999999999E-2</v>
      </c>
      <c r="DF751" s="89">
        <v>149</v>
      </c>
      <c r="DG751" s="2">
        <v>60</v>
      </c>
      <c r="DH751" s="2">
        <v>0</v>
      </c>
      <c r="DI751" s="2">
        <v>0.66556009999999999</v>
      </c>
      <c r="DR751" s="89">
        <v>145</v>
      </c>
      <c r="DS751" s="2">
        <v>60</v>
      </c>
      <c r="DT751" s="2">
        <v>0</v>
      </c>
      <c r="DU751" s="2">
        <v>2.9000000000000001E-2</v>
      </c>
      <c r="ED751" s="89">
        <v>141</v>
      </c>
      <c r="EE751" s="2">
        <v>60</v>
      </c>
      <c r="EF751" s="2">
        <v>0</v>
      </c>
      <c r="EG751" s="2">
        <v>9.9970000000000007E-4</v>
      </c>
      <c r="ES751">
        <v>141</v>
      </c>
      <c r="ET751">
        <v>60</v>
      </c>
      <c r="EU751">
        <v>0</v>
      </c>
      <c r="EV751">
        <v>9.9970000000000007E-4</v>
      </c>
    </row>
    <row r="752" spans="14:152" x14ac:dyDescent="0.4">
      <c r="N752" s="89">
        <v>156</v>
      </c>
      <c r="O752" s="2">
        <v>65</v>
      </c>
      <c r="P752" s="2">
        <v>0</v>
      </c>
      <c r="Q752" s="2">
        <v>1E-3</v>
      </c>
      <c r="Z752" s="89">
        <v>154</v>
      </c>
      <c r="AA752" s="2">
        <v>62</v>
      </c>
      <c r="AB752" s="2">
        <v>0</v>
      </c>
      <c r="AC752" s="2">
        <v>1E-3</v>
      </c>
      <c r="AL752" s="89">
        <v>142</v>
      </c>
      <c r="AM752" s="2">
        <v>60</v>
      </c>
      <c r="AN752" s="2">
        <v>0</v>
      </c>
      <c r="AO752" s="2">
        <v>1.2997999999999999E-2</v>
      </c>
      <c r="AX752" s="89">
        <v>154</v>
      </c>
      <c r="AY752" s="2">
        <v>61</v>
      </c>
      <c r="AZ752" s="2">
        <v>0</v>
      </c>
      <c r="BA752" s="2">
        <v>1.4E-2</v>
      </c>
      <c r="BJ752" s="89">
        <v>148</v>
      </c>
      <c r="BK752" s="2">
        <v>61</v>
      </c>
      <c r="BL752" s="2">
        <v>0</v>
      </c>
      <c r="BM752" s="2">
        <v>9.8896739999999993E-3</v>
      </c>
      <c r="BV752" s="89">
        <v>154</v>
      </c>
      <c r="BW752" s="2">
        <v>60</v>
      </c>
      <c r="BX752" s="2">
        <v>0</v>
      </c>
      <c r="BY752" s="2">
        <v>3.2993599999999998E-2</v>
      </c>
      <c r="CH752" s="89">
        <v>153</v>
      </c>
      <c r="CI752" s="2">
        <v>59</v>
      </c>
      <c r="CJ752" s="2">
        <v>0</v>
      </c>
      <c r="CK752" s="2">
        <v>6.0000000000000001E-3</v>
      </c>
      <c r="CT752" s="89">
        <v>137</v>
      </c>
      <c r="CU752" s="2">
        <v>58</v>
      </c>
      <c r="CV752" s="2">
        <v>1</v>
      </c>
      <c r="CW752" s="2">
        <v>1.7000000000000001E-2</v>
      </c>
      <c r="DF752" s="89">
        <v>150</v>
      </c>
      <c r="DG752" s="2">
        <v>60</v>
      </c>
      <c r="DH752" s="2">
        <v>0</v>
      </c>
      <c r="DI752" s="2">
        <v>0.49324400000000002</v>
      </c>
      <c r="DR752" s="89">
        <v>146</v>
      </c>
      <c r="DS752" s="2">
        <v>60</v>
      </c>
      <c r="DT752" s="2">
        <v>0</v>
      </c>
      <c r="DU752" s="2">
        <v>0.03</v>
      </c>
      <c r="ED752" s="89">
        <v>141</v>
      </c>
      <c r="EE752" s="2">
        <v>60</v>
      </c>
      <c r="EF752" s="2">
        <v>1</v>
      </c>
      <c r="EG752" s="2">
        <v>1E-3</v>
      </c>
      <c r="ES752">
        <v>141</v>
      </c>
      <c r="ET752">
        <v>60</v>
      </c>
      <c r="EU752">
        <v>1</v>
      </c>
      <c r="EV752">
        <v>1E-3</v>
      </c>
    </row>
    <row r="753" spans="5:152" x14ac:dyDescent="0.4">
      <c r="N753" s="89">
        <v>156</v>
      </c>
      <c r="O753" s="2">
        <v>65</v>
      </c>
      <c r="P753" s="2">
        <v>1</v>
      </c>
      <c r="Q753" s="2">
        <v>1E-3</v>
      </c>
      <c r="Z753" s="89">
        <v>155</v>
      </c>
      <c r="AA753" s="2">
        <v>62</v>
      </c>
      <c r="AB753" s="2">
        <v>0</v>
      </c>
      <c r="AC753" s="2">
        <v>1E-3</v>
      </c>
      <c r="AL753" s="89">
        <v>143</v>
      </c>
      <c r="AM753" s="2">
        <v>60</v>
      </c>
      <c r="AN753" s="2">
        <v>0</v>
      </c>
      <c r="AO753" s="2">
        <v>2.5000000000000001E-2</v>
      </c>
      <c r="AX753" s="89">
        <v>155</v>
      </c>
      <c r="AY753" s="2">
        <v>61</v>
      </c>
      <c r="AZ753" s="2">
        <v>0</v>
      </c>
      <c r="BA753" s="2">
        <v>6.0000009999999996E-3</v>
      </c>
      <c r="BJ753" s="89">
        <v>148</v>
      </c>
      <c r="BK753" s="2">
        <v>61</v>
      </c>
      <c r="BL753" s="2">
        <v>1</v>
      </c>
      <c r="BM753" s="2">
        <v>3.083721E-2</v>
      </c>
      <c r="BV753" s="89">
        <v>155</v>
      </c>
      <c r="BW753" s="2">
        <v>60</v>
      </c>
      <c r="BX753" s="2">
        <v>0</v>
      </c>
      <c r="BY753" s="2">
        <v>7.0000000000000001E-3</v>
      </c>
      <c r="CH753" s="89">
        <v>141</v>
      </c>
      <c r="CI753" s="2">
        <v>60</v>
      </c>
      <c r="CJ753" s="2">
        <v>0</v>
      </c>
      <c r="CK753" s="2">
        <v>9.9970000000000007E-4</v>
      </c>
      <c r="CT753" s="89">
        <v>138</v>
      </c>
      <c r="CU753" s="2">
        <v>58</v>
      </c>
      <c r="CV753" s="2">
        <v>0</v>
      </c>
      <c r="CW753" s="2">
        <v>5.4000010000000001E-2</v>
      </c>
      <c r="DF753" s="89">
        <v>151</v>
      </c>
      <c r="DG753" s="2">
        <v>60</v>
      </c>
      <c r="DH753" s="2">
        <v>0</v>
      </c>
      <c r="DI753" s="2">
        <v>0.2970604</v>
      </c>
      <c r="DR753" s="89">
        <v>147</v>
      </c>
      <c r="DS753" s="2">
        <v>60</v>
      </c>
      <c r="DT753" s="2">
        <v>0</v>
      </c>
      <c r="DU753" s="2">
        <v>2.3E-2</v>
      </c>
      <c r="ED753" s="89">
        <v>142</v>
      </c>
      <c r="EE753" s="2">
        <v>60</v>
      </c>
      <c r="EF753" s="2">
        <v>0</v>
      </c>
      <c r="EG753" s="2">
        <v>2.1995600000000001E-2</v>
      </c>
      <c r="ES753">
        <v>142</v>
      </c>
      <c r="ET753">
        <v>60</v>
      </c>
      <c r="EU753">
        <v>0</v>
      </c>
      <c r="EV753">
        <v>2.1995600000000001E-2</v>
      </c>
    </row>
    <row r="754" spans="5:152" x14ac:dyDescent="0.4">
      <c r="N754" s="89">
        <v>157</v>
      </c>
      <c r="O754" s="2">
        <v>65</v>
      </c>
      <c r="P754" s="2">
        <v>0</v>
      </c>
      <c r="Q754" s="2">
        <v>1E-3</v>
      </c>
      <c r="Z754" s="89">
        <v>156</v>
      </c>
      <c r="AA754" s="2">
        <v>62</v>
      </c>
      <c r="AB754" s="2">
        <v>0</v>
      </c>
      <c r="AC754" s="2">
        <v>1E-3</v>
      </c>
      <c r="AL754" s="89">
        <v>144</v>
      </c>
      <c r="AM754" s="2">
        <v>60</v>
      </c>
      <c r="AN754" s="2">
        <v>0</v>
      </c>
      <c r="AO754" s="2">
        <v>1.9E-2</v>
      </c>
      <c r="AX754" s="89">
        <v>156</v>
      </c>
      <c r="AY754" s="2">
        <v>61</v>
      </c>
      <c r="AZ754" s="2">
        <v>0</v>
      </c>
      <c r="BA754" s="2">
        <v>3.0000000000000001E-3</v>
      </c>
      <c r="BJ754" s="89">
        <v>149</v>
      </c>
      <c r="BK754" s="2">
        <v>61</v>
      </c>
      <c r="BL754" s="2">
        <v>0</v>
      </c>
      <c r="BM754" s="2">
        <v>0.26498500000000003</v>
      </c>
      <c r="BV754" s="89">
        <v>157</v>
      </c>
      <c r="BW754" s="2">
        <v>60</v>
      </c>
      <c r="BX754" s="2">
        <v>0</v>
      </c>
      <c r="BY754" s="2">
        <v>2E-3</v>
      </c>
      <c r="CH754" s="89">
        <v>141</v>
      </c>
      <c r="CI754" s="2">
        <v>60</v>
      </c>
      <c r="CJ754" s="2">
        <v>1</v>
      </c>
      <c r="CK754" s="2">
        <v>1E-3</v>
      </c>
      <c r="CT754" s="89">
        <v>138</v>
      </c>
      <c r="CU754" s="2">
        <v>58</v>
      </c>
      <c r="CV754" s="2">
        <v>1</v>
      </c>
      <c r="CW754" s="2">
        <v>0.04</v>
      </c>
      <c r="DF754" s="89">
        <v>152</v>
      </c>
      <c r="DG754" s="2">
        <v>60</v>
      </c>
      <c r="DH754" s="2">
        <v>0</v>
      </c>
      <c r="DI754" s="2">
        <v>0.20198920000000001</v>
      </c>
      <c r="DR754" s="89">
        <v>148</v>
      </c>
      <c r="DS754" s="2">
        <v>60</v>
      </c>
      <c r="DT754" s="2">
        <v>0</v>
      </c>
      <c r="DU754" s="2">
        <v>0.02</v>
      </c>
      <c r="ED754" s="89">
        <v>143</v>
      </c>
      <c r="EE754" s="2">
        <v>60</v>
      </c>
      <c r="EF754" s="2">
        <v>0</v>
      </c>
      <c r="EG754" s="2">
        <v>1.4993719999999999</v>
      </c>
      <c r="ES754">
        <v>143</v>
      </c>
      <c r="ET754">
        <v>60</v>
      </c>
      <c r="EU754">
        <v>0</v>
      </c>
      <c r="EV754">
        <v>1.4993719999999999</v>
      </c>
    </row>
    <row r="755" spans="5:152" x14ac:dyDescent="0.4">
      <c r="N755" s="89">
        <v>159</v>
      </c>
      <c r="O755" s="2">
        <v>65</v>
      </c>
      <c r="P755" s="2">
        <v>0</v>
      </c>
      <c r="Q755" s="2">
        <v>1E-3</v>
      </c>
      <c r="Z755" s="89">
        <v>151</v>
      </c>
      <c r="AA755" s="2">
        <v>63</v>
      </c>
      <c r="AB755" s="2">
        <v>0</v>
      </c>
      <c r="AC755" s="2">
        <v>2E-3</v>
      </c>
      <c r="AL755" s="89">
        <v>145</v>
      </c>
      <c r="AM755" s="2">
        <v>60</v>
      </c>
      <c r="AN755" s="2">
        <v>0</v>
      </c>
      <c r="AO755" s="2">
        <v>1.6E-2</v>
      </c>
      <c r="AX755" s="89">
        <v>157</v>
      </c>
      <c r="AY755" s="2">
        <v>61</v>
      </c>
      <c r="AZ755" s="2">
        <v>0</v>
      </c>
      <c r="BA755" s="2">
        <v>2E-3</v>
      </c>
      <c r="BJ755" s="89">
        <v>150</v>
      </c>
      <c r="BK755" s="2">
        <v>61</v>
      </c>
      <c r="BL755" s="2">
        <v>0</v>
      </c>
      <c r="BM755" s="2">
        <v>6.5000009999999997E-2</v>
      </c>
      <c r="BV755" s="89">
        <v>147</v>
      </c>
      <c r="BW755" s="2">
        <v>61</v>
      </c>
      <c r="BX755" s="2">
        <v>0</v>
      </c>
      <c r="BY755" s="2">
        <v>0.83074700000000001</v>
      </c>
      <c r="CH755" s="89">
        <v>142</v>
      </c>
      <c r="CI755" s="2">
        <v>60</v>
      </c>
      <c r="CJ755" s="2">
        <v>0</v>
      </c>
      <c r="CK755" s="2">
        <v>0.1139778</v>
      </c>
      <c r="CT755" s="89">
        <v>139</v>
      </c>
      <c r="CU755" s="2">
        <v>58</v>
      </c>
      <c r="CV755" s="2">
        <v>0</v>
      </c>
      <c r="CW755" s="2">
        <v>0.13700000000000001</v>
      </c>
      <c r="DF755" s="89">
        <v>153</v>
      </c>
      <c r="DG755" s="2">
        <v>60</v>
      </c>
      <c r="DH755" s="2">
        <v>0</v>
      </c>
      <c r="DI755" s="2">
        <v>9.0956809999999999E-2</v>
      </c>
      <c r="DR755" s="89">
        <v>149</v>
      </c>
      <c r="DS755" s="2">
        <v>60</v>
      </c>
      <c r="DT755" s="2">
        <v>0</v>
      </c>
      <c r="DU755" s="2">
        <v>1.7027E-2</v>
      </c>
      <c r="ED755" s="89">
        <v>144</v>
      </c>
      <c r="EE755" s="2">
        <v>60</v>
      </c>
      <c r="EF755" s="2">
        <v>0</v>
      </c>
      <c r="EG755" s="2">
        <v>1.3764510000000001</v>
      </c>
      <c r="ES755">
        <v>144</v>
      </c>
      <c r="ET755">
        <v>60</v>
      </c>
      <c r="EU755">
        <v>0</v>
      </c>
      <c r="EV755">
        <v>1.3764510000000001</v>
      </c>
    </row>
    <row r="756" spans="5:152" x14ac:dyDescent="0.4">
      <c r="E756">
        <v>1.1258570000000001</v>
      </c>
      <c r="N756" s="89"/>
      <c r="O756" s="2"/>
      <c r="P756" s="2"/>
      <c r="Q756" s="2"/>
      <c r="Z756" s="89">
        <v>153</v>
      </c>
      <c r="AA756" s="2">
        <v>63</v>
      </c>
      <c r="AB756" s="2">
        <v>0</v>
      </c>
      <c r="AC756" s="2">
        <v>3.0000000000000001E-3</v>
      </c>
      <c r="AL756" s="89">
        <v>146</v>
      </c>
      <c r="AM756" s="2">
        <v>60</v>
      </c>
      <c r="AN756" s="2">
        <v>0</v>
      </c>
      <c r="AO756" s="2">
        <v>1.298E-2</v>
      </c>
      <c r="AX756" s="89">
        <v>158</v>
      </c>
      <c r="AY756" s="2">
        <v>61</v>
      </c>
      <c r="AZ756" s="2">
        <v>0</v>
      </c>
      <c r="BA756" s="2">
        <v>1E-3</v>
      </c>
      <c r="BJ756" s="89">
        <v>151</v>
      </c>
      <c r="BK756" s="2">
        <v>61</v>
      </c>
      <c r="BL756" s="2">
        <v>0</v>
      </c>
      <c r="BM756" s="2">
        <v>0.13300000000000001</v>
      </c>
      <c r="BV756" s="89">
        <v>148</v>
      </c>
      <c r="BW756" s="2">
        <v>61</v>
      </c>
      <c r="BX756" s="2">
        <v>0</v>
      </c>
      <c r="BY756" s="2">
        <v>1.2871110000000001E-3</v>
      </c>
      <c r="CH756" s="89">
        <v>143</v>
      </c>
      <c r="CI756" s="2">
        <v>60</v>
      </c>
      <c r="CJ756" s="2">
        <v>0</v>
      </c>
      <c r="CK756" s="2">
        <v>1.4527369999999999</v>
      </c>
      <c r="CT756" s="89">
        <v>139</v>
      </c>
      <c r="CU756" s="2">
        <v>58</v>
      </c>
      <c r="CV756" s="2">
        <v>1</v>
      </c>
      <c r="CW756" s="2">
        <v>0.1165223</v>
      </c>
      <c r="DF756" s="89">
        <v>154</v>
      </c>
      <c r="DG756" s="2">
        <v>60</v>
      </c>
      <c r="DH756" s="2">
        <v>0</v>
      </c>
      <c r="DI756" s="2">
        <v>3.6993600000000001E-2</v>
      </c>
      <c r="DR756" s="89">
        <v>150</v>
      </c>
      <c r="DS756" s="2">
        <v>60</v>
      </c>
      <c r="DT756" s="2">
        <v>0</v>
      </c>
      <c r="DU756" s="2">
        <v>6.973E-3</v>
      </c>
      <c r="ED756" s="89">
        <v>145</v>
      </c>
      <c r="EE756" s="2">
        <v>60</v>
      </c>
      <c r="EF756" s="2">
        <v>0</v>
      </c>
      <c r="EG756" s="2">
        <v>1.1292850000000001</v>
      </c>
      <c r="ES756">
        <v>145</v>
      </c>
      <c r="ET756">
        <v>60</v>
      </c>
      <c r="EU756">
        <v>0</v>
      </c>
      <c r="EV756">
        <v>1.1292850000000001</v>
      </c>
    </row>
    <row r="757" spans="5:152" x14ac:dyDescent="0.4">
      <c r="E757">
        <v>1.0609</v>
      </c>
      <c r="N757" s="89"/>
      <c r="O757" s="2"/>
      <c r="P757" s="2"/>
      <c r="Q757" s="2"/>
      <c r="Z757" s="89">
        <v>155</v>
      </c>
      <c r="AA757" s="2">
        <v>63</v>
      </c>
      <c r="AB757" s="2">
        <v>0</v>
      </c>
      <c r="AC757" s="2">
        <v>2E-3</v>
      </c>
      <c r="AL757" s="89">
        <v>147</v>
      </c>
      <c r="AM757" s="2">
        <v>60</v>
      </c>
      <c r="AN757" s="2">
        <v>0</v>
      </c>
      <c r="AO757" s="2">
        <v>6.0000000000000001E-3</v>
      </c>
      <c r="AX757" s="89">
        <v>146</v>
      </c>
      <c r="AY757" s="2">
        <v>62</v>
      </c>
      <c r="AZ757" s="2">
        <v>0</v>
      </c>
      <c r="BA757" s="2">
        <v>3.4000000000000002E-4</v>
      </c>
      <c r="BJ757" s="89">
        <v>152</v>
      </c>
      <c r="BK757" s="2">
        <v>61</v>
      </c>
      <c r="BL757" s="2">
        <v>0</v>
      </c>
      <c r="BM757" s="2">
        <v>4.3806459999999998E-2</v>
      </c>
      <c r="BV757" s="89">
        <v>148</v>
      </c>
      <c r="BW757" s="2">
        <v>61</v>
      </c>
      <c r="BX757" s="2">
        <v>1</v>
      </c>
      <c r="BY757" s="2">
        <v>7.1111120000000002E-3</v>
      </c>
      <c r="CH757" s="89">
        <v>144</v>
      </c>
      <c r="CI757" s="2">
        <v>60</v>
      </c>
      <c r="CJ757" s="2">
        <v>0</v>
      </c>
      <c r="CK757" s="2">
        <v>1.2711110000000001</v>
      </c>
      <c r="CT757" s="89">
        <v>140</v>
      </c>
      <c r="CU757" s="2">
        <v>58</v>
      </c>
      <c r="CV757" s="2">
        <v>0</v>
      </c>
      <c r="CW757" s="2">
        <v>2.973325</v>
      </c>
      <c r="DF757" s="89">
        <v>155</v>
      </c>
      <c r="DG757" s="2">
        <v>60</v>
      </c>
      <c r="DH757" s="2">
        <v>0</v>
      </c>
      <c r="DI757" s="2">
        <v>1.3027199999999999E-2</v>
      </c>
      <c r="DR757" s="89">
        <v>151</v>
      </c>
      <c r="DS757" s="2">
        <v>60</v>
      </c>
      <c r="DT757" s="2">
        <v>0</v>
      </c>
      <c r="DU757" s="2">
        <v>6.0000009999999996E-3</v>
      </c>
      <c r="ED757" s="89">
        <v>146</v>
      </c>
      <c r="EE757" s="2">
        <v>60</v>
      </c>
      <c r="EF757" s="2">
        <v>0</v>
      </c>
      <c r="EG757" s="2">
        <v>0.98465999999999998</v>
      </c>
      <c r="ES757">
        <v>146</v>
      </c>
      <c r="ET757">
        <v>60</v>
      </c>
      <c r="EU757">
        <v>0</v>
      </c>
      <c r="EV757">
        <v>0.98465999999999998</v>
      </c>
    </row>
    <row r="758" spans="5:152" x14ac:dyDescent="0.4">
      <c r="E758">
        <v>0.79100409999999999</v>
      </c>
      <c r="N758" s="89"/>
      <c r="O758" s="2"/>
      <c r="P758" s="2"/>
      <c r="Q758" s="2"/>
      <c r="Z758" s="89">
        <v>156</v>
      </c>
      <c r="AA758" s="2">
        <v>63</v>
      </c>
      <c r="AB758" s="2">
        <v>0</v>
      </c>
      <c r="AC758" s="2">
        <v>2E-3</v>
      </c>
      <c r="AL758" s="89">
        <v>148</v>
      </c>
      <c r="AM758" s="2">
        <v>60</v>
      </c>
      <c r="AN758" s="2">
        <v>0</v>
      </c>
      <c r="AO758" s="2">
        <v>9.0000010000000005E-3</v>
      </c>
      <c r="AX758" s="89">
        <v>147</v>
      </c>
      <c r="AY758" s="2">
        <v>62</v>
      </c>
      <c r="AZ758" s="2">
        <v>0</v>
      </c>
      <c r="BA758" s="2">
        <v>0.497004</v>
      </c>
      <c r="BJ758" s="89">
        <v>152</v>
      </c>
      <c r="BK758" s="2">
        <v>61</v>
      </c>
      <c r="BL758" s="2">
        <v>1</v>
      </c>
      <c r="BM758" s="2">
        <v>8.7096770000000007E-3</v>
      </c>
      <c r="BV758" s="89">
        <v>149</v>
      </c>
      <c r="BW758" s="2">
        <v>61</v>
      </c>
      <c r="BX758" s="2">
        <v>0</v>
      </c>
      <c r="BY758" s="2">
        <v>0.50981980000000005</v>
      </c>
      <c r="CH758" s="89">
        <v>145</v>
      </c>
      <c r="CI758" s="2">
        <v>60</v>
      </c>
      <c r="CJ758" s="2">
        <v>0</v>
      </c>
      <c r="CK758" s="2">
        <v>1.1258570000000001</v>
      </c>
      <c r="CT758" s="89">
        <v>141</v>
      </c>
      <c r="CU758" s="2">
        <v>58</v>
      </c>
      <c r="CV758" s="2">
        <v>0</v>
      </c>
      <c r="CW758" s="2">
        <v>2.685235</v>
      </c>
      <c r="DF758" s="89">
        <v>156</v>
      </c>
      <c r="DG758" s="2">
        <v>60</v>
      </c>
      <c r="DH758" s="2">
        <v>0</v>
      </c>
      <c r="DI758" s="2">
        <v>4.9728000000000003E-3</v>
      </c>
      <c r="DR758" s="89">
        <v>153</v>
      </c>
      <c r="DS758" s="2">
        <v>60</v>
      </c>
      <c r="DT758" s="2">
        <v>0</v>
      </c>
      <c r="DU758" s="2">
        <v>4.0000000000000001E-3</v>
      </c>
      <c r="ED758" s="89">
        <v>147</v>
      </c>
      <c r="EE758" s="2">
        <v>60</v>
      </c>
      <c r="EF758" s="2">
        <v>0</v>
      </c>
      <c r="EG758" s="2">
        <v>0.79600409999999999</v>
      </c>
      <c r="ES758">
        <v>147</v>
      </c>
      <c r="ET758">
        <v>60</v>
      </c>
      <c r="EU758">
        <v>0</v>
      </c>
      <c r="EV758">
        <v>0.79600409999999999</v>
      </c>
    </row>
    <row r="759" spans="5:152" x14ac:dyDescent="0.4">
      <c r="E759">
        <v>0.58201000000000003</v>
      </c>
      <c r="N759" s="89"/>
      <c r="O759" s="2"/>
      <c r="P759" s="2"/>
      <c r="Q759" s="2"/>
      <c r="Z759" s="89">
        <v>158</v>
      </c>
      <c r="AA759" s="2">
        <v>63</v>
      </c>
      <c r="AB759" s="2">
        <v>0</v>
      </c>
      <c r="AC759" s="2">
        <v>1E-3</v>
      </c>
      <c r="AL759" s="89">
        <v>149</v>
      </c>
      <c r="AM759" s="2">
        <v>60</v>
      </c>
      <c r="AN759" s="2">
        <v>0</v>
      </c>
      <c r="AO759" s="2">
        <v>5.0000000000000001E-3</v>
      </c>
      <c r="AX759" s="89">
        <v>148</v>
      </c>
      <c r="AY759" s="2">
        <v>62</v>
      </c>
      <c r="AZ759" s="2">
        <v>0</v>
      </c>
      <c r="BA759" s="2">
        <v>7.0000009999999996E-3</v>
      </c>
      <c r="BJ759" s="89">
        <v>152</v>
      </c>
      <c r="BK759" s="2">
        <v>61</v>
      </c>
      <c r="BL759" s="2">
        <v>2</v>
      </c>
      <c r="BM759" s="2">
        <v>4.5483870000000003E-2</v>
      </c>
      <c r="BV759" s="89">
        <v>150</v>
      </c>
      <c r="BW759" s="2">
        <v>61</v>
      </c>
      <c r="BX759" s="2">
        <v>0</v>
      </c>
      <c r="BY759" s="2">
        <v>5.0999999999999997E-2</v>
      </c>
      <c r="CH759" s="89">
        <v>146</v>
      </c>
      <c r="CI759" s="2">
        <v>60</v>
      </c>
      <c r="CJ759" s="2">
        <v>0</v>
      </c>
      <c r="CK759" s="2">
        <v>1.0609</v>
      </c>
      <c r="CT759" s="89">
        <v>142</v>
      </c>
      <c r="CU759" s="2">
        <v>58</v>
      </c>
      <c r="CV759" s="2">
        <v>0</v>
      </c>
      <c r="CW759" s="2">
        <v>2.4836450000000001</v>
      </c>
      <c r="DF759" s="89">
        <v>147</v>
      </c>
      <c r="DG759" s="2">
        <v>61</v>
      </c>
      <c r="DH759" s="2">
        <v>0</v>
      </c>
      <c r="DI759" s="2">
        <v>1.14307</v>
      </c>
      <c r="DR759" s="89">
        <v>154</v>
      </c>
      <c r="DS759" s="2">
        <v>60</v>
      </c>
      <c r="DT759" s="2">
        <v>0</v>
      </c>
      <c r="DU759" s="2">
        <v>1E-3</v>
      </c>
      <c r="ED759" s="89">
        <v>148</v>
      </c>
      <c r="EE759" s="2">
        <v>60</v>
      </c>
      <c r="EF759" s="2">
        <v>0</v>
      </c>
      <c r="EG759" s="2">
        <v>0.62513600000000002</v>
      </c>
      <c r="ES759">
        <v>148</v>
      </c>
      <c r="ET759">
        <v>60</v>
      </c>
      <c r="EU759">
        <v>0</v>
      </c>
      <c r="EV759">
        <v>0.62513600000000002</v>
      </c>
    </row>
    <row r="760" spans="5:152" x14ac:dyDescent="0.4">
      <c r="E760">
        <v>0.38503999999999999</v>
      </c>
      <c r="N760" s="89"/>
      <c r="O760" s="2"/>
      <c r="P760" s="2"/>
      <c r="Q760" s="2"/>
      <c r="Z760" s="89">
        <v>161</v>
      </c>
      <c r="AA760" s="2">
        <v>63</v>
      </c>
      <c r="AB760" s="2">
        <v>0</v>
      </c>
      <c r="AC760" s="2">
        <v>1E-3</v>
      </c>
      <c r="AL760" s="89">
        <v>150</v>
      </c>
      <c r="AM760" s="2">
        <v>60</v>
      </c>
      <c r="AN760" s="2">
        <v>0</v>
      </c>
      <c r="AO760" s="2">
        <v>1E-3</v>
      </c>
      <c r="AX760" s="89">
        <v>149</v>
      </c>
      <c r="AY760" s="2">
        <v>62</v>
      </c>
      <c r="AZ760" s="2">
        <v>0</v>
      </c>
      <c r="BA760" s="2">
        <v>0.23091600000000001</v>
      </c>
      <c r="BJ760" s="89">
        <v>153</v>
      </c>
      <c r="BK760" s="2">
        <v>61</v>
      </c>
      <c r="BL760" s="2">
        <v>0</v>
      </c>
      <c r="BM760" s="2">
        <v>5.7000000000000002E-2</v>
      </c>
      <c r="BV760" s="89">
        <v>151</v>
      </c>
      <c r="BW760" s="2">
        <v>61</v>
      </c>
      <c r="BX760" s="2">
        <v>0</v>
      </c>
      <c r="BY760" s="2">
        <v>0.28100000000000003</v>
      </c>
      <c r="CH760" s="89">
        <v>147</v>
      </c>
      <c r="CI760" s="2">
        <v>60</v>
      </c>
      <c r="CJ760" s="2">
        <v>0</v>
      </c>
      <c r="CK760" s="2">
        <v>0.79100409999999999</v>
      </c>
      <c r="CT760" s="89">
        <v>143</v>
      </c>
      <c r="CU760" s="2">
        <v>58</v>
      </c>
      <c r="CV760" s="2">
        <v>0</v>
      </c>
      <c r="CW760" s="2">
        <v>2.2284760000000001</v>
      </c>
      <c r="DF760" s="89">
        <v>148</v>
      </c>
      <c r="DG760" s="2">
        <v>61</v>
      </c>
      <c r="DH760" s="2">
        <v>0</v>
      </c>
      <c r="DI760" s="2">
        <v>1.6799999999999999E-4</v>
      </c>
      <c r="DR760" s="89">
        <v>155</v>
      </c>
      <c r="DS760" s="2">
        <v>60</v>
      </c>
      <c r="DT760" s="2">
        <v>0</v>
      </c>
      <c r="DU760" s="2">
        <v>1E-3</v>
      </c>
      <c r="ED760" s="89">
        <v>149</v>
      </c>
      <c r="EE760" s="2">
        <v>60</v>
      </c>
      <c r="EF760" s="2">
        <v>0</v>
      </c>
      <c r="EG760" s="2">
        <v>0.48504900000000001</v>
      </c>
      <c r="ES760">
        <v>149</v>
      </c>
      <c r="ET760">
        <v>60</v>
      </c>
      <c r="EU760">
        <v>0</v>
      </c>
      <c r="EV760">
        <v>0.48504900000000001</v>
      </c>
    </row>
    <row r="761" spans="5:152" x14ac:dyDescent="0.4">
      <c r="E761">
        <v>0.27794600000000003</v>
      </c>
      <c r="N761" s="89"/>
      <c r="O761" s="2"/>
      <c r="P761" s="2"/>
      <c r="Q761" s="2"/>
      <c r="Z761" s="89">
        <v>155</v>
      </c>
      <c r="AA761" s="2">
        <v>64</v>
      </c>
      <c r="AB761" s="2">
        <v>0</v>
      </c>
      <c r="AC761" s="2">
        <v>2E-3</v>
      </c>
      <c r="AL761" s="89">
        <v>145</v>
      </c>
      <c r="AM761" s="2">
        <v>61</v>
      </c>
      <c r="AN761" s="2">
        <v>0</v>
      </c>
      <c r="AO761" s="2">
        <v>2E-3</v>
      </c>
      <c r="AX761" s="89">
        <v>150</v>
      </c>
      <c r="AY761" s="2">
        <v>62</v>
      </c>
      <c r="AZ761" s="2">
        <v>0</v>
      </c>
      <c r="BA761" s="2">
        <v>2.1000000000000001E-2</v>
      </c>
      <c r="BJ761" s="89">
        <v>154</v>
      </c>
      <c r="BK761" s="2">
        <v>61</v>
      </c>
      <c r="BL761" s="2">
        <v>0</v>
      </c>
      <c r="BM761" s="2">
        <v>0.03</v>
      </c>
      <c r="BV761" s="89">
        <v>152</v>
      </c>
      <c r="BW761" s="2">
        <v>61</v>
      </c>
      <c r="BX761" s="2">
        <v>0</v>
      </c>
      <c r="BY761" s="2">
        <v>9.6885059999999995E-2</v>
      </c>
      <c r="CH761" s="89">
        <v>148</v>
      </c>
      <c r="CI761" s="2">
        <v>60</v>
      </c>
      <c r="CJ761" s="2">
        <v>0</v>
      </c>
      <c r="CK761" s="2">
        <v>0.58201000000000003</v>
      </c>
      <c r="CT761" s="89">
        <v>144</v>
      </c>
      <c r="CU761" s="2">
        <v>58</v>
      </c>
      <c r="CV761" s="2">
        <v>0</v>
      </c>
      <c r="CW761" s="2">
        <v>1.9436</v>
      </c>
      <c r="DF761" s="89">
        <v>148</v>
      </c>
      <c r="DG761" s="2">
        <v>61</v>
      </c>
      <c r="DH761" s="2">
        <v>1</v>
      </c>
      <c r="DI761" s="2">
        <v>3.0000000000000001E-3</v>
      </c>
      <c r="DR761" s="89">
        <v>147</v>
      </c>
      <c r="DS761" s="2">
        <v>61</v>
      </c>
      <c r="DT761" s="2">
        <v>0</v>
      </c>
      <c r="DU761" s="2">
        <v>2.3E-2</v>
      </c>
      <c r="ED761" s="89">
        <v>150</v>
      </c>
      <c r="EE761" s="2">
        <v>60</v>
      </c>
      <c r="EF761" s="2">
        <v>0</v>
      </c>
      <c r="EG761" s="2">
        <v>0.35081099999999998</v>
      </c>
      <c r="ES761">
        <v>150</v>
      </c>
      <c r="ET761">
        <v>60</v>
      </c>
      <c r="EU761">
        <v>0</v>
      </c>
      <c r="EV761">
        <v>0.35081099999999998</v>
      </c>
    </row>
    <row r="762" spans="5:152" x14ac:dyDescent="0.4">
      <c r="E762">
        <v>0.13</v>
      </c>
      <c r="N762" s="89"/>
      <c r="O762" s="2"/>
      <c r="P762" s="2"/>
      <c r="Q762" s="2"/>
      <c r="Z762" s="89">
        <v>156</v>
      </c>
      <c r="AA762" s="2">
        <v>64</v>
      </c>
      <c r="AB762" s="2">
        <v>0</v>
      </c>
      <c r="AC762" s="2">
        <v>2E-3</v>
      </c>
      <c r="AL762" s="89">
        <v>146</v>
      </c>
      <c r="AM762" s="2">
        <v>61</v>
      </c>
      <c r="AN762" s="2">
        <v>0</v>
      </c>
      <c r="AO762" s="2">
        <v>3.0000000000000001E-3</v>
      </c>
      <c r="AX762" s="89">
        <v>151</v>
      </c>
      <c r="AY762" s="2">
        <v>62</v>
      </c>
      <c r="AZ762" s="2">
        <v>0</v>
      </c>
      <c r="BA762" s="2">
        <v>0.1</v>
      </c>
      <c r="BJ762" s="89">
        <v>155</v>
      </c>
      <c r="BK762" s="2">
        <v>61</v>
      </c>
      <c r="BL762" s="2">
        <v>0</v>
      </c>
      <c r="BM762" s="2">
        <v>1.2E-2</v>
      </c>
      <c r="BV762" s="89">
        <v>152</v>
      </c>
      <c r="BW762" s="2">
        <v>61</v>
      </c>
      <c r="BX762" s="2">
        <v>1</v>
      </c>
      <c r="BY762" s="2">
        <v>9.7701149999999994E-3</v>
      </c>
      <c r="CH762" s="89">
        <v>149</v>
      </c>
      <c r="CI762" s="2">
        <v>60</v>
      </c>
      <c r="CJ762" s="2">
        <v>0</v>
      </c>
      <c r="CK762" s="2">
        <v>0.38503999999999999</v>
      </c>
      <c r="CT762" s="89">
        <v>145</v>
      </c>
      <c r="CU762" s="2">
        <v>58</v>
      </c>
      <c r="CV762" s="2">
        <v>0</v>
      </c>
      <c r="CW762" s="2">
        <v>1.4575659999999999</v>
      </c>
      <c r="DF762" s="89">
        <v>149</v>
      </c>
      <c r="DG762" s="2">
        <v>61</v>
      </c>
      <c r="DH762" s="2">
        <v>0</v>
      </c>
      <c r="DI762" s="2">
        <v>0.66956009999999999</v>
      </c>
      <c r="DR762" s="89">
        <v>148</v>
      </c>
      <c r="DS762" s="2">
        <v>61</v>
      </c>
      <c r="DT762" s="2">
        <v>0</v>
      </c>
      <c r="DU762" s="2">
        <v>5.5999999999999999E-5</v>
      </c>
      <c r="ED762" s="89">
        <v>151</v>
      </c>
      <c r="EE762" s="2">
        <v>60</v>
      </c>
      <c r="EF762" s="2">
        <v>0</v>
      </c>
      <c r="EG762" s="2">
        <v>0.216</v>
      </c>
      <c r="ES762">
        <v>151</v>
      </c>
      <c r="ET762">
        <v>60</v>
      </c>
      <c r="EU762">
        <v>0</v>
      </c>
      <c r="EV762">
        <v>0.216</v>
      </c>
    </row>
    <row r="763" spans="5:152" x14ac:dyDescent="0.4">
      <c r="E763">
        <v>6.5000009999999997E-2</v>
      </c>
      <c r="N763" s="89"/>
      <c r="O763" s="2"/>
      <c r="P763" s="2"/>
      <c r="Q763" s="2"/>
      <c r="Z763" s="89">
        <v>158</v>
      </c>
      <c r="AA763" s="2">
        <v>64</v>
      </c>
      <c r="AB763" s="2">
        <v>0</v>
      </c>
      <c r="AC763" s="2">
        <v>1E-3</v>
      </c>
      <c r="AL763" s="89">
        <v>147</v>
      </c>
      <c r="AM763" s="2">
        <v>61</v>
      </c>
      <c r="AN763" s="2">
        <v>0</v>
      </c>
      <c r="AO763" s="2">
        <v>6.0000000000000001E-3</v>
      </c>
      <c r="AX763" s="89">
        <v>152</v>
      </c>
      <c r="AY763" s="2">
        <v>62</v>
      </c>
      <c r="AZ763" s="2">
        <v>0</v>
      </c>
      <c r="BA763" s="2">
        <v>6.0999999999999999E-2</v>
      </c>
      <c r="BJ763" s="89">
        <v>156</v>
      </c>
      <c r="BK763" s="2">
        <v>61</v>
      </c>
      <c r="BL763" s="2">
        <v>0</v>
      </c>
      <c r="BM763" s="2">
        <v>1.0999999999999999E-2</v>
      </c>
      <c r="BV763" s="89">
        <v>152</v>
      </c>
      <c r="BW763" s="2">
        <v>61</v>
      </c>
      <c r="BX763" s="2">
        <v>2</v>
      </c>
      <c r="BY763" s="2">
        <v>7.0344840000000006E-2</v>
      </c>
      <c r="CH763" s="89">
        <v>150</v>
      </c>
      <c r="CI763" s="2">
        <v>60</v>
      </c>
      <c r="CJ763" s="2">
        <v>0</v>
      </c>
      <c r="CK763" s="2">
        <v>0.27794600000000003</v>
      </c>
      <c r="CT763" s="89">
        <v>146</v>
      </c>
      <c r="CU763" s="2">
        <v>58</v>
      </c>
      <c r="CV763" s="2">
        <v>0</v>
      </c>
      <c r="CW763" s="2">
        <v>1.0904320000000001</v>
      </c>
      <c r="DF763" s="89">
        <v>150</v>
      </c>
      <c r="DG763" s="2">
        <v>61</v>
      </c>
      <c r="DH763" s="2">
        <v>0</v>
      </c>
      <c r="DI763" s="2">
        <v>1.9E-2</v>
      </c>
      <c r="DR763" s="89">
        <v>148</v>
      </c>
      <c r="DS763" s="2">
        <v>61</v>
      </c>
      <c r="DT763" s="2">
        <v>1</v>
      </c>
      <c r="DU763" s="2">
        <v>1E-3</v>
      </c>
      <c r="ED763" s="89">
        <v>152</v>
      </c>
      <c r="EE763" s="2">
        <v>60</v>
      </c>
      <c r="EF763" s="2">
        <v>0</v>
      </c>
      <c r="EG763" s="2">
        <v>0.13800000000000001</v>
      </c>
      <c r="ES763">
        <v>152</v>
      </c>
      <c r="ET763">
        <v>60</v>
      </c>
      <c r="EU763">
        <v>0</v>
      </c>
      <c r="EV763">
        <v>0.13800000000000001</v>
      </c>
    </row>
    <row r="764" spans="5:152" x14ac:dyDescent="0.4">
      <c r="E764">
        <v>2.5000000000000001E-2</v>
      </c>
      <c r="N764" s="89"/>
      <c r="O764" s="2"/>
      <c r="P764" s="2"/>
      <c r="Q764" s="2"/>
      <c r="Z764" s="89">
        <v>161</v>
      </c>
      <c r="AA764" s="2">
        <v>64</v>
      </c>
      <c r="AB764" s="2">
        <v>0</v>
      </c>
      <c r="AC764" s="2">
        <v>1E-3</v>
      </c>
      <c r="AL764" s="89">
        <v>148</v>
      </c>
      <c r="AM764" s="2">
        <v>61</v>
      </c>
      <c r="AN764" s="2">
        <v>0</v>
      </c>
      <c r="AO764" s="2">
        <v>1.12E-4</v>
      </c>
      <c r="AX764" s="89">
        <v>153</v>
      </c>
      <c r="AY764" s="2">
        <v>62</v>
      </c>
      <c r="AZ764" s="2">
        <v>0</v>
      </c>
      <c r="BA764" s="2">
        <v>3.2000000000000001E-2</v>
      </c>
      <c r="BJ764" s="89">
        <v>157</v>
      </c>
      <c r="BK764" s="2">
        <v>61</v>
      </c>
      <c r="BL764" s="2">
        <v>0</v>
      </c>
      <c r="BM764" s="2">
        <v>6.0000000000000001E-3</v>
      </c>
      <c r="BV764" s="89">
        <v>153</v>
      </c>
      <c r="BW764" s="2">
        <v>61</v>
      </c>
      <c r="BX764" s="2">
        <v>0</v>
      </c>
      <c r="BY764" s="2">
        <v>0.12700639999999999</v>
      </c>
      <c r="CH764" s="89">
        <v>151</v>
      </c>
      <c r="CI764" s="2">
        <v>60</v>
      </c>
      <c r="CJ764" s="2">
        <v>0</v>
      </c>
      <c r="CK764" s="2">
        <v>0.13</v>
      </c>
      <c r="CT764" s="89">
        <v>147</v>
      </c>
      <c r="CU764" s="2">
        <v>58</v>
      </c>
      <c r="CV764" s="2">
        <v>0</v>
      </c>
      <c r="CW764" s="2">
        <v>0.71102399999999999</v>
      </c>
      <c r="DF764" s="89">
        <v>151</v>
      </c>
      <c r="DG764" s="2">
        <v>61</v>
      </c>
      <c r="DH764" s="2">
        <v>0</v>
      </c>
      <c r="DI764" s="2">
        <v>0.3520604</v>
      </c>
      <c r="DR764" s="89">
        <v>149</v>
      </c>
      <c r="DS764" s="2">
        <v>61</v>
      </c>
      <c r="DT764" s="2">
        <v>0</v>
      </c>
      <c r="DU764" s="2">
        <v>2.0027E-2</v>
      </c>
      <c r="ED764" s="89">
        <v>153</v>
      </c>
      <c r="EE764" s="2">
        <v>60</v>
      </c>
      <c r="EF764" s="2">
        <v>0</v>
      </c>
      <c r="EG764" s="2">
        <v>5.0999999999999997E-2</v>
      </c>
      <c r="ES764">
        <v>153</v>
      </c>
      <c r="ET764">
        <v>60</v>
      </c>
      <c r="EU764">
        <v>0</v>
      </c>
      <c r="EV764">
        <v>5.0999999999999997E-2</v>
      </c>
    </row>
    <row r="765" spans="5:152" x14ac:dyDescent="0.4">
      <c r="E765">
        <v>0.01</v>
      </c>
      <c r="N765" s="89"/>
      <c r="O765" s="2"/>
      <c r="P765" s="2"/>
      <c r="Q765" s="2"/>
      <c r="Z765" s="89">
        <v>161</v>
      </c>
      <c r="AA765" s="2">
        <v>65</v>
      </c>
      <c r="AB765" s="2">
        <v>0</v>
      </c>
      <c r="AC765" s="2">
        <v>1E-3</v>
      </c>
      <c r="AL765" s="89">
        <v>148</v>
      </c>
      <c r="AM765" s="2">
        <v>61</v>
      </c>
      <c r="AN765" s="2">
        <v>1</v>
      </c>
      <c r="AO765" s="2">
        <v>2E-3</v>
      </c>
      <c r="AX765" s="89">
        <v>153</v>
      </c>
      <c r="AY765" s="2">
        <v>62</v>
      </c>
      <c r="AZ765" s="2">
        <v>1</v>
      </c>
      <c r="BA765" s="2">
        <v>4.0000000000000001E-3</v>
      </c>
      <c r="BJ765" s="89">
        <v>158</v>
      </c>
      <c r="BK765" s="2">
        <v>61</v>
      </c>
      <c r="BL765" s="2">
        <v>0</v>
      </c>
      <c r="BM765" s="2">
        <v>2E-3</v>
      </c>
      <c r="BV765" s="89">
        <v>154</v>
      </c>
      <c r="BW765" s="2">
        <v>61</v>
      </c>
      <c r="BX765" s="2">
        <v>0</v>
      </c>
      <c r="BY765" s="2">
        <v>7.8993599999999997E-2</v>
      </c>
      <c r="CH765" s="89">
        <v>152</v>
      </c>
      <c r="CI765" s="2">
        <v>60</v>
      </c>
      <c r="CJ765" s="2">
        <v>0</v>
      </c>
      <c r="CK765" s="2">
        <v>6.5000009999999997E-2</v>
      </c>
      <c r="CT765" s="89">
        <v>148</v>
      </c>
      <c r="CU765" s="2">
        <v>58</v>
      </c>
      <c r="CV765" s="2">
        <v>0</v>
      </c>
      <c r="CW765" s="2">
        <v>0.4924325</v>
      </c>
      <c r="DF765" s="89">
        <v>152</v>
      </c>
      <c r="DG765" s="2">
        <v>61</v>
      </c>
      <c r="DH765" s="2">
        <v>0</v>
      </c>
      <c r="DI765" s="2">
        <v>0.21065590000000001</v>
      </c>
      <c r="DR765" s="89">
        <v>150</v>
      </c>
      <c r="DS765" s="2">
        <v>61</v>
      </c>
      <c r="DT765" s="2">
        <v>0</v>
      </c>
      <c r="DU765" s="2">
        <v>1E-3</v>
      </c>
      <c r="ED765" s="89">
        <v>154</v>
      </c>
      <c r="EE765" s="2">
        <v>60</v>
      </c>
      <c r="EF765" s="2">
        <v>0</v>
      </c>
      <c r="EG765" s="2">
        <v>2.3E-2</v>
      </c>
      <c r="ES765">
        <v>154</v>
      </c>
      <c r="ET765">
        <v>60</v>
      </c>
      <c r="EU765">
        <v>0</v>
      </c>
      <c r="EV765">
        <v>2.3E-2</v>
      </c>
    </row>
    <row r="766" spans="5:152" x14ac:dyDescent="0.4">
      <c r="E766">
        <v>3.0000000000000001E-3</v>
      </c>
      <c r="N766" s="89"/>
      <c r="O766" s="2"/>
      <c r="P766" s="2"/>
      <c r="Q766" s="2"/>
      <c r="Z766" s="89">
        <v>161</v>
      </c>
      <c r="AA766" s="2">
        <v>66</v>
      </c>
      <c r="AB766" s="2">
        <v>0</v>
      </c>
      <c r="AC766" s="2">
        <v>2E-3</v>
      </c>
      <c r="AL766" s="89">
        <v>149</v>
      </c>
      <c r="AM766" s="2">
        <v>61</v>
      </c>
      <c r="AN766" s="2">
        <v>0</v>
      </c>
      <c r="AO766" s="2">
        <v>6.0000009999999996E-3</v>
      </c>
      <c r="AX766" s="89">
        <v>154</v>
      </c>
      <c r="AY766" s="2">
        <v>62</v>
      </c>
      <c r="AZ766" s="2">
        <v>0</v>
      </c>
      <c r="BA766" s="2">
        <v>1.9000199999999998E-2</v>
      </c>
      <c r="BJ766" s="89">
        <v>146</v>
      </c>
      <c r="BK766" s="2">
        <v>62</v>
      </c>
      <c r="BL766" s="2">
        <v>0</v>
      </c>
      <c r="BM766" s="2">
        <v>1.0200000000000001E-3</v>
      </c>
      <c r="BV766" s="89">
        <v>155</v>
      </c>
      <c r="BW766" s="2">
        <v>61</v>
      </c>
      <c r="BX766" s="2">
        <v>0</v>
      </c>
      <c r="BY766" s="2">
        <v>4.2000000000000003E-2</v>
      </c>
      <c r="CH766" s="89">
        <v>153</v>
      </c>
      <c r="CI766" s="2">
        <v>60</v>
      </c>
      <c r="CJ766" s="2">
        <v>0</v>
      </c>
      <c r="CK766" s="2">
        <v>2.5000000000000001E-2</v>
      </c>
      <c r="CT766" s="89">
        <v>149</v>
      </c>
      <c r="CU766" s="2">
        <v>58</v>
      </c>
      <c r="CV766" s="2">
        <v>0</v>
      </c>
      <c r="CW766" s="2">
        <v>0.26475949999999998</v>
      </c>
      <c r="DF766" s="89">
        <v>152</v>
      </c>
      <c r="DG766" s="2">
        <v>61</v>
      </c>
      <c r="DH766" s="2">
        <v>1</v>
      </c>
      <c r="DI766" s="2">
        <v>5.7777779999999999E-3</v>
      </c>
      <c r="DR766" s="89">
        <v>151</v>
      </c>
      <c r="DS766" s="2">
        <v>61</v>
      </c>
      <c r="DT766" s="2">
        <v>0</v>
      </c>
      <c r="DU766" s="2">
        <v>9.0000010000000005E-3</v>
      </c>
      <c r="ED766" s="89">
        <v>155</v>
      </c>
      <c r="EE766" s="2">
        <v>60</v>
      </c>
      <c r="EF766" s="2">
        <v>0</v>
      </c>
      <c r="EG766" s="2">
        <v>7.0271999999999999E-3</v>
      </c>
      <c r="ES766">
        <v>155</v>
      </c>
      <c r="ET766">
        <v>60</v>
      </c>
      <c r="EU766">
        <v>0</v>
      </c>
      <c r="EV766">
        <v>7.0271999999999999E-3</v>
      </c>
    </row>
    <row r="767" spans="5:152" x14ac:dyDescent="0.4">
      <c r="E767">
        <v>2E-3</v>
      </c>
      <c r="N767" s="89"/>
      <c r="O767" s="2"/>
      <c r="P767" s="2"/>
      <c r="Q767" s="2"/>
      <c r="Z767" s="89">
        <v>169</v>
      </c>
      <c r="AA767" s="2">
        <v>68</v>
      </c>
      <c r="AB767" s="2">
        <v>0</v>
      </c>
      <c r="AC767" s="2">
        <v>1E-3</v>
      </c>
      <c r="AL767" s="89">
        <v>150</v>
      </c>
      <c r="AM767" s="2">
        <v>61</v>
      </c>
      <c r="AN767" s="2">
        <v>0</v>
      </c>
      <c r="AO767" s="2">
        <v>3.0000000000000001E-3</v>
      </c>
      <c r="AX767" s="89">
        <v>155</v>
      </c>
      <c r="AY767" s="2">
        <v>62</v>
      </c>
      <c r="AZ767" s="2">
        <v>0</v>
      </c>
      <c r="BA767" s="2">
        <v>1.0999999999999999E-2</v>
      </c>
      <c r="BJ767" s="89">
        <v>147</v>
      </c>
      <c r="BK767" s="2">
        <v>62</v>
      </c>
      <c r="BL767" s="2">
        <v>0</v>
      </c>
      <c r="BM767" s="2">
        <v>0.53800000000000003</v>
      </c>
      <c r="BV767" s="89">
        <v>156</v>
      </c>
      <c r="BW767" s="2">
        <v>61</v>
      </c>
      <c r="BX767" s="2">
        <v>0</v>
      </c>
      <c r="BY767" s="2">
        <v>2.5999999999999999E-2</v>
      </c>
      <c r="CH767" s="89">
        <v>154</v>
      </c>
      <c r="CI767" s="2">
        <v>60</v>
      </c>
      <c r="CJ767" s="2">
        <v>0</v>
      </c>
      <c r="CK767" s="2">
        <v>0.01</v>
      </c>
      <c r="CT767" s="89">
        <v>150</v>
      </c>
      <c r="CU767" s="2">
        <v>58</v>
      </c>
      <c r="CV767" s="2">
        <v>0</v>
      </c>
      <c r="CW767" s="2">
        <v>0.12778400000000001</v>
      </c>
      <c r="DF767" s="89">
        <v>152</v>
      </c>
      <c r="DG767" s="2">
        <v>61</v>
      </c>
      <c r="DH767" s="2">
        <v>2</v>
      </c>
      <c r="DI767" s="2">
        <v>3.7555560000000002E-2</v>
      </c>
      <c r="DR767" s="89">
        <v>152</v>
      </c>
      <c r="DS767" s="2">
        <v>61</v>
      </c>
      <c r="DT767" s="2">
        <v>2</v>
      </c>
      <c r="DU767" s="2">
        <v>3.0000000000000001E-3</v>
      </c>
      <c r="ED767" s="89">
        <v>156</v>
      </c>
      <c r="EE767" s="2">
        <v>60</v>
      </c>
      <c r="EF767" s="2">
        <v>0</v>
      </c>
      <c r="EG767" s="2">
        <v>9.7280010000000004E-4</v>
      </c>
      <c r="ES767">
        <v>156</v>
      </c>
      <c r="ET767">
        <v>60</v>
      </c>
      <c r="EU767">
        <v>0</v>
      </c>
      <c r="EV767">
        <v>9.7280010000000004E-4</v>
      </c>
    </row>
    <row r="768" spans="5:152" x14ac:dyDescent="0.4">
      <c r="E768">
        <v>1.4999999999999999E-2</v>
      </c>
      <c r="N768" s="89"/>
      <c r="O768" s="2"/>
      <c r="P768" s="2"/>
      <c r="Q768" s="2"/>
      <c r="Z768" s="89">
        <v>169</v>
      </c>
      <c r="AA768" s="2">
        <v>69</v>
      </c>
      <c r="AB768" s="2">
        <v>0</v>
      </c>
      <c r="AC768" s="2">
        <v>1E-3</v>
      </c>
      <c r="AL768" s="89">
        <v>151</v>
      </c>
      <c r="AM768" s="2">
        <v>61</v>
      </c>
      <c r="AN768" s="2">
        <v>0</v>
      </c>
      <c r="AO768" s="2">
        <v>1E-3</v>
      </c>
      <c r="AX768" s="89">
        <v>156</v>
      </c>
      <c r="AY768" s="2">
        <v>62</v>
      </c>
      <c r="AZ768" s="2">
        <v>0</v>
      </c>
      <c r="BA768" s="2">
        <v>6.0000000000000001E-3</v>
      </c>
      <c r="BJ768" s="89">
        <v>148</v>
      </c>
      <c r="BK768" s="2">
        <v>62</v>
      </c>
      <c r="BL768" s="2">
        <v>0</v>
      </c>
      <c r="BM768" s="2">
        <v>4.1000000000000002E-2</v>
      </c>
      <c r="BV768" s="89">
        <v>157</v>
      </c>
      <c r="BW768" s="2">
        <v>61</v>
      </c>
      <c r="BX768" s="2">
        <v>0</v>
      </c>
      <c r="BY768" s="2">
        <v>6.0000000000000001E-3</v>
      </c>
      <c r="CH768" s="89">
        <v>155</v>
      </c>
      <c r="CI768" s="2">
        <v>60</v>
      </c>
      <c r="CJ768" s="2">
        <v>0</v>
      </c>
      <c r="CK768" s="2">
        <v>3.0000000000000001E-3</v>
      </c>
      <c r="CT768" s="89">
        <v>151</v>
      </c>
      <c r="CU768" s="2">
        <v>58</v>
      </c>
      <c r="CV768" s="2">
        <v>0</v>
      </c>
      <c r="CW768" s="2">
        <v>4.5120800000000003E-2</v>
      </c>
      <c r="DF768" s="89">
        <v>153</v>
      </c>
      <c r="DG768" s="2">
        <v>61</v>
      </c>
      <c r="DH768" s="2">
        <v>0</v>
      </c>
      <c r="DI768" s="2">
        <v>0.16495679999999999</v>
      </c>
      <c r="DR768" s="89">
        <v>153</v>
      </c>
      <c r="DS768" s="2">
        <v>61</v>
      </c>
      <c r="DT768" s="2">
        <v>0</v>
      </c>
      <c r="DU768" s="2">
        <v>4.0000000000000001E-3</v>
      </c>
      <c r="ED768" s="89">
        <v>145</v>
      </c>
      <c r="EE768" s="2">
        <v>61</v>
      </c>
      <c r="EF768" s="2">
        <v>0</v>
      </c>
      <c r="EG768" s="2">
        <v>1E-3</v>
      </c>
      <c r="ES768">
        <v>145</v>
      </c>
      <c r="ET768">
        <v>61</v>
      </c>
      <c r="EU768">
        <v>0</v>
      </c>
      <c r="EV768">
        <v>1E-3</v>
      </c>
    </row>
    <row r="769" spans="5:152" x14ac:dyDescent="0.4">
      <c r="E769">
        <v>1.4999999999999999E-2</v>
      </c>
      <c r="AL769" s="2">
        <v>146</v>
      </c>
      <c r="AM769" s="2">
        <v>62</v>
      </c>
      <c r="AN769" s="2">
        <v>0</v>
      </c>
      <c r="AO769" s="2">
        <v>1.0200000000000001E-3</v>
      </c>
      <c r="AX769" s="2">
        <v>157</v>
      </c>
      <c r="AY769" s="2">
        <v>62</v>
      </c>
      <c r="AZ769" s="2">
        <v>0</v>
      </c>
      <c r="BA769" s="2">
        <v>3.0000000000000001E-3</v>
      </c>
      <c r="BJ769" s="2">
        <v>149</v>
      </c>
      <c r="BK769" s="2">
        <v>62</v>
      </c>
      <c r="BL769" s="2">
        <v>0</v>
      </c>
      <c r="BM769" s="2">
        <v>0.26998499999999998</v>
      </c>
      <c r="BV769" s="2">
        <v>158</v>
      </c>
      <c r="BW769" s="2">
        <v>61</v>
      </c>
      <c r="BX769" s="2">
        <v>0</v>
      </c>
      <c r="BY769" s="2">
        <v>5.0000000000000001E-3</v>
      </c>
      <c r="CH769" s="2">
        <v>144</v>
      </c>
      <c r="CI769" s="2">
        <v>61</v>
      </c>
      <c r="CJ769" s="2">
        <v>0</v>
      </c>
      <c r="CK769" s="2">
        <v>2E-3</v>
      </c>
      <c r="CT769" s="2">
        <v>152</v>
      </c>
      <c r="CU769" s="2">
        <v>58</v>
      </c>
      <c r="CV769" s="2">
        <v>0</v>
      </c>
      <c r="CW769" s="2">
        <v>1.58792E-2</v>
      </c>
      <c r="DF769" s="2">
        <v>154</v>
      </c>
      <c r="DG769" s="2">
        <v>61</v>
      </c>
      <c r="DH769" s="2">
        <v>0</v>
      </c>
      <c r="DI769" s="2">
        <v>8.2993600000000001E-2</v>
      </c>
      <c r="DR769">
        <v>154</v>
      </c>
      <c r="DS769">
        <v>61</v>
      </c>
      <c r="DT769">
        <v>0</v>
      </c>
      <c r="DU769">
        <v>2E-3</v>
      </c>
      <c r="DW769">
        <v>154</v>
      </c>
      <c r="DX769">
        <v>61</v>
      </c>
      <c r="DY769">
        <v>0</v>
      </c>
      <c r="DZ769">
        <v>8.2993600000000001E-2</v>
      </c>
      <c r="ED769" s="2">
        <v>146</v>
      </c>
      <c r="EE769" s="2">
        <v>61</v>
      </c>
      <c r="EF769" s="2">
        <v>0</v>
      </c>
      <c r="EG769" s="2">
        <v>1E-3</v>
      </c>
      <c r="ES769">
        <v>146</v>
      </c>
      <c r="ET769">
        <v>61</v>
      </c>
      <c r="EU769">
        <v>0</v>
      </c>
      <c r="EV769">
        <v>1E-3</v>
      </c>
    </row>
    <row r="770" spans="5:152" x14ac:dyDescent="0.4">
      <c r="E770">
        <v>0.84300399999999998</v>
      </c>
      <c r="AL770" s="2">
        <v>147</v>
      </c>
      <c r="AM770" s="2">
        <v>62</v>
      </c>
      <c r="AN770" s="2">
        <v>0</v>
      </c>
      <c r="AO770" s="2">
        <v>6.0000000000000001E-3</v>
      </c>
      <c r="AX770" s="2">
        <v>158</v>
      </c>
      <c r="AY770" s="2">
        <v>62</v>
      </c>
      <c r="AZ770" s="2">
        <v>0</v>
      </c>
      <c r="BA770" s="2">
        <v>3.0000000000000001E-3</v>
      </c>
      <c r="BJ770" s="2">
        <v>150</v>
      </c>
      <c r="BK770" s="2">
        <v>62</v>
      </c>
      <c r="BL770" s="2">
        <v>0</v>
      </c>
      <c r="BM770" s="2">
        <v>7.8000009999999995E-2</v>
      </c>
      <c r="BV770" s="2">
        <v>159</v>
      </c>
      <c r="BW770" s="2">
        <v>61</v>
      </c>
      <c r="BX770" s="2">
        <v>0</v>
      </c>
      <c r="BY770" s="2">
        <v>1E-3</v>
      </c>
      <c r="CH770" s="2">
        <v>145</v>
      </c>
      <c r="CI770" s="2">
        <v>61</v>
      </c>
      <c r="CJ770" s="2">
        <v>0</v>
      </c>
      <c r="CK770" s="2">
        <v>1.4999999999999999E-2</v>
      </c>
      <c r="CT770" s="2">
        <v>153</v>
      </c>
      <c r="CU770" s="2">
        <v>58</v>
      </c>
      <c r="CV770" s="2">
        <v>0</v>
      </c>
      <c r="CW770" s="2">
        <v>6.0000000000000001E-3</v>
      </c>
      <c r="DF770" s="2">
        <v>155</v>
      </c>
      <c r="DG770" s="2">
        <v>61</v>
      </c>
      <c r="DH770" s="2">
        <v>0</v>
      </c>
      <c r="DI770" s="2">
        <v>4.8027199999999999E-2</v>
      </c>
      <c r="DR770">
        <v>155</v>
      </c>
      <c r="DS770">
        <v>61</v>
      </c>
      <c r="DT770">
        <v>0</v>
      </c>
      <c r="DU770">
        <v>2E-3</v>
      </c>
      <c r="DW770">
        <v>155</v>
      </c>
      <c r="DX770">
        <v>61</v>
      </c>
      <c r="DY770">
        <v>0</v>
      </c>
      <c r="DZ770">
        <v>4.8027199999999999E-2</v>
      </c>
      <c r="ED770" s="2">
        <v>147</v>
      </c>
      <c r="EE770" s="2">
        <v>61</v>
      </c>
      <c r="EF770" s="2">
        <v>0</v>
      </c>
      <c r="EG770" s="2">
        <v>0.8010041</v>
      </c>
      <c r="ES770">
        <v>147</v>
      </c>
      <c r="ET770">
        <v>61</v>
      </c>
      <c r="EU770">
        <v>0</v>
      </c>
      <c r="EV770">
        <v>0.8010041</v>
      </c>
    </row>
    <row r="771" spans="5:152" x14ac:dyDescent="0.4">
      <c r="E771">
        <v>1.040872E-2</v>
      </c>
      <c r="AL771" s="2">
        <v>148</v>
      </c>
      <c r="AM771" s="2">
        <v>62</v>
      </c>
      <c r="AN771" s="2">
        <v>0</v>
      </c>
      <c r="AO771" s="2">
        <v>4.0000000000000001E-3</v>
      </c>
      <c r="AX771" s="2">
        <v>151</v>
      </c>
      <c r="AY771" s="2">
        <v>63</v>
      </c>
      <c r="AZ771" s="2">
        <v>0</v>
      </c>
      <c r="BA771" s="2">
        <v>0.1</v>
      </c>
      <c r="BJ771" s="2">
        <v>151</v>
      </c>
      <c r="BK771" s="2">
        <v>62</v>
      </c>
      <c r="BL771" s="2">
        <v>0</v>
      </c>
      <c r="BM771" s="2">
        <v>0.14899999999999999</v>
      </c>
      <c r="BV771" s="2">
        <v>160</v>
      </c>
      <c r="BW771" s="2">
        <v>61</v>
      </c>
      <c r="BX771" s="2">
        <v>0</v>
      </c>
      <c r="BY771" s="2">
        <v>2E-3</v>
      </c>
      <c r="CH771" s="2">
        <v>146</v>
      </c>
      <c r="CI771" s="2">
        <v>61</v>
      </c>
      <c r="CJ771" s="2">
        <v>0</v>
      </c>
      <c r="CK771" s="2">
        <v>1.4999999999999999E-2</v>
      </c>
      <c r="CT771" s="2">
        <v>138</v>
      </c>
      <c r="CU771" s="2">
        <v>59</v>
      </c>
      <c r="CV771" s="2">
        <v>1</v>
      </c>
      <c r="CW771" s="2">
        <v>2E-3</v>
      </c>
      <c r="DF771" s="2">
        <v>156</v>
      </c>
      <c r="DG771" s="2">
        <v>61</v>
      </c>
      <c r="DH771" s="2">
        <v>0</v>
      </c>
      <c r="DI771" s="2">
        <v>1.69728E-2</v>
      </c>
      <c r="DR771">
        <v>147</v>
      </c>
      <c r="DS771">
        <v>62</v>
      </c>
      <c r="DT771">
        <v>0</v>
      </c>
      <c r="DU771">
        <v>2.3E-2</v>
      </c>
      <c r="DW771">
        <v>156</v>
      </c>
      <c r="DX771">
        <v>61</v>
      </c>
      <c r="DY771">
        <v>0</v>
      </c>
      <c r="DZ771">
        <v>1.69728E-2</v>
      </c>
      <c r="ED771" s="2">
        <v>148</v>
      </c>
      <c r="EE771" s="2">
        <v>61</v>
      </c>
      <c r="EF771" s="2">
        <v>0</v>
      </c>
      <c r="EG771" s="2">
        <v>2.176E-3</v>
      </c>
      <c r="ES771">
        <v>148</v>
      </c>
      <c r="ET771">
        <v>61</v>
      </c>
      <c r="EU771">
        <v>0</v>
      </c>
      <c r="EV771">
        <v>2.176E-3</v>
      </c>
    </row>
    <row r="772" spans="5:152" x14ac:dyDescent="0.4">
      <c r="E772">
        <v>8.1134830000000005E-2</v>
      </c>
      <c r="AL772" s="2">
        <v>149</v>
      </c>
      <c r="AM772" s="2">
        <v>62</v>
      </c>
      <c r="AN772" s="2">
        <v>0</v>
      </c>
      <c r="AO772" s="2">
        <v>9.0000010000000005E-3</v>
      </c>
      <c r="AX772" s="2">
        <v>153</v>
      </c>
      <c r="AY772" s="2">
        <v>63</v>
      </c>
      <c r="AZ772" s="2">
        <v>0</v>
      </c>
      <c r="BA772" s="2">
        <v>3.2000000000000001E-2</v>
      </c>
      <c r="BJ772" s="2">
        <v>152</v>
      </c>
      <c r="BK772" s="2">
        <v>62</v>
      </c>
      <c r="BL772" s="2">
        <v>0</v>
      </c>
      <c r="BM772" s="2">
        <v>0.136605</v>
      </c>
      <c r="BV772" s="2">
        <v>147</v>
      </c>
      <c r="BW772" s="2">
        <v>62</v>
      </c>
      <c r="BX772" s="2">
        <v>0</v>
      </c>
      <c r="BY772" s="2">
        <v>0.83074700000000001</v>
      </c>
      <c r="CH772" s="2">
        <v>147</v>
      </c>
      <c r="CI772" s="2">
        <v>61</v>
      </c>
      <c r="CJ772" s="2">
        <v>0</v>
      </c>
      <c r="CK772" s="2">
        <v>0.84300399999999998</v>
      </c>
      <c r="CT772" s="2">
        <v>139</v>
      </c>
      <c r="CU772" s="2">
        <v>59</v>
      </c>
      <c r="CV772" s="2">
        <v>0</v>
      </c>
      <c r="CW772" s="2">
        <v>3.0000000000000001E-3</v>
      </c>
      <c r="DF772" s="2">
        <v>157</v>
      </c>
      <c r="DG772" s="2">
        <v>61</v>
      </c>
      <c r="DH772" s="2">
        <v>0</v>
      </c>
      <c r="DI772" s="2">
        <v>8.0000000000000002E-3</v>
      </c>
      <c r="DR772">
        <v>148</v>
      </c>
      <c r="DS772">
        <v>62</v>
      </c>
      <c r="DT772">
        <v>0</v>
      </c>
      <c r="DU772">
        <v>1E-3</v>
      </c>
      <c r="DW772">
        <v>157</v>
      </c>
      <c r="DX772">
        <v>61</v>
      </c>
      <c r="DY772">
        <v>0</v>
      </c>
      <c r="DZ772">
        <v>8.0000000000000002E-3</v>
      </c>
      <c r="ED772" s="2">
        <v>148</v>
      </c>
      <c r="EE772" s="2">
        <v>61</v>
      </c>
      <c r="EF772" s="2">
        <v>1</v>
      </c>
      <c r="EG772" s="2">
        <v>2.1000000000000001E-2</v>
      </c>
      <c r="ES772">
        <v>148</v>
      </c>
      <c r="ET772">
        <v>61</v>
      </c>
      <c r="EU772">
        <v>1</v>
      </c>
      <c r="EV772">
        <v>2.1000000000000001E-2</v>
      </c>
    </row>
    <row r="773" spans="5:152" x14ac:dyDescent="0.4">
      <c r="E773">
        <v>0.52803999999999995</v>
      </c>
      <c r="AL773" s="2">
        <v>150</v>
      </c>
      <c r="AM773" s="2">
        <v>62</v>
      </c>
      <c r="AN773" s="2">
        <v>0</v>
      </c>
      <c r="AO773" s="2">
        <v>6.0000000000000001E-3</v>
      </c>
      <c r="AX773" s="2">
        <v>154</v>
      </c>
      <c r="AY773" s="2">
        <v>63</v>
      </c>
      <c r="AZ773" s="2">
        <v>0</v>
      </c>
      <c r="BA773" s="2">
        <v>1E-3</v>
      </c>
      <c r="BJ773" s="2">
        <v>153</v>
      </c>
      <c r="BK773" s="2">
        <v>62</v>
      </c>
      <c r="BL773" s="2">
        <v>0</v>
      </c>
      <c r="BM773" s="2">
        <v>8.2000000000000003E-2</v>
      </c>
      <c r="BV773" s="2">
        <v>148</v>
      </c>
      <c r="BW773" s="2">
        <v>62</v>
      </c>
      <c r="BX773" s="2">
        <v>0</v>
      </c>
      <c r="BY773" s="2">
        <v>8.0000000000000002E-3</v>
      </c>
      <c r="CH773" s="2">
        <v>148</v>
      </c>
      <c r="CI773" s="2">
        <v>61</v>
      </c>
      <c r="CJ773" s="2">
        <v>0</v>
      </c>
      <c r="CK773" s="2">
        <v>1.040872E-2</v>
      </c>
      <c r="CT773" s="2">
        <v>140</v>
      </c>
      <c r="CU773" s="2">
        <v>59</v>
      </c>
      <c r="CV773" s="2">
        <v>0</v>
      </c>
      <c r="CW773" s="2">
        <v>2.1999999999999999E-2</v>
      </c>
      <c r="DF773" s="2">
        <v>158</v>
      </c>
      <c r="DG773" s="2">
        <v>61</v>
      </c>
      <c r="DH773" s="2">
        <v>0</v>
      </c>
      <c r="DI773" s="2">
        <v>6.0000000000000001E-3</v>
      </c>
      <c r="DR773">
        <v>149</v>
      </c>
      <c r="DS773">
        <v>62</v>
      </c>
      <c r="DT773">
        <v>0</v>
      </c>
      <c r="DU773">
        <v>2.0027E-2</v>
      </c>
      <c r="DW773">
        <v>158</v>
      </c>
      <c r="DX773">
        <v>61</v>
      </c>
      <c r="DY773">
        <v>0</v>
      </c>
      <c r="DZ773">
        <v>6.0000000000000001E-3</v>
      </c>
      <c r="ED773" s="2">
        <v>149</v>
      </c>
      <c r="EE773" s="2">
        <v>61</v>
      </c>
      <c r="EF773" s="2">
        <v>0</v>
      </c>
      <c r="EG773" s="2">
        <v>0.52504899999999999</v>
      </c>
      <c r="ES773">
        <v>149</v>
      </c>
      <c r="ET773">
        <v>61</v>
      </c>
      <c r="EU773">
        <v>0</v>
      </c>
      <c r="EV773">
        <v>0.52504899999999999</v>
      </c>
    </row>
    <row r="774" spans="5:152" x14ac:dyDescent="0.4">
      <c r="E774">
        <v>0.17299999999999999</v>
      </c>
      <c r="AL774" s="2">
        <v>151</v>
      </c>
      <c r="AM774" s="2">
        <v>62</v>
      </c>
      <c r="AN774" s="2">
        <v>0</v>
      </c>
      <c r="AO774" s="2">
        <v>2E-3</v>
      </c>
      <c r="AX774" s="2">
        <v>154</v>
      </c>
      <c r="AY774" s="2">
        <v>63</v>
      </c>
      <c r="AZ774" s="2">
        <v>1</v>
      </c>
      <c r="BA774" s="2">
        <v>5.0000000000000001E-4</v>
      </c>
      <c r="BJ774" s="2">
        <v>153</v>
      </c>
      <c r="BK774" s="2">
        <v>62</v>
      </c>
      <c r="BL774" s="2">
        <v>1</v>
      </c>
      <c r="BM774" s="2">
        <v>2.2115389999999999E-2</v>
      </c>
      <c r="BV774" s="2">
        <v>149</v>
      </c>
      <c r="BW774" s="2">
        <v>62</v>
      </c>
      <c r="BX774" s="2">
        <v>0</v>
      </c>
      <c r="BY774" s="2">
        <v>0.50981980000000005</v>
      </c>
      <c r="CH774" s="2">
        <v>148</v>
      </c>
      <c r="CI774" s="2">
        <v>61</v>
      </c>
      <c r="CJ774" s="2">
        <v>1</v>
      </c>
      <c r="CK774" s="2">
        <v>8.1134830000000005E-2</v>
      </c>
      <c r="CT774" s="2">
        <v>141</v>
      </c>
      <c r="CU774" s="2">
        <v>59</v>
      </c>
      <c r="CV774" s="2">
        <v>0</v>
      </c>
      <c r="CW774" s="2">
        <v>2.7482350000000002</v>
      </c>
      <c r="DF774" s="2">
        <v>159</v>
      </c>
      <c r="DG774" s="2">
        <v>61</v>
      </c>
      <c r="DH774" s="2">
        <v>0</v>
      </c>
      <c r="DI774" s="2">
        <v>3.0000000000000001E-3</v>
      </c>
      <c r="DR774">
        <v>150</v>
      </c>
      <c r="DS774">
        <v>62</v>
      </c>
      <c r="DT774">
        <v>0</v>
      </c>
      <c r="DU774">
        <v>1E-3</v>
      </c>
      <c r="DW774">
        <v>159</v>
      </c>
      <c r="DX774">
        <v>61</v>
      </c>
      <c r="DY774">
        <v>0</v>
      </c>
      <c r="DZ774">
        <v>3.0000000000000001E-3</v>
      </c>
      <c r="ED774" s="2">
        <v>150</v>
      </c>
      <c r="EE774" s="2">
        <v>61</v>
      </c>
      <c r="EF774" s="2">
        <v>0</v>
      </c>
      <c r="EG774" s="2">
        <v>6.7000000000000004E-2</v>
      </c>
      <c r="ES774">
        <v>150</v>
      </c>
      <c r="ET774">
        <v>61</v>
      </c>
      <c r="EU774">
        <v>0</v>
      </c>
      <c r="EV774">
        <v>6.7000000000000004E-2</v>
      </c>
    </row>
    <row r="775" spans="5:152" x14ac:dyDescent="0.4">
      <c r="E775">
        <v>0.313</v>
      </c>
      <c r="AL775" s="2">
        <v>152</v>
      </c>
      <c r="AM775" s="2">
        <v>62</v>
      </c>
      <c r="AN775" s="2">
        <v>0</v>
      </c>
      <c r="AO775" s="2">
        <v>7.2099999999999996E-4</v>
      </c>
      <c r="AX775" s="2">
        <v>155</v>
      </c>
      <c r="AY775" s="2">
        <v>63</v>
      </c>
      <c r="AZ775" s="2">
        <v>0</v>
      </c>
      <c r="BA775" s="2">
        <v>1.4E-2</v>
      </c>
      <c r="BJ775" s="2">
        <v>154</v>
      </c>
      <c r="BK775" s="2">
        <v>62</v>
      </c>
      <c r="BL775" s="2">
        <v>0</v>
      </c>
      <c r="BM775" s="2">
        <v>5.3002199999999999E-2</v>
      </c>
      <c r="BV775" s="2">
        <v>150</v>
      </c>
      <c r="BW775" s="2">
        <v>62</v>
      </c>
      <c r="BX775" s="2">
        <v>0</v>
      </c>
      <c r="BY775" s="2">
        <v>5.7000000000000002E-2</v>
      </c>
      <c r="CH775" s="2">
        <v>149</v>
      </c>
      <c r="CI775" s="2">
        <v>61</v>
      </c>
      <c r="CJ775" s="2">
        <v>0</v>
      </c>
      <c r="CK775" s="2">
        <v>0.52803999999999995</v>
      </c>
      <c r="CT775" s="2">
        <v>142</v>
      </c>
      <c r="CU775" s="2">
        <v>59</v>
      </c>
      <c r="CV775" s="2">
        <v>0</v>
      </c>
      <c r="CW775" s="2">
        <v>0.11</v>
      </c>
      <c r="DF775" s="2">
        <v>160</v>
      </c>
      <c r="DG775" s="2">
        <v>61</v>
      </c>
      <c r="DH775" s="2">
        <v>0</v>
      </c>
      <c r="DI775" s="2">
        <v>1E-3</v>
      </c>
      <c r="DR775">
        <v>151</v>
      </c>
      <c r="DS775">
        <v>62</v>
      </c>
      <c r="DT775">
        <v>0</v>
      </c>
      <c r="DU775">
        <v>1.0999999999999999E-2</v>
      </c>
      <c r="DW775">
        <v>160</v>
      </c>
      <c r="DX775">
        <v>61</v>
      </c>
      <c r="DY775">
        <v>0</v>
      </c>
      <c r="DZ775">
        <v>1E-3</v>
      </c>
      <c r="ED775" s="2">
        <v>151</v>
      </c>
      <c r="EE775" s="2">
        <v>61</v>
      </c>
      <c r="EF775" s="2">
        <v>0</v>
      </c>
      <c r="EG775" s="2">
        <v>0.308</v>
      </c>
      <c r="ES775">
        <v>151</v>
      </c>
      <c r="ET775">
        <v>61</v>
      </c>
      <c r="EU775">
        <v>0</v>
      </c>
      <c r="EV775">
        <v>0.308</v>
      </c>
    </row>
    <row r="776" spans="5:152" x14ac:dyDescent="0.4">
      <c r="E776">
        <v>7.5508939999999997E-2</v>
      </c>
      <c r="AL776" s="2">
        <v>153</v>
      </c>
      <c r="AM776" s="2">
        <v>62</v>
      </c>
      <c r="AN776" s="2">
        <v>0</v>
      </c>
      <c r="AO776" s="2">
        <v>1E-3</v>
      </c>
      <c r="AX776" s="2">
        <v>156</v>
      </c>
      <c r="AY776" s="2">
        <v>63</v>
      </c>
      <c r="AZ776" s="2">
        <v>0</v>
      </c>
      <c r="BA776" s="2">
        <v>8.0000000000000002E-3</v>
      </c>
      <c r="BJ776" s="2">
        <v>155</v>
      </c>
      <c r="BK776" s="2">
        <v>62</v>
      </c>
      <c r="BL776" s="2">
        <v>0</v>
      </c>
      <c r="BM776" s="2">
        <v>3.9E-2</v>
      </c>
      <c r="BV776" s="2">
        <v>151</v>
      </c>
      <c r="BW776" s="2">
        <v>62</v>
      </c>
      <c r="BX776" s="2">
        <v>0</v>
      </c>
      <c r="BY776" s="2">
        <v>0.28899999999999998</v>
      </c>
      <c r="CH776" s="2">
        <v>150</v>
      </c>
      <c r="CI776" s="2">
        <v>61</v>
      </c>
      <c r="CJ776" s="2">
        <v>0</v>
      </c>
      <c r="CK776" s="2">
        <v>0.17299999999999999</v>
      </c>
      <c r="CT776" s="2">
        <v>142</v>
      </c>
      <c r="CU776" s="2">
        <v>59</v>
      </c>
      <c r="CV776" s="2">
        <v>1</v>
      </c>
      <c r="CW776" s="2">
        <v>0.1</v>
      </c>
      <c r="DF776" s="2">
        <v>147</v>
      </c>
      <c r="DG776" s="2">
        <v>62</v>
      </c>
      <c r="DH776" s="2">
        <v>0</v>
      </c>
      <c r="DI776" s="2">
        <v>1.14307</v>
      </c>
      <c r="DR776">
        <v>152</v>
      </c>
      <c r="DS776">
        <v>62</v>
      </c>
      <c r="DT776">
        <v>0</v>
      </c>
      <c r="DU776">
        <v>4.0000000000000001E-3</v>
      </c>
      <c r="DW776">
        <v>147</v>
      </c>
      <c r="DX776">
        <v>62</v>
      </c>
      <c r="DY776">
        <v>0</v>
      </c>
      <c r="DZ776">
        <v>1.14307</v>
      </c>
      <c r="ED776" s="2">
        <v>152</v>
      </c>
      <c r="EE776" s="2">
        <v>61</v>
      </c>
      <c r="EF776" s="2">
        <v>0</v>
      </c>
      <c r="EG776" s="2">
        <v>0.14295369999999999</v>
      </c>
      <c r="ES776">
        <v>152</v>
      </c>
      <c r="ET776">
        <v>61</v>
      </c>
      <c r="EU776">
        <v>0</v>
      </c>
      <c r="EV776">
        <v>0.14295369999999999</v>
      </c>
    </row>
    <row r="777" spans="5:152" x14ac:dyDescent="0.4">
      <c r="E777">
        <v>1.8151790000000001E-2</v>
      </c>
      <c r="AL777" s="2">
        <v>153</v>
      </c>
      <c r="AM777" s="2">
        <v>62</v>
      </c>
      <c r="AN777" s="2">
        <v>1</v>
      </c>
      <c r="AO777" s="2">
        <v>1E-3</v>
      </c>
      <c r="AX777" s="2">
        <v>157</v>
      </c>
      <c r="AY777" s="2">
        <v>63</v>
      </c>
      <c r="AZ777" s="2">
        <v>0</v>
      </c>
      <c r="BA777" s="2">
        <v>8.9999999999999993E-3</v>
      </c>
      <c r="BJ777" s="2">
        <v>156</v>
      </c>
      <c r="BK777" s="2">
        <v>62</v>
      </c>
      <c r="BL777" s="2">
        <v>0</v>
      </c>
      <c r="BM777" s="2">
        <v>2.3E-2</v>
      </c>
      <c r="BV777" s="2">
        <v>152</v>
      </c>
      <c r="BW777" s="2">
        <v>62</v>
      </c>
      <c r="BX777" s="2">
        <v>0</v>
      </c>
      <c r="BY777" s="2">
        <v>0.19472100000000001</v>
      </c>
      <c r="CH777" s="2">
        <v>151</v>
      </c>
      <c r="CI777" s="2">
        <v>61</v>
      </c>
      <c r="CJ777" s="2">
        <v>0</v>
      </c>
      <c r="CK777" s="2">
        <v>0.313</v>
      </c>
      <c r="CT777" s="2">
        <v>143</v>
      </c>
      <c r="CU777" s="2">
        <v>59</v>
      </c>
      <c r="CV777" s="2">
        <v>0</v>
      </c>
      <c r="CW777" s="2">
        <v>2.479476</v>
      </c>
      <c r="DF777" s="2">
        <v>148</v>
      </c>
      <c r="DG777" s="2">
        <v>62</v>
      </c>
      <c r="DH777" s="2">
        <v>0</v>
      </c>
      <c r="DI777" s="2">
        <v>3.0000000000000001E-3</v>
      </c>
      <c r="DR777">
        <v>153</v>
      </c>
      <c r="DS777">
        <v>62</v>
      </c>
      <c r="DT777">
        <v>0</v>
      </c>
      <c r="DU777">
        <v>5.0000000000000001E-3</v>
      </c>
      <c r="DW777">
        <v>148</v>
      </c>
      <c r="DX777">
        <v>62</v>
      </c>
      <c r="DY777">
        <v>0</v>
      </c>
      <c r="DZ777">
        <v>3.0000000000000001E-3</v>
      </c>
      <c r="ED777" s="2">
        <v>152</v>
      </c>
      <c r="EE777" s="2">
        <v>61</v>
      </c>
      <c r="EF777" s="2">
        <v>1</v>
      </c>
      <c r="EG777" s="2">
        <v>1.981482E-2</v>
      </c>
      <c r="ES777">
        <v>152</v>
      </c>
      <c r="ET777">
        <v>61</v>
      </c>
      <c r="EU777">
        <v>1</v>
      </c>
      <c r="EV777">
        <v>1.981482E-2</v>
      </c>
    </row>
    <row r="778" spans="5:152" x14ac:dyDescent="0.4">
      <c r="E778">
        <v>7.8339290000000006E-2</v>
      </c>
      <c r="AL778" s="2">
        <v>150</v>
      </c>
      <c r="AM778" s="2">
        <v>63</v>
      </c>
      <c r="AN778" s="2">
        <v>0</v>
      </c>
      <c r="AO778" s="2">
        <v>1E-3</v>
      </c>
      <c r="AX778" s="2">
        <v>158</v>
      </c>
      <c r="AY778" s="2">
        <v>63</v>
      </c>
      <c r="AZ778" s="2">
        <v>0</v>
      </c>
      <c r="BA778" s="2">
        <v>7.0000000000000001E-3</v>
      </c>
      <c r="BJ778" s="2">
        <v>157</v>
      </c>
      <c r="BK778" s="2">
        <v>62</v>
      </c>
      <c r="BL778" s="2">
        <v>0</v>
      </c>
      <c r="BM778" s="2">
        <v>1.0999999999999999E-2</v>
      </c>
      <c r="BV778" s="2">
        <v>153</v>
      </c>
      <c r="BW778" s="2">
        <v>62</v>
      </c>
      <c r="BX778" s="2">
        <v>0</v>
      </c>
      <c r="BY778" s="2">
        <v>0.1650064</v>
      </c>
      <c r="CH778" s="2">
        <v>152</v>
      </c>
      <c r="CI778" s="2">
        <v>61</v>
      </c>
      <c r="CJ778" s="2">
        <v>0</v>
      </c>
      <c r="CK778" s="2">
        <v>7.5508939999999997E-2</v>
      </c>
      <c r="CT778" s="2">
        <v>144</v>
      </c>
      <c r="CU778" s="2">
        <v>59</v>
      </c>
      <c r="CV778" s="2">
        <v>0</v>
      </c>
      <c r="CW778" s="2">
        <v>2.2933859999999999</v>
      </c>
      <c r="DF778" s="2">
        <v>149</v>
      </c>
      <c r="DG778" s="2">
        <v>62</v>
      </c>
      <c r="DH778" s="2">
        <v>0</v>
      </c>
      <c r="DI778" s="2">
        <v>0.66956009999999999</v>
      </c>
      <c r="DR778">
        <v>153</v>
      </c>
      <c r="DS778">
        <v>62</v>
      </c>
      <c r="DT778">
        <v>1</v>
      </c>
      <c r="DU778">
        <v>1E-3</v>
      </c>
      <c r="DW778">
        <v>149</v>
      </c>
      <c r="DX778">
        <v>62</v>
      </c>
      <c r="DY778">
        <v>0</v>
      </c>
      <c r="DZ778">
        <v>0.66956009999999999</v>
      </c>
      <c r="ED778" s="2">
        <v>152</v>
      </c>
      <c r="EE778" s="2">
        <v>61</v>
      </c>
      <c r="EF778" s="2">
        <v>2</v>
      </c>
      <c r="EG778" s="2">
        <v>8.2231479999999996E-2</v>
      </c>
      <c r="ES778">
        <v>152</v>
      </c>
      <c r="ET778">
        <v>61</v>
      </c>
      <c r="EU778">
        <v>2</v>
      </c>
      <c r="EV778">
        <v>8.2231479999999996E-2</v>
      </c>
    </row>
    <row r="779" spans="5:152" x14ac:dyDescent="0.4">
      <c r="E779">
        <v>0.114</v>
      </c>
      <c r="AL779" s="2">
        <v>151</v>
      </c>
      <c r="AM779" s="2">
        <v>63</v>
      </c>
      <c r="AN779" s="2">
        <v>0</v>
      </c>
      <c r="AO779" s="2">
        <v>2E-3</v>
      </c>
      <c r="AX779" s="2">
        <v>159</v>
      </c>
      <c r="AY779" s="2">
        <v>63</v>
      </c>
      <c r="AZ779" s="2">
        <v>0</v>
      </c>
      <c r="BA779" s="2">
        <v>2E-3</v>
      </c>
      <c r="BJ779" s="2">
        <v>158</v>
      </c>
      <c r="BK779" s="2">
        <v>62</v>
      </c>
      <c r="BL779" s="2">
        <v>0</v>
      </c>
      <c r="BM779" s="2">
        <v>5.0000000000000001E-3</v>
      </c>
      <c r="BV779" s="2">
        <v>153</v>
      </c>
      <c r="BW779" s="2">
        <v>62</v>
      </c>
      <c r="BX779" s="2">
        <v>1</v>
      </c>
      <c r="BY779" s="2">
        <v>3.5999999999999997E-2</v>
      </c>
      <c r="CH779" s="2">
        <v>152</v>
      </c>
      <c r="CI779" s="2">
        <v>61</v>
      </c>
      <c r="CJ779" s="2">
        <v>1</v>
      </c>
      <c r="CK779" s="2">
        <v>1.8151790000000001E-2</v>
      </c>
      <c r="CT779" s="2">
        <v>144</v>
      </c>
      <c r="CU779" s="2">
        <v>59</v>
      </c>
      <c r="CV779" s="2">
        <v>1</v>
      </c>
      <c r="CW779" s="2">
        <v>0.35735139999999999</v>
      </c>
      <c r="DF779" s="2">
        <v>150</v>
      </c>
      <c r="DG779" s="2">
        <v>62</v>
      </c>
      <c r="DH779" s="2">
        <v>0</v>
      </c>
      <c r="DI779" s="2">
        <v>1.9E-2</v>
      </c>
      <c r="DR779">
        <v>154</v>
      </c>
      <c r="DS779">
        <v>62</v>
      </c>
      <c r="DT779">
        <v>0</v>
      </c>
      <c r="DU779">
        <v>5.0000000000000001E-3</v>
      </c>
      <c r="DW779">
        <v>150</v>
      </c>
      <c r="DX779">
        <v>62</v>
      </c>
      <c r="DY779">
        <v>0</v>
      </c>
      <c r="DZ779">
        <v>1.9E-2</v>
      </c>
      <c r="ED779" s="2">
        <v>153</v>
      </c>
      <c r="EE779" s="2">
        <v>61</v>
      </c>
      <c r="EF779" s="2">
        <v>0</v>
      </c>
      <c r="EG779" s="2">
        <v>0.13900000000000001</v>
      </c>
      <c r="ES779">
        <v>153</v>
      </c>
      <c r="ET779">
        <v>61</v>
      </c>
      <c r="EU779">
        <v>0</v>
      </c>
      <c r="EV779">
        <v>0.13900000000000001</v>
      </c>
    </row>
    <row r="780" spans="5:152" x14ac:dyDescent="0.4">
      <c r="E780">
        <v>5.7000000000000002E-2</v>
      </c>
      <c r="AL780" s="2">
        <v>152</v>
      </c>
      <c r="AM780" s="2">
        <v>63</v>
      </c>
      <c r="AN780" s="2">
        <v>0</v>
      </c>
      <c r="AO780" s="2">
        <v>1E-3</v>
      </c>
      <c r="AX780" s="2">
        <v>160</v>
      </c>
      <c r="AY780" s="2">
        <v>63</v>
      </c>
      <c r="AZ780" s="2">
        <v>0</v>
      </c>
      <c r="BA780" s="2">
        <v>2E-3</v>
      </c>
      <c r="BJ780" s="2">
        <v>162</v>
      </c>
      <c r="BK780" s="2">
        <v>62</v>
      </c>
      <c r="BL780" s="2">
        <v>0</v>
      </c>
      <c r="BM780" s="2">
        <v>1E-3</v>
      </c>
      <c r="BV780" s="2">
        <v>154</v>
      </c>
      <c r="BW780" s="2">
        <v>62</v>
      </c>
      <c r="BX780" s="2">
        <v>0</v>
      </c>
      <c r="BY780" s="2">
        <v>0.115995</v>
      </c>
      <c r="CH780" s="2">
        <v>152</v>
      </c>
      <c r="CI780" s="2">
        <v>61</v>
      </c>
      <c r="CJ780" s="2">
        <v>2</v>
      </c>
      <c r="CK780" s="2">
        <v>7.8339290000000006E-2</v>
      </c>
      <c r="CT780" s="2">
        <v>145</v>
      </c>
      <c r="CU780" s="2">
        <v>59</v>
      </c>
      <c r="CV780" s="2">
        <v>0</v>
      </c>
      <c r="CW780" s="2">
        <v>1.9675659999999999</v>
      </c>
      <c r="DF780" s="2">
        <v>151</v>
      </c>
      <c r="DG780" s="2">
        <v>62</v>
      </c>
      <c r="DH780" s="2">
        <v>0</v>
      </c>
      <c r="DI780" s="2">
        <v>0.36506040000000001</v>
      </c>
      <c r="DR780">
        <v>155</v>
      </c>
      <c r="DS780">
        <v>62</v>
      </c>
      <c r="DT780">
        <v>0</v>
      </c>
      <c r="DU780">
        <v>2E-3</v>
      </c>
      <c r="DW780">
        <v>151</v>
      </c>
      <c r="DX780">
        <v>62</v>
      </c>
      <c r="DY780">
        <v>0</v>
      </c>
      <c r="DZ780">
        <v>0.36506040000000001</v>
      </c>
      <c r="ED780" s="2">
        <v>154</v>
      </c>
      <c r="EE780" s="2">
        <v>61</v>
      </c>
      <c r="EF780" s="2">
        <v>0</v>
      </c>
      <c r="EG780" s="2">
        <v>7.0000010000000001E-2</v>
      </c>
      <c r="ES780">
        <v>154</v>
      </c>
      <c r="ET780">
        <v>61</v>
      </c>
      <c r="EU780">
        <v>0</v>
      </c>
      <c r="EV780">
        <v>7.0000010000000001E-2</v>
      </c>
    </row>
    <row r="781" spans="5:152" x14ac:dyDescent="0.4">
      <c r="E781">
        <v>1.4E-2</v>
      </c>
      <c r="AL781" s="2">
        <v>152</v>
      </c>
      <c r="AM781" s="2">
        <v>63</v>
      </c>
      <c r="AN781" s="2">
        <v>2</v>
      </c>
      <c r="AO781" s="2">
        <v>1E-3</v>
      </c>
      <c r="AX781" s="2">
        <v>161</v>
      </c>
      <c r="AY781" s="2">
        <v>63</v>
      </c>
      <c r="AZ781" s="2">
        <v>0</v>
      </c>
      <c r="BA781" s="2">
        <v>2E-3</v>
      </c>
      <c r="BJ781" s="2">
        <v>151</v>
      </c>
      <c r="BK781" s="2">
        <v>63</v>
      </c>
      <c r="BL781" s="2">
        <v>0</v>
      </c>
      <c r="BM781" s="2">
        <v>0.152</v>
      </c>
      <c r="BV781" s="2">
        <v>155</v>
      </c>
      <c r="BW781" s="2">
        <v>62</v>
      </c>
      <c r="BX781" s="2">
        <v>0</v>
      </c>
      <c r="BY781" s="2">
        <v>7.6000010000000007E-2</v>
      </c>
      <c r="CH781" s="2">
        <v>153</v>
      </c>
      <c r="CI781" s="2">
        <v>61</v>
      </c>
      <c r="CJ781" s="2">
        <v>0</v>
      </c>
      <c r="CK781" s="2">
        <v>0.114</v>
      </c>
      <c r="CT781" s="2">
        <v>146</v>
      </c>
      <c r="CU781" s="2">
        <v>59</v>
      </c>
      <c r="CV781" s="2">
        <v>0</v>
      </c>
      <c r="CW781" s="2">
        <v>1.881432</v>
      </c>
      <c r="DF781" s="2">
        <v>152</v>
      </c>
      <c r="DG781" s="2">
        <v>62</v>
      </c>
      <c r="DH781" s="2">
        <v>0</v>
      </c>
      <c r="DI781" s="2">
        <v>0.26798919999999998</v>
      </c>
      <c r="DR781">
        <v>156</v>
      </c>
      <c r="DS781">
        <v>62</v>
      </c>
      <c r="DT781">
        <v>0</v>
      </c>
      <c r="DU781">
        <v>2E-3</v>
      </c>
      <c r="DW781">
        <v>152</v>
      </c>
      <c r="DX781">
        <v>62</v>
      </c>
      <c r="DY781">
        <v>0</v>
      </c>
      <c r="DZ781">
        <v>0.26798919999999998</v>
      </c>
      <c r="ED781" s="2">
        <v>155</v>
      </c>
      <c r="EE781" s="2">
        <v>61</v>
      </c>
      <c r="EF781" s="2">
        <v>0</v>
      </c>
      <c r="EG781" s="2">
        <v>4.5027200000000003E-2</v>
      </c>
      <c r="ES781">
        <v>155</v>
      </c>
      <c r="ET781">
        <v>61</v>
      </c>
      <c r="EU781">
        <v>0</v>
      </c>
      <c r="EV781">
        <v>4.5027200000000003E-2</v>
      </c>
    </row>
    <row r="782" spans="5:152" x14ac:dyDescent="0.4">
      <c r="E782">
        <v>6.0000000000000001E-3</v>
      </c>
      <c r="AL782" s="2">
        <v>153</v>
      </c>
      <c r="AM782" s="2">
        <v>63</v>
      </c>
      <c r="AN782" s="2">
        <v>0</v>
      </c>
      <c r="AO782" s="2">
        <v>3.0000000000000001E-3</v>
      </c>
      <c r="AX782" s="2">
        <v>154</v>
      </c>
      <c r="AY782" s="2">
        <v>64</v>
      </c>
      <c r="AZ782" s="2">
        <v>0</v>
      </c>
      <c r="BA782" s="2">
        <v>9.9979999999999991E-4</v>
      </c>
      <c r="BJ782" s="2">
        <v>152</v>
      </c>
      <c r="BK782" s="2">
        <v>63</v>
      </c>
      <c r="BL782" s="2">
        <v>0</v>
      </c>
      <c r="BM782" s="2">
        <v>5.0000000000000001E-3</v>
      </c>
      <c r="BV782" s="2">
        <v>156</v>
      </c>
      <c r="BW782" s="2">
        <v>62</v>
      </c>
      <c r="BX782" s="2">
        <v>0</v>
      </c>
      <c r="BY782" s="2">
        <v>5.2999999999999999E-2</v>
      </c>
      <c r="CH782" s="2">
        <v>154</v>
      </c>
      <c r="CI782" s="2">
        <v>61</v>
      </c>
      <c r="CJ782" s="2">
        <v>0</v>
      </c>
      <c r="CK782" s="2">
        <v>5.7000000000000002E-2</v>
      </c>
      <c r="CT782" s="2">
        <v>147</v>
      </c>
      <c r="CU782" s="2">
        <v>59</v>
      </c>
      <c r="CV782" s="2">
        <v>0</v>
      </c>
      <c r="CW782" s="2">
        <v>1.5110239999999999</v>
      </c>
      <c r="DF782" s="2">
        <v>153</v>
      </c>
      <c r="DG782" s="2">
        <v>62</v>
      </c>
      <c r="DH782" s="2">
        <v>0</v>
      </c>
      <c r="DI782" s="2">
        <v>0.19095680000000001</v>
      </c>
      <c r="DR782">
        <v>157</v>
      </c>
      <c r="DS782">
        <v>62</v>
      </c>
      <c r="DT782">
        <v>0</v>
      </c>
      <c r="DU782">
        <v>1E-3</v>
      </c>
      <c r="DW782">
        <v>153</v>
      </c>
      <c r="DX782">
        <v>62</v>
      </c>
      <c r="DY782">
        <v>0</v>
      </c>
      <c r="DZ782">
        <v>0.19095680000000001</v>
      </c>
      <c r="ED782" s="2">
        <v>156</v>
      </c>
      <c r="EE782" s="2">
        <v>61</v>
      </c>
      <c r="EF782" s="2">
        <v>0</v>
      </c>
      <c r="EG782" s="2">
        <v>8.9727999999999995E-3</v>
      </c>
      <c r="ES782">
        <v>156</v>
      </c>
      <c r="ET782">
        <v>61</v>
      </c>
      <c r="EU782">
        <v>0</v>
      </c>
      <c r="EV782">
        <v>8.9727999999999995E-3</v>
      </c>
    </row>
    <row r="783" spans="5:152" x14ac:dyDescent="0.4">
      <c r="E783">
        <v>3.0000000000000001E-3</v>
      </c>
      <c r="AL783" s="2">
        <v>152</v>
      </c>
      <c r="AM783" s="2">
        <v>64</v>
      </c>
      <c r="AN783" s="2">
        <v>0</v>
      </c>
      <c r="AO783" s="2">
        <v>2.7900000000000001E-4</v>
      </c>
      <c r="AX783" s="2">
        <v>155</v>
      </c>
      <c r="AY783" s="2">
        <v>64</v>
      </c>
      <c r="AZ783" s="2">
        <v>0</v>
      </c>
      <c r="BA783" s="2">
        <v>1.4E-2</v>
      </c>
      <c r="BJ783" s="2">
        <v>152</v>
      </c>
      <c r="BK783" s="2">
        <v>63</v>
      </c>
      <c r="BL783" s="2">
        <v>2</v>
      </c>
      <c r="BM783" s="2">
        <v>4.0000000000000001E-3</v>
      </c>
      <c r="BV783" s="2">
        <v>157</v>
      </c>
      <c r="BW783" s="2">
        <v>62</v>
      </c>
      <c r="BX783" s="2">
        <v>0</v>
      </c>
      <c r="BY783" s="2">
        <v>2.9000000000000001E-2</v>
      </c>
      <c r="CH783" s="2">
        <v>155</v>
      </c>
      <c r="CI783" s="2">
        <v>61</v>
      </c>
      <c r="CJ783" s="2">
        <v>0</v>
      </c>
      <c r="CK783" s="2">
        <v>1.4E-2</v>
      </c>
      <c r="CT783" s="2">
        <v>148</v>
      </c>
      <c r="CU783" s="2">
        <v>59</v>
      </c>
      <c r="CV783" s="2">
        <v>0</v>
      </c>
      <c r="CW783" s="2">
        <v>0.54087459999999998</v>
      </c>
      <c r="DF783" s="2">
        <v>153</v>
      </c>
      <c r="DG783" s="2">
        <v>62</v>
      </c>
      <c r="DH783" s="2">
        <v>1</v>
      </c>
      <c r="DI783" s="2">
        <v>2.2148149999999998E-2</v>
      </c>
      <c r="DR783">
        <v>158</v>
      </c>
      <c r="DS783">
        <v>62</v>
      </c>
      <c r="DT783">
        <v>0</v>
      </c>
      <c r="DU783">
        <v>1E-3</v>
      </c>
      <c r="DW783">
        <v>153</v>
      </c>
      <c r="DX783">
        <v>62</v>
      </c>
      <c r="DY783">
        <v>1</v>
      </c>
      <c r="DZ783">
        <v>2.2148149999999998E-2</v>
      </c>
      <c r="ED783" s="2">
        <v>157</v>
      </c>
      <c r="EE783" s="2">
        <v>61</v>
      </c>
      <c r="EF783" s="2">
        <v>0</v>
      </c>
      <c r="EG783" s="2">
        <v>4.0000000000000001E-3</v>
      </c>
      <c r="ES783">
        <v>157</v>
      </c>
      <c r="ET783">
        <v>61</v>
      </c>
      <c r="EU783">
        <v>0</v>
      </c>
      <c r="EV783">
        <v>4.0000000000000001E-3</v>
      </c>
    </row>
    <row r="784" spans="5:152" x14ac:dyDescent="0.4">
      <c r="E784">
        <v>6.1000000000000004E-3</v>
      </c>
      <c r="AL784" s="2">
        <v>153</v>
      </c>
      <c r="AM784" s="2">
        <v>64</v>
      </c>
      <c r="AN784" s="2">
        <v>0</v>
      </c>
      <c r="AO784" s="2">
        <v>2E-3</v>
      </c>
      <c r="AX784" s="2">
        <v>156</v>
      </c>
      <c r="AY784" s="2">
        <v>64</v>
      </c>
      <c r="AZ784" s="2">
        <v>0</v>
      </c>
      <c r="BA784" s="2">
        <v>9.0000010000000005E-3</v>
      </c>
      <c r="BJ784" s="2">
        <v>153</v>
      </c>
      <c r="BK784" s="2">
        <v>63</v>
      </c>
      <c r="BL784" s="2">
        <v>0</v>
      </c>
      <c r="BM784" s="2">
        <v>9.2999999999999999E-2</v>
      </c>
      <c r="BV784" s="2">
        <v>158</v>
      </c>
      <c r="BW784" s="2">
        <v>62</v>
      </c>
      <c r="BX784" s="2">
        <v>0</v>
      </c>
      <c r="BY784" s="2">
        <v>2.3000199999999998E-2</v>
      </c>
      <c r="CH784" s="2">
        <v>156</v>
      </c>
      <c r="CI784" s="2">
        <v>61</v>
      </c>
      <c r="CJ784" s="2">
        <v>0</v>
      </c>
      <c r="CK784" s="2">
        <v>6.0000000000000001E-3</v>
      </c>
      <c r="CT784" s="2">
        <v>148</v>
      </c>
      <c r="CU784" s="2">
        <v>59</v>
      </c>
      <c r="CV784" s="2">
        <v>1</v>
      </c>
      <c r="CW784" s="2">
        <v>0.60455789999999998</v>
      </c>
      <c r="DF784" s="2">
        <v>154</v>
      </c>
      <c r="DG784" s="2">
        <v>62</v>
      </c>
      <c r="DH784" s="2">
        <v>0</v>
      </c>
      <c r="DI784" s="2">
        <v>0.110994</v>
      </c>
      <c r="DR784">
        <v>151</v>
      </c>
      <c r="DS784">
        <v>63</v>
      </c>
      <c r="DT784">
        <v>0</v>
      </c>
      <c r="DU784">
        <v>1.0999999999999999E-2</v>
      </c>
      <c r="DW784">
        <v>154</v>
      </c>
      <c r="DX784">
        <v>62</v>
      </c>
      <c r="DY784">
        <v>0</v>
      </c>
      <c r="DZ784">
        <v>0.110994</v>
      </c>
      <c r="ED784" s="2">
        <v>158</v>
      </c>
      <c r="EE784" s="2">
        <v>61</v>
      </c>
      <c r="EF784" s="2">
        <v>0</v>
      </c>
      <c r="EG784" s="2">
        <v>2E-3</v>
      </c>
      <c r="ES784">
        <v>158</v>
      </c>
      <c r="ET784">
        <v>61</v>
      </c>
      <c r="EU784">
        <v>0</v>
      </c>
      <c r="EV784">
        <v>2E-3</v>
      </c>
    </row>
    <row r="785" spans="5:152" x14ac:dyDescent="0.4">
      <c r="E785">
        <v>0.84400399999999998</v>
      </c>
      <c r="AL785" s="2">
        <v>154</v>
      </c>
      <c r="AM785" s="2">
        <v>64</v>
      </c>
      <c r="AN785" s="2">
        <v>0</v>
      </c>
      <c r="AO785" s="2">
        <v>1E-3</v>
      </c>
      <c r="AX785" s="2">
        <v>157</v>
      </c>
      <c r="AY785" s="2">
        <v>64</v>
      </c>
      <c r="AZ785" s="2">
        <v>0</v>
      </c>
      <c r="BA785" s="2">
        <v>8.9999999999999993E-3</v>
      </c>
      <c r="BJ785" s="2">
        <v>154</v>
      </c>
      <c r="BK785" s="2">
        <v>63</v>
      </c>
      <c r="BL785" s="2">
        <v>0</v>
      </c>
      <c r="BM785" s="2">
        <v>1.0999999999999999E-2</v>
      </c>
      <c r="BV785" s="2">
        <v>159</v>
      </c>
      <c r="BW785" s="2">
        <v>62</v>
      </c>
      <c r="BX785" s="2">
        <v>0</v>
      </c>
      <c r="BY785" s="2">
        <v>6.0051999999999996E-3</v>
      </c>
      <c r="CH785" s="2">
        <v>157</v>
      </c>
      <c r="CI785" s="2">
        <v>61</v>
      </c>
      <c r="CJ785" s="2">
        <v>0</v>
      </c>
      <c r="CK785" s="2">
        <v>3.0000000000000001E-3</v>
      </c>
      <c r="CT785" s="2">
        <v>149</v>
      </c>
      <c r="CU785" s="2">
        <v>59</v>
      </c>
      <c r="CV785" s="2">
        <v>0</v>
      </c>
      <c r="CW785" s="2">
        <v>0.81275960000000003</v>
      </c>
      <c r="DF785" s="2">
        <v>155</v>
      </c>
      <c r="DG785" s="2">
        <v>62</v>
      </c>
      <c r="DH785" s="2">
        <v>0</v>
      </c>
      <c r="DI785" s="2">
        <v>6.3027200000000005E-2</v>
      </c>
      <c r="DR785">
        <v>153</v>
      </c>
      <c r="DS785">
        <v>63</v>
      </c>
      <c r="DT785">
        <v>0</v>
      </c>
      <c r="DU785">
        <v>5.0000000000000001E-3</v>
      </c>
      <c r="DW785">
        <v>155</v>
      </c>
      <c r="DX785">
        <v>62</v>
      </c>
      <c r="DY785">
        <v>0</v>
      </c>
      <c r="DZ785">
        <v>6.3027200000000005E-2</v>
      </c>
      <c r="ED785" s="2">
        <v>159</v>
      </c>
      <c r="EE785" s="2">
        <v>61</v>
      </c>
      <c r="EF785" s="2">
        <v>0</v>
      </c>
      <c r="EG785" s="2">
        <v>2E-3</v>
      </c>
      <c r="ES785">
        <v>159</v>
      </c>
      <c r="ET785">
        <v>61</v>
      </c>
      <c r="EU785">
        <v>0</v>
      </c>
      <c r="EV785">
        <v>2E-3</v>
      </c>
    </row>
    <row r="786" spans="5:152" x14ac:dyDescent="0.4">
      <c r="E786">
        <v>9.4E-2</v>
      </c>
      <c r="AL786" s="2">
        <v>156</v>
      </c>
      <c r="AM786" s="2">
        <v>64</v>
      </c>
      <c r="AN786" s="2">
        <v>0</v>
      </c>
      <c r="AO786" s="2">
        <v>1E-3</v>
      </c>
      <c r="AX786" s="2">
        <v>158</v>
      </c>
      <c r="AY786" s="2">
        <v>64</v>
      </c>
      <c r="AZ786" s="2">
        <v>0</v>
      </c>
      <c r="BA786" s="2">
        <v>9.8320000000000005E-3</v>
      </c>
      <c r="BJ786" s="2">
        <v>154</v>
      </c>
      <c r="BK786" s="2">
        <v>63</v>
      </c>
      <c r="BL786" s="2">
        <v>1</v>
      </c>
      <c r="BM786" s="2">
        <v>1.0999999999999999E-2</v>
      </c>
      <c r="BV786" s="2">
        <v>160</v>
      </c>
      <c r="BW786" s="2">
        <v>62</v>
      </c>
      <c r="BX786" s="2">
        <v>0</v>
      </c>
      <c r="BY786" s="2">
        <v>1.9946E-3</v>
      </c>
      <c r="CH786" s="2">
        <v>146</v>
      </c>
      <c r="CI786" s="2">
        <v>62</v>
      </c>
      <c r="CJ786" s="2">
        <v>0</v>
      </c>
      <c r="CK786" s="2">
        <v>6.1000000000000004E-3</v>
      </c>
      <c r="CT786" s="2">
        <v>150</v>
      </c>
      <c r="CU786" s="2">
        <v>59</v>
      </c>
      <c r="CV786" s="2">
        <v>0</v>
      </c>
      <c r="CW786" s="2">
        <v>0.52478400000000003</v>
      </c>
      <c r="DF786" s="2">
        <v>156</v>
      </c>
      <c r="DG786" s="2">
        <v>62</v>
      </c>
      <c r="DH786" s="2">
        <v>0</v>
      </c>
      <c r="DI786" s="2">
        <v>5.29728E-2</v>
      </c>
      <c r="DR786">
        <v>155</v>
      </c>
      <c r="DS786">
        <v>63</v>
      </c>
      <c r="DT786">
        <v>0</v>
      </c>
      <c r="DU786">
        <v>2E-3</v>
      </c>
      <c r="DW786">
        <v>156</v>
      </c>
      <c r="DX786">
        <v>62</v>
      </c>
      <c r="DY786">
        <v>0</v>
      </c>
      <c r="DZ786">
        <v>5.29728E-2</v>
      </c>
      <c r="ED786" s="2">
        <v>146</v>
      </c>
      <c r="EE786" s="2">
        <v>62</v>
      </c>
      <c r="EF786" s="2">
        <v>0</v>
      </c>
      <c r="EG786" s="2">
        <v>3.4000000000000002E-4</v>
      </c>
      <c r="ES786">
        <v>146</v>
      </c>
      <c r="ET786">
        <v>62</v>
      </c>
      <c r="EU786">
        <v>0</v>
      </c>
      <c r="EV786">
        <v>3.4000000000000002E-4</v>
      </c>
    </row>
    <row r="787" spans="5:152" x14ac:dyDescent="0.4">
      <c r="E787">
        <v>0.54403999999999997</v>
      </c>
      <c r="AL787" s="2">
        <v>157</v>
      </c>
      <c r="AM787" s="2">
        <v>64</v>
      </c>
      <c r="AN787" s="2">
        <v>0</v>
      </c>
      <c r="AO787" s="2">
        <v>2E-3</v>
      </c>
      <c r="AX787" s="2">
        <v>159</v>
      </c>
      <c r="AY787" s="2">
        <v>64</v>
      </c>
      <c r="AZ787" s="2">
        <v>0</v>
      </c>
      <c r="BA787" s="2">
        <v>6.0000000000000001E-3</v>
      </c>
      <c r="BJ787" s="2">
        <v>155</v>
      </c>
      <c r="BK787" s="2">
        <v>63</v>
      </c>
      <c r="BL787" s="2">
        <v>0</v>
      </c>
      <c r="BM787" s="2">
        <v>5.1999999999999998E-2</v>
      </c>
      <c r="BV787" s="2">
        <v>161</v>
      </c>
      <c r="BW787" s="2">
        <v>62</v>
      </c>
      <c r="BX787" s="2">
        <v>0</v>
      </c>
      <c r="BY787" s="2">
        <v>1E-3</v>
      </c>
      <c r="CH787" s="2">
        <v>147</v>
      </c>
      <c r="CI787" s="2">
        <v>62</v>
      </c>
      <c r="CJ787" s="2">
        <v>0</v>
      </c>
      <c r="CK787" s="2">
        <v>0.84400399999999998</v>
      </c>
      <c r="CT787" s="2">
        <v>151</v>
      </c>
      <c r="CU787" s="2">
        <v>59</v>
      </c>
      <c r="CV787" s="2">
        <v>0</v>
      </c>
      <c r="CW787" s="2">
        <v>0.26712079999999999</v>
      </c>
      <c r="DF787" s="2">
        <v>157</v>
      </c>
      <c r="DG787" s="2">
        <v>62</v>
      </c>
      <c r="DH787" s="2">
        <v>0</v>
      </c>
      <c r="DI787" s="2">
        <v>2.8000000000000001E-2</v>
      </c>
      <c r="DR787">
        <v>156</v>
      </c>
      <c r="DS787">
        <v>63</v>
      </c>
      <c r="DT787">
        <v>0</v>
      </c>
      <c r="DU787">
        <v>3.0000000000000001E-3</v>
      </c>
      <c r="DW787">
        <v>157</v>
      </c>
      <c r="DX787">
        <v>62</v>
      </c>
      <c r="DY787">
        <v>0</v>
      </c>
      <c r="DZ787">
        <v>2.8000000000000001E-2</v>
      </c>
      <c r="ED787" s="2">
        <v>147</v>
      </c>
      <c r="EE787" s="2">
        <v>62</v>
      </c>
      <c r="EF787" s="2">
        <v>0</v>
      </c>
      <c r="EG787" s="2">
        <v>0.8010041</v>
      </c>
      <c r="ES787">
        <v>147</v>
      </c>
      <c r="ET787">
        <v>62</v>
      </c>
      <c r="EU787">
        <v>0</v>
      </c>
      <c r="EV787">
        <v>0.8010041</v>
      </c>
    </row>
    <row r="788" spans="5:152" x14ac:dyDescent="0.4">
      <c r="E788">
        <v>0.216</v>
      </c>
      <c r="AL788" s="2">
        <v>158</v>
      </c>
      <c r="AM788" s="2">
        <v>64</v>
      </c>
      <c r="AN788" s="2">
        <v>0</v>
      </c>
      <c r="AO788" s="2">
        <v>1E-3</v>
      </c>
      <c r="AX788" s="2">
        <v>160</v>
      </c>
      <c r="AY788" s="2">
        <v>64</v>
      </c>
      <c r="AZ788" s="2">
        <v>0</v>
      </c>
      <c r="BA788" s="2">
        <v>4.0000000000000001E-3</v>
      </c>
      <c r="BJ788" s="2">
        <v>156</v>
      </c>
      <c r="BK788" s="2">
        <v>63</v>
      </c>
      <c r="BL788" s="2">
        <v>0</v>
      </c>
      <c r="BM788" s="2">
        <v>4.2000000000000003E-2</v>
      </c>
      <c r="BV788" s="2">
        <v>151</v>
      </c>
      <c r="BW788" s="2">
        <v>63</v>
      </c>
      <c r="BX788" s="2">
        <v>0</v>
      </c>
      <c r="BY788" s="2">
        <v>0.28999999999999998</v>
      </c>
      <c r="CH788" s="2">
        <v>148</v>
      </c>
      <c r="CI788" s="2">
        <v>62</v>
      </c>
      <c r="CJ788" s="2">
        <v>0</v>
      </c>
      <c r="CK788" s="2">
        <v>9.4E-2</v>
      </c>
      <c r="CT788" s="2">
        <v>152</v>
      </c>
      <c r="CU788" s="2">
        <v>59</v>
      </c>
      <c r="CV788" s="2">
        <v>0</v>
      </c>
      <c r="CW788" s="2">
        <v>0.1449164</v>
      </c>
      <c r="DF788" s="2">
        <v>158</v>
      </c>
      <c r="DG788" s="2">
        <v>62</v>
      </c>
      <c r="DH788" s="2">
        <v>0</v>
      </c>
      <c r="DI788" s="2">
        <v>1.7000600000000001E-2</v>
      </c>
      <c r="DR788">
        <v>157</v>
      </c>
      <c r="DS788">
        <v>63</v>
      </c>
      <c r="DT788">
        <v>0</v>
      </c>
      <c r="DU788">
        <v>2E-3</v>
      </c>
      <c r="DW788">
        <v>158</v>
      </c>
      <c r="DX788">
        <v>62</v>
      </c>
      <c r="DY788">
        <v>0</v>
      </c>
      <c r="DZ788">
        <v>1.7000600000000001E-2</v>
      </c>
      <c r="ED788" s="2">
        <v>148</v>
      </c>
      <c r="EE788" s="2">
        <v>62</v>
      </c>
      <c r="EF788" s="2">
        <v>0</v>
      </c>
      <c r="EG788" s="2">
        <v>2.1999999999999999E-2</v>
      </c>
      <c r="ES788">
        <v>148</v>
      </c>
      <c r="ET788">
        <v>62</v>
      </c>
      <c r="EU788">
        <v>0</v>
      </c>
      <c r="EV788">
        <v>2.1999999999999999E-2</v>
      </c>
    </row>
    <row r="789" spans="5:152" x14ac:dyDescent="0.4">
      <c r="E789">
        <v>0.379</v>
      </c>
      <c r="AL789" s="2">
        <v>159</v>
      </c>
      <c r="AM789" s="2">
        <v>64</v>
      </c>
      <c r="AN789" s="2">
        <v>0</v>
      </c>
      <c r="AO789" s="2">
        <v>1E-3</v>
      </c>
      <c r="AX789" s="2">
        <v>161</v>
      </c>
      <c r="AY789" s="2">
        <v>64</v>
      </c>
      <c r="AZ789" s="2">
        <v>0</v>
      </c>
      <c r="BA789" s="2">
        <v>3.0000000000000001E-3</v>
      </c>
      <c r="BJ789" s="2">
        <v>157</v>
      </c>
      <c r="BK789" s="2">
        <v>63</v>
      </c>
      <c r="BL789" s="2">
        <v>0</v>
      </c>
      <c r="BM789" s="2">
        <v>3.1E-2</v>
      </c>
      <c r="BV789" s="2">
        <v>152</v>
      </c>
      <c r="BW789" s="2">
        <v>63</v>
      </c>
      <c r="BX789" s="2">
        <v>0</v>
      </c>
      <c r="BY789" s="2">
        <v>1E-3</v>
      </c>
      <c r="CH789" s="2">
        <v>149</v>
      </c>
      <c r="CI789" s="2">
        <v>62</v>
      </c>
      <c r="CJ789" s="2">
        <v>0</v>
      </c>
      <c r="CK789" s="2">
        <v>0.54403999999999997</v>
      </c>
      <c r="CT789" s="2">
        <v>153</v>
      </c>
      <c r="CU789" s="2">
        <v>59</v>
      </c>
      <c r="CV789" s="2">
        <v>0</v>
      </c>
      <c r="CW789" s="2">
        <v>5.59628E-2</v>
      </c>
      <c r="DF789" s="2">
        <v>159</v>
      </c>
      <c r="DG789" s="2">
        <v>62</v>
      </c>
      <c r="DH789" s="2">
        <v>0</v>
      </c>
      <c r="DI789" s="2">
        <v>1.20021E-2</v>
      </c>
      <c r="DR789">
        <v>158</v>
      </c>
      <c r="DS789">
        <v>63</v>
      </c>
      <c r="DT789">
        <v>0</v>
      </c>
      <c r="DU789">
        <v>1E-3</v>
      </c>
      <c r="DW789">
        <v>159</v>
      </c>
      <c r="DX789">
        <v>62</v>
      </c>
      <c r="DY789">
        <v>0</v>
      </c>
      <c r="DZ789">
        <v>1.20021E-2</v>
      </c>
      <c r="ED789" s="2">
        <v>149</v>
      </c>
      <c r="EE789" s="2">
        <v>62</v>
      </c>
      <c r="EF789" s="2">
        <v>0</v>
      </c>
      <c r="EG789" s="2">
        <v>0.52704899999999999</v>
      </c>
      <c r="ES789">
        <v>149</v>
      </c>
      <c r="ET789">
        <v>62</v>
      </c>
      <c r="EU789">
        <v>0</v>
      </c>
      <c r="EV789">
        <v>0.52704899999999999</v>
      </c>
    </row>
    <row r="790" spans="5:152" x14ac:dyDescent="0.4">
      <c r="E790">
        <v>0.272536</v>
      </c>
      <c r="AL790" s="2">
        <v>159</v>
      </c>
      <c r="AM790" s="2">
        <v>65</v>
      </c>
      <c r="AN790" s="2">
        <v>0</v>
      </c>
      <c r="AO790" s="2">
        <v>1E-3</v>
      </c>
      <c r="AX790" s="2">
        <v>163</v>
      </c>
      <c r="AY790" s="2">
        <v>64</v>
      </c>
      <c r="AZ790" s="2">
        <v>0</v>
      </c>
      <c r="BA790" s="2">
        <v>1E-3</v>
      </c>
      <c r="BJ790" s="2">
        <v>158</v>
      </c>
      <c r="BK790" s="2">
        <v>63</v>
      </c>
      <c r="BL790" s="2">
        <v>0</v>
      </c>
      <c r="BM790" s="2">
        <v>2.8000000000000001E-2</v>
      </c>
      <c r="BV790" s="2">
        <v>152</v>
      </c>
      <c r="BW790" s="2">
        <v>63</v>
      </c>
      <c r="BX790" s="2">
        <v>2</v>
      </c>
      <c r="BY790" s="2">
        <v>1E-3</v>
      </c>
      <c r="CH790" s="2">
        <v>150</v>
      </c>
      <c r="CI790" s="2">
        <v>62</v>
      </c>
      <c r="CJ790" s="2">
        <v>0</v>
      </c>
      <c r="CK790" s="2">
        <v>0.216</v>
      </c>
      <c r="CT790" s="2">
        <v>154</v>
      </c>
      <c r="CU790" s="2">
        <v>59</v>
      </c>
      <c r="CV790" s="2">
        <v>0</v>
      </c>
      <c r="CW790" s="2">
        <v>2.1000000000000001E-2</v>
      </c>
      <c r="DF790" s="2">
        <v>160</v>
      </c>
      <c r="DG790" s="2">
        <v>62</v>
      </c>
      <c r="DH790" s="2">
        <v>0</v>
      </c>
      <c r="DI790" s="2">
        <v>9.9730000000000001E-4</v>
      </c>
      <c r="DR790">
        <v>159</v>
      </c>
      <c r="DS790">
        <v>63</v>
      </c>
      <c r="DT790">
        <v>0</v>
      </c>
      <c r="DU790">
        <v>2E-3</v>
      </c>
      <c r="DW790">
        <v>160</v>
      </c>
      <c r="DX790">
        <v>62</v>
      </c>
      <c r="DY790">
        <v>0</v>
      </c>
      <c r="DZ790">
        <v>9.9730000000000001E-4</v>
      </c>
      <c r="ED790" s="2">
        <v>150</v>
      </c>
      <c r="EE790" s="2">
        <v>62</v>
      </c>
      <c r="EF790" s="2">
        <v>0</v>
      </c>
      <c r="EG790" s="2">
        <v>8.1000000000000003E-2</v>
      </c>
      <c r="ES790">
        <v>150</v>
      </c>
      <c r="ET790">
        <v>62</v>
      </c>
      <c r="EU790">
        <v>0</v>
      </c>
      <c r="EV790">
        <v>8.1000000000000003E-2</v>
      </c>
    </row>
    <row r="791" spans="5:152" x14ac:dyDescent="0.4">
      <c r="E791">
        <v>0.22600000000000001</v>
      </c>
      <c r="AL791" s="2">
        <v>161</v>
      </c>
      <c r="AM791" s="2">
        <v>66</v>
      </c>
      <c r="AN791" s="2">
        <v>0</v>
      </c>
      <c r="AO791" s="2">
        <v>1E-3</v>
      </c>
      <c r="AX791" s="2">
        <v>158</v>
      </c>
      <c r="AY791" s="2">
        <v>65</v>
      </c>
      <c r="AZ791" s="2">
        <v>0</v>
      </c>
      <c r="BA791" s="2">
        <v>1E-3</v>
      </c>
      <c r="BJ791" s="2">
        <v>159</v>
      </c>
      <c r="BK791" s="2">
        <v>63</v>
      </c>
      <c r="BL791" s="2">
        <v>0</v>
      </c>
      <c r="BM791" s="2">
        <v>0.01</v>
      </c>
      <c r="BV791" s="2">
        <v>153</v>
      </c>
      <c r="BW791" s="2">
        <v>63</v>
      </c>
      <c r="BX791" s="2">
        <v>0</v>
      </c>
      <c r="BY791" s="2">
        <v>0.1690064</v>
      </c>
      <c r="CH791" s="2">
        <v>151</v>
      </c>
      <c r="CI791" s="2">
        <v>62</v>
      </c>
      <c r="CJ791" s="2">
        <v>0</v>
      </c>
      <c r="CK791" s="2">
        <v>0.379</v>
      </c>
      <c r="CT791" s="2">
        <v>155</v>
      </c>
      <c r="CU791" s="2">
        <v>59</v>
      </c>
      <c r="CV791" s="2">
        <v>0</v>
      </c>
      <c r="CW791" s="2">
        <v>3.0000000000000001E-3</v>
      </c>
      <c r="DF791" s="2">
        <v>161</v>
      </c>
      <c r="DG791" s="2">
        <v>62</v>
      </c>
      <c r="DH791" s="2">
        <v>0</v>
      </c>
      <c r="DI791" s="2">
        <v>1E-3</v>
      </c>
      <c r="DR791">
        <v>160</v>
      </c>
      <c r="DS791">
        <v>63</v>
      </c>
      <c r="DT791">
        <v>0</v>
      </c>
      <c r="DU791">
        <v>1E-3</v>
      </c>
      <c r="DW791">
        <v>161</v>
      </c>
      <c r="DX791">
        <v>62</v>
      </c>
      <c r="DY791">
        <v>0</v>
      </c>
      <c r="DZ791">
        <v>1E-3</v>
      </c>
      <c r="ED791" s="2">
        <v>151</v>
      </c>
      <c r="EE791" s="2">
        <v>62</v>
      </c>
      <c r="EF791" s="2">
        <v>0</v>
      </c>
      <c r="EG791" s="2">
        <v>0.33300000000000002</v>
      </c>
      <c r="ES791">
        <v>151</v>
      </c>
      <c r="ET791">
        <v>62</v>
      </c>
      <c r="EU791">
        <v>0</v>
      </c>
      <c r="EV791">
        <v>0.33300000000000002</v>
      </c>
    </row>
    <row r="792" spans="5:152" x14ac:dyDescent="0.4">
      <c r="E792">
        <v>0.10414039999999999</v>
      </c>
      <c r="AL792" s="2">
        <v>161</v>
      </c>
      <c r="AM792" s="2">
        <v>67</v>
      </c>
      <c r="AN792" s="2">
        <v>0</v>
      </c>
      <c r="AO792" s="2">
        <v>1E-3</v>
      </c>
      <c r="AX792" s="2">
        <v>159</v>
      </c>
      <c r="AY792" s="2">
        <v>65</v>
      </c>
      <c r="AZ792" s="2">
        <v>0</v>
      </c>
      <c r="BA792" s="2">
        <v>7.0000000000000001E-3</v>
      </c>
      <c r="BJ792" s="2">
        <v>160</v>
      </c>
      <c r="BK792" s="2">
        <v>63</v>
      </c>
      <c r="BL792" s="2">
        <v>0</v>
      </c>
      <c r="BM792" s="2">
        <v>2E-3</v>
      </c>
      <c r="BV792" s="2">
        <v>154</v>
      </c>
      <c r="BW792" s="2">
        <v>63</v>
      </c>
      <c r="BX792" s="2">
        <v>0</v>
      </c>
      <c r="BY792" s="2">
        <v>7.0000009999999996E-3</v>
      </c>
      <c r="CH792" s="2">
        <v>152</v>
      </c>
      <c r="CI792" s="2">
        <v>62</v>
      </c>
      <c r="CJ792" s="2">
        <v>0</v>
      </c>
      <c r="CK792" s="2">
        <v>0.272536</v>
      </c>
      <c r="CT792" s="2">
        <v>156</v>
      </c>
      <c r="CU792" s="2">
        <v>59</v>
      </c>
      <c r="CV792" s="2">
        <v>0</v>
      </c>
      <c r="CW792" s="2">
        <v>1E-3</v>
      </c>
      <c r="DF792" s="2">
        <v>162</v>
      </c>
      <c r="DG792" s="2">
        <v>62</v>
      </c>
      <c r="DH792" s="2">
        <v>0</v>
      </c>
      <c r="DI792" s="2">
        <v>1E-3</v>
      </c>
      <c r="DR792">
        <v>155</v>
      </c>
      <c r="DS792">
        <v>64</v>
      </c>
      <c r="DT792">
        <v>0</v>
      </c>
      <c r="DU792">
        <v>2E-3</v>
      </c>
      <c r="DW792">
        <v>162</v>
      </c>
      <c r="DX792">
        <v>62</v>
      </c>
      <c r="DY792">
        <v>0</v>
      </c>
      <c r="DZ792">
        <v>1E-3</v>
      </c>
      <c r="ED792" s="2">
        <v>152</v>
      </c>
      <c r="EE792" s="2">
        <v>62</v>
      </c>
      <c r="EF792" s="2">
        <v>0</v>
      </c>
      <c r="EG792" s="2">
        <v>0.29544199999999998</v>
      </c>
      <c r="ES792">
        <v>152</v>
      </c>
      <c r="ET792">
        <v>62</v>
      </c>
      <c r="EU792">
        <v>0</v>
      </c>
      <c r="EV792">
        <v>0.29544199999999998</v>
      </c>
    </row>
    <row r="793" spans="5:152" x14ac:dyDescent="0.4">
      <c r="E793">
        <v>0.1340104</v>
      </c>
      <c r="AX793" s="2">
        <v>160</v>
      </c>
      <c r="AY793" s="2">
        <v>65</v>
      </c>
      <c r="AZ793" s="2">
        <v>0</v>
      </c>
      <c r="BA793" s="2">
        <v>1E-3</v>
      </c>
      <c r="BJ793" s="2">
        <v>161</v>
      </c>
      <c r="BK793" s="2">
        <v>63</v>
      </c>
      <c r="BL793" s="2">
        <v>0</v>
      </c>
      <c r="BM793" s="2">
        <v>1E-3</v>
      </c>
      <c r="BV793" s="2">
        <v>154</v>
      </c>
      <c r="BW793" s="2">
        <v>63</v>
      </c>
      <c r="BX793" s="2">
        <v>1</v>
      </c>
      <c r="BY793" s="2">
        <v>6.0000009999999996E-3</v>
      </c>
      <c r="CH793" s="2">
        <v>153</v>
      </c>
      <c r="CI793" s="2">
        <v>62</v>
      </c>
      <c r="CJ793" s="2">
        <v>0</v>
      </c>
      <c r="CK793" s="2">
        <v>0.22600000000000001</v>
      </c>
      <c r="CT793" s="2">
        <v>157</v>
      </c>
      <c r="CU793" s="2">
        <v>59</v>
      </c>
      <c r="CV793" s="2">
        <v>0</v>
      </c>
      <c r="CW793" s="2">
        <v>1E-3</v>
      </c>
      <c r="DF793" s="2">
        <v>164</v>
      </c>
      <c r="DG793" s="2">
        <v>62</v>
      </c>
      <c r="DH793" s="2">
        <v>0</v>
      </c>
      <c r="DI793" s="2">
        <v>1E-3</v>
      </c>
      <c r="DR793">
        <v>156</v>
      </c>
      <c r="DS793">
        <v>64</v>
      </c>
      <c r="DT793">
        <v>0</v>
      </c>
      <c r="DU793">
        <v>3.0000000000000001E-3</v>
      </c>
      <c r="DW793">
        <v>164</v>
      </c>
      <c r="DX793">
        <v>62</v>
      </c>
      <c r="DY793">
        <v>0</v>
      </c>
      <c r="DZ793">
        <v>1E-3</v>
      </c>
      <c r="ED793" s="2">
        <v>153</v>
      </c>
      <c r="EE793" s="2">
        <v>62</v>
      </c>
      <c r="EF793" s="2">
        <v>0</v>
      </c>
      <c r="EG793" s="2">
        <v>0.20499999999999999</v>
      </c>
      <c r="ES793">
        <v>153</v>
      </c>
      <c r="ET793">
        <v>62</v>
      </c>
      <c r="EU793">
        <v>0</v>
      </c>
      <c r="EV793">
        <v>0.20499999999999999</v>
      </c>
    </row>
    <row r="794" spans="5:152" x14ac:dyDescent="0.4">
      <c r="E794">
        <v>6.7000000000000004E-2</v>
      </c>
      <c r="AX794" s="2">
        <v>161</v>
      </c>
      <c r="AY794" s="2">
        <v>65</v>
      </c>
      <c r="AZ794" s="2">
        <v>0</v>
      </c>
      <c r="BA794" s="2">
        <v>4.0000000000000001E-3</v>
      </c>
      <c r="BJ794" s="2">
        <v>162</v>
      </c>
      <c r="BK794" s="2">
        <v>63</v>
      </c>
      <c r="BL794" s="2">
        <v>0</v>
      </c>
      <c r="BM794" s="2">
        <v>1E-3</v>
      </c>
      <c r="BV794" s="2">
        <v>155</v>
      </c>
      <c r="BW794" s="2">
        <v>63</v>
      </c>
      <c r="BX794" s="2">
        <v>0</v>
      </c>
      <c r="BY794" s="2">
        <v>9.1000010000000006E-2</v>
      </c>
      <c r="CH794" s="2">
        <v>153</v>
      </c>
      <c r="CI794" s="2">
        <v>62</v>
      </c>
      <c r="CJ794" s="2">
        <v>1</v>
      </c>
      <c r="CK794" s="2">
        <v>0.10414039999999999</v>
      </c>
      <c r="CT794" s="2">
        <v>142</v>
      </c>
      <c r="CU794" s="2">
        <v>60</v>
      </c>
      <c r="CV794" s="2">
        <v>0</v>
      </c>
      <c r="CW794" s="2">
        <v>0.118978</v>
      </c>
      <c r="DF794" s="2">
        <v>151</v>
      </c>
      <c r="DG794" s="2">
        <v>63</v>
      </c>
      <c r="DH794" s="2">
        <v>0</v>
      </c>
      <c r="DI794" s="2">
        <v>0.36506040000000001</v>
      </c>
      <c r="DR794">
        <v>157</v>
      </c>
      <c r="DS794">
        <v>64</v>
      </c>
      <c r="DT794">
        <v>0</v>
      </c>
      <c r="DU794">
        <v>2E-3</v>
      </c>
      <c r="DW794">
        <v>151</v>
      </c>
      <c r="DX794">
        <v>63</v>
      </c>
      <c r="DY794">
        <v>0</v>
      </c>
      <c r="DZ794">
        <v>0.36506040000000001</v>
      </c>
      <c r="ED794" s="2">
        <v>153</v>
      </c>
      <c r="EE794" s="2">
        <v>62</v>
      </c>
      <c r="EF794" s="2">
        <v>1</v>
      </c>
      <c r="EG794" s="2">
        <v>6.0176470000000003E-2</v>
      </c>
      <c r="ES794">
        <v>153</v>
      </c>
      <c r="ET794">
        <v>62</v>
      </c>
      <c r="EU794">
        <v>1</v>
      </c>
      <c r="EV794">
        <v>6.0176470000000003E-2</v>
      </c>
    </row>
    <row r="795" spans="5:152" x14ac:dyDescent="0.4">
      <c r="E795">
        <v>4.2999999999999997E-2</v>
      </c>
      <c r="AX795" s="2">
        <v>163</v>
      </c>
      <c r="AY795" s="2">
        <v>65</v>
      </c>
      <c r="AZ795" s="2">
        <v>0</v>
      </c>
      <c r="BA795" s="2">
        <v>1E-3</v>
      </c>
      <c r="BJ795" s="2">
        <v>163</v>
      </c>
      <c r="BK795" s="2">
        <v>63</v>
      </c>
      <c r="BL795" s="2">
        <v>0</v>
      </c>
      <c r="BM795" s="2">
        <v>1E-3</v>
      </c>
      <c r="BV795" s="2">
        <v>156</v>
      </c>
      <c r="BW795" s="2">
        <v>63</v>
      </c>
      <c r="BX795" s="2">
        <v>0</v>
      </c>
      <c r="BY795" s="2">
        <v>7.1999999999999995E-2</v>
      </c>
      <c r="CH795" s="2">
        <v>154</v>
      </c>
      <c r="CI795" s="2">
        <v>62</v>
      </c>
      <c r="CJ795" s="2">
        <v>0</v>
      </c>
      <c r="CK795" s="2">
        <v>0.1340104</v>
      </c>
      <c r="CT795" s="2">
        <v>143</v>
      </c>
      <c r="CU795" s="2">
        <v>60</v>
      </c>
      <c r="CV795" s="2">
        <v>0</v>
      </c>
      <c r="CW795" s="2">
        <v>2.5054759999999998</v>
      </c>
      <c r="DF795" s="2">
        <v>153</v>
      </c>
      <c r="DG795" s="2">
        <v>63</v>
      </c>
      <c r="DH795" s="2">
        <v>0</v>
      </c>
      <c r="DI795" s="2">
        <v>0.19095680000000001</v>
      </c>
      <c r="DR795">
        <v>158</v>
      </c>
      <c r="DS795">
        <v>64</v>
      </c>
      <c r="DT795">
        <v>0</v>
      </c>
      <c r="DU795">
        <v>3.0000000000000001E-3</v>
      </c>
      <c r="DW795">
        <v>153</v>
      </c>
      <c r="DX795">
        <v>63</v>
      </c>
      <c r="DY795">
        <v>0</v>
      </c>
      <c r="DZ795">
        <v>0.19095680000000001</v>
      </c>
      <c r="ED795" s="2">
        <v>154</v>
      </c>
      <c r="EE795" s="2">
        <v>62</v>
      </c>
      <c r="EF795" s="2">
        <v>0</v>
      </c>
      <c r="EG795" s="2">
        <v>0.12600339999999999</v>
      </c>
      <c r="ES795">
        <v>154</v>
      </c>
      <c r="ET795">
        <v>62</v>
      </c>
      <c r="EU795">
        <v>0</v>
      </c>
      <c r="EV795">
        <v>0.12600339999999999</v>
      </c>
    </row>
    <row r="796" spans="5:152" x14ac:dyDescent="0.4">
      <c r="E796">
        <v>2.1999999999999999E-2</v>
      </c>
      <c r="AX796" s="2">
        <v>164</v>
      </c>
      <c r="AY796" s="2">
        <v>65</v>
      </c>
      <c r="AZ796" s="2">
        <v>0</v>
      </c>
      <c r="BA796" s="2">
        <v>1E-3</v>
      </c>
      <c r="BJ796" s="2">
        <v>152</v>
      </c>
      <c r="BK796" s="2">
        <v>64</v>
      </c>
      <c r="BL796" s="2">
        <v>0</v>
      </c>
      <c r="BM796" s="2">
        <v>1.395E-3</v>
      </c>
      <c r="BV796" s="2">
        <v>157</v>
      </c>
      <c r="BW796" s="2">
        <v>63</v>
      </c>
      <c r="BX796" s="2">
        <v>0</v>
      </c>
      <c r="BY796" s="2">
        <v>4.3000009999999998E-2</v>
      </c>
      <c r="CH796" s="2">
        <v>155</v>
      </c>
      <c r="CI796" s="2">
        <v>62</v>
      </c>
      <c r="CJ796" s="2">
        <v>0</v>
      </c>
      <c r="CK796" s="2">
        <v>6.7000000000000004E-2</v>
      </c>
      <c r="CT796" s="2">
        <v>144</v>
      </c>
      <c r="CU796" s="2">
        <v>60</v>
      </c>
      <c r="CV796" s="2">
        <v>0</v>
      </c>
      <c r="CW796" s="2">
        <v>2.3645999999999998</v>
      </c>
      <c r="DF796" s="2">
        <v>154</v>
      </c>
      <c r="DG796" s="2">
        <v>63</v>
      </c>
      <c r="DH796" s="2">
        <v>0</v>
      </c>
      <c r="DI796" s="2">
        <v>2E-3</v>
      </c>
      <c r="DR796">
        <v>159</v>
      </c>
      <c r="DS796">
        <v>64</v>
      </c>
      <c r="DT796">
        <v>0</v>
      </c>
      <c r="DU796">
        <v>4.0000000000000001E-3</v>
      </c>
      <c r="DW796">
        <v>154</v>
      </c>
      <c r="DX796">
        <v>63</v>
      </c>
      <c r="DY796">
        <v>0</v>
      </c>
      <c r="DZ796">
        <v>2E-3</v>
      </c>
      <c r="ED796" s="2">
        <v>155</v>
      </c>
      <c r="EE796" s="2">
        <v>62</v>
      </c>
      <c r="EF796" s="2">
        <v>0</v>
      </c>
      <c r="EG796" s="2">
        <v>0.11102720000000001</v>
      </c>
      <c r="ES796">
        <v>155</v>
      </c>
      <c r="ET796">
        <v>62</v>
      </c>
      <c r="EU796">
        <v>0</v>
      </c>
      <c r="EV796">
        <v>0.11102720000000001</v>
      </c>
    </row>
    <row r="797" spans="5:152" x14ac:dyDescent="0.4">
      <c r="E797">
        <v>7.0000000000000001E-3</v>
      </c>
      <c r="AX797" s="2">
        <v>165</v>
      </c>
      <c r="AY797" s="2">
        <v>65</v>
      </c>
      <c r="AZ797" s="2">
        <v>0</v>
      </c>
      <c r="BA797" s="2">
        <v>1E-3</v>
      </c>
      <c r="BJ797" s="2">
        <v>154</v>
      </c>
      <c r="BK797" s="2">
        <v>64</v>
      </c>
      <c r="BL797" s="2">
        <v>0</v>
      </c>
      <c r="BM797" s="2">
        <v>1.09978E-2</v>
      </c>
      <c r="BV797" s="2">
        <v>158</v>
      </c>
      <c r="BW797" s="2">
        <v>63</v>
      </c>
      <c r="BX797" s="2">
        <v>0</v>
      </c>
      <c r="BY797" s="2">
        <v>4.7000199999999999E-2</v>
      </c>
      <c r="CH797" s="2">
        <v>156</v>
      </c>
      <c r="CI797" s="2">
        <v>62</v>
      </c>
      <c r="CJ797" s="2">
        <v>0</v>
      </c>
      <c r="CK797" s="2">
        <v>4.2999999999999997E-2</v>
      </c>
      <c r="CT797" s="2">
        <v>145</v>
      </c>
      <c r="CU797" s="2">
        <v>60</v>
      </c>
      <c r="CV797" s="2">
        <v>0</v>
      </c>
      <c r="CW797" s="2">
        <v>2.093566</v>
      </c>
      <c r="DF797" s="2">
        <v>154</v>
      </c>
      <c r="DG797" s="2">
        <v>63</v>
      </c>
      <c r="DH797" s="2">
        <v>1</v>
      </c>
      <c r="DI797" s="2">
        <v>2E-3</v>
      </c>
      <c r="DR797">
        <v>160</v>
      </c>
      <c r="DS797">
        <v>64</v>
      </c>
      <c r="DT797">
        <v>0</v>
      </c>
      <c r="DU797">
        <v>1E-3</v>
      </c>
      <c r="DW797">
        <v>154</v>
      </c>
      <c r="DX797">
        <v>63</v>
      </c>
      <c r="DY797">
        <v>1</v>
      </c>
      <c r="DZ797">
        <v>2E-3</v>
      </c>
      <c r="ED797" s="2">
        <v>156</v>
      </c>
      <c r="EE797" s="2">
        <v>62</v>
      </c>
      <c r="EF797" s="2">
        <v>0</v>
      </c>
      <c r="EG797" s="2">
        <v>4.5972800000000001E-2</v>
      </c>
      <c r="ES797">
        <v>156</v>
      </c>
      <c r="ET797">
        <v>62</v>
      </c>
      <c r="EU797">
        <v>0</v>
      </c>
      <c r="EV797">
        <v>4.5972800000000001E-2</v>
      </c>
    </row>
    <row r="798" spans="5:152" x14ac:dyDescent="0.4">
      <c r="E798">
        <v>1E-3</v>
      </c>
      <c r="AX798" s="2">
        <v>166</v>
      </c>
      <c r="AY798" s="2">
        <v>65</v>
      </c>
      <c r="AZ798" s="2">
        <v>0</v>
      </c>
      <c r="BA798" s="2">
        <v>1E-3</v>
      </c>
      <c r="BJ798" s="2">
        <v>155</v>
      </c>
      <c r="BK798" s="2">
        <v>64</v>
      </c>
      <c r="BL798" s="2">
        <v>0</v>
      </c>
      <c r="BM798" s="2">
        <v>5.2999999999999999E-2</v>
      </c>
      <c r="BV798" s="2">
        <v>159</v>
      </c>
      <c r="BW798" s="2">
        <v>63</v>
      </c>
      <c r="BX798" s="2">
        <v>0</v>
      </c>
      <c r="BY798" s="2">
        <v>2.30052E-2</v>
      </c>
      <c r="CH798" s="2">
        <v>157</v>
      </c>
      <c r="CI798" s="2">
        <v>62</v>
      </c>
      <c r="CJ798" s="2">
        <v>0</v>
      </c>
      <c r="CK798" s="2">
        <v>2.1999999999999999E-2</v>
      </c>
      <c r="CT798" s="2">
        <v>146</v>
      </c>
      <c r="CU798" s="2">
        <v>60</v>
      </c>
      <c r="CV798" s="2">
        <v>0</v>
      </c>
      <c r="CW798" s="2">
        <v>2.1602920000000001</v>
      </c>
      <c r="DF798" s="2">
        <v>155</v>
      </c>
      <c r="DG798" s="2">
        <v>63</v>
      </c>
      <c r="DH798" s="2">
        <v>0</v>
      </c>
      <c r="DI798" s="2">
        <v>6.8027210000000005E-2</v>
      </c>
      <c r="DR798">
        <v>162</v>
      </c>
      <c r="DS798">
        <v>64</v>
      </c>
      <c r="DT798">
        <v>0</v>
      </c>
      <c r="DU798">
        <v>1E-3</v>
      </c>
      <c r="DW798">
        <v>155</v>
      </c>
      <c r="DX798">
        <v>63</v>
      </c>
      <c r="DY798">
        <v>0</v>
      </c>
      <c r="DZ798">
        <v>6.8027210000000005E-2</v>
      </c>
      <c r="ED798" s="2">
        <v>157</v>
      </c>
      <c r="EE798" s="2">
        <v>62</v>
      </c>
      <c r="EF798" s="2">
        <v>0</v>
      </c>
      <c r="EG798" s="2">
        <v>2.3E-2</v>
      </c>
      <c r="ES798">
        <v>157</v>
      </c>
      <c r="ET798">
        <v>62</v>
      </c>
      <c r="EU798">
        <v>0</v>
      </c>
      <c r="EV798">
        <v>2.3E-2</v>
      </c>
    </row>
    <row r="799" spans="5:152" x14ac:dyDescent="0.4">
      <c r="E799">
        <v>1E-3</v>
      </c>
      <c r="AX799" s="2">
        <v>158</v>
      </c>
      <c r="AY799" s="2">
        <v>66</v>
      </c>
      <c r="AZ799" s="2">
        <v>0</v>
      </c>
      <c r="BA799" s="2">
        <v>1.6799999999999999E-4</v>
      </c>
      <c r="BJ799" s="2">
        <v>155</v>
      </c>
      <c r="BK799" s="2">
        <v>64</v>
      </c>
      <c r="BL799" s="2">
        <v>1</v>
      </c>
      <c r="BM799" s="2">
        <v>1E-3</v>
      </c>
      <c r="BV799" s="2">
        <v>160</v>
      </c>
      <c r="BW799" s="2">
        <v>63</v>
      </c>
      <c r="BX799" s="2">
        <v>0</v>
      </c>
      <c r="BY799" s="2">
        <v>1.09946E-2</v>
      </c>
      <c r="CH799" s="2">
        <v>158</v>
      </c>
      <c r="CI799" s="2">
        <v>62</v>
      </c>
      <c r="CJ799" s="2">
        <v>0</v>
      </c>
      <c r="CK799" s="2">
        <v>7.0000000000000001E-3</v>
      </c>
      <c r="CT799" s="2">
        <v>147</v>
      </c>
      <c r="CU799" s="2">
        <v>60</v>
      </c>
      <c r="CV799" s="2">
        <v>0</v>
      </c>
      <c r="CW799" s="2">
        <v>1.857024</v>
      </c>
      <c r="DF799" s="2">
        <v>156</v>
      </c>
      <c r="DG799" s="2">
        <v>63</v>
      </c>
      <c r="DH799" s="2">
        <v>0</v>
      </c>
      <c r="DI799" s="2">
        <v>6.4972799999999997E-2</v>
      </c>
      <c r="DR799">
        <v>169</v>
      </c>
      <c r="DS799">
        <v>64</v>
      </c>
      <c r="DT799">
        <v>0</v>
      </c>
      <c r="DU799">
        <v>1E-3</v>
      </c>
      <c r="DW799">
        <v>156</v>
      </c>
      <c r="DX799">
        <v>63</v>
      </c>
      <c r="DY799">
        <v>0</v>
      </c>
      <c r="DZ799">
        <v>6.4972799999999997E-2</v>
      </c>
      <c r="ED799" s="2">
        <v>158</v>
      </c>
      <c r="EE799" s="2">
        <v>62</v>
      </c>
      <c r="EF799" s="2">
        <v>0</v>
      </c>
      <c r="EG799" s="2">
        <v>1.40004E-2</v>
      </c>
      <c r="ES799">
        <v>158</v>
      </c>
      <c r="ET799">
        <v>62</v>
      </c>
      <c r="EU799">
        <v>0</v>
      </c>
      <c r="EV799">
        <v>1.40004E-2</v>
      </c>
    </row>
    <row r="800" spans="5:152" x14ac:dyDescent="0.4">
      <c r="E800">
        <v>4.0000000000000001E-3</v>
      </c>
      <c r="AX800" s="2">
        <v>160</v>
      </c>
      <c r="AY800" s="2">
        <v>66</v>
      </c>
      <c r="AZ800" s="2">
        <v>0</v>
      </c>
      <c r="BA800" s="2">
        <v>1E-3</v>
      </c>
      <c r="BJ800" s="2">
        <v>156</v>
      </c>
      <c r="BK800" s="2">
        <v>64</v>
      </c>
      <c r="BL800" s="2">
        <v>0</v>
      </c>
      <c r="BM800" s="2">
        <v>4.2999999999999997E-2</v>
      </c>
      <c r="BV800" s="2">
        <v>161</v>
      </c>
      <c r="BW800" s="2">
        <v>63</v>
      </c>
      <c r="BX800" s="2">
        <v>0</v>
      </c>
      <c r="BY800" s="2">
        <v>3.0000000000000001E-3</v>
      </c>
      <c r="CH800" s="2">
        <v>159</v>
      </c>
      <c r="CI800" s="2">
        <v>62</v>
      </c>
      <c r="CJ800" s="2">
        <v>0</v>
      </c>
      <c r="CK800" s="2">
        <v>1E-3</v>
      </c>
      <c r="CT800" s="2">
        <v>148</v>
      </c>
      <c r="CU800" s="2">
        <v>60</v>
      </c>
      <c r="CV800" s="2">
        <v>0</v>
      </c>
      <c r="CW800" s="2">
        <v>1.6244320000000001</v>
      </c>
      <c r="DF800" s="2">
        <v>157</v>
      </c>
      <c r="DG800" s="2">
        <v>63</v>
      </c>
      <c r="DH800" s="2">
        <v>0</v>
      </c>
      <c r="DI800" s="2">
        <v>3.2000000000000001E-2</v>
      </c>
      <c r="DR800">
        <v>159</v>
      </c>
      <c r="DS800">
        <v>65</v>
      </c>
      <c r="DT800">
        <v>0</v>
      </c>
      <c r="DU800">
        <v>4.0000000000000001E-3</v>
      </c>
      <c r="DW800">
        <v>157</v>
      </c>
      <c r="DX800">
        <v>63</v>
      </c>
      <c r="DY800">
        <v>0</v>
      </c>
      <c r="DZ800">
        <v>3.2000000000000001E-2</v>
      </c>
      <c r="ED800" s="2">
        <v>159</v>
      </c>
      <c r="EE800" s="2">
        <v>62</v>
      </c>
      <c r="EF800" s="2">
        <v>0</v>
      </c>
      <c r="EG800" s="2">
        <v>8.9996E-3</v>
      </c>
      <c r="ES800">
        <v>159</v>
      </c>
      <c r="ET800">
        <v>62</v>
      </c>
      <c r="EU800">
        <v>0</v>
      </c>
      <c r="EV800">
        <v>8.9996E-3</v>
      </c>
    </row>
    <row r="801" spans="5:152" x14ac:dyDescent="0.4">
      <c r="E801">
        <v>0.39200000000000002</v>
      </c>
      <c r="AX801" s="2">
        <v>161</v>
      </c>
      <c r="AY801" s="2">
        <v>66</v>
      </c>
      <c r="AZ801" s="2">
        <v>0</v>
      </c>
      <c r="BA801" s="2">
        <v>4.0000000000000001E-3</v>
      </c>
      <c r="BJ801" s="2">
        <v>157</v>
      </c>
      <c r="BK801" s="2">
        <v>64</v>
      </c>
      <c r="BL801" s="2">
        <v>0</v>
      </c>
      <c r="BM801" s="2">
        <v>0.04</v>
      </c>
      <c r="BV801" s="2">
        <v>162</v>
      </c>
      <c r="BW801" s="2">
        <v>63</v>
      </c>
      <c r="BX801" s="2">
        <v>0</v>
      </c>
      <c r="BY801" s="2">
        <v>2E-3</v>
      </c>
      <c r="CH801" s="2">
        <v>160</v>
      </c>
      <c r="CI801" s="2">
        <v>62</v>
      </c>
      <c r="CJ801" s="2">
        <v>0</v>
      </c>
      <c r="CK801" s="2">
        <v>1E-3</v>
      </c>
      <c r="CT801" s="2">
        <v>149</v>
      </c>
      <c r="CU801" s="2">
        <v>60</v>
      </c>
      <c r="CV801" s="2">
        <v>0</v>
      </c>
      <c r="CW801" s="2">
        <v>1.3307599999999999</v>
      </c>
      <c r="DF801" s="2">
        <v>158</v>
      </c>
      <c r="DG801" s="2">
        <v>63</v>
      </c>
      <c r="DH801" s="2">
        <v>0</v>
      </c>
      <c r="DI801" s="2">
        <v>1.9000599999999999E-2</v>
      </c>
      <c r="DR801">
        <v>161</v>
      </c>
      <c r="DS801">
        <v>65</v>
      </c>
      <c r="DT801">
        <v>0</v>
      </c>
      <c r="DU801">
        <v>1E-3</v>
      </c>
      <c r="DW801">
        <v>158</v>
      </c>
      <c r="DX801">
        <v>63</v>
      </c>
      <c r="DY801">
        <v>0</v>
      </c>
      <c r="DZ801">
        <v>1.9000599999999999E-2</v>
      </c>
      <c r="ED801" s="2">
        <v>160</v>
      </c>
      <c r="EE801" s="2">
        <v>62</v>
      </c>
      <c r="EF801" s="2">
        <v>0</v>
      </c>
      <c r="EG801" s="2">
        <v>2E-3</v>
      </c>
      <c r="ES801">
        <v>160</v>
      </c>
      <c r="ET801">
        <v>62</v>
      </c>
      <c r="EU801">
        <v>0</v>
      </c>
      <c r="EV801">
        <v>2E-3</v>
      </c>
    </row>
    <row r="802" spans="5:152" x14ac:dyDescent="0.4">
      <c r="E802">
        <v>1.6E-2</v>
      </c>
      <c r="AX802" s="2">
        <v>163</v>
      </c>
      <c r="AY802" s="2">
        <v>66</v>
      </c>
      <c r="AZ802" s="2">
        <v>0</v>
      </c>
      <c r="BA802" s="2">
        <v>1E-3</v>
      </c>
      <c r="BJ802" s="2">
        <v>158</v>
      </c>
      <c r="BK802" s="2">
        <v>64</v>
      </c>
      <c r="BL802" s="2">
        <v>0</v>
      </c>
      <c r="BM802" s="2">
        <v>4.2495999999999999E-2</v>
      </c>
      <c r="BV802" s="2">
        <v>163</v>
      </c>
      <c r="BW802" s="2">
        <v>63</v>
      </c>
      <c r="BX802" s="2">
        <v>0</v>
      </c>
      <c r="BY802" s="2">
        <v>1E-3</v>
      </c>
      <c r="CH802" s="2">
        <v>150</v>
      </c>
      <c r="CI802" s="2">
        <v>63</v>
      </c>
      <c r="CJ802" s="2">
        <v>0</v>
      </c>
      <c r="CK802" s="2">
        <v>4.0000000000000001E-3</v>
      </c>
      <c r="CT802" s="2">
        <v>150</v>
      </c>
      <c r="CU802" s="2">
        <v>60</v>
      </c>
      <c r="CV802" s="2">
        <v>0</v>
      </c>
      <c r="CW802" s="2">
        <v>1.086784</v>
      </c>
      <c r="DF802" s="2">
        <v>159</v>
      </c>
      <c r="DG802" s="2">
        <v>63</v>
      </c>
      <c r="DH802" s="2">
        <v>0</v>
      </c>
      <c r="DI802" s="2">
        <v>2.20021E-2</v>
      </c>
      <c r="DR802">
        <v>162</v>
      </c>
      <c r="DS802">
        <v>65</v>
      </c>
      <c r="DT802">
        <v>0</v>
      </c>
      <c r="DU802">
        <v>2E-3</v>
      </c>
      <c r="DW802">
        <v>159</v>
      </c>
      <c r="DX802">
        <v>63</v>
      </c>
      <c r="DY802">
        <v>0</v>
      </c>
      <c r="DZ802">
        <v>2.20021E-2</v>
      </c>
      <c r="ED802" s="2">
        <v>161</v>
      </c>
      <c r="EE802" s="2">
        <v>62</v>
      </c>
      <c r="EF802" s="2">
        <v>0</v>
      </c>
      <c r="EG802" s="2">
        <v>4.0000000000000001E-3</v>
      </c>
      <c r="ES802">
        <v>161</v>
      </c>
      <c r="ET802">
        <v>62</v>
      </c>
      <c r="EU802">
        <v>0</v>
      </c>
      <c r="EV802">
        <v>4.0000000000000001E-3</v>
      </c>
    </row>
    <row r="803" spans="5:152" x14ac:dyDescent="0.4">
      <c r="E803">
        <v>1.035294E-2</v>
      </c>
      <c r="AX803" s="2">
        <v>164</v>
      </c>
      <c r="AY803" s="2">
        <v>66</v>
      </c>
      <c r="AZ803" s="2">
        <v>0</v>
      </c>
      <c r="BA803" s="2">
        <v>1E-3</v>
      </c>
      <c r="BJ803" s="2">
        <v>159</v>
      </c>
      <c r="BK803" s="2">
        <v>64</v>
      </c>
      <c r="BL803" s="2">
        <v>0</v>
      </c>
      <c r="BM803" s="2">
        <v>1.2999999999999999E-2</v>
      </c>
      <c r="BV803" s="2">
        <v>164</v>
      </c>
      <c r="BW803" s="2">
        <v>63</v>
      </c>
      <c r="BX803" s="2">
        <v>0</v>
      </c>
      <c r="BY803" s="2">
        <v>1E-3</v>
      </c>
      <c r="CH803" s="2">
        <v>151</v>
      </c>
      <c r="CI803" s="2">
        <v>63</v>
      </c>
      <c r="CJ803" s="2">
        <v>0</v>
      </c>
      <c r="CK803" s="2">
        <v>0.39200000000000002</v>
      </c>
      <c r="CT803" s="2">
        <v>151</v>
      </c>
      <c r="CU803" s="2">
        <v>60</v>
      </c>
      <c r="CV803" s="2">
        <v>0</v>
      </c>
      <c r="CW803" s="2">
        <v>0.70212079999999999</v>
      </c>
      <c r="DF803" s="2">
        <v>160</v>
      </c>
      <c r="DG803" s="2">
        <v>63</v>
      </c>
      <c r="DH803" s="2">
        <v>0</v>
      </c>
      <c r="DI803" s="2">
        <v>1.09973E-2</v>
      </c>
      <c r="DR803">
        <v>169</v>
      </c>
      <c r="DS803">
        <v>65</v>
      </c>
      <c r="DT803">
        <v>0</v>
      </c>
      <c r="DU803">
        <v>1E-3</v>
      </c>
      <c r="DW803">
        <v>160</v>
      </c>
      <c r="DX803">
        <v>63</v>
      </c>
      <c r="DY803">
        <v>0</v>
      </c>
      <c r="DZ803">
        <v>1.09973E-2</v>
      </c>
      <c r="ED803" s="2">
        <v>150</v>
      </c>
      <c r="EE803" s="2">
        <v>63</v>
      </c>
      <c r="EF803" s="2">
        <v>0</v>
      </c>
      <c r="EG803" s="2">
        <v>1E-3</v>
      </c>
      <c r="ES803">
        <v>150</v>
      </c>
      <c r="ET803">
        <v>63</v>
      </c>
      <c r="EU803">
        <v>0</v>
      </c>
      <c r="EV803">
        <v>1E-3</v>
      </c>
    </row>
    <row r="804" spans="5:152" x14ac:dyDescent="0.4">
      <c r="E804">
        <v>0.28699999999999998</v>
      </c>
      <c r="AX804" s="2">
        <v>165</v>
      </c>
      <c r="AY804" s="2">
        <v>66</v>
      </c>
      <c r="AZ804" s="2">
        <v>0</v>
      </c>
      <c r="BA804" s="2">
        <v>2E-3</v>
      </c>
      <c r="BJ804" s="2">
        <v>160</v>
      </c>
      <c r="BK804" s="2">
        <v>64</v>
      </c>
      <c r="BL804" s="2">
        <v>0</v>
      </c>
      <c r="BM804" s="2">
        <v>1.2E-2</v>
      </c>
      <c r="BV804" s="2">
        <v>152</v>
      </c>
      <c r="BW804" s="2">
        <v>64</v>
      </c>
      <c r="BX804" s="2">
        <v>0</v>
      </c>
      <c r="BY804" s="2">
        <v>2.7900000000000001E-4</v>
      </c>
      <c r="CH804" s="2">
        <v>152</v>
      </c>
      <c r="CI804" s="2">
        <v>63</v>
      </c>
      <c r="CJ804" s="2">
        <v>0</v>
      </c>
      <c r="CK804" s="2">
        <v>1.6E-2</v>
      </c>
      <c r="CT804" s="2">
        <v>152</v>
      </c>
      <c r="CU804" s="2">
        <v>60</v>
      </c>
      <c r="CV804" s="2">
        <v>0</v>
      </c>
      <c r="CW804" s="2">
        <v>0.49891639999999998</v>
      </c>
      <c r="DF804" s="2">
        <v>161</v>
      </c>
      <c r="DG804" s="2">
        <v>63</v>
      </c>
      <c r="DH804" s="2">
        <v>0</v>
      </c>
      <c r="DI804" s="2">
        <v>7.0000000000000001E-3</v>
      </c>
      <c r="DR804">
        <v>161</v>
      </c>
      <c r="DS804">
        <v>66</v>
      </c>
      <c r="DT804">
        <v>0</v>
      </c>
      <c r="DU804">
        <v>1E-3</v>
      </c>
      <c r="DW804">
        <v>161</v>
      </c>
      <c r="DX804">
        <v>63</v>
      </c>
      <c r="DY804">
        <v>0</v>
      </c>
      <c r="DZ804">
        <v>7.0000000000000001E-3</v>
      </c>
      <c r="ED804" s="2">
        <v>151</v>
      </c>
      <c r="EE804" s="2">
        <v>63</v>
      </c>
      <c r="EF804" s="2">
        <v>0</v>
      </c>
      <c r="EG804" s="2">
        <v>0.33500000000000002</v>
      </c>
      <c r="ES804">
        <v>151</v>
      </c>
      <c r="ET804">
        <v>63</v>
      </c>
      <c r="EU804">
        <v>0</v>
      </c>
      <c r="EV804">
        <v>0.33500000000000002</v>
      </c>
    </row>
    <row r="805" spans="5:152" x14ac:dyDescent="0.4">
      <c r="E805">
        <v>5.1999999999999998E-2</v>
      </c>
      <c r="AX805" s="2">
        <v>166</v>
      </c>
      <c r="AY805" s="2">
        <v>66</v>
      </c>
      <c r="AZ805" s="2">
        <v>0</v>
      </c>
      <c r="BA805" s="2">
        <v>1E-3</v>
      </c>
      <c r="BJ805" s="2">
        <v>161</v>
      </c>
      <c r="BK805" s="2">
        <v>64</v>
      </c>
      <c r="BL805" s="2">
        <v>0</v>
      </c>
      <c r="BM805" s="2">
        <v>9.0000010000000005E-3</v>
      </c>
      <c r="BV805" s="2">
        <v>154</v>
      </c>
      <c r="BW805" s="2">
        <v>64</v>
      </c>
      <c r="BX805" s="2">
        <v>0</v>
      </c>
      <c r="BY805" s="2">
        <v>6.9986010000000001E-3</v>
      </c>
      <c r="CH805" s="2">
        <v>152</v>
      </c>
      <c r="CI805" s="2">
        <v>63</v>
      </c>
      <c r="CJ805" s="2">
        <v>2</v>
      </c>
      <c r="CK805" s="2">
        <v>1.035294E-2</v>
      </c>
      <c r="CT805" s="2">
        <v>153</v>
      </c>
      <c r="CU805" s="2">
        <v>60</v>
      </c>
      <c r="CV805" s="2">
        <v>0</v>
      </c>
      <c r="CW805" s="2">
        <v>0.24496280000000001</v>
      </c>
      <c r="DF805" s="2">
        <v>162</v>
      </c>
      <c r="DG805" s="2">
        <v>63</v>
      </c>
      <c r="DH805" s="2">
        <v>0</v>
      </c>
      <c r="DI805" s="2">
        <v>3.0000000000000001E-3</v>
      </c>
      <c r="DR805">
        <v>162</v>
      </c>
      <c r="DS805">
        <v>66</v>
      </c>
      <c r="DT805">
        <v>0</v>
      </c>
      <c r="DU805">
        <v>2E-3</v>
      </c>
      <c r="DW805">
        <v>162</v>
      </c>
      <c r="DX805">
        <v>63</v>
      </c>
      <c r="DY805">
        <v>0</v>
      </c>
      <c r="DZ805">
        <v>3.0000000000000001E-3</v>
      </c>
      <c r="ED805" s="2">
        <v>152</v>
      </c>
      <c r="EE805" s="2">
        <v>63</v>
      </c>
      <c r="EF805" s="2">
        <v>0</v>
      </c>
      <c r="EG805" s="2">
        <v>2E-3</v>
      </c>
      <c r="ES805">
        <v>152</v>
      </c>
      <c r="ET805">
        <v>63</v>
      </c>
      <c r="EU805">
        <v>0</v>
      </c>
      <c r="EV805">
        <v>2E-3</v>
      </c>
    </row>
    <row r="806" spans="5:152" x14ac:dyDescent="0.4">
      <c r="E806">
        <v>4.4296299999999997E-2</v>
      </c>
      <c r="AX806" s="2">
        <v>165</v>
      </c>
      <c r="AY806" s="2">
        <v>67</v>
      </c>
      <c r="AZ806" s="2">
        <v>0</v>
      </c>
      <c r="BA806" s="2">
        <v>2E-3</v>
      </c>
      <c r="BJ806" s="2">
        <v>162</v>
      </c>
      <c r="BK806" s="2">
        <v>64</v>
      </c>
      <c r="BL806" s="2">
        <v>0</v>
      </c>
      <c r="BM806" s="2">
        <v>4.0000000000000001E-3</v>
      </c>
      <c r="BV806" s="2">
        <v>155</v>
      </c>
      <c r="BW806" s="2">
        <v>64</v>
      </c>
      <c r="BX806" s="2">
        <v>0</v>
      </c>
      <c r="BY806" s="2">
        <v>9.1000010000000006E-2</v>
      </c>
      <c r="CH806" s="2">
        <v>153</v>
      </c>
      <c r="CI806" s="2">
        <v>63</v>
      </c>
      <c r="CJ806" s="2">
        <v>0</v>
      </c>
      <c r="CK806" s="2">
        <v>0.28699999999999998</v>
      </c>
      <c r="CT806" s="2">
        <v>154</v>
      </c>
      <c r="CU806" s="2">
        <v>60</v>
      </c>
      <c r="CV806" s="2">
        <v>0</v>
      </c>
      <c r="CW806" s="2">
        <v>0.13900000000000001</v>
      </c>
      <c r="DF806" s="2">
        <v>164</v>
      </c>
      <c r="DG806" s="2">
        <v>63</v>
      </c>
      <c r="DH806" s="2">
        <v>0</v>
      </c>
      <c r="DI806" s="2">
        <v>4.0000000000000001E-3</v>
      </c>
      <c r="DR806">
        <v>169</v>
      </c>
      <c r="DS806">
        <v>66</v>
      </c>
      <c r="DT806">
        <v>0</v>
      </c>
      <c r="DU806">
        <v>2E-3</v>
      </c>
      <c r="DW806">
        <v>164</v>
      </c>
      <c r="DX806">
        <v>63</v>
      </c>
      <c r="DY806">
        <v>0</v>
      </c>
      <c r="DZ806">
        <v>4.0000000000000001E-3</v>
      </c>
      <c r="ED806" s="2">
        <v>152</v>
      </c>
      <c r="EE806" s="2">
        <v>63</v>
      </c>
      <c r="EF806" s="2">
        <v>2</v>
      </c>
      <c r="EG806" s="2">
        <v>2E-3</v>
      </c>
      <c r="ES806">
        <v>152</v>
      </c>
      <c r="ET806">
        <v>63</v>
      </c>
      <c r="EU806">
        <v>2</v>
      </c>
      <c r="EV806">
        <v>2E-3</v>
      </c>
    </row>
    <row r="807" spans="5:152" x14ac:dyDescent="0.4">
      <c r="E807">
        <v>0.13600000000000001</v>
      </c>
      <c r="AX807" s="2">
        <v>166</v>
      </c>
      <c r="AY807" s="2">
        <v>67</v>
      </c>
      <c r="AZ807" s="2">
        <v>0</v>
      </c>
      <c r="BA807" s="2">
        <v>1E-3</v>
      </c>
      <c r="BJ807" s="2">
        <v>163</v>
      </c>
      <c r="BK807" s="2">
        <v>64</v>
      </c>
      <c r="BL807" s="2">
        <v>0</v>
      </c>
      <c r="BM807" s="2">
        <v>2E-3</v>
      </c>
      <c r="BV807" s="2">
        <v>156</v>
      </c>
      <c r="BW807" s="2">
        <v>64</v>
      </c>
      <c r="BX807" s="2">
        <v>0</v>
      </c>
      <c r="BY807" s="2">
        <v>7.3000010000000004E-2</v>
      </c>
      <c r="CH807" s="2">
        <v>154</v>
      </c>
      <c r="CI807" s="2">
        <v>63</v>
      </c>
      <c r="CJ807" s="2">
        <v>0</v>
      </c>
      <c r="CK807" s="2">
        <v>5.1999999999999998E-2</v>
      </c>
      <c r="CT807" s="2">
        <v>155</v>
      </c>
      <c r="CU807" s="2">
        <v>60</v>
      </c>
      <c r="CV807" s="2">
        <v>0</v>
      </c>
      <c r="CW807" s="2">
        <v>5.6027199999999999E-2</v>
      </c>
      <c r="DF807" s="2">
        <v>154</v>
      </c>
      <c r="DG807" s="2">
        <v>64</v>
      </c>
      <c r="DH807" s="2">
        <v>0</v>
      </c>
      <c r="DI807" s="2">
        <v>1.9995999999999998E-3</v>
      </c>
      <c r="DR807">
        <v>169</v>
      </c>
      <c r="DS807">
        <v>67</v>
      </c>
      <c r="DT807">
        <v>0</v>
      </c>
      <c r="DU807">
        <v>2E-3</v>
      </c>
      <c r="DW807">
        <v>154</v>
      </c>
      <c r="DX807">
        <v>64</v>
      </c>
      <c r="DY807">
        <v>0</v>
      </c>
      <c r="DZ807">
        <v>1.9995999999999998E-3</v>
      </c>
      <c r="ED807" s="2">
        <v>153</v>
      </c>
      <c r="EE807" s="2">
        <v>63</v>
      </c>
      <c r="EF807" s="2">
        <v>0</v>
      </c>
      <c r="EG807" s="2">
        <v>0.21</v>
      </c>
      <c r="ES807">
        <v>153</v>
      </c>
      <c r="ET807">
        <v>63</v>
      </c>
      <c r="EU807">
        <v>0</v>
      </c>
      <c r="EV807">
        <v>0.21</v>
      </c>
    </row>
    <row r="808" spans="5:152" x14ac:dyDescent="0.4">
      <c r="E808">
        <v>8.6999999999999994E-2</v>
      </c>
      <c r="AX808" s="2">
        <v>166</v>
      </c>
      <c r="AY808" s="2">
        <v>67</v>
      </c>
      <c r="AZ808" s="2">
        <v>1</v>
      </c>
      <c r="BA808" s="2">
        <v>1E-3</v>
      </c>
      <c r="BJ808" s="2">
        <v>158</v>
      </c>
      <c r="BK808" s="2">
        <v>65</v>
      </c>
      <c r="BL808" s="2">
        <v>0</v>
      </c>
      <c r="BM808" s="2">
        <v>3.0000000000000001E-3</v>
      </c>
      <c r="BV808" s="2">
        <v>157</v>
      </c>
      <c r="BW808" s="2">
        <v>64</v>
      </c>
      <c r="BX808" s="2">
        <v>0</v>
      </c>
      <c r="BY808" s="2">
        <v>4.5999999999999999E-2</v>
      </c>
      <c r="CH808" s="2">
        <v>154</v>
      </c>
      <c r="CI808" s="2">
        <v>63</v>
      </c>
      <c r="CJ808" s="2">
        <v>1</v>
      </c>
      <c r="CK808" s="2">
        <v>4.4296299999999997E-2</v>
      </c>
      <c r="CT808" s="2">
        <v>156</v>
      </c>
      <c r="CU808" s="2">
        <v>60</v>
      </c>
      <c r="CV808" s="2">
        <v>0</v>
      </c>
      <c r="CW808" s="2">
        <v>2.1036699999999998E-2</v>
      </c>
      <c r="DF808" s="2">
        <v>155</v>
      </c>
      <c r="DG808" s="2">
        <v>64</v>
      </c>
      <c r="DH808" s="2">
        <v>0</v>
      </c>
      <c r="DI808" s="2">
        <v>6.8027210000000005E-2</v>
      </c>
      <c r="DR808">
        <v>169</v>
      </c>
      <c r="DS808">
        <v>68</v>
      </c>
      <c r="DT808">
        <v>0</v>
      </c>
      <c r="DU808">
        <v>2E-3</v>
      </c>
      <c r="DW808">
        <v>155</v>
      </c>
      <c r="DX808">
        <v>64</v>
      </c>
      <c r="DY808">
        <v>0</v>
      </c>
      <c r="DZ808">
        <v>6.8027210000000005E-2</v>
      </c>
      <c r="ED808" s="2">
        <v>154</v>
      </c>
      <c r="EE808" s="2">
        <v>63</v>
      </c>
      <c r="EF808" s="2">
        <v>0</v>
      </c>
      <c r="EG808" s="2">
        <v>1.7000000000000001E-2</v>
      </c>
      <c r="ES808">
        <v>154</v>
      </c>
      <c r="ET808">
        <v>63</v>
      </c>
      <c r="EU808">
        <v>0</v>
      </c>
      <c r="EV808">
        <v>1.7000000000000001E-2</v>
      </c>
    </row>
    <row r="809" spans="5:152" x14ac:dyDescent="0.4">
      <c r="E809">
        <v>7.3000010000000004E-2</v>
      </c>
      <c r="AX809" s="2">
        <v>167</v>
      </c>
      <c r="AY809" s="2">
        <v>67</v>
      </c>
      <c r="AZ809" s="2">
        <v>0</v>
      </c>
      <c r="BA809" s="2">
        <v>1E-3</v>
      </c>
      <c r="BJ809" s="2">
        <v>159</v>
      </c>
      <c r="BK809" s="2">
        <v>65</v>
      </c>
      <c r="BL809" s="2">
        <v>0</v>
      </c>
      <c r="BM809" s="2">
        <v>1.6E-2</v>
      </c>
      <c r="BV809" s="2">
        <v>158</v>
      </c>
      <c r="BW809" s="2">
        <v>64</v>
      </c>
      <c r="BX809" s="2">
        <v>0</v>
      </c>
      <c r="BY809" s="2">
        <v>5.0000200000000002E-2</v>
      </c>
      <c r="CH809" s="2">
        <v>155</v>
      </c>
      <c r="CI809" s="2">
        <v>63</v>
      </c>
      <c r="CJ809" s="2">
        <v>0</v>
      </c>
      <c r="CK809" s="2">
        <v>0.13600000000000001</v>
      </c>
      <c r="CT809" s="2">
        <v>157</v>
      </c>
      <c r="CU809" s="2">
        <v>60</v>
      </c>
      <c r="CV809" s="2">
        <v>0</v>
      </c>
      <c r="CW809" s="2">
        <v>7.9360999999999998E-3</v>
      </c>
      <c r="DF809" s="2">
        <v>156</v>
      </c>
      <c r="DG809" s="2">
        <v>64</v>
      </c>
      <c r="DH809" s="2">
        <v>0</v>
      </c>
      <c r="DI809" s="2">
        <v>6.4972799999999997E-2</v>
      </c>
      <c r="DR809">
        <v>169</v>
      </c>
      <c r="DS809">
        <v>69</v>
      </c>
      <c r="DT809">
        <v>0</v>
      </c>
      <c r="DU809">
        <v>2E-3</v>
      </c>
      <c r="DW809">
        <v>156</v>
      </c>
      <c r="DX809">
        <v>64</v>
      </c>
      <c r="DY809">
        <v>0</v>
      </c>
      <c r="DZ809">
        <v>6.4972799999999997E-2</v>
      </c>
      <c r="ED809" s="2">
        <v>154</v>
      </c>
      <c r="EE809" s="2">
        <v>63</v>
      </c>
      <c r="EF809" s="2">
        <v>1</v>
      </c>
      <c r="EG809" s="2">
        <v>1.322222E-2</v>
      </c>
      <c r="ES809">
        <v>154</v>
      </c>
      <c r="ET809">
        <v>63</v>
      </c>
      <c r="EU809">
        <v>1</v>
      </c>
      <c r="EV809">
        <v>1.322222E-2</v>
      </c>
    </row>
    <row r="810" spans="5:152" x14ac:dyDescent="0.4">
      <c r="E810">
        <v>4.1000000000000002E-2</v>
      </c>
      <c r="AX810" s="2">
        <v>175</v>
      </c>
      <c r="AY810" s="2">
        <v>67</v>
      </c>
      <c r="AZ810" s="2">
        <v>0</v>
      </c>
      <c r="BA810" s="2">
        <v>1E-3</v>
      </c>
      <c r="BJ810" s="2">
        <v>160</v>
      </c>
      <c r="BK810" s="2">
        <v>65</v>
      </c>
      <c r="BL810" s="2">
        <v>0</v>
      </c>
      <c r="BM810" s="2">
        <v>4.0000000000000001E-3</v>
      </c>
      <c r="BV810" s="2">
        <v>159</v>
      </c>
      <c r="BW810" s="2">
        <v>64</v>
      </c>
      <c r="BX810" s="2">
        <v>0</v>
      </c>
      <c r="BY810" s="2">
        <v>3.2005199999999998E-2</v>
      </c>
      <c r="CH810" s="2">
        <v>156</v>
      </c>
      <c r="CI810" s="2">
        <v>63</v>
      </c>
      <c r="CJ810" s="2">
        <v>0</v>
      </c>
      <c r="CK810" s="2">
        <v>8.6999999999999994E-2</v>
      </c>
      <c r="CT810" s="2">
        <v>143</v>
      </c>
      <c r="CU810" s="2">
        <v>61</v>
      </c>
      <c r="CV810" s="2">
        <v>0</v>
      </c>
      <c r="CW810" s="2">
        <v>2E-3</v>
      </c>
      <c r="DF810" s="2">
        <v>157</v>
      </c>
      <c r="DG810" s="2">
        <v>64</v>
      </c>
      <c r="DH810" s="2">
        <v>0</v>
      </c>
      <c r="DI810" s="2">
        <v>3.2000000000000001E-2</v>
      </c>
      <c r="DW810">
        <v>157</v>
      </c>
      <c r="DX810">
        <v>64</v>
      </c>
      <c r="DY810">
        <v>0</v>
      </c>
      <c r="DZ810">
        <v>3.2000000000000001E-2</v>
      </c>
      <c r="ED810" s="2">
        <v>155</v>
      </c>
      <c r="EE810" s="2">
        <v>63</v>
      </c>
      <c r="EF810" s="2">
        <v>0</v>
      </c>
      <c r="EG810" s="2">
        <v>0.14302719999999999</v>
      </c>
      <c r="ES810">
        <v>155</v>
      </c>
      <c r="ET810">
        <v>63</v>
      </c>
      <c r="EU810">
        <v>0</v>
      </c>
      <c r="EV810">
        <v>0.14302719999999999</v>
      </c>
    </row>
    <row r="811" spans="5:152" x14ac:dyDescent="0.4">
      <c r="E811">
        <v>1.4999999999999999E-2</v>
      </c>
      <c r="AX811" s="2">
        <v>166</v>
      </c>
      <c r="AY811" s="2">
        <v>68</v>
      </c>
      <c r="AZ811" s="2">
        <v>0</v>
      </c>
      <c r="BA811" s="2">
        <v>2E-3</v>
      </c>
      <c r="BJ811" s="2">
        <v>161</v>
      </c>
      <c r="BK811" s="2">
        <v>65</v>
      </c>
      <c r="BL811" s="2">
        <v>0</v>
      </c>
      <c r="BM811" s="2">
        <v>1.0999999999999999E-2</v>
      </c>
      <c r="BV811" s="2">
        <v>160</v>
      </c>
      <c r="BW811" s="2">
        <v>64</v>
      </c>
      <c r="BX811" s="2">
        <v>0</v>
      </c>
      <c r="BY811" s="2">
        <v>1.89946E-2</v>
      </c>
      <c r="CH811" s="2">
        <v>157</v>
      </c>
      <c r="CI811" s="2">
        <v>63</v>
      </c>
      <c r="CJ811" s="2">
        <v>0</v>
      </c>
      <c r="CK811" s="2">
        <v>7.3000010000000004E-2</v>
      </c>
      <c r="CT811" s="2">
        <v>144</v>
      </c>
      <c r="CU811" s="2">
        <v>61</v>
      </c>
      <c r="CV811" s="2">
        <v>0</v>
      </c>
      <c r="CW811" s="2">
        <v>5.0000000000000001E-3</v>
      </c>
      <c r="DF811" s="2">
        <v>158</v>
      </c>
      <c r="DG811" s="2">
        <v>64</v>
      </c>
      <c r="DH811" s="2">
        <v>0</v>
      </c>
      <c r="DI811" s="2">
        <v>2.2000599999999999E-2</v>
      </c>
      <c r="DW811">
        <v>158</v>
      </c>
      <c r="DX811">
        <v>64</v>
      </c>
      <c r="DY811">
        <v>0</v>
      </c>
      <c r="DZ811">
        <v>2.2000599999999999E-2</v>
      </c>
      <c r="ED811" s="2">
        <v>156</v>
      </c>
      <c r="EE811" s="2">
        <v>63</v>
      </c>
      <c r="EF811" s="2">
        <v>0</v>
      </c>
      <c r="EG811" s="2">
        <v>7.2972800000000004E-2</v>
      </c>
      <c r="ES811">
        <v>156</v>
      </c>
      <c r="ET811">
        <v>63</v>
      </c>
      <c r="EU811">
        <v>0</v>
      </c>
      <c r="EV811">
        <v>7.2972800000000004E-2</v>
      </c>
    </row>
    <row r="812" spans="5:152" x14ac:dyDescent="0.4">
      <c r="E812">
        <v>7.0000000000000001E-3</v>
      </c>
      <c r="AX812" s="2">
        <v>167</v>
      </c>
      <c r="AY812" s="2">
        <v>68</v>
      </c>
      <c r="AZ812" s="2">
        <v>0</v>
      </c>
      <c r="BA812" s="2">
        <v>1E-3</v>
      </c>
      <c r="BJ812" s="2">
        <v>162</v>
      </c>
      <c r="BK812" s="2">
        <v>65</v>
      </c>
      <c r="BL812" s="2">
        <v>0</v>
      </c>
      <c r="BM812" s="2">
        <v>0.01</v>
      </c>
      <c r="BV812" s="2">
        <v>161</v>
      </c>
      <c r="BW812" s="2">
        <v>64</v>
      </c>
      <c r="BX812" s="2">
        <v>0</v>
      </c>
      <c r="BY812" s="2">
        <v>0.01</v>
      </c>
      <c r="CH812" s="2">
        <v>158</v>
      </c>
      <c r="CI812" s="2">
        <v>63</v>
      </c>
      <c r="CJ812" s="2">
        <v>0</v>
      </c>
      <c r="CK812" s="2">
        <v>4.1000000000000002E-2</v>
      </c>
      <c r="CT812" s="2">
        <v>145</v>
      </c>
      <c r="CU812" s="2">
        <v>61</v>
      </c>
      <c r="CV812" s="2">
        <v>0</v>
      </c>
      <c r="CW812" s="2">
        <v>0.01</v>
      </c>
      <c r="DF812" s="2">
        <v>159</v>
      </c>
      <c r="DG812" s="2">
        <v>64</v>
      </c>
      <c r="DH812" s="2">
        <v>0</v>
      </c>
      <c r="DI812" s="2">
        <v>2.3002100000000001E-2</v>
      </c>
      <c r="DW812">
        <v>159</v>
      </c>
      <c r="DX812">
        <v>64</v>
      </c>
      <c r="DY812">
        <v>0</v>
      </c>
      <c r="DZ812">
        <v>2.3002100000000001E-2</v>
      </c>
      <c r="ED812" s="2">
        <v>157</v>
      </c>
      <c r="EE812" s="2">
        <v>63</v>
      </c>
      <c r="EF812" s="2">
        <v>0</v>
      </c>
      <c r="EG812" s="2">
        <v>6.0999999999999999E-2</v>
      </c>
      <c r="ES812">
        <v>157</v>
      </c>
      <c r="ET812">
        <v>63</v>
      </c>
      <c r="EU812">
        <v>0</v>
      </c>
      <c r="EV812">
        <v>6.0999999999999999E-2</v>
      </c>
    </row>
    <row r="813" spans="5:152" x14ac:dyDescent="0.4">
      <c r="E813">
        <v>3.0000000000000001E-3</v>
      </c>
      <c r="AX813" s="2">
        <v>167</v>
      </c>
      <c r="AY813" s="2">
        <v>68</v>
      </c>
      <c r="AZ813" s="2">
        <v>1</v>
      </c>
      <c r="BA813" s="2">
        <v>1.195E-4</v>
      </c>
      <c r="BJ813" s="2">
        <v>163</v>
      </c>
      <c r="BK813" s="2">
        <v>65</v>
      </c>
      <c r="BL813" s="2">
        <v>0</v>
      </c>
      <c r="BM813" s="2">
        <v>0.01</v>
      </c>
      <c r="BV813" s="2">
        <v>162</v>
      </c>
      <c r="BW813" s="2">
        <v>64</v>
      </c>
      <c r="BX813" s="2">
        <v>0</v>
      </c>
      <c r="BY813" s="2">
        <v>7.0000000000000001E-3</v>
      </c>
      <c r="CH813" s="2">
        <v>159</v>
      </c>
      <c r="CI813" s="2">
        <v>63</v>
      </c>
      <c r="CJ813" s="2">
        <v>0</v>
      </c>
      <c r="CK813" s="2">
        <v>1.4999999999999999E-2</v>
      </c>
      <c r="CT813" s="2">
        <v>146</v>
      </c>
      <c r="CU813" s="2">
        <v>61</v>
      </c>
      <c r="CV813" s="2">
        <v>0</v>
      </c>
      <c r="CW813" s="2">
        <v>2.1000000000000001E-2</v>
      </c>
      <c r="DF813" s="2">
        <v>160</v>
      </c>
      <c r="DG813" s="2">
        <v>64</v>
      </c>
      <c r="DH813" s="2">
        <v>0</v>
      </c>
      <c r="DI813" s="2">
        <v>1.8997300000000002E-2</v>
      </c>
      <c r="DW813">
        <v>160</v>
      </c>
      <c r="DX813">
        <v>64</v>
      </c>
      <c r="DY813">
        <v>0</v>
      </c>
      <c r="DZ813">
        <v>1.8997300000000002E-2</v>
      </c>
      <c r="ED813" s="2">
        <v>158</v>
      </c>
      <c r="EE813" s="2">
        <v>63</v>
      </c>
      <c r="EF813" s="2">
        <v>0</v>
      </c>
      <c r="EG813" s="2">
        <v>3.7000400000000003E-2</v>
      </c>
      <c r="ES813">
        <v>158</v>
      </c>
      <c r="ET813">
        <v>63</v>
      </c>
      <c r="EU813">
        <v>0</v>
      </c>
      <c r="EV813">
        <v>3.7000400000000003E-2</v>
      </c>
    </row>
    <row r="814" spans="5:152" x14ac:dyDescent="0.4">
      <c r="E814">
        <v>3.0000000000000001E-3</v>
      </c>
      <c r="AX814" s="2">
        <v>175</v>
      </c>
      <c r="AY814" s="2">
        <v>68</v>
      </c>
      <c r="AZ814" s="2">
        <v>0</v>
      </c>
      <c r="BA814" s="2">
        <v>1E-3</v>
      </c>
      <c r="BJ814" s="2">
        <v>166</v>
      </c>
      <c r="BK814" s="2">
        <v>65</v>
      </c>
      <c r="BL814" s="2">
        <v>0</v>
      </c>
      <c r="BM814" s="2">
        <v>1E-3</v>
      </c>
      <c r="BV814" s="2">
        <v>163</v>
      </c>
      <c r="BW814" s="2">
        <v>64</v>
      </c>
      <c r="BX814" s="2">
        <v>0</v>
      </c>
      <c r="BY814" s="2">
        <v>3.0000000000000001E-3</v>
      </c>
      <c r="CH814" s="2">
        <v>160</v>
      </c>
      <c r="CI814" s="2">
        <v>63</v>
      </c>
      <c r="CJ814" s="2">
        <v>0</v>
      </c>
      <c r="CK814" s="2">
        <v>7.0000000000000001E-3</v>
      </c>
      <c r="CT814" s="2">
        <v>147</v>
      </c>
      <c r="CU814" s="2">
        <v>61</v>
      </c>
      <c r="CV814" s="2">
        <v>0</v>
      </c>
      <c r="CW814" s="2">
        <v>1.9160239999999999</v>
      </c>
      <c r="DF814" s="2">
        <v>161</v>
      </c>
      <c r="DG814" s="2">
        <v>64</v>
      </c>
      <c r="DH814" s="2">
        <v>0</v>
      </c>
      <c r="DI814" s="2">
        <v>1.2E-2</v>
      </c>
      <c r="DW814">
        <v>161</v>
      </c>
      <c r="DX814">
        <v>64</v>
      </c>
      <c r="DY814">
        <v>0</v>
      </c>
      <c r="DZ814">
        <v>1.2E-2</v>
      </c>
      <c r="ED814" s="2">
        <v>159</v>
      </c>
      <c r="EE814" s="2">
        <v>63</v>
      </c>
      <c r="EF814" s="2">
        <v>0</v>
      </c>
      <c r="EG814" s="2">
        <v>2.49996E-2</v>
      </c>
      <c r="ES814">
        <v>159</v>
      </c>
      <c r="ET814">
        <v>63</v>
      </c>
      <c r="EU814">
        <v>0</v>
      </c>
      <c r="EV814">
        <v>2.49996E-2</v>
      </c>
    </row>
    <row r="815" spans="5:152" x14ac:dyDescent="0.4">
      <c r="E815">
        <v>1E-3</v>
      </c>
      <c r="AX815" s="2">
        <v>175</v>
      </c>
      <c r="AY815" s="2">
        <v>69</v>
      </c>
      <c r="AZ815" s="2">
        <v>0</v>
      </c>
      <c r="BA815" s="2">
        <v>1E-3</v>
      </c>
      <c r="BJ815" s="2">
        <v>158</v>
      </c>
      <c r="BK815" s="2">
        <v>66</v>
      </c>
      <c r="BL815" s="2">
        <v>0</v>
      </c>
      <c r="BM815" s="2">
        <v>5.04E-4</v>
      </c>
      <c r="BV815" s="2">
        <v>164</v>
      </c>
      <c r="BW815" s="2">
        <v>64</v>
      </c>
      <c r="BX815" s="2">
        <v>0</v>
      </c>
      <c r="BY815" s="2">
        <v>2E-3</v>
      </c>
      <c r="CH815" s="2">
        <v>161</v>
      </c>
      <c r="CI815" s="2">
        <v>63</v>
      </c>
      <c r="CJ815" s="2">
        <v>0</v>
      </c>
      <c r="CK815" s="2">
        <v>3.0000000000000001E-3</v>
      </c>
      <c r="CT815" s="2">
        <v>148</v>
      </c>
      <c r="CU815" s="2">
        <v>61</v>
      </c>
      <c r="CV815" s="2">
        <v>0</v>
      </c>
      <c r="CW815" s="2">
        <v>1.8191780000000001E-2</v>
      </c>
      <c r="DF815" s="2">
        <v>162</v>
      </c>
      <c r="DG815" s="2">
        <v>64</v>
      </c>
      <c r="DH815" s="2">
        <v>0</v>
      </c>
      <c r="DI815" s="2">
        <v>8.9999999999999993E-3</v>
      </c>
      <c r="DW815">
        <v>162</v>
      </c>
      <c r="DX815">
        <v>64</v>
      </c>
      <c r="DY815">
        <v>0</v>
      </c>
      <c r="DZ815">
        <v>8.9999999999999993E-3</v>
      </c>
      <c r="ED815" s="2">
        <v>160</v>
      </c>
      <c r="EE815" s="2">
        <v>63</v>
      </c>
      <c r="EF815" s="2">
        <v>0</v>
      </c>
      <c r="EG815" s="2">
        <v>8.0000000000000002E-3</v>
      </c>
      <c r="ES815">
        <v>160</v>
      </c>
      <c r="ET815">
        <v>63</v>
      </c>
      <c r="EU815">
        <v>0</v>
      </c>
      <c r="EV815">
        <v>8.0000000000000002E-3</v>
      </c>
    </row>
    <row r="816" spans="5:152" x14ac:dyDescent="0.4">
      <c r="E816">
        <v>4.4640000000000001E-3</v>
      </c>
      <c r="AX816" s="2">
        <v>176</v>
      </c>
      <c r="AY816" s="2">
        <v>69</v>
      </c>
      <c r="AZ816" s="2">
        <v>0</v>
      </c>
      <c r="BA816" s="2">
        <v>1E-3</v>
      </c>
      <c r="BJ816" s="2">
        <v>160</v>
      </c>
      <c r="BK816" s="2">
        <v>66</v>
      </c>
      <c r="BL816" s="2">
        <v>0</v>
      </c>
      <c r="BM816" s="2">
        <v>5.0000000000000001E-3</v>
      </c>
      <c r="BV816" s="2">
        <v>165</v>
      </c>
      <c r="BW816" s="2">
        <v>64</v>
      </c>
      <c r="BX816" s="2">
        <v>0</v>
      </c>
      <c r="BY816" s="2">
        <v>1E-3</v>
      </c>
      <c r="CH816" s="2">
        <v>162</v>
      </c>
      <c r="CI816" s="2">
        <v>63</v>
      </c>
      <c r="CJ816" s="2">
        <v>0</v>
      </c>
      <c r="CK816" s="2">
        <v>3.0000000000000001E-3</v>
      </c>
      <c r="CT816" s="2">
        <v>148</v>
      </c>
      <c r="CU816" s="2">
        <v>61</v>
      </c>
      <c r="CV816" s="2">
        <v>1</v>
      </c>
      <c r="CW816" s="2">
        <v>0.13115280000000001</v>
      </c>
      <c r="DF816" s="2">
        <v>163</v>
      </c>
      <c r="DG816" s="2">
        <v>64</v>
      </c>
      <c r="DH816" s="2">
        <v>0</v>
      </c>
      <c r="DI816" s="2">
        <v>3.0000000000000001E-3</v>
      </c>
      <c r="DW816">
        <v>163</v>
      </c>
      <c r="DX816">
        <v>64</v>
      </c>
      <c r="DY816">
        <v>0</v>
      </c>
      <c r="DZ816">
        <v>3.0000000000000001E-3</v>
      </c>
      <c r="ED816" s="2">
        <v>161</v>
      </c>
      <c r="EE816" s="2">
        <v>63</v>
      </c>
      <c r="EF816" s="2">
        <v>0</v>
      </c>
      <c r="EG816" s="2">
        <v>8.0000000000000002E-3</v>
      </c>
      <c r="ES816">
        <v>161</v>
      </c>
      <c r="ET816">
        <v>63</v>
      </c>
      <c r="EU816">
        <v>0</v>
      </c>
      <c r="EV816">
        <v>8.0000000000000002E-3</v>
      </c>
    </row>
    <row r="817" spans="5:152" x14ac:dyDescent="0.4">
      <c r="E817">
        <v>3.0000000000000001E-3</v>
      </c>
      <c r="AX817" s="2">
        <v>175</v>
      </c>
      <c r="AY817" s="2">
        <v>70</v>
      </c>
      <c r="AZ817" s="2">
        <v>0</v>
      </c>
      <c r="BA817" s="2">
        <v>1E-3</v>
      </c>
      <c r="BJ817" s="2">
        <v>161</v>
      </c>
      <c r="BK817" s="2">
        <v>66</v>
      </c>
      <c r="BL817" s="2">
        <v>0</v>
      </c>
      <c r="BM817" s="2">
        <v>1.0999999999999999E-2</v>
      </c>
      <c r="BV817" s="2">
        <v>159</v>
      </c>
      <c r="BW817" s="2">
        <v>65</v>
      </c>
      <c r="BX817" s="2">
        <v>0</v>
      </c>
      <c r="BY817" s="2">
        <v>3.2005199999999998E-2</v>
      </c>
      <c r="CH817" s="2">
        <v>163</v>
      </c>
      <c r="CI817" s="2">
        <v>63</v>
      </c>
      <c r="CJ817" s="2">
        <v>0</v>
      </c>
      <c r="CK817" s="2">
        <v>1E-3</v>
      </c>
      <c r="CT817" s="2">
        <v>149</v>
      </c>
      <c r="CU817" s="2">
        <v>61</v>
      </c>
      <c r="CV817" s="2">
        <v>0</v>
      </c>
      <c r="CW817" s="2">
        <v>1.6077589999999999</v>
      </c>
      <c r="DF817" s="2">
        <v>164</v>
      </c>
      <c r="DG817" s="2">
        <v>64</v>
      </c>
      <c r="DH817" s="2">
        <v>0</v>
      </c>
      <c r="DI817" s="2">
        <v>6.0000000000000001E-3</v>
      </c>
      <c r="DW817">
        <v>164</v>
      </c>
      <c r="DX817">
        <v>64</v>
      </c>
      <c r="DY817">
        <v>0</v>
      </c>
      <c r="DZ817">
        <v>6.0000000000000001E-3</v>
      </c>
      <c r="ED817" s="2">
        <v>162</v>
      </c>
      <c r="EE817" s="2">
        <v>63</v>
      </c>
      <c r="EF817" s="2">
        <v>0</v>
      </c>
      <c r="EG817" s="2">
        <v>2E-3</v>
      </c>
      <c r="ES817">
        <v>162</v>
      </c>
      <c r="ET817">
        <v>63</v>
      </c>
      <c r="EU817">
        <v>0</v>
      </c>
      <c r="EV817">
        <v>2E-3</v>
      </c>
    </row>
    <row r="818" spans="5:152" x14ac:dyDescent="0.4">
      <c r="E818">
        <v>5.3989599999999999E-2</v>
      </c>
      <c r="AX818" s="2">
        <v>175</v>
      </c>
      <c r="AY818" s="2">
        <v>70</v>
      </c>
      <c r="AZ818" s="2">
        <v>1</v>
      </c>
      <c r="BA818" s="2">
        <v>7.6999999999999996E-4</v>
      </c>
      <c r="BJ818" s="2">
        <v>162</v>
      </c>
      <c r="BK818" s="2">
        <v>66</v>
      </c>
      <c r="BL818" s="2">
        <v>0</v>
      </c>
      <c r="BM818" s="2">
        <v>1.0999999999999999E-2</v>
      </c>
      <c r="BV818" s="2">
        <v>160</v>
      </c>
      <c r="BW818" s="2">
        <v>65</v>
      </c>
      <c r="BX818" s="2">
        <v>0</v>
      </c>
      <c r="BY818" s="2">
        <v>2E-3</v>
      </c>
      <c r="CH818" s="2">
        <v>152</v>
      </c>
      <c r="CI818" s="2">
        <v>64</v>
      </c>
      <c r="CJ818" s="2">
        <v>0</v>
      </c>
      <c r="CK818" s="2">
        <v>4.4640000000000001E-3</v>
      </c>
      <c r="CT818" s="2">
        <v>150</v>
      </c>
      <c r="CU818" s="2">
        <v>61</v>
      </c>
      <c r="CV818" s="2">
        <v>0</v>
      </c>
      <c r="CW818" s="2">
        <v>0.36399999999999999</v>
      </c>
      <c r="DF818" s="2">
        <v>165</v>
      </c>
      <c r="DG818" s="2">
        <v>64</v>
      </c>
      <c r="DH818" s="2">
        <v>0</v>
      </c>
      <c r="DI818" s="2">
        <v>2E-3</v>
      </c>
      <c r="DW818">
        <v>165</v>
      </c>
      <c r="DX818">
        <v>64</v>
      </c>
      <c r="DY818">
        <v>0</v>
      </c>
      <c r="DZ818">
        <v>2E-3</v>
      </c>
      <c r="ED818" s="2">
        <v>163</v>
      </c>
      <c r="EE818" s="2">
        <v>63</v>
      </c>
      <c r="EF818" s="2">
        <v>0</v>
      </c>
      <c r="EG818" s="2">
        <v>1E-3</v>
      </c>
      <c r="ES818">
        <v>163</v>
      </c>
      <c r="ET818">
        <v>63</v>
      </c>
      <c r="EU818">
        <v>0</v>
      </c>
      <c r="EV818">
        <v>1E-3</v>
      </c>
    </row>
    <row r="819" spans="5:152" x14ac:dyDescent="0.4">
      <c r="E819">
        <v>0.152</v>
      </c>
      <c r="AX819" s="2">
        <v>176</v>
      </c>
      <c r="AY819" s="2">
        <v>70</v>
      </c>
      <c r="AZ819" s="2">
        <v>0</v>
      </c>
      <c r="BA819" s="2">
        <v>1E-3</v>
      </c>
      <c r="BJ819" s="2">
        <v>163</v>
      </c>
      <c r="BK819" s="2">
        <v>66</v>
      </c>
      <c r="BL819" s="2">
        <v>0</v>
      </c>
      <c r="BM819" s="2">
        <v>1.4E-2</v>
      </c>
      <c r="BV819" s="2">
        <v>161</v>
      </c>
      <c r="BW819" s="2">
        <v>65</v>
      </c>
      <c r="BX819" s="2">
        <v>0</v>
      </c>
      <c r="BY819" s="2">
        <v>1.2E-2</v>
      </c>
      <c r="CH819" s="2">
        <v>153</v>
      </c>
      <c r="CI819" s="2">
        <v>64</v>
      </c>
      <c r="CJ819" s="2">
        <v>0</v>
      </c>
      <c r="CK819" s="2">
        <v>3.0000000000000001E-3</v>
      </c>
      <c r="CT819" s="2">
        <v>151</v>
      </c>
      <c r="CU819" s="2">
        <v>61</v>
      </c>
      <c r="CV819" s="2">
        <v>0</v>
      </c>
      <c r="CW819" s="2">
        <v>1.1651210000000001</v>
      </c>
      <c r="DF819" s="2">
        <v>167</v>
      </c>
      <c r="DG819" s="2">
        <v>64</v>
      </c>
      <c r="DH819" s="2">
        <v>0</v>
      </c>
      <c r="DI819" s="2">
        <v>2E-3</v>
      </c>
      <c r="DW819">
        <v>167</v>
      </c>
      <c r="DX819">
        <v>64</v>
      </c>
      <c r="DY819">
        <v>0</v>
      </c>
      <c r="DZ819">
        <v>2E-3</v>
      </c>
      <c r="ED819" s="2">
        <v>152</v>
      </c>
      <c r="EE819" s="2">
        <v>64</v>
      </c>
      <c r="EF819" s="2">
        <v>0</v>
      </c>
      <c r="EG819" s="2">
        <v>5.5800000000000001E-4</v>
      </c>
      <c r="ES819">
        <v>152</v>
      </c>
      <c r="ET819">
        <v>64</v>
      </c>
      <c r="EU819">
        <v>0</v>
      </c>
      <c r="EV819">
        <v>5.5800000000000001E-4</v>
      </c>
    </row>
    <row r="820" spans="5:152" x14ac:dyDescent="0.4">
      <c r="E820">
        <v>1.4999999999999999E-2</v>
      </c>
      <c r="AX820" s="2">
        <v>176</v>
      </c>
      <c r="AY820" s="2">
        <v>70</v>
      </c>
      <c r="AZ820" s="2">
        <v>1</v>
      </c>
      <c r="BA820" s="2">
        <v>5.0000000000000001E-4</v>
      </c>
      <c r="BJ820" s="2">
        <v>164</v>
      </c>
      <c r="BK820" s="2">
        <v>66</v>
      </c>
      <c r="BL820" s="2">
        <v>0</v>
      </c>
      <c r="BM820" s="2">
        <v>2.9659999999999999E-3</v>
      </c>
      <c r="BV820" s="2">
        <v>162</v>
      </c>
      <c r="BW820" s="2">
        <v>65</v>
      </c>
      <c r="BX820" s="2">
        <v>0</v>
      </c>
      <c r="BY820" s="2">
        <v>1.2999999999999999E-2</v>
      </c>
      <c r="CH820" s="2">
        <v>154</v>
      </c>
      <c r="CI820" s="2">
        <v>64</v>
      </c>
      <c r="CJ820" s="2">
        <v>0</v>
      </c>
      <c r="CK820" s="2">
        <v>5.3989599999999999E-2</v>
      </c>
      <c r="CT820" s="2">
        <v>152</v>
      </c>
      <c r="CU820" s="2">
        <v>61</v>
      </c>
      <c r="CV820" s="2">
        <v>0</v>
      </c>
      <c r="CW820" s="2">
        <v>0.528061</v>
      </c>
      <c r="DF820" s="2">
        <v>159</v>
      </c>
      <c r="DG820" s="2">
        <v>65</v>
      </c>
      <c r="DH820" s="2">
        <v>0</v>
      </c>
      <c r="DI820" s="2">
        <v>2.3002100000000001E-2</v>
      </c>
      <c r="DW820">
        <v>159</v>
      </c>
      <c r="DX820">
        <v>65</v>
      </c>
      <c r="DY820">
        <v>0</v>
      </c>
      <c r="DZ820">
        <v>2.3002100000000001E-2</v>
      </c>
      <c r="ED820" s="2">
        <v>154</v>
      </c>
      <c r="EE820" s="2">
        <v>64</v>
      </c>
      <c r="EF820" s="2">
        <v>0</v>
      </c>
      <c r="EG820" s="2">
        <v>1.7996600000000001E-2</v>
      </c>
      <c r="ES820">
        <v>154</v>
      </c>
      <c r="ET820">
        <v>64</v>
      </c>
      <c r="EU820">
        <v>0</v>
      </c>
      <c r="EV820">
        <v>1.7996600000000001E-2</v>
      </c>
    </row>
    <row r="821" spans="5:152" x14ac:dyDescent="0.4">
      <c r="E821">
        <v>0.11</v>
      </c>
      <c r="AX821" s="2">
        <v>175</v>
      </c>
      <c r="AY821" s="2">
        <v>71</v>
      </c>
      <c r="AZ821" s="2">
        <v>0</v>
      </c>
      <c r="BA821" s="2">
        <v>1E-3</v>
      </c>
      <c r="BJ821" s="2">
        <v>165</v>
      </c>
      <c r="BK821" s="2">
        <v>66</v>
      </c>
      <c r="BL821" s="2">
        <v>0</v>
      </c>
      <c r="BM821" s="2">
        <v>5.0000000000000001E-3</v>
      </c>
      <c r="BV821" s="2">
        <v>163</v>
      </c>
      <c r="BW821" s="2">
        <v>65</v>
      </c>
      <c r="BX821" s="2">
        <v>0</v>
      </c>
      <c r="BY821" s="2">
        <v>7.0000000000000001E-3</v>
      </c>
      <c r="CH821" s="2">
        <v>155</v>
      </c>
      <c r="CI821" s="2">
        <v>64</v>
      </c>
      <c r="CJ821" s="2">
        <v>0</v>
      </c>
      <c r="CK821" s="2">
        <v>0.152</v>
      </c>
      <c r="CT821" s="2">
        <v>152</v>
      </c>
      <c r="CU821" s="2">
        <v>61</v>
      </c>
      <c r="CV821" s="2">
        <v>1</v>
      </c>
      <c r="CW821" s="2">
        <v>8.4519349999999993E-2</v>
      </c>
      <c r="DF821" s="2">
        <v>161</v>
      </c>
      <c r="DG821" s="2">
        <v>65</v>
      </c>
      <c r="DH821" s="2">
        <v>0</v>
      </c>
      <c r="DI821" s="2">
        <v>1.2E-2</v>
      </c>
      <c r="DW821">
        <v>161</v>
      </c>
      <c r="DX821">
        <v>65</v>
      </c>
      <c r="DY821">
        <v>0</v>
      </c>
      <c r="DZ821">
        <v>1.2E-2</v>
      </c>
      <c r="ED821" s="2">
        <v>155</v>
      </c>
      <c r="EE821" s="2">
        <v>64</v>
      </c>
      <c r="EF821" s="2">
        <v>0</v>
      </c>
      <c r="EG821" s="2">
        <v>0.1470272</v>
      </c>
      <c r="ES821">
        <v>155</v>
      </c>
      <c r="ET821">
        <v>64</v>
      </c>
      <c r="EU821">
        <v>0</v>
      </c>
      <c r="EV821">
        <v>0.1470272</v>
      </c>
    </row>
    <row r="822" spans="5:152" x14ac:dyDescent="0.4">
      <c r="E822">
        <v>0.105</v>
      </c>
      <c r="AX822" s="2">
        <v>166</v>
      </c>
      <c r="AY822" s="2">
        <v>66</v>
      </c>
      <c r="AZ822" s="2">
        <v>0</v>
      </c>
      <c r="BA822" s="2">
        <v>3.0000000000000001E-3</v>
      </c>
      <c r="BJ822" s="2">
        <v>166</v>
      </c>
      <c r="BK822" s="2">
        <v>66</v>
      </c>
      <c r="BL822" s="2">
        <v>0</v>
      </c>
      <c r="BM822" s="2">
        <v>3.0000000000000001E-3</v>
      </c>
      <c r="BV822" s="2">
        <v>164</v>
      </c>
      <c r="BW822" s="2">
        <v>65</v>
      </c>
      <c r="BX822" s="2">
        <v>0</v>
      </c>
      <c r="BY822" s="2">
        <v>6.0000000000000001E-3</v>
      </c>
      <c r="CH822" s="2">
        <v>155</v>
      </c>
      <c r="CI822" s="2">
        <v>64</v>
      </c>
      <c r="CJ822" s="2">
        <v>1</v>
      </c>
      <c r="CK822" s="2">
        <v>1.4999999999999999E-2</v>
      </c>
      <c r="CT822" s="2">
        <v>152</v>
      </c>
      <c r="CU822" s="2">
        <v>61</v>
      </c>
      <c r="CV822" s="2">
        <v>2</v>
      </c>
      <c r="CW822" s="2">
        <v>0.3633361</v>
      </c>
      <c r="DF822" s="2">
        <v>162</v>
      </c>
      <c r="DG822" s="2">
        <v>65</v>
      </c>
      <c r="DH822" s="2">
        <v>0</v>
      </c>
      <c r="DI822" s="2">
        <v>8.9999999999999993E-3</v>
      </c>
      <c r="DW822">
        <v>162</v>
      </c>
      <c r="DX822">
        <v>65</v>
      </c>
      <c r="DY822">
        <v>0</v>
      </c>
      <c r="DZ822">
        <v>8.9999999999999993E-3</v>
      </c>
      <c r="ED822" s="2">
        <v>155</v>
      </c>
      <c r="EE822" s="2">
        <v>64</v>
      </c>
      <c r="EF822" s="2">
        <v>1</v>
      </c>
      <c r="EG822" s="2">
        <v>4.0000000000000001E-3</v>
      </c>
      <c r="ES822">
        <v>155</v>
      </c>
      <c r="ET822">
        <v>64</v>
      </c>
      <c r="EU822">
        <v>1</v>
      </c>
      <c r="EV822">
        <v>4.0000000000000001E-3</v>
      </c>
    </row>
    <row r="823" spans="5:152" x14ac:dyDescent="0.4">
      <c r="E823">
        <v>8.3984000000000003E-2</v>
      </c>
      <c r="AX823" s="2">
        <v>167</v>
      </c>
      <c r="AY823" s="2">
        <v>66</v>
      </c>
      <c r="AZ823" s="2">
        <v>0</v>
      </c>
      <c r="BA823" s="2">
        <v>1E-3</v>
      </c>
      <c r="BJ823" s="2">
        <v>167</v>
      </c>
      <c r="BK823" s="2">
        <v>66</v>
      </c>
      <c r="BL823" s="2">
        <v>0</v>
      </c>
      <c r="BM823" s="2">
        <v>1E-3</v>
      </c>
      <c r="BV823" s="2">
        <v>165</v>
      </c>
      <c r="BW823" s="2">
        <v>65</v>
      </c>
      <c r="BX823" s="2">
        <v>0</v>
      </c>
      <c r="BY823" s="2">
        <v>4.0000000000000001E-3</v>
      </c>
      <c r="CH823" s="2">
        <v>156</v>
      </c>
      <c r="CI823" s="2">
        <v>64</v>
      </c>
      <c r="CJ823" s="2">
        <v>0</v>
      </c>
      <c r="CK823" s="2">
        <v>0.11</v>
      </c>
      <c r="CT823" s="2">
        <v>153</v>
      </c>
      <c r="CU823" s="2">
        <v>61</v>
      </c>
      <c r="CV823" s="2">
        <v>0</v>
      </c>
      <c r="CW823" s="2">
        <v>0.6989628</v>
      </c>
      <c r="DF823" s="2">
        <v>163</v>
      </c>
      <c r="DG823" s="2">
        <v>65</v>
      </c>
      <c r="DH823" s="2">
        <v>0</v>
      </c>
      <c r="DI823" s="2">
        <v>3.0000000000000001E-3</v>
      </c>
      <c r="DW823">
        <v>163</v>
      </c>
      <c r="DX823">
        <v>65</v>
      </c>
      <c r="DY823">
        <v>0</v>
      </c>
      <c r="DZ823">
        <v>3.0000000000000001E-3</v>
      </c>
      <c r="ED823" s="2">
        <v>156</v>
      </c>
      <c r="EE823" s="2">
        <v>64</v>
      </c>
      <c r="EF823" s="2">
        <v>0</v>
      </c>
      <c r="EG823" s="2">
        <v>8.1972809999999993E-2</v>
      </c>
      <c r="ES823">
        <v>156</v>
      </c>
      <c r="ET823">
        <v>64</v>
      </c>
      <c r="EU823">
        <v>0</v>
      </c>
      <c r="EV823">
        <v>8.1972809999999993E-2</v>
      </c>
    </row>
    <row r="824" spans="5:152" x14ac:dyDescent="0.4">
      <c r="E824">
        <v>4.4999999999999998E-2</v>
      </c>
      <c r="AX824" s="2">
        <v>169</v>
      </c>
      <c r="AY824" s="2">
        <v>66</v>
      </c>
      <c r="AZ824" s="2">
        <v>0</v>
      </c>
      <c r="BA824" s="2">
        <v>1E-3</v>
      </c>
      <c r="BJ824" s="2">
        <v>169</v>
      </c>
      <c r="BK824" s="2">
        <v>66</v>
      </c>
      <c r="BL824" s="2">
        <v>0</v>
      </c>
      <c r="BM824" s="2">
        <v>1E-3</v>
      </c>
      <c r="BV824" s="2">
        <v>166</v>
      </c>
      <c r="BW824" s="2">
        <v>65</v>
      </c>
      <c r="BX824" s="2">
        <v>0</v>
      </c>
      <c r="BY824" s="2">
        <v>4.0000000000000001E-3</v>
      </c>
      <c r="CH824" s="2">
        <v>157</v>
      </c>
      <c r="CI824" s="2">
        <v>64</v>
      </c>
      <c r="CJ824" s="2">
        <v>0</v>
      </c>
      <c r="CK824" s="2">
        <v>0.105</v>
      </c>
      <c r="CT824" s="2">
        <v>154</v>
      </c>
      <c r="CU824" s="2">
        <v>61</v>
      </c>
      <c r="CV824" s="2">
        <v>0</v>
      </c>
      <c r="CW824" s="2">
        <v>0.47599999999999998</v>
      </c>
      <c r="DF824" s="2">
        <v>164</v>
      </c>
      <c r="DG824" s="2">
        <v>65</v>
      </c>
      <c r="DH824" s="2">
        <v>0</v>
      </c>
      <c r="DI824" s="2">
        <v>6.0000000000000001E-3</v>
      </c>
      <c r="DW824">
        <v>164</v>
      </c>
      <c r="DX824">
        <v>65</v>
      </c>
      <c r="DY824">
        <v>0</v>
      </c>
      <c r="DZ824">
        <v>6.0000000000000001E-3</v>
      </c>
      <c r="ED824" s="2">
        <v>157</v>
      </c>
      <c r="EE824" s="2">
        <v>64</v>
      </c>
      <c r="EF824" s="2">
        <v>0</v>
      </c>
      <c r="EG824" s="2">
        <v>7.6000010000000007E-2</v>
      </c>
      <c r="ES824">
        <v>157</v>
      </c>
      <c r="ET824">
        <v>64</v>
      </c>
      <c r="EU824">
        <v>0</v>
      </c>
      <c r="EV824">
        <v>7.6000010000000007E-2</v>
      </c>
    </row>
    <row r="825" spans="5:152" x14ac:dyDescent="0.4">
      <c r="E825">
        <v>3.7999999999999999E-2</v>
      </c>
      <c r="AX825" s="2">
        <v>163</v>
      </c>
      <c r="AY825" s="2">
        <v>67</v>
      </c>
      <c r="AZ825" s="2">
        <v>0</v>
      </c>
      <c r="BA825" s="2">
        <v>1E-3</v>
      </c>
      <c r="BJ825" s="2">
        <v>163</v>
      </c>
      <c r="BK825" s="2">
        <v>67</v>
      </c>
      <c r="BL825" s="2">
        <v>0</v>
      </c>
      <c r="BM825" s="2">
        <v>1E-3</v>
      </c>
      <c r="BV825" s="2">
        <v>167</v>
      </c>
      <c r="BW825" s="2">
        <v>65</v>
      </c>
      <c r="BX825" s="2">
        <v>0</v>
      </c>
      <c r="BY825" s="2">
        <v>2E-3</v>
      </c>
      <c r="CH825" s="2">
        <v>158</v>
      </c>
      <c r="CI825" s="2">
        <v>64</v>
      </c>
      <c r="CJ825" s="2">
        <v>0</v>
      </c>
      <c r="CK825" s="2">
        <v>8.3984000000000003E-2</v>
      </c>
      <c r="CT825" s="2">
        <v>155</v>
      </c>
      <c r="CU825" s="2">
        <v>61</v>
      </c>
      <c r="CV825" s="2">
        <v>0</v>
      </c>
      <c r="CW825" s="2">
        <v>0.28102719999999998</v>
      </c>
      <c r="DF825" s="2">
        <v>165</v>
      </c>
      <c r="DG825" s="2">
        <v>65</v>
      </c>
      <c r="DH825" s="2">
        <v>0</v>
      </c>
      <c r="DI825" s="2">
        <v>2E-3</v>
      </c>
      <c r="DW825">
        <v>165</v>
      </c>
      <c r="DX825">
        <v>65</v>
      </c>
      <c r="DY825">
        <v>0</v>
      </c>
      <c r="DZ825">
        <v>2E-3</v>
      </c>
      <c r="ED825" s="2">
        <v>158</v>
      </c>
      <c r="EE825" s="2">
        <v>64</v>
      </c>
      <c r="EF825" s="2">
        <v>0</v>
      </c>
      <c r="EG825" s="2">
        <v>5.4832400000000003E-2</v>
      </c>
      <c r="ES825">
        <v>158</v>
      </c>
      <c r="ET825">
        <v>64</v>
      </c>
      <c r="EU825">
        <v>0</v>
      </c>
      <c r="EV825">
        <v>5.4832400000000003E-2</v>
      </c>
    </row>
    <row r="826" spans="5:152" x14ac:dyDescent="0.4">
      <c r="E826">
        <v>0.02</v>
      </c>
      <c r="AX826" s="2">
        <v>164</v>
      </c>
      <c r="AY826" s="2">
        <v>67</v>
      </c>
      <c r="AZ826" s="2">
        <v>0</v>
      </c>
      <c r="BA826" s="2">
        <v>2E-3</v>
      </c>
      <c r="BJ826" s="2">
        <v>164</v>
      </c>
      <c r="BK826" s="2">
        <v>67</v>
      </c>
      <c r="BL826" s="2">
        <v>0</v>
      </c>
      <c r="BM826" s="2">
        <v>2E-3</v>
      </c>
      <c r="BV826" s="2">
        <v>160</v>
      </c>
      <c r="BW826" s="2">
        <v>66</v>
      </c>
      <c r="BX826" s="2">
        <v>0</v>
      </c>
      <c r="BY826" s="2">
        <v>2E-3</v>
      </c>
      <c r="CH826" s="2">
        <v>159</v>
      </c>
      <c r="CI826" s="2">
        <v>64</v>
      </c>
      <c r="CJ826" s="2">
        <v>0</v>
      </c>
      <c r="CK826" s="2">
        <v>4.4999999999999998E-2</v>
      </c>
      <c r="CT826" s="2">
        <v>156</v>
      </c>
      <c r="CU826" s="2">
        <v>61</v>
      </c>
      <c r="CV826" s="2">
        <v>0</v>
      </c>
      <c r="CW826" s="2">
        <v>0.1520367</v>
      </c>
      <c r="DF826" s="2">
        <v>167</v>
      </c>
      <c r="DG826" s="2">
        <v>65</v>
      </c>
      <c r="DH826" s="2">
        <v>0</v>
      </c>
      <c r="DI826" s="2">
        <v>2E-3</v>
      </c>
      <c r="DW826">
        <v>167</v>
      </c>
      <c r="DX826">
        <v>65</v>
      </c>
      <c r="DY826">
        <v>0</v>
      </c>
      <c r="DZ826">
        <v>2E-3</v>
      </c>
      <c r="ED826" s="2">
        <v>159</v>
      </c>
      <c r="EE826" s="2">
        <v>64</v>
      </c>
      <c r="EF826" s="2">
        <v>0</v>
      </c>
      <c r="EG826" s="2">
        <v>5.19996E-2</v>
      </c>
      <c r="ES826">
        <v>159</v>
      </c>
      <c r="ET826">
        <v>64</v>
      </c>
      <c r="EU826">
        <v>0</v>
      </c>
      <c r="EV826">
        <v>5.19996E-2</v>
      </c>
    </row>
    <row r="827" spans="5:152" x14ac:dyDescent="0.4">
      <c r="E827">
        <v>0.01</v>
      </c>
      <c r="AX827" s="2">
        <v>164</v>
      </c>
      <c r="AY827" s="2">
        <v>67</v>
      </c>
      <c r="AZ827" s="2">
        <v>1</v>
      </c>
      <c r="BA827" s="2">
        <v>1E-3</v>
      </c>
      <c r="BJ827" s="2">
        <v>164</v>
      </c>
      <c r="BK827" s="2">
        <v>67</v>
      </c>
      <c r="BL827" s="2">
        <v>1</v>
      </c>
      <c r="BM827" s="2">
        <v>1E-3</v>
      </c>
      <c r="BV827" s="2">
        <v>161</v>
      </c>
      <c r="BW827" s="2">
        <v>66</v>
      </c>
      <c r="BX827" s="2">
        <v>0</v>
      </c>
      <c r="BY827" s="2">
        <v>1.2E-2</v>
      </c>
      <c r="CH827" s="2">
        <v>160</v>
      </c>
      <c r="CI827" s="2">
        <v>64</v>
      </c>
      <c r="CJ827" s="2">
        <v>0</v>
      </c>
      <c r="CK827" s="2">
        <v>3.7999999999999999E-2</v>
      </c>
      <c r="CT827" s="2">
        <v>157</v>
      </c>
      <c r="CU827" s="2">
        <v>61</v>
      </c>
      <c r="CV827" s="2">
        <v>0</v>
      </c>
      <c r="CW827" s="2">
        <v>5.9936099999999999E-2</v>
      </c>
      <c r="DF827" s="2">
        <v>161</v>
      </c>
      <c r="DG827" s="2">
        <v>66</v>
      </c>
      <c r="DH827" s="2">
        <v>0</v>
      </c>
      <c r="DI827" s="2">
        <v>1.2E-2</v>
      </c>
      <c r="DW827">
        <v>161</v>
      </c>
      <c r="DX827">
        <v>66</v>
      </c>
      <c r="DY827">
        <v>0</v>
      </c>
      <c r="DZ827">
        <v>1.2E-2</v>
      </c>
      <c r="ED827" s="2">
        <v>160</v>
      </c>
      <c r="EE827" s="2">
        <v>64</v>
      </c>
      <c r="EF827" s="2">
        <v>0</v>
      </c>
      <c r="EG827" s="2">
        <v>3.5000000000000003E-2</v>
      </c>
      <c r="ES827">
        <v>160</v>
      </c>
      <c r="ET827">
        <v>64</v>
      </c>
      <c r="EU827">
        <v>0</v>
      </c>
      <c r="EV827">
        <v>3.5000000000000003E-2</v>
      </c>
    </row>
    <row r="828" spans="5:152" x14ac:dyDescent="0.4">
      <c r="E828">
        <v>6.0000009999999996E-3</v>
      </c>
      <c r="AX828" s="2">
        <v>165</v>
      </c>
      <c r="AY828" s="2">
        <v>67</v>
      </c>
      <c r="AZ828" s="2">
        <v>0</v>
      </c>
      <c r="BA828" s="2">
        <v>6.0000009999999996E-3</v>
      </c>
      <c r="BJ828" s="2">
        <v>165</v>
      </c>
      <c r="BK828" s="2">
        <v>67</v>
      </c>
      <c r="BL828" s="2">
        <v>0</v>
      </c>
      <c r="BM828" s="2">
        <v>6.0000009999999996E-3</v>
      </c>
      <c r="BV828" s="2">
        <v>162</v>
      </c>
      <c r="BW828" s="2">
        <v>66</v>
      </c>
      <c r="BX828" s="2">
        <v>0</v>
      </c>
      <c r="BY828" s="2">
        <v>1.4999999999999999E-2</v>
      </c>
      <c r="CH828" s="2">
        <v>161</v>
      </c>
      <c r="CI828" s="2">
        <v>64</v>
      </c>
      <c r="CJ828" s="2">
        <v>0</v>
      </c>
      <c r="CK828" s="2">
        <v>0.02</v>
      </c>
      <c r="CT828" s="2">
        <v>158</v>
      </c>
      <c r="CU828" s="2">
        <v>61</v>
      </c>
      <c r="CV828" s="2">
        <v>0</v>
      </c>
      <c r="CW828" s="2">
        <v>2.3E-2</v>
      </c>
      <c r="DF828" s="2">
        <v>162</v>
      </c>
      <c r="DG828" s="2">
        <v>66</v>
      </c>
      <c r="DH828" s="2">
        <v>0</v>
      </c>
      <c r="DI828" s="2">
        <v>8.9999999999999993E-3</v>
      </c>
      <c r="DW828">
        <v>162</v>
      </c>
      <c r="DX828">
        <v>66</v>
      </c>
      <c r="DY828">
        <v>0</v>
      </c>
      <c r="DZ828">
        <v>8.9999999999999993E-3</v>
      </c>
      <c r="ED828" s="2">
        <v>161</v>
      </c>
      <c r="EE828" s="2">
        <v>64</v>
      </c>
      <c r="EF828" s="2">
        <v>0</v>
      </c>
      <c r="EG828" s="2">
        <v>0.02</v>
      </c>
      <c r="ES828">
        <v>161</v>
      </c>
      <c r="ET828">
        <v>64</v>
      </c>
      <c r="EU828">
        <v>0</v>
      </c>
      <c r="EV828">
        <v>0.02</v>
      </c>
    </row>
    <row r="829" spans="5:152" x14ac:dyDescent="0.4">
      <c r="E829">
        <v>1E-3</v>
      </c>
      <c r="AX829" s="2">
        <v>166</v>
      </c>
      <c r="AY829" s="2">
        <v>67</v>
      </c>
      <c r="AZ829" s="2">
        <v>0</v>
      </c>
      <c r="BA829" s="2">
        <v>3.0000000000000001E-3</v>
      </c>
      <c r="BJ829" s="2">
        <v>166</v>
      </c>
      <c r="BK829" s="2">
        <v>67</v>
      </c>
      <c r="BL829" s="2">
        <v>0</v>
      </c>
      <c r="BM829" s="2">
        <v>3.0000000000000001E-3</v>
      </c>
      <c r="BV829" s="2">
        <v>163</v>
      </c>
      <c r="BW829" s="2">
        <v>66</v>
      </c>
      <c r="BX829" s="2">
        <v>0</v>
      </c>
      <c r="BY829" s="2">
        <v>7.0000000000000001E-3</v>
      </c>
      <c r="CH829" s="2">
        <v>162</v>
      </c>
      <c r="CI829" s="2">
        <v>64</v>
      </c>
      <c r="CJ829" s="2">
        <v>0</v>
      </c>
      <c r="CK829" s="2">
        <v>0.01</v>
      </c>
      <c r="CT829" s="2">
        <v>159</v>
      </c>
      <c r="CU829" s="2">
        <v>61</v>
      </c>
      <c r="CV829" s="2">
        <v>0</v>
      </c>
      <c r="CW829" s="2">
        <v>6.0000000000000001E-3</v>
      </c>
      <c r="DF829" s="2">
        <v>163</v>
      </c>
      <c r="DG829" s="2">
        <v>66</v>
      </c>
      <c r="DH829" s="2">
        <v>0</v>
      </c>
      <c r="DI829" s="2">
        <v>4.0000000000000001E-3</v>
      </c>
      <c r="DW829">
        <v>163</v>
      </c>
      <c r="DX829">
        <v>66</v>
      </c>
      <c r="DY829">
        <v>0</v>
      </c>
      <c r="DZ829">
        <v>4.0000000000000001E-3</v>
      </c>
      <c r="ED829" s="2">
        <v>162</v>
      </c>
      <c r="EE829" s="2">
        <v>64</v>
      </c>
      <c r="EF829" s="2">
        <v>0</v>
      </c>
      <c r="EG829" s="2">
        <v>1.4E-2</v>
      </c>
      <c r="ES829">
        <v>162</v>
      </c>
      <c r="ET829">
        <v>64</v>
      </c>
      <c r="EU829">
        <v>0</v>
      </c>
      <c r="EV829">
        <v>1.4E-2</v>
      </c>
    </row>
    <row r="830" spans="5:152" x14ac:dyDescent="0.4">
      <c r="E830">
        <v>2E-3</v>
      </c>
      <c r="AX830" s="2">
        <v>166</v>
      </c>
      <c r="AY830" s="2">
        <v>67</v>
      </c>
      <c r="AZ830" s="2">
        <v>1</v>
      </c>
      <c r="BA830" s="2">
        <v>2E-3</v>
      </c>
      <c r="BJ830" s="2">
        <v>166</v>
      </c>
      <c r="BK830" s="2">
        <v>67</v>
      </c>
      <c r="BL830" s="2">
        <v>1</v>
      </c>
      <c r="BM830" s="2">
        <v>2E-3</v>
      </c>
      <c r="BV830" s="2">
        <v>164</v>
      </c>
      <c r="BW830" s="2">
        <v>66</v>
      </c>
      <c r="BX830" s="2">
        <v>0</v>
      </c>
      <c r="BY830" s="2">
        <v>8.0000000000000002E-3</v>
      </c>
      <c r="CH830" s="2">
        <v>163</v>
      </c>
      <c r="CI830" s="2">
        <v>64</v>
      </c>
      <c r="CJ830" s="2">
        <v>0</v>
      </c>
      <c r="CK830" s="2">
        <v>6.0000009999999996E-3</v>
      </c>
      <c r="CT830" s="2">
        <v>160</v>
      </c>
      <c r="CU830" s="2">
        <v>61</v>
      </c>
      <c r="CV830" s="2">
        <v>0</v>
      </c>
      <c r="CW830" s="2">
        <v>2E-3</v>
      </c>
      <c r="DF830" s="2">
        <v>164</v>
      </c>
      <c r="DG830" s="2">
        <v>66</v>
      </c>
      <c r="DH830" s="2">
        <v>0</v>
      </c>
      <c r="DI830" s="2">
        <v>6.0000000000000001E-3</v>
      </c>
      <c r="DW830">
        <v>164</v>
      </c>
      <c r="DX830">
        <v>66</v>
      </c>
      <c r="DY830">
        <v>0</v>
      </c>
      <c r="DZ830">
        <v>6.0000000000000001E-3</v>
      </c>
      <c r="ED830" s="2">
        <v>163</v>
      </c>
      <c r="EE830" s="2">
        <v>64</v>
      </c>
      <c r="EF830" s="2">
        <v>0</v>
      </c>
      <c r="EG830" s="2">
        <v>1.0999999999999999E-2</v>
      </c>
      <c r="ES830">
        <v>163</v>
      </c>
      <c r="ET830">
        <v>64</v>
      </c>
      <c r="EU830">
        <v>0</v>
      </c>
      <c r="EV830">
        <v>1.0999999999999999E-2</v>
      </c>
    </row>
    <row r="831" spans="5:152" x14ac:dyDescent="0.4">
      <c r="E831">
        <v>1E-3</v>
      </c>
      <c r="AX831" s="2">
        <v>167</v>
      </c>
      <c r="AY831" s="2">
        <v>67</v>
      </c>
      <c r="AZ831" s="2">
        <v>0</v>
      </c>
      <c r="BA831" s="2">
        <v>3.0000000000000001E-3</v>
      </c>
      <c r="BJ831" s="2">
        <v>167</v>
      </c>
      <c r="BK831" s="2">
        <v>67</v>
      </c>
      <c r="BL831" s="2">
        <v>0</v>
      </c>
      <c r="BM831" s="2">
        <v>3.0000000000000001E-3</v>
      </c>
      <c r="BV831" s="2">
        <v>165</v>
      </c>
      <c r="BW831" s="2">
        <v>66</v>
      </c>
      <c r="BX831" s="2">
        <v>0</v>
      </c>
      <c r="BY831" s="2">
        <v>5.0000000000000001E-3</v>
      </c>
      <c r="CH831" s="2">
        <v>155</v>
      </c>
      <c r="CI831" s="2">
        <v>65</v>
      </c>
      <c r="CJ831" s="2">
        <v>0</v>
      </c>
      <c r="CK831" s="2">
        <v>1E-3</v>
      </c>
      <c r="CT831" s="2">
        <v>162</v>
      </c>
      <c r="CU831" s="2">
        <v>61</v>
      </c>
      <c r="CV831" s="2">
        <v>0</v>
      </c>
      <c r="CW831" s="2">
        <v>1E-3</v>
      </c>
      <c r="DF831" s="2">
        <v>165</v>
      </c>
      <c r="DG831" s="2">
        <v>66</v>
      </c>
      <c r="DH831" s="2">
        <v>0</v>
      </c>
      <c r="DI831" s="2">
        <v>3.0000000000000001E-3</v>
      </c>
      <c r="DW831">
        <v>165</v>
      </c>
      <c r="DX831">
        <v>66</v>
      </c>
      <c r="DY831">
        <v>0</v>
      </c>
      <c r="DZ831">
        <v>3.0000000000000001E-3</v>
      </c>
      <c r="ED831" s="2">
        <v>164</v>
      </c>
      <c r="EE831" s="2">
        <v>64</v>
      </c>
      <c r="EF831" s="2">
        <v>0</v>
      </c>
      <c r="EG831" s="2">
        <v>1E-3</v>
      </c>
      <c r="ES831">
        <v>164</v>
      </c>
      <c r="ET831">
        <v>64</v>
      </c>
      <c r="EU831">
        <v>0</v>
      </c>
      <c r="EV831">
        <v>1E-3</v>
      </c>
    </row>
    <row r="832" spans="5:152" x14ac:dyDescent="0.4">
      <c r="E832">
        <v>5.0000000000000001E-3</v>
      </c>
      <c r="AX832" s="2">
        <v>168</v>
      </c>
      <c r="AY832" s="2">
        <v>67</v>
      </c>
      <c r="AZ832" s="2">
        <v>0</v>
      </c>
      <c r="BA832" s="2">
        <v>9.9500000000000001E-4</v>
      </c>
      <c r="BJ832" s="2">
        <v>168</v>
      </c>
      <c r="BK832" s="2">
        <v>67</v>
      </c>
      <c r="BL832" s="2">
        <v>0</v>
      </c>
      <c r="BM832" s="2">
        <v>9.9500000000000001E-4</v>
      </c>
      <c r="BV832" s="2">
        <v>166</v>
      </c>
      <c r="BW832" s="2">
        <v>66</v>
      </c>
      <c r="BX832" s="2">
        <v>0</v>
      </c>
      <c r="BY832" s="2">
        <v>5.0000000000000001E-3</v>
      </c>
      <c r="CH832" s="2">
        <v>156</v>
      </c>
      <c r="CI832" s="2">
        <v>65</v>
      </c>
      <c r="CJ832" s="2">
        <v>0</v>
      </c>
      <c r="CK832" s="2">
        <v>2E-3</v>
      </c>
      <c r="CT832" s="2">
        <v>145</v>
      </c>
      <c r="CU832" s="2">
        <v>62</v>
      </c>
      <c r="CV832" s="2">
        <v>0</v>
      </c>
      <c r="CW832" s="2">
        <v>1E-3</v>
      </c>
      <c r="DF832" s="2">
        <v>167</v>
      </c>
      <c r="DG832" s="2">
        <v>66</v>
      </c>
      <c r="DH832" s="2">
        <v>0</v>
      </c>
      <c r="DI832" s="2">
        <v>3.0000000000000001E-3</v>
      </c>
      <c r="DW832">
        <v>167</v>
      </c>
      <c r="DX832">
        <v>66</v>
      </c>
      <c r="DY832">
        <v>0</v>
      </c>
      <c r="DZ832">
        <v>3.0000000000000001E-3</v>
      </c>
      <c r="ED832" s="2">
        <v>158</v>
      </c>
      <c r="EE832" s="2">
        <v>65</v>
      </c>
      <c r="EF832" s="2">
        <v>0</v>
      </c>
      <c r="EG832" s="2">
        <v>1E-3</v>
      </c>
      <c r="ES832">
        <v>158</v>
      </c>
      <c r="ET832">
        <v>65</v>
      </c>
      <c r="EU832">
        <v>0</v>
      </c>
      <c r="EV832">
        <v>1E-3</v>
      </c>
    </row>
    <row r="833" spans="5:152" x14ac:dyDescent="0.4">
      <c r="E833">
        <v>1.2E-2</v>
      </c>
      <c r="AX833" s="2">
        <v>168</v>
      </c>
      <c r="AY833" s="2">
        <v>67</v>
      </c>
      <c r="AZ833" s="2">
        <v>1</v>
      </c>
      <c r="BA833" s="2">
        <v>1E-3</v>
      </c>
      <c r="BJ833" s="2">
        <v>168</v>
      </c>
      <c r="BK833" s="2">
        <v>67</v>
      </c>
      <c r="BL833" s="2">
        <v>1</v>
      </c>
      <c r="BM833" s="2">
        <v>1E-3</v>
      </c>
      <c r="BV833" s="2">
        <v>167</v>
      </c>
      <c r="BW833" s="2">
        <v>66</v>
      </c>
      <c r="BX833" s="2">
        <v>0</v>
      </c>
      <c r="BY833" s="2">
        <v>3.0000000000000001E-3</v>
      </c>
      <c r="CH833" s="2">
        <v>156</v>
      </c>
      <c r="CI833" s="2">
        <v>65</v>
      </c>
      <c r="CJ833" s="2">
        <v>1</v>
      </c>
      <c r="CK833" s="2">
        <v>1E-3</v>
      </c>
      <c r="CT833" s="2">
        <v>146</v>
      </c>
      <c r="CU833" s="2">
        <v>62</v>
      </c>
      <c r="CV833" s="2">
        <v>0</v>
      </c>
      <c r="CW833" s="2">
        <v>7.140001E-3</v>
      </c>
      <c r="DF833" s="2">
        <v>168</v>
      </c>
      <c r="DG833" s="2">
        <v>66</v>
      </c>
      <c r="DH833" s="2">
        <v>0</v>
      </c>
      <c r="DI833" s="2">
        <v>1E-3</v>
      </c>
      <c r="DW833">
        <v>168</v>
      </c>
      <c r="DX833">
        <v>66</v>
      </c>
      <c r="DY833">
        <v>0</v>
      </c>
      <c r="DZ833">
        <v>1E-3</v>
      </c>
      <c r="ED833" s="2">
        <v>159</v>
      </c>
      <c r="EE833" s="2">
        <v>65</v>
      </c>
      <c r="EF833" s="2">
        <v>0</v>
      </c>
      <c r="EG833" s="2">
        <v>5.5999599999999997E-2</v>
      </c>
      <c r="ES833">
        <v>159</v>
      </c>
      <c r="ET833">
        <v>65</v>
      </c>
      <c r="EU833">
        <v>0</v>
      </c>
      <c r="EV833">
        <v>5.5999599999999997E-2</v>
      </c>
    </row>
    <row r="834" spans="5:152" x14ac:dyDescent="0.4">
      <c r="E834">
        <v>6.5000009999999997E-2</v>
      </c>
      <c r="AX834" s="2">
        <v>169</v>
      </c>
      <c r="AY834" s="2">
        <v>67</v>
      </c>
      <c r="AZ834" s="2">
        <v>0</v>
      </c>
      <c r="BA834" s="2">
        <v>2E-3</v>
      </c>
      <c r="BJ834" s="2">
        <v>169</v>
      </c>
      <c r="BK834" s="2">
        <v>67</v>
      </c>
      <c r="BL834" s="2">
        <v>0</v>
      </c>
      <c r="BM834" s="2">
        <v>2E-3</v>
      </c>
      <c r="BV834" s="2">
        <v>168</v>
      </c>
      <c r="BW834" s="2">
        <v>66</v>
      </c>
      <c r="BX834" s="2">
        <v>0</v>
      </c>
      <c r="BY834" s="2">
        <v>1E-3</v>
      </c>
      <c r="CH834" s="2">
        <v>157</v>
      </c>
      <c r="CI834" s="2">
        <v>65</v>
      </c>
      <c r="CJ834" s="2">
        <v>0</v>
      </c>
      <c r="CK834" s="2">
        <v>5.0000000000000001E-3</v>
      </c>
      <c r="CT834" s="2">
        <v>147</v>
      </c>
      <c r="CU834" s="2">
        <v>62</v>
      </c>
      <c r="CV834" s="2">
        <v>0</v>
      </c>
      <c r="CW834" s="2">
        <v>1.918024</v>
      </c>
      <c r="DF834" s="2">
        <v>169</v>
      </c>
      <c r="DG834" s="2">
        <v>66</v>
      </c>
      <c r="DH834" s="2">
        <v>0</v>
      </c>
      <c r="DI834" s="2">
        <v>1E-3</v>
      </c>
      <c r="DW834">
        <v>169</v>
      </c>
      <c r="DX834">
        <v>66</v>
      </c>
      <c r="DY834">
        <v>0</v>
      </c>
      <c r="DZ834">
        <v>1E-3</v>
      </c>
      <c r="ED834" s="2">
        <v>160</v>
      </c>
      <c r="EE834" s="2">
        <v>65</v>
      </c>
      <c r="EF834" s="2">
        <v>0</v>
      </c>
      <c r="EG834" s="2">
        <v>6.0000000000000001E-3</v>
      </c>
      <c r="ES834">
        <v>160</v>
      </c>
      <c r="ET834">
        <v>65</v>
      </c>
      <c r="EU834">
        <v>0</v>
      </c>
      <c r="EV834">
        <v>6.0000000000000001E-3</v>
      </c>
    </row>
    <row r="835" spans="5:152" x14ac:dyDescent="0.4">
      <c r="E835">
        <v>1.6E-2</v>
      </c>
      <c r="AX835" s="2">
        <v>170</v>
      </c>
      <c r="AY835" s="2">
        <v>67</v>
      </c>
      <c r="AZ835" s="2">
        <v>0</v>
      </c>
      <c r="BA835" s="2">
        <v>1E-3</v>
      </c>
      <c r="BJ835" s="2">
        <v>170</v>
      </c>
      <c r="BK835" s="2">
        <v>67</v>
      </c>
      <c r="BL835" s="2">
        <v>0</v>
      </c>
      <c r="BM835" s="2">
        <v>1E-3</v>
      </c>
      <c r="BV835" s="2">
        <v>171</v>
      </c>
      <c r="BW835" s="2">
        <v>66</v>
      </c>
      <c r="BX835" s="2">
        <v>0</v>
      </c>
      <c r="BY835" s="2">
        <v>1E-3</v>
      </c>
      <c r="CH835" s="2">
        <v>158</v>
      </c>
      <c r="CI835" s="2">
        <v>65</v>
      </c>
      <c r="CJ835" s="2">
        <v>0</v>
      </c>
      <c r="CK835" s="2">
        <v>1.2E-2</v>
      </c>
      <c r="CT835" s="2">
        <v>148</v>
      </c>
      <c r="CU835" s="2">
        <v>62</v>
      </c>
      <c r="CV835" s="2">
        <v>0</v>
      </c>
      <c r="CW835" s="2">
        <v>0.157</v>
      </c>
      <c r="DF835" s="2">
        <v>165</v>
      </c>
      <c r="DG835" s="2">
        <v>67</v>
      </c>
      <c r="DH835" s="2">
        <v>0</v>
      </c>
      <c r="DI835" s="2">
        <v>3.0000000000000001E-3</v>
      </c>
      <c r="DW835">
        <v>165</v>
      </c>
      <c r="DX835">
        <v>67</v>
      </c>
      <c r="DY835">
        <v>0</v>
      </c>
      <c r="DZ835">
        <v>3.0000000000000001E-3</v>
      </c>
      <c r="ED835" s="2">
        <v>161</v>
      </c>
      <c r="EE835" s="2">
        <v>65</v>
      </c>
      <c r="EF835" s="2">
        <v>0</v>
      </c>
      <c r="EG835" s="2">
        <v>2.8000000000000001E-2</v>
      </c>
      <c r="ES835">
        <v>161</v>
      </c>
      <c r="ET835">
        <v>65</v>
      </c>
      <c r="EU835">
        <v>0</v>
      </c>
      <c r="EV835">
        <v>2.8000000000000001E-2</v>
      </c>
    </row>
    <row r="836" spans="5:152" x14ac:dyDescent="0.4">
      <c r="E836">
        <v>0.04</v>
      </c>
      <c r="AX836" s="2">
        <v>164</v>
      </c>
      <c r="AY836" s="2">
        <v>68</v>
      </c>
      <c r="AZ836" s="2">
        <v>0</v>
      </c>
      <c r="BA836" s="2">
        <v>1.034E-3</v>
      </c>
      <c r="BJ836" s="2">
        <v>164</v>
      </c>
      <c r="BK836" s="2">
        <v>68</v>
      </c>
      <c r="BL836" s="2">
        <v>0</v>
      </c>
      <c r="BM836" s="2">
        <v>1.034E-3</v>
      </c>
      <c r="BV836" s="2">
        <v>165</v>
      </c>
      <c r="BW836" s="2">
        <v>67</v>
      </c>
      <c r="BX836" s="2">
        <v>0</v>
      </c>
      <c r="BY836" s="2">
        <v>5.0000000000000001E-3</v>
      </c>
      <c r="CH836" s="2">
        <v>159</v>
      </c>
      <c r="CI836" s="2">
        <v>65</v>
      </c>
      <c r="CJ836" s="2">
        <v>0</v>
      </c>
      <c r="CK836" s="2">
        <v>6.5000009999999997E-2</v>
      </c>
      <c r="CT836" s="2">
        <v>149</v>
      </c>
      <c r="CU836" s="2">
        <v>62</v>
      </c>
      <c r="CV836" s="2">
        <v>0</v>
      </c>
      <c r="CW836" s="2">
        <v>1.63276</v>
      </c>
      <c r="DF836" s="2">
        <v>167</v>
      </c>
      <c r="DG836" s="2">
        <v>67</v>
      </c>
      <c r="DH836" s="2">
        <v>0</v>
      </c>
      <c r="DI836" s="2">
        <v>3.0000000000000001E-3</v>
      </c>
      <c r="DW836">
        <v>167</v>
      </c>
      <c r="DX836">
        <v>67</v>
      </c>
      <c r="DY836">
        <v>0</v>
      </c>
      <c r="DZ836">
        <v>3.0000000000000001E-3</v>
      </c>
      <c r="ED836" s="2">
        <v>162</v>
      </c>
      <c r="EE836" s="2">
        <v>65</v>
      </c>
      <c r="EF836" s="2">
        <v>0</v>
      </c>
      <c r="EG836" s="2">
        <v>2.1999999999999999E-2</v>
      </c>
      <c r="ES836">
        <v>162</v>
      </c>
      <c r="ET836">
        <v>65</v>
      </c>
      <c r="EU836">
        <v>0</v>
      </c>
      <c r="EV836">
        <v>2.1999999999999999E-2</v>
      </c>
    </row>
    <row r="837" spans="5:152" x14ac:dyDescent="0.4">
      <c r="E837">
        <v>2.4E-2</v>
      </c>
      <c r="AX837" s="2">
        <v>166</v>
      </c>
      <c r="AY837" s="2">
        <v>68</v>
      </c>
      <c r="AZ837" s="2">
        <v>0</v>
      </c>
      <c r="BA837" s="2">
        <v>5.0000000000000001E-3</v>
      </c>
      <c r="BJ837" s="2">
        <v>166</v>
      </c>
      <c r="BK837" s="2">
        <v>68</v>
      </c>
      <c r="BL837" s="2">
        <v>0</v>
      </c>
      <c r="BM837" s="2">
        <v>5.0000000000000001E-3</v>
      </c>
      <c r="BV837" s="2">
        <v>166</v>
      </c>
      <c r="BW837" s="2">
        <v>67</v>
      </c>
      <c r="BX837" s="2">
        <v>0</v>
      </c>
      <c r="BY837" s="2">
        <v>5.0000000000000001E-3</v>
      </c>
      <c r="CH837" s="2">
        <v>160</v>
      </c>
      <c r="CI837" s="2">
        <v>65</v>
      </c>
      <c r="CJ837" s="2">
        <v>0</v>
      </c>
      <c r="CK837" s="2">
        <v>1.6E-2</v>
      </c>
      <c r="CT837" s="2">
        <v>150</v>
      </c>
      <c r="CU837" s="2">
        <v>62</v>
      </c>
      <c r="CV837" s="2">
        <v>0</v>
      </c>
      <c r="CW837" s="2">
        <v>0.44</v>
      </c>
      <c r="DF837" s="2">
        <v>168</v>
      </c>
      <c r="DG837" s="2">
        <v>67</v>
      </c>
      <c r="DH837" s="2">
        <v>0</v>
      </c>
      <c r="DI837" s="2">
        <v>1E-3</v>
      </c>
      <c r="DW837">
        <v>168</v>
      </c>
      <c r="DX837">
        <v>67</v>
      </c>
      <c r="DY837">
        <v>0</v>
      </c>
      <c r="DZ837">
        <v>1E-3</v>
      </c>
      <c r="ED837" s="2">
        <v>163</v>
      </c>
      <c r="EE837" s="2">
        <v>65</v>
      </c>
      <c r="EF837" s="2">
        <v>0</v>
      </c>
      <c r="EG837" s="2">
        <v>1.7999999999999999E-2</v>
      </c>
      <c r="ES837">
        <v>163</v>
      </c>
      <c r="ET837">
        <v>65</v>
      </c>
      <c r="EU837">
        <v>0</v>
      </c>
      <c r="EV837">
        <v>1.7999999999999999E-2</v>
      </c>
    </row>
    <row r="838" spans="5:152" x14ac:dyDescent="0.4">
      <c r="E838">
        <v>2.1000000000000001E-2</v>
      </c>
      <c r="AX838" s="2">
        <v>167</v>
      </c>
      <c r="AY838" s="2">
        <v>68</v>
      </c>
      <c r="AZ838" s="2">
        <v>0</v>
      </c>
      <c r="BA838" s="2">
        <v>3.0000000000000001E-3</v>
      </c>
      <c r="BJ838" s="2">
        <v>167</v>
      </c>
      <c r="BK838" s="2">
        <v>68</v>
      </c>
      <c r="BL838" s="2">
        <v>0</v>
      </c>
      <c r="BM838" s="2">
        <v>3.0000000000000001E-3</v>
      </c>
      <c r="BV838" s="2">
        <v>167</v>
      </c>
      <c r="BW838" s="2">
        <v>67</v>
      </c>
      <c r="BX838" s="2">
        <v>0</v>
      </c>
      <c r="BY838" s="2">
        <v>6.0000000000000001E-3</v>
      </c>
      <c r="CH838" s="2">
        <v>161</v>
      </c>
      <c r="CI838" s="2">
        <v>65</v>
      </c>
      <c r="CJ838" s="2">
        <v>0</v>
      </c>
      <c r="CK838" s="2">
        <v>0.04</v>
      </c>
      <c r="CT838" s="2">
        <v>151</v>
      </c>
      <c r="CU838" s="2">
        <v>62</v>
      </c>
      <c r="CV838" s="2">
        <v>0</v>
      </c>
      <c r="CW838" s="2">
        <v>1.293121</v>
      </c>
      <c r="DF838" s="2">
        <v>169</v>
      </c>
      <c r="DG838" s="2">
        <v>67</v>
      </c>
      <c r="DH838" s="2">
        <v>0</v>
      </c>
      <c r="DI838" s="2">
        <v>2E-3</v>
      </c>
      <c r="DW838">
        <v>169</v>
      </c>
      <c r="DX838">
        <v>67</v>
      </c>
      <c r="DY838">
        <v>0</v>
      </c>
      <c r="DZ838">
        <v>2E-3</v>
      </c>
      <c r="ED838" s="2">
        <v>164</v>
      </c>
      <c r="EE838" s="2">
        <v>65</v>
      </c>
      <c r="EF838" s="2">
        <v>0</v>
      </c>
      <c r="EG838" s="2">
        <v>9.0000010000000005E-3</v>
      </c>
      <c r="ES838">
        <v>164</v>
      </c>
      <c r="ET838">
        <v>65</v>
      </c>
      <c r="EU838">
        <v>0</v>
      </c>
      <c r="EV838">
        <v>9.0000010000000005E-3</v>
      </c>
    </row>
    <row r="839" spans="5:152" x14ac:dyDescent="0.4">
      <c r="E839">
        <v>9.0000010000000005E-3</v>
      </c>
      <c r="AX839" s="2">
        <v>167</v>
      </c>
      <c r="AY839" s="2">
        <v>68</v>
      </c>
      <c r="AZ839" s="2">
        <v>1</v>
      </c>
      <c r="BA839" s="2">
        <v>3.5849999999999999E-4</v>
      </c>
      <c r="BJ839" s="2">
        <v>167</v>
      </c>
      <c r="BK839" s="2">
        <v>68</v>
      </c>
      <c r="BL839" s="2">
        <v>1</v>
      </c>
      <c r="BM839" s="2">
        <v>3.5849999999999999E-4</v>
      </c>
      <c r="BV839" s="2">
        <v>168</v>
      </c>
      <c r="BW839" s="2">
        <v>67</v>
      </c>
      <c r="BX839" s="2">
        <v>0</v>
      </c>
      <c r="BY839" s="2">
        <v>1E-3</v>
      </c>
      <c r="CH839" s="2">
        <v>162</v>
      </c>
      <c r="CI839" s="2">
        <v>65</v>
      </c>
      <c r="CJ839" s="2">
        <v>0</v>
      </c>
      <c r="CK839" s="2">
        <v>2.4E-2</v>
      </c>
      <c r="CT839" s="2">
        <v>152</v>
      </c>
      <c r="CU839" s="2">
        <v>62</v>
      </c>
      <c r="CV839" s="2">
        <v>0</v>
      </c>
      <c r="CW839" s="2">
        <v>1.22783</v>
      </c>
      <c r="DF839" s="2">
        <v>167</v>
      </c>
      <c r="DG839" s="2">
        <v>68</v>
      </c>
      <c r="DH839" s="2">
        <v>0</v>
      </c>
      <c r="DI839" s="2">
        <v>3.0000000000000001E-3</v>
      </c>
      <c r="DW839">
        <v>167</v>
      </c>
      <c r="DX839">
        <v>68</v>
      </c>
      <c r="DY839">
        <v>0</v>
      </c>
      <c r="DZ839">
        <v>3.0000000000000001E-3</v>
      </c>
      <c r="ED839" s="2">
        <v>165</v>
      </c>
      <c r="EE839" s="2">
        <v>65</v>
      </c>
      <c r="EF839" s="2">
        <v>0</v>
      </c>
      <c r="EG839" s="2">
        <v>1E-3</v>
      </c>
      <c r="ES839">
        <v>165</v>
      </c>
      <c r="ET839">
        <v>65</v>
      </c>
      <c r="EU839">
        <v>0</v>
      </c>
      <c r="EV839">
        <v>1E-3</v>
      </c>
    </row>
    <row r="840" spans="5:152" x14ac:dyDescent="0.4">
      <c r="E840">
        <v>2E-3</v>
      </c>
      <c r="AX840" s="2">
        <v>168</v>
      </c>
      <c r="AY840" s="2">
        <v>68</v>
      </c>
      <c r="AZ840" s="2">
        <v>0</v>
      </c>
      <c r="BA840" s="2">
        <v>3.0000000000000001E-3</v>
      </c>
      <c r="BJ840" s="2">
        <v>168</v>
      </c>
      <c r="BK840" s="2">
        <v>68</v>
      </c>
      <c r="BL840" s="2">
        <v>0</v>
      </c>
      <c r="BM840" s="2">
        <v>3.0000000000000001E-3</v>
      </c>
      <c r="BV840" s="2">
        <v>171</v>
      </c>
      <c r="BW840" s="2">
        <v>67</v>
      </c>
      <c r="BX840" s="2">
        <v>0</v>
      </c>
      <c r="BY840" s="2">
        <v>1E-3</v>
      </c>
      <c r="CH840" s="2">
        <v>163</v>
      </c>
      <c r="CI840" s="2">
        <v>65</v>
      </c>
      <c r="CJ840" s="2">
        <v>0</v>
      </c>
      <c r="CK840" s="2">
        <v>2.1000000000000001E-2</v>
      </c>
      <c r="CT840" s="2">
        <v>153</v>
      </c>
      <c r="CU840" s="2">
        <v>62</v>
      </c>
      <c r="CV840" s="2">
        <v>0</v>
      </c>
      <c r="CW840" s="2">
        <v>0.95796289999999995</v>
      </c>
      <c r="DF840" s="2">
        <v>167</v>
      </c>
      <c r="DG840" s="2">
        <v>68</v>
      </c>
      <c r="DH840" s="2">
        <v>1</v>
      </c>
      <c r="DI840" s="2">
        <v>3.5849999999999999E-4</v>
      </c>
      <c r="DW840">
        <v>167</v>
      </c>
      <c r="DX840">
        <v>68</v>
      </c>
      <c r="DY840">
        <v>1</v>
      </c>
      <c r="DZ840">
        <v>3.5849999999999999E-4</v>
      </c>
      <c r="ED840" s="2">
        <v>166</v>
      </c>
      <c r="EE840" s="2">
        <v>65</v>
      </c>
      <c r="EF840" s="2">
        <v>0</v>
      </c>
      <c r="EG840" s="2">
        <v>1E-3</v>
      </c>
      <c r="ES840">
        <v>166</v>
      </c>
      <c r="ET840">
        <v>65</v>
      </c>
      <c r="EU840">
        <v>0</v>
      </c>
      <c r="EV840">
        <v>1E-3</v>
      </c>
    </row>
    <row r="841" spans="5:152" x14ac:dyDescent="0.4">
      <c r="E841">
        <v>1E-3</v>
      </c>
      <c r="AX841" s="2">
        <v>169</v>
      </c>
      <c r="AY841" s="2">
        <v>68</v>
      </c>
      <c r="AZ841" s="2">
        <v>0</v>
      </c>
      <c r="BA841" s="2">
        <v>3.0000000000000001E-3</v>
      </c>
      <c r="BJ841" s="2">
        <v>169</v>
      </c>
      <c r="BK841" s="2">
        <v>68</v>
      </c>
      <c r="BL841" s="2">
        <v>0</v>
      </c>
      <c r="BM841" s="2">
        <v>3.0000000000000001E-3</v>
      </c>
      <c r="BV841" s="2">
        <v>172</v>
      </c>
      <c r="BW841" s="2">
        <v>67</v>
      </c>
      <c r="BX841" s="2">
        <v>0</v>
      </c>
      <c r="BY841" s="2">
        <v>1E-3</v>
      </c>
      <c r="CH841" s="2">
        <v>164</v>
      </c>
      <c r="CI841" s="2">
        <v>65</v>
      </c>
      <c r="CJ841" s="2">
        <v>0</v>
      </c>
      <c r="CK841" s="2">
        <v>9.0000010000000005E-3</v>
      </c>
      <c r="CT841" s="2">
        <v>153</v>
      </c>
      <c r="CU841" s="2">
        <v>62</v>
      </c>
      <c r="CV841" s="2">
        <v>1</v>
      </c>
      <c r="CW841" s="2">
        <v>0.23290669999999999</v>
      </c>
      <c r="DF841" s="2">
        <v>168</v>
      </c>
      <c r="DG841" s="2">
        <v>68</v>
      </c>
      <c r="DH841" s="2">
        <v>0</v>
      </c>
      <c r="DI841" s="2">
        <v>1E-3</v>
      </c>
      <c r="DW841">
        <v>168</v>
      </c>
      <c r="DX841">
        <v>68</v>
      </c>
      <c r="DY841">
        <v>0</v>
      </c>
      <c r="DZ841">
        <v>1E-3</v>
      </c>
      <c r="ED841" s="2">
        <v>167</v>
      </c>
      <c r="EE841" s="2">
        <v>65</v>
      </c>
      <c r="EF841" s="2">
        <v>0</v>
      </c>
      <c r="EG841" s="2">
        <v>3.0000000000000001E-3</v>
      </c>
      <c r="ES841">
        <v>167</v>
      </c>
      <c r="ET841">
        <v>65</v>
      </c>
      <c r="EU841">
        <v>0</v>
      </c>
      <c r="EV841">
        <v>3.0000000000000001E-3</v>
      </c>
    </row>
    <row r="842" spans="5:152" x14ac:dyDescent="0.4">
      <c r="E842">
        <v>1E-3</v>
      </c>
      <c r="AX842" s="2">
        <v>170</v>
      </c>
      <c r="AY842" s="2">
        <v>68</v>
      </c>
      <c r="AZ842" s="2">
        <v>0</v>
      </c>
      <c r="BA842" s="2">
        <v>1E-3</v>
      </c>
      <c r="BJ842" s="2">
        <v>170</v>
      </c>
      <c r="BK842" s="2">
        <v>68</v>
      </c>
      <c r="BL842" s="2">
        <v>0</v>
      </c>
      <c r="BM842" s="2">
        <v>1E-3</v>
      </c>
      <c r="BV842" s="2">
        <v>166</v>
      </c>
      <c r="BW842" s="2">
        <v>68</v>
      </c>
      <c r="BX842" s="2">
        <v>0</v>
      </c>
      <c r="BY842" s="2">
        <v>5.0000000000000001E-3</v>
      </c>
      <c r="CH842" s="2">
        <v>165</v>
      </c>
      <c r="CI842" s="2">
        <v>65</v>
      </c>
      <c r="CJ842" s="2">
        <v>0</v>
      </c>
      <c r="CK842" s="2">
        <v>2E-3</v>
      </c>
      <c r="CT842" s="2">
        <v>154</v>
      </c>
      <c r="CU842" s="2">
        <v>62</v>
      </c>
      <c r="CV842" s="2">
        <v>0</v>
      </c>
      <c r="CW842" s="2">
        <v>0.83002969999999998</v>
      </c>
      <c r="DF842" s="2">
        <v>169</v>
      </c>
      <c r="DG842" s="2">
        <v>68</v>
      </c>
      <c r="DH842" s="2">
        <v>0</v>
      </c>
      <c r="DI842" s="2">
        <v>2E-3</v>
      </c>
      <c r="DW842">
        <v>169</v>
      </c>
      <c r="DX842">
        <v>68</v>
      </c>
      <c r="DY842">
        <v>0</v>
      </c>
      <c r="DZ842">
        <v>2E-3</v>
      </c>
      <c r="ED842" s="2">
        <v>158</v>
      </c>
      <c r="EE842" s="2">
        <v>66</v>
      </c>
      <c r="EF842" s="2">
        <v>0</v>
      </c>
      <c r="EG842" s="2">
        <v>1.6799999999999999E-4</v>
      </c>
      <c r="ES842">
        <v>158</v>
      </c>
      <c r="ET842">
        <v>66</v>
      </c>
      <c r="EU842">
        <v>0</v>
      </c>
      <c r="EV842">
        <v>1.6799999999999999E-4</v>
      </c>
    </row>
    <row r="843" spans="5:152" x14ac:dyDescent="0.4">
      <c r="E843">
        <v>2.016E-3</v>
      </c>
      <c r="AX843" s="2">
        <v>171</v>
      </c>
      <c r="AY843" s="2">
        <v>68</v>
      </c>
      <c r="AZ843" s="2">
        <v>0</v>
      </c>
      <c r="BA843" s="2">
        <v>1E-3</v>
      </c>
      <c r="BJ843" s="2">
        <v>171</v>
      </c>
      <c r="BK843" s="2">
        <v>68</v>
      </c>
      <c r="BL843" s="2">
        <v>0</v>
      </c>
      <c r="BM843" s="2">
        <v>1E-3</v>
      </c>
      <c r="BV843" s="2">
        <v>167</v>
      </c>
      <c r="BW843" s="2">
        <v>68</v>
      </c>
      <c r="BX843" s="2">
        <v>0</v>
      </c>
      <c r="BY843" s="2">
        <v>6.0000000000000001E-3</v>
      </c>
      <c r="CH843" s="2">
        <v>166</v>
      </c>
      <c r="CI843" s="2">
        <v>65</v>
      </c>
      <c r="CJ843" s="2">
        <v>0</v>
      </c>
      <c r="CK843" s="2">
        <v>1E-3</v>
      </c>
      <c r="CT843" s="2">
        <v>155</v>
      </c>
      <c r="CU843" s="2">
        <v>62</v>
      </c>
      <c r="CV843" s="2">
        <v>0</v>
      </c>
      <c r="CW843" s="2">
        <v>0.56602719999999995</v>
      </c>
      <c r="DF843" s="2">
        <v>174</v>
      </c>
      <c r="DG843" s="2">
        <v>68</v>
      </c>
      <c r="DH843" s="2">
        <v>0</v>
      </c>
      <c r="DI843" s="2">
        <v>1E-3</v>
      </c>
      <c r="DW843">
        <v>174</v>
      </c>
      <c r="DX843">
        <v>68</v>
      </c>
      <c r="DY843">
        <v>0</v>
      </c>
      <c r="DZ843">
        <v>1E-3</v>
      </c>
      <c r="ED843" s="2">
        <v>160</v>
      </c>
      <c r="EE843" s="2">
        <v>66</v>
      </c>
      <c r="EF843" s="2">
        <v>0</v>
      </c>
      <c r="EG843" s="2">
        <v>6.0000000000000001E-3</v>
      </c>
      <c r="ES843">
        <v>160</v>
      </c>
      <c r="ET843">
        <v>66</v>
      </c>
      <c r="EU843">
        <v>0</v>
      </c>
      <c r="EV843">
        <v>6.0000000000000001E-3</v>
      </c>
    </row>
    <row r="844" spans="5:152" x14ac:dyDescent="0.4">
      <c r="E844">
        <v>1E-3</v>
      </c>
      <c r="AX844" s="2">
        <v>169</v>
      </c>
      <c r="AY844" s="2">
        <v>69</v>
      </c>
      <c r="AZ844" s="2">
        <v>0</v>
      </c>
      <c r="BA844" s="2">
        <v>3.0000000000000001E-3</v>
      </c>
      <c r="BJ844" s="2">
        <v>169</v>
      </c>
      <c r="BK844" s="2">
        <v>69</v>
      </c>
      <c r="BL844" s="2">
        <v>0</v>
      </c>
      <c r="BM844" s="2">
        <v>3.0000000000000001E-3</v>
      </c>
      <c r="BV844" s="2">
        <v>167</v>
      </c>
      <c r="BW844" s="2">
        <v>68</v>
      </c>
      <c r="BX844" s="2">
        <v>1</v>
      </c>
      <c r="BY844" s="2">
        <v>7.1699999999999997E-4</v>
      </c>
      <c r="CH844" s="2">
        <v>168</v>
      </c>
      <c r="CI844" s="2">
        <v>65</v>
      </c>
      <c r="CJ844" s="2">
        <v>0</v>
      </c>
      <c r="CK844" s="2">
        <v>1E-3</v>
      </c>
      <c r="CT844" s="2">
        <v>156</v>
      </c>
      <c r="CU844" s="2">
        <v>62</v>
      </c>
      <c r="CV844" s="2">
        <v>0</v>
      </c>
      <c r="CW844" s="2">
        <v>0.41703669999999998</v>
      </c>
      <c r="DF844" s="2">
        <v>169</v>
      </c>
      <c r="DG844" s="2">
        <v>69</v>
      </c>
      <c r="DH844" s="2">
        <v>0</v>
      </c>
      <c r="DI844" s="2">
        <v>2E-3</v>
      </c>
      <c r="DW844">
        <v>169</v>
      </c>
      <c r="DX844">
        <v>69</v>
      </c>
      <c r="DY844">
        <v>0</v>
      </c>
      <c r="DZ844">
        <v>2E-3</v>
      </c>
      <c r="ED844" s="2">
        <v>161</v>
      </c>
      <c r="EE844" s="2">
        <v>66</v>
      </c>
      <c r="EF844" s="2">
        <v>0</v>
      </c>
      <c r="EG844" s="2">
        <v>2.9000000000000001E-2</v>
      </c>
      <c r="ES844">
        <v>161</v>
      </c>
      <c r="ET844">
        <v>66</v>
      </c>
      <c r="EU844">
        <v>0</v>
      </c>
      <c r="EV844">
        <v>2.9000000000000001E-2</v>
      </c>
    </row>
    <row r="845" spans="5:152" x14ac:dyDescent="0.4">
      <c r="E845">
        <v>1.7000000000000001E-2</v>
      </c>
      <c r="AX845" s="2">
        <v>171</v>
      </c>
      <c r="AY845" s="2">
        <v>69</v>
      </c>
      <c r="AZ845" s="2">
        <v>0</v>
      </c>
      <c r="BA845" s="2">
        <v>2E-3</v>
      </c>
      <c r="BJ845" s="2">
        <v>171</v>
      </c>
      <c r="BK845" s="2">
        <v>69</v>
      </c>
      <c r="BL845" s="2">
        <v>0</v>
      </c>
      <c r="BM845" s="2">
        <v>2E-3</v>
      </c>
      <c r="BV845" s="2">
        <v>168</v>
      </c>
      <c r="BW845" s="2">
        <v>68</v>
      </c>
      <c r="BX845" s="2">
        <v>0</v>
      </c>
      <c r="BY845" s="2">
        <v>2E-3</v>
      </c>
      <c r="CH845" s="2">
        <v>158</v>
      </c>
      <c r="CI845" s="2">
        <v>66</v>
      </c>
      <c r="CJ845" s="2">
        <v>0</v>
      </c>
      <c r="CK845" s="2">
        <v>2.016E-3</v>
      </c>
      <c r="CT845" s="2">
        <v>157</v>
      </c>
      <c r="CU845" s="2">
        <v>62</v>
      </c>
      <c r="CV845" s="2">
        <v>0</v>
      </c>
      <c r="CW845" s="2">
        <v>0.24793609999999999</v>
      </c>
      <c r="DF845" s="2">
        <v>174</v>
      </c>
      <c r="DG845" s="2">
        <v>69</v>
      </c>
      <c r="DH845" s="2">
        <v>0</v>
      </c>
      <c r="DI845" s="2">
        <v>1E-3</v>
      </c>
      <c r="DW845">
        <v>174</v>
      </c>
      <c r="DX845">
        <v>69</v>
      </c>
      <c r="DY845">
        <v>0</v>
      </c>
      <c r="DZ845">
        <v>1E-3</v>
      </c>
      <c r="ED845" s="2">
        <v>162</v>
      </c>
      <c r="EE845" s="2">
        <v>66</v>
      </c>
      <c r="EF845" s="2">
        <v>0</v>
      </c>
      <c r="EG845" s="2">
        <v>2.7E-2</v>
      </c>
      <c r="ES845">
        <v>162</v>
      </c>
      <c r="ET845">
        <v>66</v>
      </c>
      <c r="EU845">
        <v>0</v>
      </c>
      <c r="EV845">
        <v>2.7E-2</v>
      </c>
    </row>
    <row r="846" spans="5:152" x14ac:dyDescent="0.4">
      <c r="E846">
        <v>4.9000000000000002E-2</v>
      </c>
      <c r="AX846" s="2">
        <v>172</v>
      </c>
      <c r="AY846" s="2">
        <v>69</v>
      </c>
      <c r="AZ846" s="2">
        <v>0</v>
      </c>
      <c r="BA846" s="2">
        <v>2E-3</v>
      </c>
      <c r="BJ846" s="2">
        <v>172</v>
      </c>
      <c r="BK846" s="2">
        <v>69</v>
      </c>
      <c r="BL846" s="2">
        <v>0</v>
      </c>
      <c r="BM846" s="2">
        <v>2E-3</v>
      </c>
      <c r="BV846" s="2">
        <v>170</v>
      </c>
      <c r="BW846" s="2">
        <v>68</v>
      </c>
      <c r="BX846" s="2">
        <v>0</v>
      </c>
      <c r="BY846" s="2">
        <v>1.3E-6</v>
      </c>
      <c r="CH846" s="2">
        <v>159</v>
      </c>
      <c r="CI846" s="2">
        <v>66</v>
      </c>
      <c r="CJ846" s="2">
        <v>0</v>
      </c>
      <c r="CK846" s="2">
        <v>1E-3</v>
      </c>
      <c r="CT846" s="2">
        <v>158</v>
      </c>
      <c r="CU846" s="2">
        <v>62</v>
      </c>
      <c r="CV846" s="2">
        <v>0</v>
      </c>
      <c r="CW846" s="2">
        <v>0.13500119999999999</v>
      </c>
      <c r="DF846" s="2">
        <v>174</v>
      </c>
      <c r="DG846" s="2">
        <v>70</v>
      </c>
      <c r="DH846" s="2">
        <v>0</v>
      </c>
      <c r="DI846" s="2">
        <v>1E-3</v>
      </c>
      <c r="DW846">
        <v>174</v>
      </c>
      <c r="DX846">
        <v>70</v>
      </c>
      <c r="DY846">
        <v>0</v>
      </c>
      <c r="DZ846">
        <v>1E-3</v>
      </c>
      <c r="ED846" s="2">
        <v>163</v>
      </c>
      <c r="EE846" s="2">
        <v>66</v>
      </c>
      <c r="EF846" s="2">
        <v>0</v>
      </c>
      <c r="EG846" s="2">
        <v>2.4E-2</v>
      </c>
      <c r="ES846">
        <v>163</v>
      </c>
      <c r="ET846">
        <v>66</v>
      </c>
      <c r="EU846">
        <v>0</v>
      </c>
      <c r="EV846">
        <v>2.4E-2</v>
      </c>
    </row>
    <row r="847" spans="5:152" x14ac:dyDescent="0.4">
      <c r="E847">
        <v>3.6999999999999998E-2</v>
      </c>
      <c r="AX847" s="2">
        <v>175</v>
      </c>
      <c r="AY847" s="2">
        <v>69</v>
      </c>
      <c r="AZ847" s="2">
        <v>0</v>
      </c>
      <c r="BA847" s="2">
        <v>1E-3</v>
      </c>
      <c r="BJ847" s="2">
        <v>175</v>
      </c>
      <c r="BK847" s="2">
        <v>69</v>
      </c>
      <c r="BL847" s="2">
        <v>0</v>
      </c>
      <c r="BM847" s="2">
        <v>1E-3</v>
      </c>
      <c r="BV847" s="2">
        <v>171</v>
      </c>
      <c r="BW847" s="2">
        <v>68</v>
      </c>
      <c r="BX847" s="2">
        <v>0</v>
      </c>
      <c r="BY847" s="2">
        <v>2E-3</v>
      </c>
      <c r="CH847" s="2">
        <v>160</v>
      </c>
      <c r="CI847" s="2">
        <v>66</v>
      </c>
      <c r="CJ847" s="2">
        <v>0</v>
      </c>
      <c r="CK847" s="2">
        <v>1.7000000000000001E-2</v>
      </c>
      <c r="CT847" s="2">
        <v>159</v>
      </c>
      <c r="CU847" s="2">
        <v>62</v>
      </c>
      <c r="CV847" s="2">
        <v>0</v>
      </c>
      <c r="CW847" s="2">
        <v>6.4004210000000006E-2</v>
      </c>
      <c r="DF847" s="2"/>
      <c r="DG847" s="2"/>
      <c r="DH847" s="2"/>
      <c r="DI847" s="2"/>
      <c r="ED847" s="2">
        <v>164</v>
      </c>
      <c r="EE847" s="2">
        <v>66</v>
      </c>
      <c r="EF847" s="2">
        <v>0</v>
      </c>
      <c r="EG847" s="2">
        <v>1.7965999999999999E-2</v>
      </c>
      <c r="ES847">
        <v>164</v>
      </c>
      <c r="ET847">
        <v>66</v>
      </c>
      <c r="EU847">
        <v>0</v>
      </c>
      <c r="EV847">
        <v>1.7965999999999999E-2</v>
      </c>
    </row>
    <row r="848" spans="5:152" x14ac:dyDescent="0.4">
      <c r="E848">
        <v>3.6999999999999998E-2</v>
      </c>
      <c r="AX848" s="2">
        <v>171</v>
      </c>
      <c r="AY848" s="2">
        <v>70</v>
      </c>
      <c r="AZ848" s="2">
        <v>0</v>
      </c>
      <c r="BA848" s="2">
        <v>2E-3</v>
      </c>
      <c r="BJ848" s="2">
        <v>171</v>
      </c>
      <c r="BK848" s="2">
        <v>70</v>
      </c>
      <c r="BL848" s="2">
        <v>0</v>
      </c>
      <c r="BM848" s="2">
        <v>2E-3</v>
      </c>
      <c r="BV848" s="2">
        <v>172</v>
      </c>
      <c r="BW848" s="2">
        <v>68</v>
      </c>
      <c r="BX848" s="2">
        <v>0</v>
      </c>
      <c r="BY848" s="2">
        <v>2E-3</v>
      </c>
      <c r="CH848" s="2">
        <v>161</v>
      </c>
      <c r="CI848" s="2">
        <v>66</v>
      </c>
      <c r="CJ848" s="2">
        <v>0</v>
      </c>
      <c r="CK848" s="2">
        <v>4.9000000000000002E-2</v>
      </c>
      <c r="CT848" s="2">
        <v>160</v>
      </c>
      <c r="CU848" s="2">
        <v>62</v>
      </c>
      <c r="CV848" s="2">
        <v>0</v>
      </c>
      <c r="CW848" s="2">
        <v>2.0994599999999999E-2</v>
      </c>
      <c r="DF848" s="2"/>
      <c r="DG848" s="2"/>
      <c r="DH848" s="2"/>
      <c r="DI848" s="2"/>
      <c r="ED848" s="2">
        <v>165</v>
      </c>
      <c r="EE848" s="2">
        <v>66</v>
      </c>
      <c r="EF848" s="2">
        <v>0</v>
      </c>
      <c r="EG848" s="2">
        <v>6.980801E-3</v>
      </c>
      <c r="ES848">
        <v>165</v>
      </c>
      <c r="ET848">
        <v>66</v>
      </c>
      <c r="EU848">
        <v>0</v>
      </c>
      <c r="EV848">
        <v>6.980801E-3</v>
      </c>
    </row>
    <row r="849" spans="2:152" x14ac:dyDescent="0.4">
      <c r="E849">
        <v>2.1932E-2</v>
      </c>
      <c r="AX849" s="2">
        <v>172</v>
      </c>
      <c r="AY849" s="2">
        <v>70</v>
      </c>
      <c r="AZ849" s="2">
        <v>0</v>
      </c>
      <c r="BA849" s="2">
        <v>2E-3</v>
      </c>
      <c r="BJ849" s="2">
        <v>172</v>
      </c>
      <c r="BK849" s="2">
        <v>70</v>
      </c>
      <c r="BL849" s="2">
        <v>0</v>
      </c>
      <c r="BM849" s="2">
        <v>2E-3</v>
      </c>
      <c r="BV849" s="2">
        <v>170</v>
      </c>
      <c r="BW849" s="2">
        <v>69</v>
      </c>
      <c r="BX849" s="2">
        <v>0</v>
      </c>
      <c r="BY849" s="2">
        <v>1E-3</v>
      </c>
      <c r="CH849" s="2">
        <v>162</v>
      </c>
      <c r="CI849" s="2">
        <v>66</v>
      </c>
      <c r="CJ849" s="2">
        <v>0</v>
      </c>
      <c r="CK849" s="2">
        <v>3.6999999999999998E-2</v>
      </c>
      <c r="CT849" s="2">
        <v>161</v>
      </c>
      <c r="CU849" s="2">
        <v>62</v>
      </c>
      <c r="CV849" s="2">
        <v>0</v>
      </c>
      <c r="CW849" s="2">
        <v>8.0000000000000002E-3</v>
      </c>
      <c r="DF849" s="2"/>
      <c r="DG849" s="2"/>
      <c r="DH849" s="2"/>
      <c r="DI849" s="2"/>
      <c r="ED849" s="2">
        <v>165</v>
      </c>
      <c r="EE849" s="2">
        <v>66</v>
      </c>
      <c r="EF849" s="2">
        <v>1</v>
      </c>
      <c r="EG849" s="2">
        <v>8.5714299999999999E-4</v>
      </c>
      <c r="ES849">
        <v>165</v>
      </c>
      <c r="ET849">
        <v>66</v>
      </c>
      <c r="EU849">
        <v>1</v>
      </c>
      <c r="EV849">
        <v>8.5714299999999999E-4</v>
      </c>
    </row>
    <row r="850" spans="2:152" x14ac:dyDescent="0.4">
      <c r="E850">
        <v>7.0000000000000001E-3</v>
      </c>
      <c r="AX850" s="2">
        <v>175</v>
      </c>
      <c r="AY850" s="2">
        <v>70</v>
      </c>
      <c r="AZ850" s="2">
        <v>0</v>
      </c>
      <c r="BA850" s="2">
        <v>1E-3</v>
      </c>
      <c r="BJ850" s="2">
        <v>175</v>
      </c>
      <c r="BK850" s="2">
        <v>70</v>
      </c>
      <c r="BL850" s="2">
        <v>0</v>
      </c>
      <c r="BM850" s="2">
        <v>1E-3</v>
      </c>
      <c r="BV850" s="2">
        <v>171</v>
      </c>
      <c r="BW850" s="2">
        <v>69</v>
      </c>
      <c r="BX850" s="2">
        <v>0</v>
      </c>
      <c r="BY850" s="2">
        <v>3.0000000000000001E-3</v>
      </c>
      <c r="CH850" s="2">
        <v>163</v>
      </c>
      <c r="CI850" s="2">
        <v>66</v>
      </c>
      <c r="CJ850" s="2">
        <v>0</v>
      </c>
      <c r="CK850" s="2">
        <v>3.6999999999999998E-2</v>
      </c>
      <c r="CT850" s="2">
        <v>162</v>
      </c>
      <c r="CU850" s="2">
        <v>62</v>
      </c>
      <c r="CV850" s="2">
        <v>0</v>
      </c>
      <c r="CW850" s="2">
        <v>2E-3</v>
      </c>
      <c r="DF850" s="2"/>
      <c r="DG850" s="2"/>
      <c r="DH850" s="2"/>
      <c r="DI850" s="2"/>
      <c r="ED850" s="2">
        <v>166</v>
      </c>
      <c r="EE850" s="2">
        <v>66</v>
      </c>
      <c r="EF850" s="2">
        <v>0</v>
      </c>
      <c r="EG850" s="2">
        <v>0.01</v>
      </c>
      <c r="ES850">
        <v>166</v>
      </c>
      <c r="ET850">
        <v>66</v>
      </c>
      <c r="EU850">
        <v>0</v>
      </c>
      <c r="EV850">
        <v>0.01</v>
      </c>
    </row>
    <row r="851" spans="2:152" x14ac:dyDescent="0.4">
      <c r="E851">
        <v>6.0000009999999996E-3</v>
      </c>
      <c r="AX851" s="2">
        <v>175</v>
      </c>
      <c r="AY851" s="2">
        <v>70</v>
      </c>
      <c r="AZ851" s="2">
        <v>1</v>
      </c>
      <c r="BA851" s="2">
        <v>7.6999999999999996E-4</v>
      </c>
      <c r="BJ851" s="2">
        <v>175</v>
      </c>
      <c r="BK851" s="2">
        <v>70</v>
      </c>
      <c r="BL851" s="2">
        <v>1</v>
      </c>
      <c r="BM851" s="2">
        <v>7.6999999999999996E-4</v>
      </c>
      <c r="BV851" s="2">
        <v>172</v>
      </c>
      <c r="BW851" s="2">
        <v>69</v>
      </c>
      <c r="BX851" s="2">
        <v>0</v>
      </c>
      <c r="BY851" s="2">
        <v>2E-3</v>
      </c>
      <c r="CH851" s="2">
        <v>164</v>
      </c>
      <c r="CI851" s="2">
        <v>66</v>
      </c>
      <c r="CJ851" s="2">
        <v>0</v>
      </c>
      <c r="CK851" s="2">
        <v>2.1932E-2</v>
      </c>
      <c r="CT851" s="2">
        <v>149</v>
      </c>
      <c r="CU851" s="2">
        <v>63</v>
      </c>
      <c r="CV851" s="2">
        <v>0</v>
      </c>
      <c r="CW851" s="2">
        <v>1E-3</v>
      </c>
      <c r="DF851" s="2"/>
      <c r="DG851" s="2"/>
      <c r="DH851" s="2"/>
      <c r="DI851" s="2"/>
      <c r="ED851" s="2">
        <v>167</v>
      </c>
      <c r="EE851" s="2">
        <v>66</v>
      </c>
      <c r="EF851" s="2">
        <v>0</v>
      </c>
      <c r="EG851" s="2">
        <v>6.0000000000000001E-3</v>
      </c>
      <c r="ES851">
        <v>167</v>
      </c>
      <c r="ET851">
        <v>66</v>
      </c>
      <c r="EU851">
        <v>0</v>
      </c>
      <c r="EV851">
        <v>6.0000000000000001E-3</v>
      </c>
    </row>
    <row r="852" spans="2:152" x14ac:dyDescent="0.4">
      <c r="B852">
        <v>167</v>
      </c>
      <c r="C852">
        <v>66</v>
      </c>
      <c r="D852">
        <v>0</v>
      </c>
      <c r="E852">
        <v>2E-3</v>
      </c>
      <c r="AX852" s="2">
        <v>175</v>
      </c>
      <c r="AY852" s="2">
        <v>71</v>
      </c>
      <c r="AZ852" s="2">
        <v>0</v>
      </c>
      <c r="BA852" s="2">
        <v>1E-3</v>
      </c>
      <c r="BJ852" s="2">
        <v>175</v>
      </c>
      <c r="BK852" s="2">
        <v>71</v>
      </c>
      <c r="BL852" s="2">
        <v>0</v>
      </c>
      <c r="BM852" s="2">
        <v>1E-3</v>
      </c>
      <c r="BV852" s="2">
        <v>179</v>
      </c>
      <c r="BW852" s="2">
        <v>69</v>
      </c>
      <c r="BX852" s="2">
        <v>0</v>
      </c>
      <c r="BY852" s="2">
        <v>1E-3</v>
      </c>
      <c r="CH852" s="2">
        <v>165</v>
      </c>
      <c r="CI852" s="2">
        <v>66</v>
      </c>
      <c r="CJ852" s="2">
        <v>0</v>
      </c>
      <c r="CK852" s="2">
        <v>7.0000000000000001E-3</v>
      </c>
      <c r="CT852" s="2">
        <v>150</v>
      </c>
      <c r="CU852" s="2">
        <v>63</v>
      </c>
      <c r="CV852" s="2">
        <v>0</v>
      </c>
      <c r="CW852" s="2">
        <v>8.0000000000000002E-3</v>
      </c>
      <c r="DF852" s="2"/>
      <c r="DG852" s="2"/>
      <c r="DH852" s="2"/>
      <c r="DI852" s="2"/>
      <c r="ED852" s="2">
        <v>168</v>
      </c>
      <c r="EE852" s="2">
        <v>66</v>
      </c>
      <c r="EF852" s="2">
        <v>0</v>
      </c>
      <c r="EG852" s="2">
        <v>1E-3</v>
      </c>
      <c r="ES852">
        <v>168</v>
      </c>
      <c r="ET852">
        <v>66</v>
      </c>
      <c r="EU852">
        <v>0</v>
      </c>
      <c r="EV852">
        <v>1E-3</v>
      </c>
    </row>
    <row r="853" spans="2:152" x14ac:dyDescent="0.4">
      <c r="B853">
        <v>168</v>
      </c>
      <c r="C853">
        <v>66</v>
      </c>
      <c r="D853">
        <v>0</v>
      </c>
      <c r="E853">
        <v>2E-3</v>
      </c>
      <c r="AX853" s="2">
        <v>170</v>
      </c>
      <c r="AY853" s="2">
        <v>70</v>
      </c>
      <c r="AZ853" s="2">
        <v>0</v>
      </c>
      <c r="BA853" s="2">
        <v>9.9869999999999994E-4</v>
      </c>
      <c r="BJ853" s="2">
        <v>170</v>
      </c>
      <c r="BK853" s="2">
        <v>70</v>
      </c>
      <c r="BL853" s="2">
        <v>0</v>
      </c>
      <c r="BM853" s="2">
        <v>9.9869999999999994E-4</v>
      </c>
      <c r="BV853" s="2">
        <v>170</v>
      </c>
      <c r="BW853" s="2">
        <v>70</v>
      </c>
      <c r="BX853" s="2">
        <v>0</v>
      </c>
      <c r="BY853" s="2">
        <v>9.9869999999999994E-4</v>
      </c>
      <c r="CH853" s="2">
        <v>166</v>
      </c>
      <c r="CI853" s="2">
        <v>66</v>
      </c>
      <c r="CJ853" s="2">
        <v>0</v>
      </c>
      <c r="CK853" s="2">
        <v>6.0000009999999996E-3</v>
      </c>
      <c r="CT853" s="2">
        <v>151</v>
      </c>
      <c r="CU853" s="2">
        <v>63</v>
      </c>
      <c r="CV853" s="2">
        <v>0</v>
      </c>
      <c r="CW853" s="2">
        <v>1.301121</v>
      </c>
      <c r="DF853" s="2"/>
      <c r="DG853" s="2"/>
      <c r="DH853" s="2"/>
      <c r="DI853" s="2"/>
      <c r="ED853" s="2">
        <v>169</v>
      </c>
      <c r="EE853" s="2">
        <v>66</v>
      </c>
      <c r="EF853" s="2">
        <v>0</v>
      </c>
      <c r="EG853" s="2">
        <v>2E-3</v>
      </c>
      <c r="ES853">
        <v>169</v>
      </c>
      <c r="ET853">
        <v>66</v>
      </c>
      <c r="EU853">
        <v>0</v>
      </c>
      <c r="EV853">
        <v>2E-3</v>
      </c>
    </row>
    <row r="854" spans="2:152" x14ac:dyDescent="0.4">
      <c r="B854">
        <v>162</v>
      </c>
      <c r="C854">
        <v>67</v>
      </c>
      <c r="D854">
        <v>0</v>
      </c>
      <c r="E854">
        <v>5.5000009999999996E-4</v>
      </c>
      <c r="AX854" s="2">
        <v>171</v>
      </c>
      <c r="AY854" s="2">
        <v>70</v>
      </c>
      <c r="AZ854" s="2">
        <v>0</v>
      </c>
      <c r="BA854" s="2">
        <v>3.0000000000000001E-3</v>
      </c>
      <c r="BJ854" s="2">
        <v>171</v>
      </c>
      <c r="BK854" s="2">
        <v>70</v>
      </c>
      <c r="BL854" s="2">
        <v>0</v>
      </c>
      <c r="BM854" s="2">
        <v>3.0000000000000001E-3</v>
      </c>
      <c r="BV854" s="2">
        <v>171</v>
      </c>
      <c r="BW854" s="2">
        <v>70</v>
      </c>
      <c r="BX854" s="2">
        <v>0</v>
      </c>
      <c r="BY854" s="2">
        <v>3.0000000000000001E-3</v>
      </c>
      <c r="CH854" s="2">
        <v>167</v>
      </c>
      <c r="CI854" s="2">
        <v>66</v>
      </c>
      <c r="CJ854" s="2">
        <v>0</v>
      </c>
      <c r="CK854" s="2">
        <v>2E-3</v>
      </c>
      <c r="CT854" s="2">
        <v>152</v>
      </c>
      <c r="CU854" s="2">
        <v>63</v>
      </c>
      <c r="CV854" s="2">
        <v>0</v>
      </c>
      <c r="CW854" s="2">
        <v>4.805769E-2</v>
      </c>
      <c r="DF854" s="2"/>
      <c r="DG854" s="2"/>
      <c r="DH854" s="2"/>
      <c r="DI854" s="2"/>
      <c r="ED854" s="2">
        <v>171</v>
      </c>
      <c r="EE854" s="2">
        <v>66</v>
      </c>
      <c r="EF854" s="2">
        <v>0</v>
      </c>
      <c r="EG854" s="2">
        <v>1E-3</v>
      </c>
      <c r="ES854">
        <v>171</v>
      </c>
      <c r="ET854">
        <v>66</v>
      </c>
      <c r="EU854">
        <v>0</v>
      </c>
      <c r="EV854">
        <v>1E-3</v>
      </c>
    </row>
    <row r="855" spans="2:152" x14ac:dyDescent="0.4">
      <c r="B855">
        <v>162</v>
      </c>
      <c r="C855">
        <v>67</v>
      </c>
      <c r="D855">
        <v>1</v>
      </c>
      <c r="E855">
        <v>1E-3</v>
      </c>
      <c r="AX855" s="2">
        <v>172</v>
      </c>
      <c r="AY855" s="2">
        <v>70</v>
      </c>
      <c r="AZ855" s="2">
        <v>0</v>
      </c>
      <c r="BA855" s="2">
        <v>2E-3</v>
      </c>
      <c r="BJ855" s="2">
        <v>172</v>
      </c>
      <c r="BK855" s="2">
        <v>70</v>
      </c>
      <c r="BL855" s="2">
        <v>0</v>
      </c>
      <c r="BM855" s="2">
        <v>2E-3</v>
      </c>
      <c r="BV855" s="2">
        <v>172</v>
      </c>
      <c r="BW855" s="2">
        <v>70</v>
      </c>
      <c r="BX855" s="2">
        <v>0</v>
      </c>
      <c r="BY855" s="2">
        <v>2E-3</v>
      </c>
      <c r="CH855" s="2">
        <v>168</v>
      </c>
      <c r="CI855" s="2">
        <v>66</v>
      </c>
      <c r="CJ855" s="2">
        <v>0</v>
      </c>
      <c r="CK855" s="2">
        <v>2E-3</v>
      </c>
      <c r="CT855" s="2">
        <v>152</v>
      </c>
      <c r="CU855" s="2">
        <v>63</v>
      </c>
      <c r="CV855" s="2">
        <v>1</v>
      </c>
      <c r="CW855" s="2">
        <v>9.4230780000000003E-4</v>
      </c>
      <c r="DF855" s="2"/>
      <c r="DG855" s="2"/>
      <c r="DH855" s="2"/>
      <c r="DI855" s="2"/>
      <c r="ED855" s="2">
        <v>164</v>
      </c>
      <c r="EE855" s="2">
        <v>67</v>
      </c>
      <c r="EF855" s="2">
        <v>0</v>
      </c>
      <c r="EG855" s="2">
        <v>2E-3</v>
      </c>
      <c r="ES855">
        <v>164</v>
      </c>
      <c r="ET855">
        <v>67</v>
      </c>
      <c r="EU855">
        <v>0</v>
      </c>
      <c r="EV855">
        <v>2E-3</v>
      </c>
    </row>
    <row r="856" spans="2:152" x14ac:dyDescent="0.4">
      <c r="B856">
        <v>163</v>
      </c>
      <c r="C856">
        <v>67</v>
      </c>
      <c r="D856">
        <v>0</v>
      </c>
      <c r="E856">
        <v>3.0000000000000001E-3</v>
      </c>
      <c r="AX856" s="2">
        <v>179</v>
      </c>
      <c r="AY856" s="2">
        <v>70</v>
      </c>
      <c r="AZ856" s="2">
        <v>0</v>
      </c>
      <c r="BA856" s="2">
        <v>1E-3</v>
      </c>
      <c r="BJ856" s="2">
        <v>179</v>
      </c>
      <c r="BK856" s="2">
        <v>70</v>
      </c>
      <c r="BL856" s="2">
        <v>0</v>
      </c>
      <c r="BM856" s="2">
        <v>1E-3</v>
      </c>
      <c r="BV856" s="2">
        <v>179</v>
      </c>
      <c r="BW856" s="2">
        <v>70</v>
      </c>
      <c r="BX856" s="2">
        <v>0</v>
      </c>
      <c r="BY856" s="2">
        <v>1E-3</v>
      </c>
      <c r="CH856" s="2">
        <v>162</v>
      </c>
      <c r="CI856" s="2">
        <v>67</v>
      </c>
      <c r="CJ856" s="2">
        <v>0</v>
      </c>
      <c r="CK856" s="2">
        <v>5.5000009999999996E-4</v>
      </c>
      <c r="CT856" s="2">
        <v>152</v>
      </c>
      <c r="CU856" s="2">
        <v>63</v>
      </c>
      <c r="CV856" s="2">
        <v>2</v>
      </c>
      <c r="CW856" s="2">
        <v>3.9576930000000003E-2</v>
      </c>
      <c r="DF856" s="2"/>
      <c r="DG856" s="2"/>
      <c r="DH856" s="2"/>
      <c r="DI856" s="2"/>
      <c r="ED856" s="2">
        <v>164</v>
      </c>
      <c r="EE856" s="2">
        <v>67</v>
      </c>
      <c r="EF856" s="2">
        <v>1</v>
      </c>
      <c r="EG856" s="2">
        <v>2E-3</v>
      </c>
      <c r="ES856">
        <v>164</v>
      </c>
      <c r="ET856">
        <v>67</v>
      </c>
      <c r="EU856">
        <v>1</v>
      </c>
      <c r="EV856">
        <v>2E-3</v>
      </c>
    </row>
    <row r="857" spans="2:152" x14ac:dyDescent="0.4">
      <c r="B857">
        <v>164</v>
      </c>
      <c r="C857">
        <v>67</v>
      </c>
      <c r="D857">
        <v>0</v>
      </c>
      <c r="E857">
        <v>4.0000000000000001E-3</v>
      </c>
      <c r="AX857" s="2">
        <v>179</v>
      </c>
      <c r="AY857" s="2">
        <v>71</v>
      </c>
      <c r="AZ857" s="2">
        <v>0</v>
      </c>
      <c r="BA857" s="2">
        <v>1E-3</v>
      </c>
      <c r="BJ857" s="2">
        <v>179</v>
      </c>
      <c r="BK857" s="2">
        <v>71</v>
      </c>
      <c r="BL857" s="2">
        <v>0</v>
      </c>
      <c r="BM857" s="2">
        <v>1E-3</v>
      </c>
      <c r="BV857" s="2">
        <v>179</v>
      </c>
      <c r="BW857" s="2">
        <v>71</v>
      </c>
      <c r="BX857" s="2">
        <v>0</v>
      </c>
      <c r="BY857" s="2">
        <v>1E-3</v>
      </c>
      <c r="CH857" s="2">
        <v>162</v>
      </c>
      <c r="CI857" s="2">
        <v>67</v>
      </c>
      <c r="CJ857" s="2">
        <v>1</v>
      </c>
      <c r="CK857" s="2">
        <v>1E-3</v>
      </c>
      <c r="CT857" s="2">
        <v>153</v>
      </c>
      <c r="CU857" s="2">
        <v>63</v>
      </c>
      <c r="CV857" s="2">
        <v>0</v>
      </c>
      <c r="CW857" s="2">
        <v>1.0709630000000001</v>
      </c>
      <c r="DF857" s="2"/>
      <c r="DG857" s="2"/>
      <c r="DH857" s="2"/>
      <c r="DI857" s="2"/>
      <c r="ED857" s="2">
        <v>165</v>
      </c>
      <c r="EE857" s="2">
        <v>67</v>
      </c>
      <c r="EF857" s="2">
        <v>0</v>
      </c>
      <c r="EG857" s="2">
        <v>8.0000000000000002E-3</v>
      </c>
      <c r="ES857">
        <v>165</v>
      </c>
      <c r="ET857">
        <v>67</v>
      </c>
      <c r="EU857">
        <v>0</v>
      </c>
      <c r="EV857">
        <v>8.0000000000000002E-3</v>
      </c>
    </row>
    <row r="858" spans="2:152" x14ac:dyDescent="0.4">
      <c r="B858">
        <v>164</v>
      </c>
      <c r="C858">
        <v>67</v>
      </c>
      <c r="D858">
        <v>1</v>
      </c>
      <c r="E858">
        <v>4.0000000000000001E-3</v>
      </c>
      <c r="AX858" s="2">
        <v>179</v>
      </c>
      <c r="AY858" s="2">
        <v>71</v>
      </c>
      <c r="AZ858" s="2">
        <v>1</v>
      </c>
      <c r="BA858" s="2">
        <v>1E-3</v>
      </c>
      <c r="BJ858" s="2">
        <v>179</v>
      </c>
      <c r="BK858" s="2">
        <v>71</v>
      </c>
      <c r="BL858" s="2">
        <v>1</v>
      </c>
      <c r="BM858" s="2">
        <v>1E-3</v>
      </c>
      <c r="BV858" s="2">
        <v>179</v>
      </c>
      <c r="BW858" s="2">
        <v>71</v>
      </c>
      <c r="BX858" s="2">
        <v>1</v>
      </c>
      <c r="BY858" s="2">
        <v>1E-3</v>
      </c>
      <c r="CH858" s="2">
        <v>163</v>
      </c>
      <c r="CI858" s="2">
        <v>67</v>
      </c>
      <c r="CJ858" s="2">
        <v>0</v>
      </c>
      <c r="CK858" s="2">
        <v>3.0000000000000001E-3</v>
      </c>
      <c r="CT858" s="2">
        <v>154</v>
      </c>
      <c r="CU858" s="2">
        <v>63</v>
      </c>
      <c r="CV858" s="2">
        <v>0</v>
      </c>
      <c r="CW858" s="2">
        <v>0.14799999999999999</v>
      </c>
      <c r="DF858" s="2"/>
      <c r="DG858" s="2"/>
      <c r="DH858" s="2"/>
      <c r="DI858" s="2"/>
      <c r="ED858" s="2">
        <v>166</v>
      </c>
      <c r="EE858" s="2">
        <v>67</v>
      </c>
      <c r="EF858" s="2">
        <v>0</v>
      </c>
      <c r="EG858" s="2">
        <v>0.01</v>
      </c>
      <c r="ES858">
        <v>166</v>
      </c>
      <c r="ET858">
        <v>67</v>
      </c>
      <c r="EU858">
        <v>0</v>
      </c>
      <c r="EV858">
        <v>0.01</v>
      </c>
    </row>
    <row r="859" spans="2:152" x14ac:dyDescent="0.4">
      <c r="B859">
        <v>165</v>
      </c>
      <c r="C859">
        <v>67</v>
      </c>
      <c r="D859">
        <v>0</v>
      </c>
      <c r="E859">
        <v>1.2999999999999999E-2</v>
      </c>
      <c r="AX859" s="2">
        <v>179</v>
      </c>
      <c r="AY859" s="2">
        <v>72</v>
      </c>
      <c r="AZ859" s="2">
        <v>0</v>
      </c>
      <c r="BA859" s="2">
        <v>1E-3</v>
      </c>
      <c r="BJ859" s="2">
        <v>179</v>
      </c>
      <c r="BK859" s="2">
        <v>72</v>
      </c>
      <c r="BL859" s="2">
        <v>0</v>
      </c>
      <c r="BM859" s="2">
        <v>1E-3</v>
      </c>
      <c r="BV859" s="2">
        <v>179</v>
      </c>
      <c r="BW859" s="2">
        <v>72</v>
      </c>
      <c r="BX859" s="2">
        <v>0</v>
      </c>
      <c r="BY859" s="2">
        <v>1E-3</v>
      </c>
      <c r="CH859" s="2">
        <v>164</v>
      </c>
      <c r="CI859" s="2">
        <v>67</v>
      </c>
      <c r="CJ859" s="2">
        <v>0</v>
      </c>
      <c r="CK859" s="2">
        <v>4.0000000000000001E-3</v>
      </c>
      <c r="CT859" s="2">
        <v>154</v>
      </c>
      <c r="CU859" s="2">
        <v>63</v>
      </c>
      <c r="CV859" s="2">
        <v>1</v>
      </c>
      <c r="CW859" s="2">
        <v>0.1210909</v>
      </c>
      <c r="DF859" s="2"/>
      <c r="DG859" s="2"/>
      <c r="DH859" s="2"/>
      <c r="DI859" s="2"/>
      <c r="ED859" s="2">
        <v>166</v>
      </c>
      <c r="EE859" s="2">
        <v>67</v>
      </c>
      <c r="EF859" s="2">
        <v>1</v>
      </c>
      <c r="EG859" s="2">
        <v>2E-3</v>
      </c>
      <c r="ES859">
        <v>166</v>
      </c>
      <c r="ET859">
        <v>67</v>
      </c>
      <c r="EU859">
        <v>1</v>
      </c>
      <c r="EV859">
        <v>2E-3</v>
      </c>
    </row>
    <row r="860" spans="2:152" x14ac:dyDescent="0.4">
      <c r="B860">
        <v>166</v>
      </c>
      <c r="C860">
        <v>67</v>
      </c>
      <c r="D860">
        <v>0</v>
      </c>
      <c r="E860">
        <v>7.0000009999999996E-3</v>
      </c>
      <c r="CH860">
        <v>164</v>
      </c>
      <c r="CI860">
        <v>67</v>
      </c>
      <c r="CJ860">
        <v>1</v>
      </c>
      <c r="CK860">
        <v>4.0000000000000001E-3</v>
      </c>
      <c r="CT860">
        <v>155</v>
      </c>
      <c r="CU860">
        <v>63</v>
      </c>
      <c r="CV860">
        <v>0</v>
      </c>
      <c r="CW860">
        <v>0.78402720000000004</v>
      </c>
      <c r="ED860">
        <v>167</v>
      </c>
      <c r="EE860">
        <v>67</v>
      </c>
      <c r="EF860">
        <v>0</v>
      </c>
      <c r="EG860">
        <v>7.0000000000000001E-3</v>
      </c>
      <c r="ES860">
        <v>167</v>
      </c>
      <c r="ET860">
        <v>67</v>
      </c>
      <c r="EU860">
        <v>0</v>
      </c>
      <c r="EV860">
        <v>7.0000000000000001E-3</v>
      </c>
    </row>
    <row r="861" spans="2:152" x14ac:dyDescent="0.4">
      <c r="B861">
        <v>166</v>
      </c>
      <c r="C861">
        <v>67</v>
      </c>
      <c r="D861">
        <v>1</v>
      </c>
      <c r="E861">
        <v>6.0000009999999996E-3</v>
      </c>
      <c r="CH861">
        <v>165</v>
      </c>
      <c r="CI861">
        <v>67</v>
      </c>
      <c r="CJ861">
        <v>0</v>
      </c>
      <c r="CK861">
        <v>1.2999999999999999E-2</v>
      </c>
      <c r="CT861">
        <v>156</v>
      </c>
      <c r="CU861">
        <v>63</v>
      </c>
      <c r="CV861">
        <v>0</v>
      </c>
      <c r="CW861">
        <v>0.65003670000000002</v>
      </c>
      <c r="ED861">
        <v>168</v>
      </c>
      <c r="EE861">
        <v>67</v>
      </c>
      <c r="EF861">
        <v>0</v>
      </c>
      <c r="EG861">
        <v>2.99E-3</v>
      </c>
      <c r="ES861">
        <v>168</v>
      </c>
      <c r="ET861">
        <v>67</v>
      </c>
      <c r="EU861">
        <v>0</v>
      </c>
      <c r="EV861">
        <v>2.99E-3</v>
      </c>
    </row>
    <row r="862" spans="2:152" x14ac:dyDescent="0.4">
      <c r="B862">
        <v>167</v>
      </c>
      <c r="C862">
        <v>67</v>
      </c>
      <c r="D862">
        <v>0</v>
      </c>
      <c r="E862">
        <v>1.0999999999999999E-2</v>
      </c>
      <c r="CH862">
        <v>166</v>
      </c>
      <c r="CI862">
        <v>67</v>
      </c>
      <c r="CJ862">
        <v>0</v>
      </c>
      <c r="CK862">
        <v>7.0000009999999996E-3</v>
      </c>
      <c r="CT862">
        <v>157</v>
      </c>
      <c r="CU862">
        <v>63</v>
      </c>
      <c r="CV862">
        <v>0</v>
      </c>
      <c r="CW862">
        <v>0.5019361</v>
      </c>
      <c r="ED862">
        <v>168</v>
      </c>
      <c r="EE862">
        <v>67</v>
      </c>
      <c r="EF862">
        <v>1</v>
      </c>
      <c r="EG862">
        <v>2E-3</v>
      </c>
      <c r="ES862">
        <v>168</v>
      </c>
      <c r="ET862">
        <v>67</v>
      </c>
      <c r="EU862">
        <v>1</v>
      </c>
      <c r="EV862">
        <v>2E-3</v>
      </c>
    </row>
    <row r="863" spans="2:152" x14ac:dyDescent="0.4">
      <c r="B863">
        <v>168</v>
      </c>
      <c r="C863">
        <v>67</v>
      </c>
      <c r="D863">
        <v>0</v>
      </c>
      <c r="E863">
        <v>4.9849999999999998E-3</v>
      </c>
      <c r="CH863">
        <v>166</v>
      </c>
      <c r="CI863">
        <v>67</v>
      </c>
      <c r="CJ863">
        <v>1</v>
      </c>
      <c r="CK863">
        <v>6.0000009999999996E-3</v>
      </c>
      <c r="CT863">
        <v>158</v>
      </c>
      <c r="CU863">
        <v>63</v>
      </c>
      <c r="CV863">
        <v>0</v>
      </c>
      <c r="CW863">
        <v>0.3350012</v>
      </c>
      <c r="ED863">
        <v>169</v>
      </c>
      <c r="EE863">
        <v>67</v>
      </c>
      <c r="EF863">
        <v>0</v>
      </c>
      <c r="EG863">
        <v>4.0000000000000001E-3</v>
      </c>
      <c r="ES863">
        <v>169</v>
      </c>
      <c r="ET863">
        <v>67</v>
      </c>
      <c r="EU863">
        <v>0</v>
      </c>
      <c r="EV863">
        <v>4.0000000000000001E-3</v>
      </c>
    </row>
    <row r="864" spans="2:152" x14ac:dyDescent="0.4">
      <c r="B864">
        <v>168</v>
      </c>
      <c r="C864">
        <v>67</v>
      </c>
      <c r="D864">
        <v>1</v>
      </c>
      <c r="E864">
        <v>3.0000000000000001E-3</v>
      </c>
      <c r="CH864">
        <v>167</v>
      </c>
      <c r="CI864">
        <v>67</v>
      </c>
      <c r="CJ864">
        <v>0</v>
      </c>
      <c r="CK864">
        <v>1.0999999999999999E-2</v>
      </c>
      <c r="CT864">
        <v>159</v>
      </c>
      <c r="CU864">
        <v>63</v>
      </c>
      <c r="CV864">
        <v>0</v>
      </c>
      <c r="CW864">
        <v>0.2120042</v>
      </c>
      <c r="ED864">
        <v>171</v>
      </c>
      <c r="EE864">
        <v>67</v>
      </c>
      <c r="EF864">
        <v>0</v>
      </c>
      <c r="EG864">
        <v>1E-3</v>
      </c>
      <c r="ES864">
        <v>171</v>
      </c>
      <c r="ET864">
        <v>67</v>
      </c>
      <c r="EU864">
        <v>0</v>
      </c>
      <c r="EV864">
        <v>1E-3</v>
      </c>
    </row>
    <row r="865" spans="2:152" x14ac:dyDescent="0.4">
      <c r="B865">
        <v>169</v>
      </c>
      <c r="C865">
        <v>67</v>
      </c>
      <c r="D865">
        <v>0</v>
      </c>
      <c r="E865">
        <v>3.0000000000000001E-3</v>
      </c>
      <c r="CH865">
        <v>168</v>
      </c>
      <c r="CI865">
        <v>67</v>
      </c>
      <c r="CJ865">
        <v>0</v>
      </c>
      <c r="CK865">
        <v>4.9849999999999998E-3</v>
      </c>
      <c r="CT865">
        <v>160</v>
      </c>
      <c r="CU865">
        <v>63</v>
      </c>
      <c r="CV865">
        <v>0</v>
      </c>
      <c r="CW865">
        <v>0.12599460000000001</v>
      </c>
      <c r="ED865">
        <v>164</v>
      </c>
      <c r="EE865">
        <v>68</v>
      </c>
      <c r="EF865">
        <v>0</v>
      </c>
      <c r="EG865">
        <v>1.034E-3</v>
      </c>
      <c r="ES865">
        <v>164</v>
      </c>
      <c r="ET865">
        <v>68</v>
      </c>
      <c r="EU865">
        <v>0</v>
      </c>
      <c r="EV865">
        <v>1.034E-3</v>
      </c>
    </row>
    <row r="866" spans="2:152" x14ac:dyDescent="0.4">
      <c r="B866">
        <v>170</v>
      </c>
      <c r="C866">
        <v>67</v>
      </c>
      <c r="D866">
        <v>0</v>
      </c>
      <c r="E866">
        <v>2E-3</v>
      </c>
      <c r="CH866">
        <v>168</v>
      </c>
      <c r="CI866">
        <v>67</v>
      </c>
      <c r="CJ866">
        <v>1</v>
      </c>
      <c r="CK866">
        <v>3.0000000000000001E-3</v>
      </c>
      <c r="CT866">
        <v>161</v>
      </c>
      <c r="CU866">
        <v>63</v>
      </c>
      <c r="CV866">
        <v>0</v>
      </c>
      <c r="CW866">
        <v>7.3000010000000004E-2</v>
      </c>
      <c r="ED866">
        <v>166</v>
      </c>
      <c r="EE866">
        <v>68</v>
      </c>
      <c r="EF866">
        <v>0</v>
      </c>
      <c r="EG866">
        <v>1.2E-2</v>
      </c>
      <c r="ES866">
        <v>166</v>
      </c>
      <c r="ET866">
        <v>68</v>
      </c>
      <c r="EU866">
        <v>0</v>
      </c>
      <c r="EV866">
        <v>1.2E-2</v>
      </c>
    </row>
    <row r="867" spans="2:152" x14ac:dyDescent="0.4">
      <c r="B867">
        <v>164</v>
      </c>
      <c r="C867">
        <v>68</v>
      </c>
      <c r="D867">
        <v>0</v>
      </c>
      <c r="E867">
        <v>2.068E-3</v>
      </c>
      <c r="CH867">
        <v>169</v>
      </c>
      <c r="CI867">
        <v>67</v>
      </c>
      <c r="CJ867">
        <v>0</v>
      </c>
      <c r="CK867">
        <v>3.0000000000000001E-3</v>
      </c>
      <c r="CT867">
        <v>162</v>
      </c>
      <c r="CU867">
        <v>63</v>
      </c>
      <c r="CV867">
        <v>0</v>
      </c>
      <c r="CW867">
        <v>2.1999999999999999E-2</v>
      </c>
      <c r="ED867">
        <v>167</v>
      </c>
      <c r="EE867">
        <v>68</v>
      </c>
      <c r="EF867">
        <v>0</v>
      </c>
      <c r="EG867">
        <v>9.0000010000000005E-3</v>
      </c>
      <c r="ES867">
        <v>167</v>
      </c>
      <c r="ET867">
        <v>68</v>
      </c>
      <c r="EU867">
        <v>0</v>
      </c>
      <c r="EV867">
        <v>9.0000010000000005E-3</v>
      </c>
    </row>
    <row r="868" spans="2:152" x14ac:dyDescent="0.4">
      <c r="B868">
        <v>165</v>
      </c>
      <c r="C868">
        <v>68</v>
      </c>
      <c r="D868">
        <v>0</v>
      </c>
      <c r="E868">
        <v>1E-3</v>
      </c>
      <c r="CH868">
        <v>170</v>
      </c>
      <c r="CI868">
        <v>67</v>
      </c>
      <c r="CJ868">
        <v>0</v>
      </c>
      <c r="CK868">
        <v>2E-3</v>
      </c>
      <c r="CT868">
        <v>163</v>
      </c>
      <c r="CU868">
        <v>63</v>
      </c>
      <c r="CV868">
        <v>0</v>
      </c>
      <c r="CW868">
        <v>0.01</v>
      </c>
      <c r="ED868">
        <v>167</v>
      </c>
      <c r="EE868">
        <v>68</v>
      </c>
      <c r="EF868">
        <v>1</v>
      </c>
      <c r="EG868">
        <v>8.365E-4</v>
      </c>
      <c r="ES868">
        <v>167</v>
      </c>
      <c r="ET868">
        <v>68</v>
      </c>
      <c r="EU868">
        <v>1</v>
      </c>
      <c r="EV868">
        <v>8.365E-4</v>
      </c>
    </row>
    <row r="869" spans="2:152" x14ac:dyDescent="0.4">
      <c r="B869">
        <v>166</v>
      </c>
      <c r="C869">
        <v>68</v>
      </c>
      <c r="D869">
        <v>0</v>
      </c>
      <c r="E869">
        <v>1.2999999999999999E-2</v>
      </c>
      <c r="CH869">
        <v>164</v>
      </c>
      <c r="CI869">
        <v>68</v>
      </c>
      <c r="CJ869">
        <v>0</v>
      </c>
      <c r="CK869">
        <v>2.068E-3</v>
      </c>
      <c r="CT869">
        <v>164</v>
      </c>
      <c r="CU869">
        <v>63</v>
      </c>
      <c r="CV869">
        <v>0</v>
      </c>
      <c r="CW869">
        <v>2E-3</v>
      </c>
      <c r="ED869">
        <v>168</v>
      </c>
      <c r="EE869">
        <v>68</v>
      </c>
      <c r="EF869">
        <v>0</v>
      </c>
      <c r="EG869">
        <v>3.0000000000000001E-3</v>
      </c>
      <c r="ES869">
        <v>168</v>
      </c>
      <c r="ET869">
        <v>68</v>
      </c>
      <c r="EU869">
        <v>0</v>
      </c>
      <c r="EV869">
        <v>3.0000000000000001E-3</v>
      </c>
    </row>
    <row r="870" spans="2:152" x14ac:dyDescent="0.4">
      <c r="B870">
        <v>167</v>
      </c>
      <c r="C870">
        <v>68</v>
      </c>
      <c r="D870">
        <v>0</v>
      </c>
      <c r="E870">
        <v>1.4E-2</v>
      </c>
      <c r="CH870">
        <v>165</v>
      </c>
      <c r="CI870">
        <v>68</v>
      </c>
      <c r="CJ870">
        <v>0</v>
      </c>
      <c r="CK870">
        <v>1E-3</v>
      </c>
      <c r="CT870">
        <v>152</v>
      </c>
      <c r="CU870">
        <v>64</v>
      </c>
      <c r="CV870">
        <v>0</v>
      </c>
      <c r="CW870">
        <v>1.5086560000000001E-2</v>
      </c>
      <c r="ED870">
        <v>169</v>
      </c>
      <c r="EE870">
        <v>68</v>
      </c>
      <c r="EF870">
        <v>0</v>
      </c>
      <c r="EG870">
        <v>4.0000000000000001E-3</v>
      </c>
      <c r="ES870">
        <v>169</v>
      </c>
      <c r="ET870">
        <v>68</v>
      </c>
      <c r="EU870">
        <v>0</v>
      </c>
      <c r="EV870">
        <v>4.0000000000000001E-3</v>
      </c>
    </row>
    <row r="871" spans="2:152" x14ac:dyDescent="0.4">
      <c r="B871">
        <v>167</v>
      </c>
      <c r="C871">
        <v>68</v>
      </c>
      <c r="D871">
        <v>1</v>
      </c>
      <c r="E871">
        <v>1.3144999999999999E-3</v>
      </c>
      <c r="CH871">
        <v>166</v>
      </c>
      <c r="CI871">
        <v>68</v>
      </c>
      <c r="CJ871">
        <v>0</v>
      </c>
      <c r="CK871">
        <v>1.2999999999999999E-2</v>
      </c>
      <c r="CT871">
        <v>153</v>
      </c>
      <c r="CU871">
        <v>64</v>
      </c>
      <c r="CV871">
        <v>0</v>
      </c>
      <c r="CW871">
        <v>6.0000009999999996E-3</v>
      </c>
      <c r="ED871">
        <v>171</v>
      </c>
      <c r="EE871">
        <v>68</v>
      </c>
      <c r="EF871">
        <v>0</v>
      </c>
      <c r="EG871">
        <v>3.0000000000000001E-3</v>
      </c>
      <c r="ES871">
        <v>171</v>
      </c>
      <c r="ET871">
        <v>68</v>
      </c>
      <c r="EU871">
        <v>0</v>
      </c>
      <c r="EV871">
        <v>3.0000000000000001E-3</v>
      </c>
    </row>
    <row r="872" spans="2:152" x14ac:dyDescent="0.4">
      <c r="B872">
        <v>168</v>
      </c>
      <c r="C872">
        <v>68</v>
      </c>
      <c r="D872">
        <v>0</v>
      </c>
      <c r="E872">
        <v>1.0999999999999999E-2</v>
      </c>
      <c r="CH872">
        <v>167</v>
      </c>
      <c r="CI872">
        <v>68</v>
      </c>
      <c r="CJ872">
        <v>0</v>
      </c>
      <c r="CK872">
        <v>1.4E-2</v>
      </c>
      <c r="CT872">
        <v>154</v>
      </c>
      <c r="CU872">
        <v>64</v>
      </c>
      <c r="CV872">
        <v>0</v>
      </c>
      <c r="CW872">
        <v>0.15997040000000001</v>
      </c>
      <c r="ED872">
        <v>173</v>
      </c>
      <c r="EE872">
        <v>68</v>
      </c>
      <c r="EF872">
        <v>0</v>
      </c>
      <c r="EG872">
        <v>2E-3</v>
      </c>
      <c r="ES872">
        <v>173</v>
      </c>
      <c r="ET872">
        <v>68</v>
      </c>
      <c r="EU872">
        <v>0</v>
      </c>
      <c r="EV872">
        <v>2E-3</v>
      </c>
    </row>
    <row r="873" spans="2:152" x14ac:dyDescent="0.4">
      <c r="B873">
        <v>169</v>
      </c>
      <c r="C873">
        <v>68</v>
      </c>
      <c r="D873">
        <v>0</v>
      </c>
      <c r="E873">
        <v>8.0000000000000002E-3</v>
      </c>
      <c r="CH873">
        <v>167</v>
      </c>
      <c r="CI873">
        <v>68</v>
      </c>
      <c r="CJ873">
        <v>1</v>
      </c>
      <c r="CK873">
        <v>1.3144999999999999E-3</v>
      </c>
      <c r="CT873">
        <v>155</v>
      </c>
      <c r="CU873">
        <v>64</v>
      </c>
      <c r="CV873">
        <v>0</v>
      </c>
      <c r="CW873">
        <v>0.83602730000000003</v>
      </c>
      <c r="ED873">
        <v>169</v>
      </c>
      <c r="EE873">
        <v>69</v>
      </c>
      <c r="EF873">
        <v>0</v>
      </c>
      <c r="EG873">
        <v>4.0000000000000001E-3</v>
      </c>
      <c r="ES873">
        <v>169</v>
      </c>
      <c r="ET873">
        <v>69</v>
      </c>
      <c r="EU873">
        <v>0</v>
      </c>
      <c r="EV873">
        <v>4.0000000000000001E-3</v>
      </c>
    </row>
    <row r="874" spans="2:152" x14ac:dyDescent="0.4">
      <c r="B874">
        <v>170</v>
      </c>
      <c r="C874">
        <v>68</v>
      </c>
      <c r="D874">
        <v>0</v>
      </c>
      <c r="E874">
        <v>5.0064999999999997E-3</v>
      </c>
      <c r="CH874">
        <v>168</v>
      </c>
      <c r="CI874">
        <v>68</v>
      </c>
      <c r="CJ874">
        <v>0</v>
      </c>
      <c r="CK874">
        <v>1.0999999999999999E-2</v>
      </c>
      <c r="CT874">
        <v>155</v>
      </c>
      <c r="CU874">
        <v>64</v>
      </c>
      <c r="CV874">
        <v>1</v>
      </c>
      <c r="CW874">
        <v>4.3294119999999998E-2</v>
      </c>
      <c r="ED874">
        <v>171</v>
      </c>
      <c r="EE874">
        <v>69</v>
      </c>
      <c r="EF874">
        <v>0</v>
      </c>
      <c r="EG874">
        <v>3.0000000000000001E-3</v>
      </c>
      <c r="ES874">
        <v>171</v>
      </c>
      <c r="ET874">
        <v>69</v>
      </c>
      <c r="EU874">
        <v>0</v>
      </c>
      <c r="EV874">
        <v>3.0000000000000001E-3</v>
      </c>
    </row>
    <row r="875" spans="2:152" x14ac:dyDescent="0.4">
      <c r="B875">
        <v>171</v>
      </c>
      <c r="C875">
        <v>68</v>
      </c>
      <c r="D875">
        <v>0</v>
      </c>
      <c r="E875">
        <v>3.0000000000000001E-3</v>
      </c>
      <c r="CH875">
        <v>169</v>
      </c>
      <c r="CI875">
        <v>68</v>
      </c>
      <c r="CJ875">
        <v>0</v>
      </c>
      <c r="CK875">
        <v>8.0000000000000002E-3</v>
      </c>
      <c r="CT875">
        <v>156</v>
      </c>
      <c r="CU875">
        <v>64</v>
      </c>
      <c r="CV875">
        <v>0</v>
      </c>
      <c r="CW875">
        <v>0.72503669999999998</v>
      </c>
      <c r="ED875">
        <v>173</v>
      </c>
      <c r="EE875">
        <v>69</v>
      </c>
      <c r="EF875">
        <v>0</v>
      </c>
      <c r="EG875">
        <v>2E-3</v>
      </c>
      <c r="ES875">
        <v>173</v>
      </c>
      <c r="ET875">
        <v>69</v>
      </c>
      <c r="EU875">
        <v>0</v>
      </c>
      <c r="EV875">
        <v>2E-3</v>
      </c>
    </row>
    <row r="876" spans="2:152" x14ac:dyDescent="0.4">
      <c r="B876">
        <v>172</v>
      </c>
      <c r="C876">
        <v>68</v>
      </c>
      <c r="D876">
        <v>0</v>
      </c>
      <c r="E876">
        <v>1E-3</v>
      </c>
      <c r="CH876">
        <v>170</v>
      </c>
      <c r="CI876">
        <v>68</v>
      </c>
      <c r="CJ876">
        <v>0</v>
      </c>
      <c r="CK876">
        <v>5.0064999999999997E-3</v>
      </c>
      <c r="CT876">
        <v>157</v>
      </c>
      <c r="CU876">
        <v>64</v>
      </c>
      <c r="CV876">
        <v>0</v>
      </c>
      <c r="CW876">
        <v>0.63493619999999995</v>
      </c>
      <c r="ED876">
        <v>171</v>
      </c>
      <c r="EE876">
        <v>70</v>
      </c>
      <c r="EF876">
        <v>0</v>
      </c>
      <c r="EG876">
        <v>3.0000000000000001E-3</v>
      </c>
      <c r="ES876">
        <v>171</v>
      </c>
      <c r="ET876">
        <v>70</v>
      </c>
      <c r="EU876">
        <v>0</v>
      </c>
      <c r="EV876">
        <v>3.0000000000000001E-3</v>
      </c>
    </row>
    <row r="877" spans="2:152" x14ac:dyDescent="0.4">
      <c r="B877">
        <v>173</v>
      </c>
      <c r="C877">
        <v>68</v>
      </c>
      <c r="D877">
        <v>0</v>
      </c>
      <c r="E877">
        <v>3.0000000000000001E-3</v>
      </c>
      <c r="CH877">
        <v>171</v>
      </c>
      <c r="CI877">
        <v>68</v>
      </c>
      <c r="CJ877">
        <v>0</v>
      </c>
      <c r="CK877">
        <v>3.0000000000000001E-3</v>
      </c>
      <c r="CT877">
        <v>158</v>
      </c>
      <c r="CU877">
        <v>64</v>
      </c>
      <c r="CV877">
        <v>0</v>
      </c>
      <c r="CW877">
        <v>0.52577719999999994</v>
      </c>
      <c r="ED877">
        <v>173</v>
      </c>
      <c r="EE877">
        <v>70</v>
      </c>
      <c r="EF877">
        <v>0</v>
      </c>
      <c r="EG877">
        <v>2E-3</v>
      </c>
      <c r="ES877">
        <v>173</v>
      </c>
      <c r="ET877">
        <v>70</v>
      </c>
      <c r="EU877">
        <v>0</v>
      </c>
      <c r="EV877">
        <v>2E-3</v>
      </c>
    </row>
    <row r="878" spans="2:152" x14ac:dyDescent="0.4">
      <c r="B878">
        <v>169</v>
      </c>
      <c r="C878">
        <v>69</v>
      </c>
      <c r="D878">
        <v>0</v>
      </c>
      <c r="E878">
        <v>8.0000000000000002E-3</v>
      </c>
      <c r="CH878">
        <v>172</v>
      </c>
      <c r="CI878">
        <v>68</v>
      </c>
      <c r="CJ878">
        <v>0</v>
      </c>
      <c r="CK878">
        <v>1E-3</v>
      </c>
      <c r="CT878">
        <v>159</v>
      </c>
      <c r="CU878">
        <v>64</v>
      </c>
      <c r="CV878">
        <v>0</v>
      </c>
      <c r="CW878">
        <v>0.3640042</v>
      </c>
      <c r="ED878">
        <v>175</v>
      </c>
      <c r="EE878">
        <v>70</v>
      </c>
      <c r="EF878">
        <v>0</v>
      </c>
      <c r="EG878">
        <v>2E-3</v>
      </c>
      <c r="ES878">
        <v>175</v>
      </c>
      <c r="ET878">
        <v>70</v>
      </c>
      <c r="EU878">
        <v>0</v>
      </c>
      <c r="EV878">
        <v>2E-3</v>
      </c>
    </row>
    <row r="879" spans="2:152" x14ac:dyDescent="0.4">
      <c r="B879">
        <v>170</v>
      </c>
      <c r="C879">
        <v>69</v>
      </c>
      <c r="D879">
        <v>0</v>
      </c>
      <c r="E879">
        <v>5.0000000000000001E-3</v>
      </c>
      <c r="CH879">
        <v>173</v>
      </c>
      <c r="CI879">
        <v>68</v>
      </c>
      <c r="CJ879">
        <v>0</v>
      </c>
      <c r="CK879">
        <v>3.0000000000000001E-3</v>
      </c>
      <c r="CT879">
        <v>160</v>
      </c>
      <c r="CU879">
        <v>64</v>
      </c>
      <c r="CV879">
        <v>0</v>
      </c>
      <c r="CW879">
        <v>0.27099459999999997</v>
      </c>
      <c r="ED879">
        <v>176</v>
      </c>
      <c r="EE879">
        <v>70</v>
      </c>
      <c r="EF879">
        <v>0</v>
      </c>
      <c r="EG879">
        <v>2E-3</v>
      </c>
      <c r="ES879">
        <v>176</v>
      </c>
      <c r="ET879">
        <v>70</v>
      </c>
      <c r="EU879">
        <v>0</v>
      </c>
      <c r="EV879">
        <v>2E-3</v>
      </c>
    </row>
    <row r="880" spans="2:152" x14ac:dyDescent="0.4">
      <c r="B880">
        <v>171</v>
      </c>
      <c r="C880">
        <v>69</v>
      </c>
      <c r="D880">
        <v>0</v>
      </c>
      <c r="E880">
        <v>5.0000000000000001E-3</v>
      </c>
      <c r="CH880">
        <v>169</v>
      </c>
      <c r="CI880">
        <v>69</v>
      </c>
      <c r="CJ880">
        <v>0</v>
      </c>
      <c r="CK880">
        <v>8.0000000000000002E-3</v>
      </c>
      <c r="CT880">
        <v>161</v>
      </c>
      <c r="CU880">
        <v>64</v>
      </c>
      <c r="CV880">
        <v>0</v>
      </c>
      <c r="CW880">
        <v>0.192</v>
      </c>
      <c r="ED880">
        <v>176</v>
      </c>
      <c r="EE880">
        <v>70</v>
      </c>
      <c r="EF880">
        <v>1</v>
      </c>
      <c r="EG880">
        <v>2E-3</v>
      </c>
      <c r="ES880">
        <v>176</v>
      </c>
      <c r="ET880">
        <v>70</v>
      </c>
      <c r="EU880">
        <v>1</v>
      </c>
      <c r="EV880">
        <v>2E-3</v>
      </c>
    </row>
    <row r="881" spans="2:152" x14ac:dyDescent="0.4">
      <c r="B881">
        <v>172</v>
      </c>
      <c r="C881">
        <v>69</v>
      </c>
      <c r="D881">
        <v>0</v>
      </c>
      <c r="E881">
        <v>3.0000000000000001E-3</v>
      </c>
      <c r="CH881">
        <v>170</v>
      </c>
      <c r="CI881">
        <v>69</v>
      </c>
      <c r="CJ881">
        <v>0</v>
      </c>
      <c r="CK881">
        <v>5.0000000000000001E-3</v>
      </c>
      <c r="CT881">
        <v>162</v>
      </c>
      <c r="CU881">
        <v>64</v>
      </c>
      <c r="CV881">
        <v>0</v>
      </c>
      <c r="CW881">
        <v>9.6000000000000002E-2</v>
      </c>
      <c r="ED881">
        <v>175</v>
      </c>
      <c r="EE881">
        <v>71</v>
      </c>
      <c r="EF881">
        <v>0</v>
      </c>
      <c r="EG881">
        <v>2E-3</v>
      </c>
      <c r="ES881">
        <v>175</v>
      </c>
      <c r="ET881">
        <v>71</v>
      </c>
      <c r="EU881">
        <v>0</v>
      </c>
      <c r="EV881">
        <v>2E-3</v>
      </c>
    </row>
    <row r="882" spans="2:152" x14ac:dyDescent="0.4">
      <c r="B882">
        <v>173</v>
      </c>
      <c r="C882">
        <v>69</v>
      </c>
      <c r="D882">
        <v>0</v>
      </c>
      <c r="E882">
        <v>4.0000000000000001E-3</v>
      </c>
      <c r="CH882">
        <v>171</v>
      </c>
      <c r="CI882">
        <v>69</v>
      </c>
      <c r="CJ882">
        <v>0</v>
      </c>
      <c r="CK882">
        <v>5.0000000000000001E-3</v>
      </c>
      <c r="CT882">
        <v>163</v>
      </c>
      <c r="CU882">
        <v>64</v>
      </c>
      <c r="CV882">
        <v>0</v>
      </c>
      <c r="CW882">
        <v>5.0999999999999997E-2</v>
      </c>
      <c r="ED882">
        <v>177</v>
      </c>
      <c r="EE882">
        <v>71</v>
      </c>
      <c r="EF882">
        <v>0</v>
      </c>
      <c r="EG882">
        <v>2.2260000000000001E-3</v>
      </c>
      <c r="ES882">
        <v>177</v>
      </c>
      <c r="ET882">
        <v>71</v>
      </c>
      <c r="EU882">
        <v>0</v>
      </c>
      <c r="EV882">
        <v>2.2260000000000001E-3</v>
      </c>
    </row>
    <row r="883" spans="2:152" x14ac:dyDescent="0.4">
      <c r="B883">
        <v>176</v>
      </c>
      <c r="C883">
        <v>69</v>
      </c>
      <c r="D883">
        <v>0</v>
      </c>
      <c r="E883">
        <v>2E-3</v>
      </c>
      <c r="CH883">
        <v>172</v>
      </c>
      <c r="CI883">
        <v>69</v>
      </c>
      <c r="CJ883">
        <v>0</v>
      </c>
      <c r="CK883">
        <v>3.0000000000000001E-3</v>
      </c>
      <c r="CT883">
        <v>164</v>
      </c>
      <c r="CU883">
        <v>64</v>
      </c>
      <c r="CV883">
        <v>0</v>
      </c>
      <c r="CW883">
        <v>2.5000000000000001E-2</v>
      </c>
      <c r="ED883">
        <v>177</v>
      </c>
      <c r="EE883">
        <v>71</v>
      </c>
      <c r="EF883">
        <v>1</v>
      </c>
      <c r="EG883">
        <v>1E-3</v>
      </c>
      <c r="ES883">
        <v>177</v>
      </c>
      <c r="ET883">
        <v>71</v>
      </c>
      <c r="EU883">
        <v>1</v>
      </c>
      <c r="EV883">
        <v>1E-3</v>
      </c>
    </row>
    <row r="884" spans="2:152" x14ac:dyDescent="0.4">
      <c r="B884">
        <v>179</v>
      </c>
      <c r="C884">
        <v>69</v>
      </c>
      <c r="D884">
        <v>0</v>
      </c>
      <c r="E884">
        <v>1E-3</v>
      </c>
      <c r="CH884">
        <v>173</v>
      </c>
      <c r="CI884">
        <v>69</v>
      </c>
      <c r="CJ884">
        <v>0</v>
      </c>
      <c r="CK884">
        <v>4.0000000000000001E-3</v>
      </c>
      <c r="CT884">
        <v>165</v>
      </c>
      <c r="CU884">
        <v>64</v>
      </c>
      <c r="CV884">
        <v>0</v>
      </c>
      <c r="CW884">
        <v>6.0000000000000001E-3</v>
      </c>
      <c r="ED884">
        <v>177</v>
      </c>
      <c r="EE884">
        <v>72</v>
      </c>
      <c r="EF884">
        <v>0</v>
      </c>
      <c r="EG884">
        <v>3.0000000000000001E-3</v>
      </c>
      <c r="ES884">
        <v>177</v>
      </c>
      <c r="ET884">
        <v>72</v>
      </c>
      <c r="EU884">
        <v>0</v>
      </c>
      <c r="EV884">
        <v>3.0000000000000001E-3</v>
      </c>
    </row>
    <row r="885" spans="2:152" x14ac:dyDescent="0.4">
      <c r="B885">
        <v>170</v>
      </c>
      <c r="C885">
        <v>70</v>
      </c>
      <c r="D885">
        <v>0</v>
      </c>
      <c r="E885">
        <v>4.993501E-3</v>
      </c>
      <c r="CH885">
        <v>176</v>
      </c>
      <c r="CI885">
        <v>69</v>
      </c>
      <c r="CJ885">
        <v>0</v>
      </c>
      <c r="CK885">
        <v>2E-3</v>
      </c>
      <c r="CT885">
        <v>166</v>
      </c>
      <c r="CU885">
        <v>64</v>
      </c>
      <c r="CV885">
        <v>0</v>
      </c>
      <c r="CW885">
        <v>2E-3</v>
      </c>
      <c r="ED885">
        <v>177</v>
      </c>
      <c r="EE885">
        <v>72</v>
      </c>
      <c r="EF885">
        <v>1</v>
      </c>
      <c r="EG885">
        <v>7.7399999999999995E-4</v>
      </c>
      <c r="ES885">
        <v>177</v>
      </c>
      <c r="ET885">
        <v>72</v>
      </c>
      <c r="EU885">
        <v>1</v>
      </c>
      <c r="EV885">
        <v>7.7399999999999995E-4</v>
      </c>
    </row>
    <row r="886" spans="2:152" x14ac:dyDescent="0.4">
      <c r="B886">
        <v>171</v>
      </c>
      <c r="C886">
        <v>70</v>
      </c>
      <c r="D886">
        <v>0</v>
      </c>
      <c r="E886">
        <v>5.0000000000000001E-3</v>
      </c>
      <c r="CH886">
        <v>179</v>
      </c>
      <c r="CI886">
        <v>69</v>
      </c>
      <c r="CJ886">
        <v>0</v>
      </c>
      <c r="CK886">
        <v>1E-3</v>
      </c>
      <c r="CT886">
        <v>167</v>
      </c>
      <c r="CU886">
        <v>64</v>
      </c>
      <c r="CV886">
        <v>0</v>
      </c>
      <c r="CW886">
        <v>1E-3</v>
      </c>
      <c r="ED886">
        <v>183</v>
      </c>
      <c r="EE886">
        <v>72</v>
      </c>
      <c r="EF886">
        <v>0</v>
      </c>
      <c r="EG886">
        <v>1E-3</v>
      </c>
      <c r="ES886">
        <v>183</v>
      </c>
      <c r="ET886">
        <v>72</v>
      </c>
      <c r="EU886">
        <v>0</v>
      </c>
      <c r="EV886">
        <v>1E-3</v>
      </c>
    </row>
    <row r="887" spans="2:152" x14ac:dyDescent="0.4">
      <c r="B887">
        <v>172</v>
      </c>
      <c r="C887">
        <v>70</v>
      </c>
      <c r="D887">
        <v>0</v>
      </c>
      <c r="E887">
        <v>5.0000000000000001E-3</v>
      </c>
      <c r="CH887">
        <v>170</v>
      </c>
      <c r="CI887">
        <v>70</v>
      </c>
      <c r="CJ887">
        <v>0</v>
      </c>
      <c r="CK887">
        <v>4.993501E-3</v>
      </c>
      <c r="CT887">
        <v>153</v>
      </c>
      <c r="CU887">
        <v>65</v>
      </c>
      <c r="CV887">
        <v>0</v>
      </c>
      <c r="CW887">
        <v>1E-3</v>
      </c>
      <c r="ED887">
        <v>183</v>
      </c>
      <c r="EE887">
        <v>73</v>
      </c>
      <c r="EF887">
        <v>0</v>
      </c>
      <c r="EG887">
        <v>1E-3</v>
      </c>
      <c r="ES887">
        <v>183</v>
      </c>
      <c r="ET887">
        <v>73</v>
      </c>
      <c r="EU887">
        <v>0</v>
      </c>
      <c r="EV887">
        <v>1E-3</v>
      </c>
    </row>
    <row r="888" spans="2:152" x14ac:dyDescent="0.4">
      <c r="B888">
        <v>173</v>
      </c>
      <c r="C888">
        <v>70</v>
      </c>
      <c r="D888">
        <v>0</v>
      </c>
      <c r="E888">
        <v>7.0000000000000001E-3</v>
      </c>
      <c r="CH888">
        <v>171</v>
      </c>
      <c r="CI888">
        <v>70</v>
      </c>
      <c r="CJ888">
        <v>0</v>
      </c>
      <c r="CK888">
        <v>5.0000000000000001E-3</v>
      </c>
      <c r="CT888">
        <v>155</v>
      </c>
      <c r="CU888">
        <v>65</v>
      </c>
      <c r="CV888">
        <v>0</v>
      </c>
      <c r="CW888">
        <v>4.0000000000000001E-3</v>
      </c>
      <c r="ED888">
        <v>183</v>
      </c>
      <c r="EE888">
        <v>74</v>
      </c>
      <c r="EF888">
        <v>0</v>
      </c>
      <c r="EG888">
        <v>1E-3</v>
      </c>
      <c r="ES888">
        <v>183</v>
      </c>
      <c r="ET888">
        <v>74</v>
      </c>
      <c r="EU888">
        <v>0</v>
      </c>
      <c r="EV888">
        <v>1E-3</v>
      </c>
    </row>
    <row r="889" spans="2:152" x14ac:dyDescent="0.4">
      <c r="B889">
        <v>176</v>
      </c>
      <c r="C889">
        <v>70</v>
      </c>
      <c r="D889">
        <v>0</v>
      </c>
      <c r="E889">
        <v>2E-3</v>
      </c>
      <c r="CH889">
        <v>172</v>
      </c>
      <c r="CI889">
        <v>70</v>
      </c>
      <c r="CJ889">
        <v>0</v>
      </c>
      <c r="CK889">
        <v>5.0000000000000001E-3</v>
      </c>
      <c r="CT889">
        <v>156</v>
      </c>
      <c r="CU889">
        <v>65</v>
      </c>
      <c r="CV889">
        <v>0</v>
      </c>
      <c r="CW889">
        <v>9.0000010000000005E-3</v>
      </c>
      <c r="ED889">
        <v>183</v>
      </c>
      <c r="EE889">
        <v>74</v>
      </c>
      <c r="EF889">
        <v>1</v>
      </c>
      <c r="EG889">
        <v>3.4E-5</v>
      </c>
      <c r="ES889">
        <v>183</v>
      </c>
      <c r="ET889">
        <v>74</v>
      </c>
      <c r="EU889">
        <v>1</v>
      </c>
      <c r="EV889" s="40">
        <v>3.4E-5</v>
      </c>
    </row>
    <row r="890" spans="2:152" x14ac:dyDescent="0.4">
      <c r="B890">
        <v>176</v>
      </c>
      <c r="C890">
        <v>70</v>
      </c>
      <c r="D890">
        <v>1</v>
      </c>
      <c r="E890">
        <v>1E-3</v>
      </c>
      <c r="CH890">
        <v>173</v>
      </c>
      <c r="CI890">
        <v>70</v>
      </c>
      <c r="CJ890">
        <v>0</v>
      </c>
      <c r="CK890">
        <v>7.0000000000000001E-3</v>
      </c>
      <c r="CT890">
        <v>156</v>
      </c>
      <c r="CU890">
        <v>65</v>
      </c>
      <c r="CV890">
        <v>1</v>
      </c>
      <c r="CW890">
        <v>8.0000000000000002E-3</v>
      </c>
      <c r="ED890">
        <v>185</v>
      </c>
      <c r="EE890">
        <v>74</v>
      </c>
      <c r="EF890">
        <v>0</v>
      </c>
      <c r="EG890">
        <v>1E-3</v>
      </c>
      <c r="ES890">
        <v>185</v>
      </c>
      <c r="ET890">
        <v>74</v>
      </c>
      <c r="EU890">
        <v>0</v>
      </c>
      <c r="EV890">
        <v>1E-3</v>
      </c>
    </row>
    <row r="891" spans="2:152" x14ac:dyDescent="0.4">
      <c r="B891">
        <v>179</v>
      </c>
      <c r="C891">
        <v>70</v>
      </c>
      <c r="D891">
        <v>0</v>
      </c>
      <c r="E891">
        <v>1E-3</v>
      </c>
      <c r="CH891">
        <v>176</v>
      </c>
      <c r="CI891">
        <v>70</v>
      </c>
      <c r="CJ891">
        <v>0</v>
      </c>
      <c r="CK891">
        <v>2E-3</v>
      </c>
      <c r="CT891">
        <v>157</v>
      </c>
      <c r="CU891">
        <v>65</v>
      </c>
      <c r="CV891">
        <v>0</v>
      </c>
      <c r="CW891">
        <v>1.2E-2</v>
      </c>
      <c r="ED891">
        <v>185</v>
      </c>
      <c r="EE891">
        <v>74</v>
      </c>
      <c r="EF891">
        <v>1</v>
      </c>
      <c r="EG891">
        <v>1E-3</v>
      </c>
      <c r="ES891">
        <v>185</v>
      </c>
      <c r="ET891">
        <v>74</v>
      </c>
      <c r="EU891">
        <v>1</v>
      </c>
      <c r="EV891">
        <v>1E-3</v>
      </c>
    </row>
    <row r="892" spans="2:152" x14ac:dyDescent="0.4">
      <c r="B892">
        <v>175</v>
      </c>
      <c r="C892">
        <v>71</v>
      </c>
      <c r="D892">
        <v>0</v>
      </c>
      <c r="E892">
        <v>1E-3</v>
      </c>
      <c r="CH892">
        <v>176</v>
      </c>
      <c r="CI892">
        <v>70</v>
      </c>
      <c r="CJ892">
        <v>1</v>
      </c>
      <c r="CK892">
        <v>1E-3</v>
      </c>
      <c r="CT892">
        <v>158</v>
      </c>
      <c r="CU892">
        <v>65</v>
      </c>
      <c r="CV892">
        <v>0</v>
      </c>
      <c r="CW892">
        <v>4.2999999999999997E-2</v>
      </c>
      <c r="ED892">
        <v>188</v>
      </c>
      <c r="EE892">
        <v>74</v>
      </c>
      <c r="EF892">
        <v>0</v>
      </c>
      <c r="EG892">
        <v>1E-3</v>
      </c>
      <c r="ES892">
        <v>188</v>
      </c>
      <c r="ET892">
        <v>74</v>
      </c>
      <c r="EU892">
        <v>0</v>
      </c>
      <c r="EV892">
        <v>1E-3</v>
      </c>
    </row>
    <row r="893" spans="2:152" x14ac:dyDescent="0.4">
      <c r="B893">
        <v>176</v>
      </c>
      <c r="C893">
        <v>71</v>
      </c>
      <c r="D893">
        <v>0</v>
      </c>
      <c r="E893">
        <v>2E-3</v>
      </c>
      <c r="CH893">
        <v>179</v>
      </c>
      <c r="CI893">
        <v>70</v>
      </c>
      <c r="CJ893">
        <v>0</v>
      </c>
      <c r="CK893">
        <v>1E-3</v>
      </c>
      <c r="CT893">
        <v>159</v>
      </c>
      <c r="CU893">
        <v>65</v>
      </c>
      <c r="CV893">
        <v>0</v>
      </c>
      <c r="CW893">
        <v>0.43900420000000001</v>
      </c>
      <c r="ED893">
        <v>185</v>
      </c>
      <c r="EE893">
        <v>75</v>
      </c>
      <c r="EF893">
        <v>0</v>
      </c>
      <c r="EG893">
        <v>1E-3</v>
      </c>
      <c r="ES893">
        <v>185</v>
      </c>
      <c r="ET893">
        <v>75</v>
      </c>
      <c r="EU893">
        <v>0</v>
      </c>
      <c r="EV893">
        <v>1E-3</v>
      </c>
    </row>
    <row r="894" spans="2:152" x14ac:dyDescent="0.4">
      <c r="B894">
        <v>177</v>
      </c>
      <c r="C894">
        <v>71</v>
      </c>
      <c r="D894">
        <v>2</v>
      </c>
      <c r="E894">
        <v>1E-3</v>
      </c>
      <c r="CH894">
        <v>175</v>
      </c>
      <c r="CI894">
        <v>71</v>
      </c>
      <c r="CJ894">
        <v>0</v>
      </c>
      <c r="CK894">
        <v>1E-3</v>
      </c>
      <c r="CT894">
        <v>160</v>
      </c>
      <c r="CU894">
        <v>65</v>
      </c>
      <c r="CV894">
        <v>0</v>
      </c>
      <c r="CW894">
        <v>0.106</v>
      </c>
      <c r="ED894">
        <v>188</v>
      </c>
      <c r="EE894">
        <v>75</v>
      </c>
      <c r="EF894">
        <v>0</v>
      </c>
      <c r="EG894">
        <v>1E-3</v>
      </c>
      <c r="ES894">
        <v>188</v>
      </c>
      <c r="ET894">
        <v>75</v>
      </c>
      <c r="EU894">
        <v>0</v>
      </c>
      <c r="EV894">
        <v>1E-3</v>
      </c>
    </row>
    <row r="895" spans="2:152" x14ac:dyDescent="0.4">
      <c r="B895">
        <v>179</v>
      </c>
      <c r="C895">
        <v>71</v>
      </c>
      <c r="D895">
        <v>0</v>
      </c>
      <c r="E895">
        <v>1E-3</v>
      </c>
      <c r="CH895">
        <v>176</v>
      </c>
      <c r="CI895">
        <v>71</v>
      </c>
      <c r="CJ895">
        <v>0</v>
      </c>
      <c r="CK895">
        <v>2E-3</v>
      </c>
      <c r="CT895">
        <v>161</v>
      </c>
      <c r="CU895">
        <v>65</v>
      </c>
      <c r="CV895">
        <v>0</v>
      </c>
      <c r="CW895">
        <v>0.31</v>
      </c>
      <c r="ED895">
        <v>188</v>
      </c>
      <c r="EE895">
        <v>76</v>
      </c>
      <c r="EF895">
        <v>0</v>
      </c>
      <c r="EG895">
        <v>1E-3</v>
      </c>
      <c r="ES895">
        <v>188</v>
      </c>
      <c r="ET895">
        <v>76</v>
      </c>
      <c r="EU895">
        <v>0</v>
      </c>
      <c r="EV895">
        <v>1E-3</v>
      </c>
    </row>
    <row r="896" spans="2:152" x14ac:dyDescent="0.4">
      <c r="B896">
        <v>179</v>
      </c>
      <c r="C896">
        <v>71</v>
      </c>
      <c r="D896">
        <v>1</v>
      </c>
      <c r="E896">
        <v>1E-3</v>
      </c>
      <c r="CH896">
        <v>177</v>
      </c>
      <c r="CI896">
        <v>71</v>
      </c>
      <c r="CJ896">
        <v>2</v>
      </c>
      <c r="CK896">
        <v>1E-3</v>
      </c>
      <c r="CT896">
        <v>162</v>
      </c>
      <c r="CU896">
        <v>65</v>
      </c>
      <c r="CV896">
        <v>0</v>
      </c>
      <c r="CW896">
        <v>0.20799999999999999</v>
      </c>
    </row>
    <row r="897" spans="2:101" x14ac:dyDescent="0.4">
      <c r="B897">
        <v>177</v>
      </c>
      <c r="C897">
        <v>72</v>
      </c>
      <c r="D897">
        <v>0</v>
      </c>
      <c r="E897">
        <v>5.0000000000000001E-4</v>
      </c>
      <c r="CH897">
        <v>179</v>
      </c>
      <c r="CI897">
        <v>71</v>
      </c>
      <c r="CJ897">
        <v>0</v>
      </c>
      <c r="CK897">
        <v>1E-3</v>
      </c>
      <c r="CT897">
        <v>163</v>
      </c>
      <c r="CU897">
        <v>65</v>
      </c>
      <c r="CV897">
        <v>0</v>
      </c>
      <c r="CW897">
        <v>0.157</v>
      </c>
    </row>
    <row r="898" spans="2:101" x14ac:dyDescent="0.4">
      <c r="B898">
        <v>177</v>
      </c>
      <c r="C898">
        <v>72</v>
      </c>
      <c r="D898">
        <v>1</v>
      </c>
      <c r="E898">
        <v>5.0000000000000001E-4</v>
      </c>
      <c r="CH898">
        <v>179</v>
      </c>
      <c r="CI898">
        <v>71</v>
      </c>
      <c r="CJ898">
        <v>1</v>
      </c>
      <c r="CK898">
        <v>1E-3</v>
      </c>
      <c r="CT898">
        <v>164</v>
      </c>
      <c r="CU898">
        <v>65</v>
      </c>
      <c r="CV898">
        <v>0</v>
      </c>
      <c r="CW898">
        <v>9.1000010000000006E-2</v>
      </c>
    </row>
    <row r="899" spans="2:101" x14ac:dyDescent="0.4">
      <c r="B899">
        <v>179</v>
      </c>
      <c r="C899">
        <v>72</v>
      </c>
      <c r="D899">
        <v>0</v>
      </c>
      <c r="E899">
        <v>1E-3</v>
      </c>
      <c r="CH899">
        <v>177</v>
      </c>
      <c r="CI899">
        <v>72</v>
      </c>
      <c r="CJ899">
        <v>0</v>
      </c>
      <c r="CK899">
        <v>5.0000000000000001E-4</v>
      </c>
      <c r="CT899">
        <v>165</v>
      </c>
      <c r="CU899">
        <v>65</v>
      </c>
      <c r="CV899">
        <v>0</v>
      </c>
      <c r="CW899">
        <v>3.9E-2</v>
      </c>
    </row>
    <row r="900" spans="2:101" x14ac:dyDescent="0.4">
      <c r="B900">
        <v>183</v>
      </c>
      <c r="C900">
        <v>73</v>
      </c>
      <c r="D900">
        <v>0</v>
      </c>
      <c r="E900">
        <v>1E-3</v>
      </c>
      <c r="CH900">
        <v>177</v>
      </c>
      <c r="CI900">
        <v>72</v>
      </c>
      <c r="CJ900">
        <v>1</v>
      </c>
      <c r="CK900">
        <v>5.0000000000000001E-4</v>
      </c>
      <c r="CT900">
        <v>166</v>
      </c>
      <c r="CU900">
        <v>65</v>
      </c>
      <c r="CV900">
        <v>0</v>
      </c>
      <c r="CW900">
        <v>2.4E-2</v>
      </c>
    </row>
    <row r="901" spans="2:101" x14ac:dyDescent="0.4">
      <c r="B901">
        <v>183</v>
      </c>
      <c r="C901">
        <v>74</v>
      </c>
      <c r="D901">
        <v>0</v>
      </c>
      <c r="E901">
        <v>1E-3</v>
      </c>
      <c r="CH901">
        <v>179</v>
      </c>
      <c r="CI901">
        <v>72</v>
      </c>
      <c r="CJ901">
        <v>0</v>
      </c>
      <c r="CK901">
        <v>1E-3</v>
      </c>
      <c r="CT901">
        <v>167</v>
      </c>
      <c r="CU901">
        <v>65</v>
      </c>
      <c r="CV901">
        <v>0</v>
      </c>
      <c r="CW901">
        <v>0.01</v>
      </c>
    </row>
    <row r="902" spans="2:101" x14ac:dyDescent="0.4">
      <c r="B902">
        <v>183</v>
      </c>
      <c r="C902">
        <v>74</v>
      </c>
      <c r="D902">
        <v>1</v>
      </c>
      <c r="E902" s="40">
        <v>3.4E-5</v>
      </c>
      <c r="CH902">
        <v>183</v>
      </c>
      <c r="CI902">
        <v>73</v>
      </c>
      <c r="CJ902">
        <v>0</v>
      </c>
      <c r="CK902">
        <v>1E-3</v>
      </c>
      <c r="CT902">
        <v>168</v>
      </c>
      <c r="CU902">
        <v>65</v>
      </c>
      <c r="CV902">
        <v>0</v>
      </c>
      <c r="CW902">
        <v>1E-3</v>
      </c>
    </row>
    <row r="903" spans="2:101" x14ac:dyDescent="0.4">
      <c r="B903">
        <v>194</v>
      </c>
      <c r="C903">
        <v>78</v>
      </c>
      <c r="D903">
        <v>0</v>
      </c>
      <c r="E903">
        <v>1E-3</v>
      </c>
      <c r="CH903">
        <v>183</v>
      </c>
      <c r="CI903">
        <v>74</v>
      </c>
      <c r="CJ903">
        <v>0</v>
      </c>
      <c r="CK903">
        <v>1E-3</v>
      </c>
      <c r="CT903">
        <v>158</v>
      </c>
      <c r="CU903">
        <v>66</v>
      </c>
      <c r="CV903">
        <v>0</v>
      </c>
      <c r="CW903">
        <v>1.0224E-2</v>
      </c>
    </row>
    <row r="904" spans="2:101" x14ac:dyDescent="0.4">
      <c r="CH904">
        <v>183</v>
      </c>
      <c r="CI904">
        <v>74</v>
      </c>
      <c r="CJ904">
        <v>1</v>
      </c>
      <c r="CK904">
        <v>3.4E-5</v>
      </c>
      <c r="CT904">
        <v>159</v>
      </c>
      <c r="CU904">
        <v>66</v>
      </c>
      <c r="CV904">
        <v>0</v>
      </c>
      <c r="CW904">
        <v>6.0000000000000001E-3</v>
      </c>
    </row>
    <row r="905" spans="2:101" x14ac:dyDescent="0.4">
      <c r="CH905">
        <v>194</v>
      </c>
      <c r="CI905">
        <v>78</v>
      </c>
      <c r="CJ905">
        <v>0</v>
      </c>
      <c r="CK905">
        <v>1E-3</v>
      </c>
      <c r="CT905">
        <v>160</v>
      </c>
      <c r="CU905">
        <v>66</v>
      </c>
      <c r="CV905">
        <v>0</v>
      </c>
      <c r="CW905">
        <v>0.12</v>
      </c>
    </row>
    <row r="906" spans="2:101" x14ac:dyDescent="0.4">
      <c r="CT906">
        <v>161</v>
      </c>
      <c r="CU906">
        <v>66</v>
      </c>
      <c r="CV906">
        <v>0</v>
      </c>
      <c r="CW906">
        <v>0.33600000000000002</v>
      </c>
    </row>
    <row r="907" spans="2:101" x14ac:dyDescent="0.4">
      <c r="CT907">
        <v>162</v>
      </c>
      <c r="CU907">
        <v>66</v>
      </c>
      <c r="CV907">
        <v>0</v>
      </c>
      <c r="CW907">
        <v>0.254</v>
      </c>
    </row>
    <row r="908" spans="2:101" x14ac:dyDescent="0.4">
      <c r="CT908">
        <v>163</v>
      </c>
      <c r="CU908">
        <v>66</v>
      </c>
      <c r="CV908">
        <v>0</v>
      </c>
      <c r="CW908">
        <v>0.24199999999999999</v>
      </c>
    </row>
    <row r="909" spans="2:101" x14ac:dyDescent="0.4">
      <c r="CT909">
        <v>164</v>
      </c>
      <c r="CU909">
        <v>66</v>
      </c>
      <c r="CV909">
        <v>0</v>
      </c>
      <c r="CW909">
        <v>0.16500699999999999</v>
      </c>
    </row>
    <row r="910" spans="2:101" x14ac:dyDescent="0.4">
      <c r="CT910">
        <v>165</v>
      </c>
      <c r="CU910">
        <v>66</v>
      </c>
      <c r="CV910">
        <v>0</v>
      </c>
      <c r="CW910">
        <v>8.5999999999999993E-2</v>
      </c>
    </row>
    <row r="911" spans="2:101" x14ac:dyDescent="0.4">
      <c r="CT911">
        <v>166</v>
      </c>
      <c r="CU911">
        <v>66</v>
      </c>
      <c r="CV911">
        <v>0</v>
      </c>
      <c r="CW911">
        <v>7.3999999999999996E-2</v>
      </c>
    </row>
    <row r="912" spans="2:101" x14ac:dyDescent="0.4">
      <c r="CT912">
        <v>167</v>
      </c>
      <c r="CU912">
        <v>66</v>
      </c>
      <c r="CV912">
        <v>0</v>
      </c>
      <c r="CW912">
        <v>4.8000000000000001E-2</v>
      </c>
    </row>
    <row r="913" spans="98:101" x14ac:dyDescent="0.4">
      <c r="CT913">
        <v>168</v>
      </c>
      <c r="CU913">
        <v>66</v>
      </c>
      <c r="CV913">
        <v>0</v>
      </c>
      <c r="CW913">
        <v>2.4E-2</v>
      </c>
    </row>
    <row r="914" spans="98:101" x14ac:dyDescent="0.4">
      <c r="CT914">
        <v>169</v>
      </c>
      <c r="CU914">
        <v>66</v>
      </c>
      <c r="CV914">
        <v>0</v>
      </c>
      <c r="CW914">
        <v>9.0000010000000005E-3</v>
      </c>
    </row>
    <row r="915" spans="98:101" x14ac:dyDescent="0.4">
      <c r="CT915">
        <v>170</v>
      </c>
      <c r="CU915">
        <v>66</v>
      </c>
      <c r="CV915">
        <v>0</v>
      </c>
      <c r="CW915">
        <v>1E-3</v>
      </c>
    </row>
    <row r="916" spans="98:101" x14ac:dyDescent="0.4">
      <c r="CT916">
        <v>171</v>
      </c>
      <c r="CU916">
        <v>66</v>
      </c>
      <c r="CV916">
        <v>0</v>
      </c>
      <c r="CW916">
        <v>2E-3</v>
      </c>
    </row>
    <row r="917" spans="98:101" x14ac:dyDescent="0.4">
      <c r="CT917">
        <v>172</v>
      </c>
      <c r="CU917">
        <v>66</v>
      </c>
      <c r="CV917">
        <v>0</v>
      </c>
      <c r="CW917">
        <v>2E-3</v>
      </c>
    </row>
    <row r="918" spans="98:101" x14ac:dyDescent="0.4">
      <c r="CT918">
        <v>160</v>
      </c>
      <c r="CU918">
        <v>67</v>
      </c>
      <c r="CV918">
        <v>0</v>
      </c>
      <c r="CW918">
        <v>1E-3</v>
      </c>
    </row>
    <row r="919" spans="98:101" x14ac:dyDescent="0.4">
      <c r="CT919">
        <v>160</v>
      </c>
      <c r="CU919">
        <v>67</v>
      </c>
      <c r="CV919">
        <v>2</v>
      </c>
      <c r="CW919">
        <v>1E-3</v>
      </c>
    </row>
    <row r="920" spans="98:101" x14ac:dyDescent="0.4">
      <c r="CT920">
        <v>161</v>
      </c>
      <c r="CU920">
        <v>67</v>
      </c>
      <c r="CV920">
        <v>0</v>
      </c>
      <c r="CW920">
        <v>5.0000000000000001E-3</v>
      </c>
    </row>
    <row r="921" spans="98:101" x14ac:dyDescent="0.4">
      <c r="CT921">
        <v>161</v>
      </c>
      <c r="CU921">
        <v>67</v>
      </c>
      <c r="CV921">
        <v>1</v>
      </c>
      <c r="CW921">
        <v>1E-3</v>
      </c>
    </row>
    <row r="922" spans="98:101" x14ac:dyDescent="0.4">
      <c r="CT922">
        <v>162</v>
      </c>
      <c r="CU922">
        <v>67</v>
      </c>
      <c r="CV922">
        <v>0</v>
      </c>
      <c r="CW922">
        <v>4.7999999999999996E-3</v>
      </c>
    </row>
    <row r="923" spans="98:101" x14ac:dyDescent="0.4">
      <c r="CT923">
        <v>162</v>
      </c>
      <c r="CU923">
        <v>67</v>
      </c>
      <c r="CV923">
        <v>1</v>
      </c>
      <c r="CW923">
        <v>7.1111120000000002E-3</v>
      </c>
    </row>
    <row r="924" spans="98:101" x14ac:dyDescent="0.4">
      <c r="CT924">
        <v>163</v>
      </c>
      <c r="CU924">
        <v>67</v>
      </c>
      <c r="CV924">
        <v>0</v>
      </c>
      <c r="CW924">
        <v>1.9E-2</v>
      </c>
    </row>
    <row r="925" spans="98:101" x14ac:dyDescent="0.4">
      <c r="CT925">
        <v>164</v>
      </c>
      <c r="CU925">
        <v>67</v>
      </c>
      <c r="CV925">
        <v>0</v>
      </c>
      <c r="CW925">
        <v>2.9000000000000001E-2</v>
      </c>
    </row>
    <row r="926" spans="98:101" x14ac:dyDescent="0.4">
      <c r="CT926">
        <v>164</v>
      </c>
      <c r="CU926">
        <v>67</v>
      </c>
      <c r="CV926">
        <v>1</v>
      </c>
      <c r="CW926">
        <v>2.7E-2</v>
      </c>
    </row>
    <row r="927" spans="98:101" x14ac:dyDescent="0.4">
      <c r="CT927">
        <v>165</v>
      </c>
      <c r="CU927">
        <v>67</v>
      </c>
      <c r="CV927">
        <v>0</v>
      </c>
      <c r="CW927">
        <v>0.128</v>
      </c>
    </row>
    <row r="928" spans="98:101" x14ac:dyDescent="0.4">
      <c r="CT928">
        <v>166</v>
      </c>
      <c r="CU928">
        <v>67</v>
      </c>
      <c r="CV928">
        <v>0</v>
      </c>
      <c r="CW928">
        <v>7.4999999999999997E-2</v>
      </c>
    </row>
    <row r="929" spans="98:101" x14ac:dyDescent="0.4">
      <c r="CT929">
        <v>166</v>
      </c>
      <c r="CU929">
        <v>67</v>
      </c>
      <c r="CV929">
        <v>1</v>
      </c>
      <c r="CW929">
        <v>4.9000000000000002E-2</v>
      </c>
    </row>
    <row r="930" spans="98:101" x14ac:dyDescent="0.4">
      <c r="CT930">
        <v>167</v>
      </c>
      <c r="CU930">
        <v>67</v>
      </c>
      <c r="CV930">
        <v>0</v>
      </c>
      <c r="CW930">
        <v>8.8000010000000004E-2</v>
      </c>
    </row>
    <row r="931" spans="98:101" x14ac:dyDescent="0.4">
      <c r="CT931">
        <v>168</v>
      </c>
      <c r="CU931">
        <v>67</v>
      </c>
      <c r="CV931">
        <v>0</v>
      </c>
      <c r="CW931">
        <v>7.3789999999999994E-2</v>
      </c>
    </row>
    <row r="932" spans="98:101" x14ac:dyDescent="0.4">
      <c r="CT932">
        <v>168</v>
      </c>
      <c r="CU932">
        <v>67</v>
      </c>
      <c r="CV932">
        <v>1</v>
      </c>
      <c r="CW932">
        <v>4.2000000000000003E-2</v>
      </c>
    </row>
    <row r="933" spans="98:101" x14ac:dyDescent="0.4">
      <c r="CT933">
        <v>169</v>
      </c>
      <c r="CU933">
        <v>67</v>
      </c>
      <c r="CV933">
        <v>0</v>
      </c>
      <c r="CW933">
        <v>3.5999999999999997E-2</v>
      </c>
    </row>
    <row r="934" spans="98:101" x14ac:dyDescent="0.4">
      <c r="CT934">
        <v>170</v>
      </c>
      <c r="CU934">
        <v>67</v>
      </c>
      <c r="CV934">
        <v>0</v>
      </c>
      <c r="CW934">
        <v>1.2999999999999999E-2</v>
      </c>
    </row>
    <row r="935" spans="98:101" x14ac:dyDescent="0.4">
      <c r="CT935">
        <v>170</v>
      </c>
      <c r="CU935">
        <v>67</v>
      </c>
      <c r="CV935">
        <v>1</v>
      </c>
      <c r="CW935">
        <v>1E-3</v>
      </c>
    </row>
    <row r="936" spans="98:101" x14ac:dyDescent="0.4">
      <c r="CT936">
        <v>171</v>
      </c>
      <c r="CU936">
        <v>67</v>
      </c>
      <c r="CV936">
        <v>0</v>
      </c>
      <c r="CW936">
        <v>1.0999999999999999E-2</v>
      </c>
    </row>
    <row r="937" spans="98:101" x14ac:dyDescent="0.4">
      <c r="CT937">
        <v>172</v>
      </c>
      <c r="CU937">
        <v>67</v>
      </c>
      <c r="CV937">
        <v>0</v>
      </c>
      <c r="CW937">
        <v>5.0000000000000001E-3</v>
      </c>
    </row>
    <row r="938" spans="98:101" x14ac:dyDescent="0.4">
      <c r="CT938">
        <v>173</v>
      </c>
      <c r="CU938">
        <v>67</v>
      </c>
      <c r="CV938">
        <v>0</v>
      </c>
      <c r="CW938">
        <v>1E-3</v>
      </c>
    </row>
    <row r="939" spans="98:101" x14ac:dyDescent="0.4">
      <c r="CT939">
        <v>174</v>
      </c>
      <c r="CU939">
        <v>67</v>
      </c>
      <c r="CV939">
        <v>0</v>
      </c>
      <c r="CW939">
        <v>1E-3</v>
      </c>
    </row>
    <row r="940" spans="98:101" x14ac:dyDescent="0.4">
      <c r="CT940">
        <v>164</v>
      </c>
      <c r="CU940">
        <v>68</v>
      </c>
      <c r="CV940">
        <v>0</v>
      </c>
      <c r="CW940">
        <v>1.6993000000000001E-2</v>
      </c>
    </row>
    <row r="941" spans="98:101" x14ac:dyDescent="0.4">
      <c r="CT941">
        <v>165</v>
      </c>
      <c r="CU941">
        <v>68</v>
      </c>
      <c r="CV941">
        <v>0</v>
      </c>
      <c r="CW941">
        <v>5.0000000000000001E-3</v>
      </c>
    </row>
    <row r="942" spans="98:101" x14ac:dyDescent="0.4">
      <c r="CT942">
        <v>166</v>
      </c>
      <c r="CU942">
        <v>68</v>
      </c>
      <c r="CV942">
        <v>0</v>
      </c>
      <c r="CW942">
        <v>0.14000000000000001</v>
      </c>
    </row>
    <row r="943" spans="98:101" x14ac:dyDescent="0.4">
      <c r="CT943">
        <v>167</v>
      </c>
      <c r="CU943">
        <v>68</v>
      </c>
      <c r="CV943">
        <v>0</v>
      </c>
      <c r="CW943">
        <v>0.1070175</v>
      </c>
    </row>
    <row r="944" spans="98:101" x14ac:dyDescent="0.4">
      <c r="CT944">
        <v>167</v>
      </c>
      <c r="CU944">
        <v>68</v>
      </c>
      <c r="CV944">
        <v>1</v>
      </c>
      <c r="CW944">
        <v>1.14985E-2</v>
      </c>
    </row>
    <row r="945" spans="98:101" x14ac:dyDescent="0.4">
      <c r="CT945">
        <v>168</v>
      </c>
      <c r="CU945">
        <v>68</v>
      </c>
      <c r="CV945">
        <v>0</v>
      </c>
      <c r="CW945">
        <v>9.5999500000000001E-2</v>
      </c>
    </row>
    <row r="946" spans="98:101" x14ac:dyDescent="0.4">
      <c r="CT946">
        <v>169</v>
      </c>
      <c r="CU946">
        <v>68</v>
      </c>
      <c r="CV946">
        <v>0</v>
      </c>
      <c r="CW946">
        <v>6.9000010000000001E-2</v>
      </c>
    </row>
    <row r="947" spans="98:101" x14ac:dyDescent="0.4">
      <c r="CT947">
        <v>170</v>
      </c>
      <c r="CU947">
        <v>68</v>
      </c>
      <c r="CV947">
        <v>0</v>
      </c>
      <c r="CW947">
        <v>3.8015599999999997E-2</v>
      </c>
    </row>
    <row r="948" spans="98:101" x14ac:dyDescent="0.4">
      <c r="CT948">
        <v>171</v>
      </c>
      <c r="CU948">
        <v>68</v>
      </c>
      <c r="CV948">
        <v>0</v>
      </c>
      <c r="CW948">
        <v>3.1E-2</v>
      </c>
    </row>
    <row r="949" spans="98:101" x14ac:dyDescent="0.4">
      <c r="CT949">
        <v>172</v>
      </c>
      <c r="CU949">
        <v>68</v>
      </c>
      <c r="CV949">
        <v>0</v>
      </c>
      <c r="CW949">
        <v>1.7000000000000001E-2</v>
      </c>
    </row>
    <row r="950" spans="98:101" x14ac:dyDescent="0.4">
      <c r="CT950">
        <v>173</v>
      </c>
      <c r="CU950">
        <v>68</v>
      </c>
      <c r="CV950">
        <v>0</v>
      </c>
      <c r="CW950">
        <v>5.0000000000000001E-3</v>
      </c>
    </row>
    <row r="951" spans="98:101" x14ac:dyDescent="0.4">
      <c r="CT951">
        <v>174</v>
      </c>
      <c r="CU951">
        <v>68</v>
      </c>
      <c r="CV951">
        <v>0</v>
      </c>
      <c r="CW951">
        <v>6.0000009999999996E-3</v>
      </c>
    </row>
    <row r="952" spans="98:101" x14ac:dyDescent="0.4">
      <c r="CT952">
        <v>175</v>
      </c>
      <c r="CU952">
        <v>68</v>
      </c>
      <c r="CV952">
        <v>0</v>
      </c>
      <c r="CW952">
        <v>1E-3</v>
      </c>
    </row>
    <row r="953" spans="98:101" x14ac:dyDescent="0.4">
      <c r="CT953">
        <v>176</v>
      </c>
      <c r="CU953">
        <v>68</v>
      </c>
      <c r="CV953">
        <v>0</v>
      </c>
      <c r="CW953">
        <v>2E-3</v>
      </c>
    </row>
    <row r="954" spans="98:101" x14ac:dyDescent="0.4">
      <c r="CT954">
        <v>166</v>
      </c>
      <c r="CU954">
        <v>69</v>
      </c>
      <c r="CV954">
        <v>0</v>
      </c>
      <c r="CW954">
        <v>3.0000000000000001E-3</v>
      </c>
    </row>
    <row r="955" spans="98:101" x14ac:dyDescent="0.4">
      <c r="CT955">
        <v>166</v>
      </c>
      <c r="CU955">
        <v>69</v>
      </c>
      <c r="CV955">
        <v>1</v>
      </c>
      <c r="CW955">
        <v>3.0000000000000001E-3</v>
      </c>
    </row>
    <row r="956" spans="98:101" x14ac:dyDescent="0.4">
      <c r="CT956">
        <v>167</v>
      </c>
      <c r="CU956">
        <v>69</v>
      </c>
      <c r="CV956">
        <v>0</v>
      </c>
      <c r="CW956">
        <v>1E-3</v>
      </c>
    </row>
    <row r="957" spans="98:101" x14ac:dyDescent="0.4">
      <c r="CT957">
        <v>168</v>
      </c>
      <c r="CU957">
        <v>69</v>
      </c>
      <c r="CV957">
        <v>0</v>
      </c>
      <c r="CW957">
        <v>5.0000000000000001E-3</v>
      </c>
    </row>
    <row r="958" spans="98:101" x14ac:dyDescent="0.4">
      <c r="CT958">
        <v>169</v>
      </c>
      <c r="CU958">
        <v>69</v>
      </c>
      <c r="CV958">
        <v>0</v>
      </c>
      <c r="CW958">
        <v>7.4999999999999997E-2</v>
      </c>
    </row>
    <row r="959" spans="98:101" x14ac:dyDescent="0.4">
      <c r="CT959">
        <v>170</v>
      </c>
      <c r="CU959">
        <v>69</v>
      </c>
      <c r="CV959">
        <v>0</v>
      </c>
      <c r="CW959">
        <v>1.2E-2</v>
      </c>
    </row>
    <row r="960" spans="98:101" x14ac:dyDescent="0.4">
      <c r="CT960">
        <v>171</v>
      </c>
      <c r="CU960">
        <v>69</v>
      </c>
      <c r="CV960">
        <v>0</v>
      </c>
      <c r="CW960">
        <v>5.1999999999999998E-2</v>
      </c>
    </row>
    <row r="961" spans="98:101" x14ac:dyDescent="0.4">
      <c r="CT961">
        <v>172</v>
      </c>
      <c r="CU961">
        <v>69</v>
      </c>
      <c r="CV961">
        <v>0</v>
      </c>
      <c r="CW961">
        <v>4.2000000000000003E-2</v>
      </c>
    </row>
    <row r="962" spans="98:101" x14ac:dyDescent="0.4">
      <c r="CT962">
        <v>173</v>
      </c>
      <c r="CU962">
        <v>69</v>
      </c>
      <c r="CV962">
        <v>0</v>
      </c>
      <c r="CW962">
        <v>1.4999999999999999E-2</v>
      </c>
    </row>
    <row r="963" spans="98:101" x14ac:dyDescent="0.4">
      <c r="CT963">
        <v>174</v>
      </c>
      <c r="CU963">
        <v>69</v>
      </c>
      <c r="CV963">
        <v>0</v>
      </c>
      <c r="CW963">
        <v>1.9E-2</v>
      </c>
    </row>
    <row r="964" spans="98:101" x14ac:dyDescent="0.4">
      <c r="CT964">
        <v>175</v>
      </c>
      <c r="CU964">
        <v>69</v>
      </c>
      <c r="CV964">
        <v>0</v>
      </c>
      <c r="CW964">
        <v>5.0000000000000001E-3</v>
      </c>
    </row>
    <row r="965" spans="98:101" x14ac:dyDescent="0.4">
      <c r="CT965">
        <v>176</v>
      </c>
      <c r="CU965">
        <v>69</v>
      </c>
      <c r="CV965">
        <v>0</v>
      </c>
      <c r="CW965">
        <v>3.0000000000000001E-3</v>
      </c>
    </row>
    <row r="966" spans="98:101" x14ac:dyDescent="0.4">
      <c r="CT966">
        <v>177</v>
      </c>
      <c r="CU966">
        <v>69</v>
      </c>
      <c r="CV966">
        <v>0</v>
      </c>
      <c r="CW966">
        <v>5.0000000000000001E-3</v>
      </c>
    </row>
    <row r="967" spans="98:101" x14ac:dyDescent="0.4">
      <c r="CT967">
        <v>168</v>
      </c>
      <c r="CU967">
        <v>70</v>
      </c>
      <c r="CV967">
        <v>0</v>
      </c>
      <c r="CW967">
        <v>1.0005000000000001E-3</v>
      </c>
    </row>
    <row r="968" spans="98:101" x14ac:dyDescent="0.4">
      <c r="CT968">
        <v>170</v>
      </c>
      <c r="CU968">
        <v>70</v>
      </c>
      <c r="CV968">
        <v>0</v>
      </c>
      <c r="CW968">
        <v>1.1984399999999999E-2</v>
      </c>
    </row>
    <row r="969" spans="98:101" x14ac:dyDescent="0.4">
      <c r="CT969">
        <v>171</v>
      </c>
      <c r="CU969">
        <v>70</v>
      </c>
      <c r="CV969">
        <v>0</v>
      </c>
      <c r="CW969">
        <v>5.4000010000000001E-2</v>
      </c>
    </row>
    <row r="970" spans="98:101" x14ac:dyDescent="0.4">
      <c r="CT970">
        <v>171</v>
      </c>
      <c r="CU970">
        <v>70</v>
      </c>
      <c r="CV970">
        <v>1</v>
      </c>
      <c r="CW970">
        <v>2E-3</v>
      </c>
    </row>
    <row r="971" spans="98:101" x14ac:dyDescent="0.4">
      <c r="CT971">
        <v>172</v>
      </c>
      <c r="CU971">
        <v>70</v>
      </c>
      <c r="CV971">
        <v>0</v>
      </c>
      <c r="CW971">
        <v>5.0999999999999997E-2</v>
      </c>
    </row>
    <row r="972" spans="98:101" x14ac:dyDescent="0.4">
      <c r="CT972">
        <v>173</v>
      </c>
      <c r="CU972">
        <v>70</v>
      </c>
      <c r="CV972">
        <v>0</v>
      </c>
      <c r="CW972">
        <v>2.8000000000000001E-2</v>
      </c>
    </row>
    <row r="973" spans="98:101" x14ac:dyDescent="0.4">
      <c r="CT973">
        <v>174</v>
      </c>
      <c r="CU973">
        <v>70</v>
      </c>
      <c r="CV973">
        <v>0</v>
      </c>
      <c r="CW973">
        <v>2.8000000000000001E-2</v>
      </c>
    </row>
    <row r="974" spans="98:101" x14ac:dyDescent="0.4">
      <c r="CT974">
        <v>175</v>
      </c>
      <c r="CU974">
        <v>70</v>
      </c>
      <c r="CV974">
        <v>0</v>
      </c>
      <c r="CW974">
        <v>1.2E-2</v>
      </c>
    </row>
    <row r="975" spans="98:101" x14ac:dyDescent="0.4">
      <c r="CT975">
        <v>175</v>
      </c>
      <c r="CU975">
        <v>70</v>
      </c>
      <c r="CV975">
        <v>1</v>
      </c>
      <c r="CW975">
        <v>3.8500000000000001E-3</v>
      </c>
    </row>
    <row r="976" spans="98:101" x14ac:dyDescent="0.4">
      <c r="CT976">
        <v>176</v>
      </c>
      <c r="CU976">
        <v>70</v>
      </c>
      <c r="CV976">
        <v>0</v>
      </c>
      <c r="CW976">
        <v>1.4E-2</v>
      </c>
    </row>
    <row r="977" spans="98:101" x14ac:dyDescent="0.4">
      <c r="CT977">
        <v>176</v>
      </c>
      <c r="CU977">
        <v>70</v>
      </c>
      <c r="CV977">
        <v>1</v>
      </c>
      <c r="CW977">
        <v>1.0500000000000001E-2</v>
      </c>
    </row>
    <row r="978" spans="98:101" x14ac:dyDescent="0.4">
      <c r="CT978">
        <v>177</v>
      </c>
      <c r="CU978">
        <v>70</v>
      </c>
      <c r="CV978">
        <v>0</v>
      </c>
      <c r="CW978">
        <v>9.0000010000000005E-3</v>
      </c>
    </row>
    <row r="979" spans="98:101" x14ac:dyDescent="0.4">
      <c r="CT979">
        <v>177</v>
      </c>
      <c r="CU979">
        <v>70</v>
      </c>
      <c r="CV979">
        <v>1</v>
      </c>
      <c r="CW979">
        <v>5.7999999999999996E-3</v>
      </c>
    </row>
    <row r="980" spans="98:101" x14ac:dyDescent="0.4">
      <c r="CT980">
        <v>178</v>
      </c>
      <c r="CU980">
        <v>70</v>
      </c>
      <c r="CV980">
        <v>0</v>
      </c>
      <c r="CW980">
        <v>3.0000000000000001E-3</v>
      </c>
    </row>
    <row r="981" spans="98:101" x14ac:dyDescent="0.4">
      <c r="CT981">
        <v>180</v>
      </c>
      <c r="CU981">
        <v>70</v>
      </c>
      <c r="CV981">
        <v>0</v>
      </c>
      <c r="CW981">
        <v>2E-3</v>
      </c>
    </row>
    <row r="982" spans="98:101" x14ac:dyDescent="0.4">
      <c r="CT982">
        <v>172</v>
      </c>
      <c r="CU982">
        <v>71</v>
      </c>
      <c r="CV982">
        <v>0</v>
      </c>
      <c r="CW982">
        <v>2E-3</v>
      </c>
    </row>
    <row r="983" spans="98:101" x14ac:dyDescent="0.4">
      <c r="CT983">
        <v>173</v>
      </c>
      <c r="CU983">
        <v>71</v>
      </c>
      <c r="CV983">
        <v>0</v>
      </c>
      <c r="CW983">
        <v>2E-3</v>
      </c>
    </row>
    <row r="984" spans="98:101" x14ac:dyDescent="0.4">
      <c r="CT984">
        <v>174</v>
      </c>
      <c r="CU984">
        <v>71</v>
      </c>
      <c r="CV984">
        <v>0</v>
      </c>
      <c r="CW984">
        <v>3.9768E-3</v>
      </c>
    </row>
    <row r="985" spans="98:101" x14ac:dyDescent="0.4">
      <c r="CT985">
        <v>174</v>
      </c>
      <c r="CU985">
        <v>71</v>
      </c>
      <c r="CV985">
        <v>1</v>
      </c>
      <c r="CW985">
        <v>4.0000000000000001E-3</v>
      </c>
    </row>
    <row r="986" spans="98:101" x14ac:dyDescent="0.4">
      <c r="CT986">
        <v>175</v>
      </c>
      <c r="CU986">
        <v>71</v>
      </c>
      <c r="CV986">
        <v>0</v>
      </c>
      <c r="CW986">
        <v>1.2999999999999999E-2</v>
      </c>
    </row>
    <row r="987" spans="98:101" x14ac:dyDescent="0.4">
      <c r="CT987">
        <v>176</v>
      </c>
      <c r="CU987">
        <v>71</v>
      </c>
      <c r="CV987">
        <v>0</v>
      </c>
      <c r="CW987">
        <v>7.0000000000000001E-3</v>
      </c>
    </row>
    <row r="988" spans="98:101" x14ac:dyDescent="0.4">
      <c r="CT988">
        <v>177</v>
      </c>
      <c r="CU988">
        <v>71</v>
      </c>
      <c r="CV988">
        <v>0</v>
      </c>
      <c r="CW988">
        <v>9.6780010000000003E-3</v>
      </c>
    </row>
    <row r="989" spans="98:101" x14ac:dyDescent="0.4">
      <c r="CT989">
        <v>177</v>
      </c>
      <c r="CU989">
        <v>71</v>
      </c>
      <c r="CV989">
        <v>1</v>
      </c>
      <c r="CW989">
        <v>3.0000000000000001E-3</v>
      </c>
    </row>
    <row r="990" spans="98:101" x14ac:dyDescent="0.4">
      <c r="CT990">
        <v>177</v>
      </c>
      <c r="CU990">
        <v>71</v>
      </c>
      <c r="CV990">
        <v>2</v>
      </c>
      <c r="CW990">
        <v>4.0000000000000001E-3</v>
      </c>
    </row>
    <row r="991" spans="98:101" x14ac:dyDescent="0.4">
      <c r="CT991">
        <v>178</v>
      </c>
      <c r="CU991">
        <v>71</v>
      </c>
      <c r="CV991">
        <v>0</v>
      </c>
      <c r="CW991">
        <v>3.0000000000000001E-3</v>
      </c>
    </row>
    <row r="992" spans="98:101" x14ac:dyDescent="0.4">
      <c r="CT992">
        <v>178</v>
      </c>
      <c r="CU992">
        <v>71</v>
      </c>
      <c r="CV992">
        <v>1</v>
      </c>
      <c r="CW992">
        <v>3.0000000000000001E-3</v>
      </c>
    </row>
    <row r="993" spans="98:101" x14ac:dyDescent="0.4">
      <c r="CT993">
        <v>179</v>
      </c>
      <c r="CU993">
        <v>71</v>
      </c>
      <c r="CV993">
        <v>0</v>
      </c>
      <c r="CW993">
        <v>6.0000000000000001E-3</v>
      </c>
    </row>
    <row r="994" spans="98:101" x14ac:dyDescent="0.4">
      <c r="CT994">
        <v>180</v>
      </c>
      <c r="CU994">
        <v>71</v>
      </c>
      <c r="CV994">
        <v>0</v>
      </c>
      <c r="CW994">
        <v>4.0000000000000001E-3</v>
      </c>
    </row>
    <row r="995" spans="98:101" x14ac:dyDescent="0.4">
      <c r="CT995">
        <v>180</v>
      </c>
      <c r="CU995">
        <v>71</v>
      </c>
      <c r="CV995">
        <v>1</v>
      </c>
      <c r="CW995">
        <v>2E-3</v>
      </c>
    </row>
    <row r="996" spans="98:101" x14ac:dyDescent="0.4">
      <c r="CT996">
        <v>180</v>
      </c>
      <c r="CU996">
        <v>71</v>
      </c>
      <c r="CV996">
        <v>2</v>
      </c>
      <c r="CW996">
        <v>4.0000000000000001E-3</v>
      </c>
    </row>
    <row r="997" spans="98:101" x14ac:dyDescent="0.4">
      <c r="CT997">
        <v>181</v>
      </c>
      <c r="CU997">
        <v>71</v>
      </c>
      <c r="CV997">
        <v>0</v>
      </c>
      <c r="CW997">
        <v>4.0000000000000001E-3</v>
      </c>
    </row>
    <row r="998" spans="98:101" x14ac:dyDescent="0.4">
      <c r="CT998">
        <v>182</v>
      </c>
      <c r="CU998">
        <v>71</v>
      </c>
      <c r="CV998">
        <v>0</v>
      </c>
      <c r="CW998">
        <v>1E-3</v>
      </c>
    </row>
    <row r="999" spans="98:101" x14ac:dyDescent="0.4">
      <c r="CT999">
        <v>183</v>
      </c>
      <c r="CU999">
        <v>71</v>
      </c>
      <c r="CV999">
        <v>0</v>
      </c>
      <c r="CW999">
        <v>2E-3</v>
      </c>
    </row>
    <row r="1000" spans="98:101" x14ac:dyDescent="0.4">
      <c r="CT1000">
        <v>176</v>
      </c>
      <c r="CU1000">
        <v>72</v>
      </c>
      <c r="CV1000">
        <v>0</v>
      </c>
      <c r="CW1000">
        <v>3.0000000000000001E-3</v>
      </c>
    </row>
    <row r="1001" spans="98:101" x14ac:dyDescent="0.4">
      <c r="CT1001">
        <v>177</v>
      </c>
      <c r="CU1001">
        <v>72</v>
      </c>
      <c r="CV1001">
        <v>0</v>
      </c>
      <c r="CW1001">
        <v>1.6E-2</v>
      </c>
    </row>
    <row r="1002" spans="98:101" x14ac:dyDescent="0.4">
      <c r="CT1002">
        <v>177</v>
      </c>
      <c r="CU1002">
        <v>72</v>
      </c>
      <c r="CV1002">
        <v>1</v>
      </c>
      <c r="CW1002">
        <v>6.3220000000000004E-3</v>
      </c>
    </row>
    <row r="1003" spans="98:101" x14ac:dyDescent="0.4">
      <c r="CT1003">
        <v>178</v>
      </c>
      <c r="CU1003">
        <v>72</v>
      </c>
      <c r="CV1003">
        <v>0</v>
      </c>
      <c r="CW1003">
        <v>7.0000000000000001E-3</v>
      </c>
    </row>
    <row r="1004" spans="98:101" x14ac:dyDescent="0.4">
      <c r="CT1004">
        <v>178</v>
      </c>
      <c r="CU1004">
        <v>72</v>
      </c>
      <c r="CV1004">
        <v>1</v>
      </c>
      <c r="CW1004">
        <v>4.0000000000000001E-3</v>
      </c>
    </row>
    <row r="1005" spans="98:101" x14ac:dyDescent="0.4">
      <c r="CT1005">
        <v>179</v>
      </c>
      <c r="CU1005">
        <v>72</v>
      </c>
      <c r="CV1005">
        <v>0</v>
      </c>
      <c r="CW1005">
        <v>0.01</v>
      </c>
    </row>
    <row r="1006" spans="98:101" x14ac:dyDescent="0.4">
      <c r="CT1006">
        <v>179</v>
      </c>
      <c r="CU1006">
        <v>72</v>
      </c>
      <c r="CV1006">
        <v>2</v>
      </c>
      <c r="CW1006">
        <v>4.0000000000000001E-3</v>
      </c>
    </row>
    <row r="1007" spans="98:101" x14ac:dyDescent="0.4">
      <c r="CT1007">
        <v>180</v>
      </c>
      <c r="CU1007">
        <v>72</v>
      </c>
      <c r="CV1007">
        <v>0</v>
      </c>
      <c r="CW1007">
        <v>1.49721E-2</v>
      </c>
    </row>
    <row r="1008" spans="98:101" x14ac:dyDescent="0.4">
      <c r="CT1008">
        <v>180</v>
      </c>
      <c r="CU1008">
        <v>72</v>
      </c>
      <c r="CV1008">
        <v>1</v>
      </c>
      <c r="CW1008">
        <v>9.0000010000000005E-3</v>
      </c>
    </row>
    <row r="1009" spans="98:101" x14ac:dyDescent="0.4">
      <c r="CT1009">
        <v>181</v>
      </c>
      <c r="CU1009">
        <v>72</v>
      </c>
      <c r="CV1009">
        <v>0</v>
      </c>
      <c r="CW1009">
        <v>4.0000000000000001E-3</v>
      </c>
    </row>
    <row r="1010" spans="98:101" x14ac:dyDescent="0.4">
      <c r="CT1010">
        <v>182</v>
      </c>
      <c r="CU1010">
        <v>72</v>
      </c>
      <c r="CV1010">
        <v>0</v>
      </c>
      <c r="CW1010">
        <v>1.8400000000000001E-3</v>
      </c>
    </row>
    <row r="1011" spans="98:101" x14ac:dyDescent="0.4">
      <c r="CT1011">
        <v>182</v>
      </c>
      <c r="CU1011">
        <v>72</v>
      </c>
      <c r="CV1011">
        <v>1</v>
      </c>
      <c r="CW1011">
        <v>2E-3</v>
      </c>
    </row>
    <row r="1012" spans="98:101" x14ac:dyDescent="0.4">
      <c r="CT1012">
        <v>183</v>
      </c>
      <c r="CU1012">
        <v>72</v>
      </c>
      <c r="CV1012">
        <v>0</v>
      </c>
      <c r="CW1012">
        <v>2E-3</v>
      </c>
    </row>
    <row r="1013" spans="98:101" x14ac:dyDescent="0.4">
      <c r="CT1013">
        <v>185</v>
      </c>
      <c r="CU1013">
        <v>72</v>
      </c>
      <c r="CV1013">
        <v>0</v>
      </c>
      <c r="CW1013">
        <v>2E-3</v>
      </c>
    </row>
    <row r="1014" spans="98:101" x14ac:dyDescent="0.4">
      <c r="CT1014">
        <v>180</v>
      </c>
      <c r="CU1014">
        <v>73</v>
      </c>
      <c r="CV1014">
        <v>1</v>
      </c>
      <c r="CW1014">
        <v>1.0279E-3</v>
      </c>
    </row>
    <row r="1015" spans="98:101" x14ac:dyDescent="0.4">
      <c r="CT1015">
        <v>181</v>
      </c>
      <c r="CU1015">
        <v>73</v>
      </c>
      <c r="CV1015">
        <v>0</v>
      </c>
      <c r="CW1015">
        <v>6.0000000000000001E-3</v>
      </c>
    </row>
    <row r="1016" spans="98:101" x14ac:dyDescent="0.4">
      <c r="CT1016">
        <v>182</v>
      </c>
      <c r="CU1016">
        <v>73</v>
      </c>
      <c r="CV1016">
        <v>0</v>
      </c>
      <c r="CW1016">
        <v>2.16E-3</v>
      </c>
    </row>
    <row r="1017" spans="98:101" x14ac:dyDescent="0.4">
      <c r="CT1017">
        <v>182</v>
      </c>
      <c r="CU1017">
        <v>73</v>
      </c>
      <c r="CV1017">
        <v>1</v>
      </c>
      <c r="CW1017">
        <v>2.16E-3</v>
      </c>
    </row>
    <row r="1018" spans="98:101" x14ac:dyDescent="0.4">
      <c r="CT1018">
        <v>182</v>
      </c>
      <c r="CU1018">
        <v>73</v>
      </c>
      <c r="CV1018">
        <v>2</v>
      </c>
      <c r="CW1018">
        <v>1E-3</v>
      </c>
    </row>
    <row r="1019" spans="98:101" x14ac:dyDescent="0.4">
      <c r="CT1019">
        <v>183</v>
      </c>
      <c r="CU1019">
        <v>73</v>
      </c>
      <c r="CV1019">
        <v>0</v>
      </c>
      <c r="CW1019">
        <v>3.0000000000000001E-3</v>
      </c>
    </row>
    <row r="1020" spans="98:101" x14ac:dyDescent="0.4">
      <c r="CT1020">
        <v>184</v>
      </c>
      <c r="CU1020">
        <v>73</v>
      </c>
      <c r="CV1020">
        <v>0</v>
      </c>
      <c r="CW1020">
        <v>1E-3</v>
      </c>
    </row>
    <row r="1021" spans="98:101" x14ac:dyDescent="0.4">
      <c r="CT1021">
        <v>185</v>
      </c>
      <c r="CU1021">
        <v>73</v>
      </c>
      <c r="CV1021">
        <v>0</v>
      </c>
      <c r="CW1021">
        <v>3.0000000000000001E-3</v>
      </c>
    </row>
    <row r="1022" spans="98:101" x14ac:dyDescent="0.4">
      <c r="CT1022">
        <v>185</v>
      </c>
      <c r="CU1022">
        <v>73</v>
      </c>
      <c r="CV1022">
        <v>1</v>
      </c>
      <c r="CW1022">
        <v>1E-3</v>
      </c>
    </row>
    <row r="1023" spans="98:101" x14ac:dyDescent="0.4">
      <c r="CT1023">
        <v>186</v>
      </c>
      <c r="CU1023">
        <v>73</v>
      </c>
      <c r="CV1023">
        <v>0</v>
      </c>
      <c r="CW1023">
        <v>1E-3</v>
      </c>
    </row>
    <row r="1024" spans="98:101" x14ac:dyDescent="0.4">
      <c r="CT1024">
        <v>182</v>
      </c>
      <c r="CU1024">
        <v>74</v>
      </c>
      <c r="CV1024">
        <v>0</v>
      </c>
      <c r="CW1024">
        <v>2.16E-3</v>
      </c>
    </row>
    <row r="1025" spans="98:101" x14ac:dyDescent="0.4">
      <c r="CT1025">
        <v>183</v>
      </c>
      <c r="CU1025">
        <v>74</v>
      </c>
      <c r="CV1025">
        <v>0</v>
      </c>
      <c r="CW1025">
        <v>3.0000000000000001E-3</v>
      </c>
    </row>
    <row r="1026" spans="98:101" x14ac:dyDescent="0.4">
      <c r="CT1026">
        <v>183</v>
      </c>
      <c r="CU1026">
        <v>74</v>
      </c>
      <c r="CV1026">
        <v>1</v>
      </c>
      <c r="CW1026">
        <v>1.02E-4</v>
      </c>
    </row>
    <row r="1027" spans="98:101" x14ac:dyDescent="0.4">
      <c r="CT1027">
        <v>184</v>
      </c>
      <c r="CU1027">
        <v>74</v>
      </c>
      <c r="CV1027">
        <v>0</v>
      </c>
      <c r="CW1027">
        <v>1E-3</v>
      </c>
    </row>
    <row r="1028" spans="98:101" x14ac:dyDescent="0.4">
      <c r="CT1028">
        <v>185</v>
      </c>
      <c r="CU1028">
        <v>74</v>
      </c>
      <c r="CV1028">
        <v>0</v>
      </c>
      <c r="CW1028">
        <v>4.0000000000000001E-3</v>
      </c>
    </row>
    <row r="1029" spans="98:101" x14ac:dyDescent="0.4">
      <c r="CT1029">
        <v>185</v>
      </c>
      <c r="CU1029">
        <v>74</v>
      </c>
      <c r="CV1029">
        <v>1</v>
      </c>
      <c r="CW1029">
        <v>1E-3</v>
      </c>
    </row>
    <row r="1030" spans="98:101" x14ac:dyDescent="0.4">
      <c r="CT1030">
        <v>186</v>
      </c>
      <c r="CU1030">
        <v>74</v>
      </c>
      <c r="CV1030">
        <v>0</v>
      </c>
      <c r="CW1030">
        <v>1.1374E-3</v>
      </c>
    </row>
    <row r="1031" spans="98:101" x14ac:dyDescent="0.4">
      <c r="CT1031">
        <v>188</v>
      </c>
      <c r="CU1031">
        <v>74</v>
      </c>
      <c r="CV1031">
        <v>0</v>
      </c>
      <c r="CW1031">
        <v>1E-3</v>
      </c>
    </row>
    <row r="1032" spans="98:101" x14ac:dyDescent="0.4">
      <c r="CT1032">
        <v>190</v>
      </c>
      <c r="CU1032">
        <v>74</v>
      </c>
      <c r="CV1032">
        <v>0</v>
      </c>
      <c r="CW1032">
        <v>1E-3</v>
      </c>
    </row>
    <row r="1033" spans="98:101" x14ac:dyDescent="0.4">
      <c r="CT1033">
        <v>190</v>
      </c>
      <c r="CU1033">
        <v>74</v>
      </c>
      <c r="CV1033">
        <v>1</v>
      </c>
      <c r="CW1033">
        <v>1E-3</v>
      </c>
    </row>
    <row r="1034" spans="98:101" x14ac:dyDescent="0.4">
      <c r="CT1034">
        <v>185</v>
      </c>
      <c r="CU1034">
        <v>75</v>
      </c>
      <c r="CV1034">
        <v>0</v>
      </c>
      <c r="CW1034">
        <v>4.0000000000000001E-3</v>
      </c>
    </row>
    <row r="1035" spans="98:101" x14ac:dyDescent="0.4">
      <c r="CT1035">
        <v>186</v>
      </c>
      <c r="CU1035">
        <v>75</v>
      </c>
      <c r="CV1035">
        <v>0</v>
      </c>
      <c r="CW1035">
        <v>2E-3</v>
      </c>
    </row>
    <row r="1036" spans="98:101" x14ac:dyDescent="0.4">
      <c r="CT1036">
        <v>186</v>
      </c>
      <c r="CU1036">
        <v>75</v>
      </c>
      <c r="CV1036">
        <v>1</v>
      </c>
      <c r="CW1036">
        <v>2E-3</v>
      </c>
    </row>
    <row r="1037" spans="98:101" x14ac:dyDescent="0.4">
      <c r="CT1037">
        <v>188</v>
      </c>
      <c r="CU1037">
        <v>75</v>
      </c>
      <c r="CV1037">
        <v>0</v>
      </c>
      <c r="CW1037">
        <v>1E-3</v>
      </c>
    </row>
    <row r="1038" spans="98:101" x14ac:dyDescent="0.4">
      <c r="CT1038">
        <v>189</v>
      </c>
      <c r="CU1038">
        <v>75</v>
      </c>
      <c r="CV1038">
        <v>0</v>
      </c>
      <c r="CW1038">
        <v>1E-3</v>
      </c>
    </row>
    <row r="1039" spans="98:101" x14ac:dyDescent="0.4">
      <c r="CT1039">
        <v>190</v>
      </c>
      <c r="CU1039">
        <v>75</v>
      </c>
      <c r="CV1039">
        <v>0</v>
      </c>
      <c r="CW1039">
        <v>1E-3</v>
      </c>
    </row>
    <row r="1040" spans="98:101" x14ac:dyDescent="0.4">
      <c r="CT1040">
        <v>186</v>
      </c>
      <c r="CU1040">
        <v>76</v>
      </c>
      <c r="CV1040">
        <v>0</v>
      </c>
      <c r="CW1040">
        <v>1.8626000000000001E-3</v>
      </c>
    </row>
    <row r="1041" spans="17:101" x14ac:dyDescent="0.4">
      <c r="CT1041">
        <v>188</v>
      </c>
      <c r="CU1041">
        <v>76</v>
      </c>
      <c r="CV1041">
        <v>0</v>
      </c>
      <c r="CW1041">
        <v>1E-3</v>
      </c>
    </row>
    <row r="1042" spans="17:101" x14ac:dyDescent="0.4">
      <c r="CT1042">
        <v>189</v>
      </c>
      <c r="CU1042">
        <v>76</v>
      </c>
      <c r="CV1042">
        <v>0</v>
      </c>
      <c r="CW1042">
        <v>1E-3</v>
      </c>
    </row>
    <row r="1043" spans="17:101" x14ac:dyDescent="0.4">
      <c r="CT1043">
        <v>189</v>
      </c>
      <c r="CU1043">
        <v>76</v>
      </c>
      <c r="CV1043">
        <v>1</v>
      </c>
      <c r="CW1043">
        <v>1.0280000000000001E-4</v>
      </c>
    </row>
    <row r="1044" spans="17:101" x14ac:dyDescent="0.4">
      <c r="CT1044">
        <v>190</v>
      </c>
      <c r="CU1044">
        <v>76</v>
      </c>
      <c r="CV1044">
        <v>0</v>
      </c>
      <c r="CW1044">
        <v>2E-3</v>
      </c>
    </row>
    <row r="1045" spans="17:101" x14ac:dyDescent="0.4">
      <c r="CT1045">
        <v>190</v>
      </c>
      <c r="CU1045">
        <v>76</v>
      </c>
      <c r="CV1045">
        <v>1</v>
      </c>
      <c r="CW1045">
        <v>1E-3</v>
      </c>
    </row>
    <row r="1046" spans="17:101" x14ac:dyDescent="0.4">
      <c r="CT1046">
        <v>192</v>
      </c>
      <c r="CU1046">
        <v>76</v>
      </c>
      <c r="CV1046">
        <v>0</v>
      </c>
      <c r="CW1046">
        <v>9.2423880000000003E-4</v>
      </c>
    </row>
    <row r="1047" spans="17:101" x14ac:dyDescent="0.4">
      <c r="CT1047">
        <v>192</v>
      </c>
      <c r="CU1047">
        <v>76</v>
      </c>
      <c r="CV1047">
        <v>1</v>
      </c>
      <c r="CW1047">
        <v>1E-3</v>
      </c>
    </row>
    <row r="1048" spans="17:101" x14ac:dyDescent="0.4">
      <c r="CT1048">
        <v>193</v>
      </c>
      <c r="CU1048">
        <v>76</v>
      </c>
      <c r="CV1048">
        <v>0</v>
      </c>
      <c r="CW1048">
        <v>1E-3</v>
      </c>
    </row>
    <row r="1049" spans="17:101" x14ac:dyDescent="0.4">
      <c r="CT1049">
        <v>192</v>
      </c>
      <c r="CU1049">
        <v>77</v>
      </c>
      <c r="CV1049">
        <v>0</v>
      </c>
      <c r="CW1049">
        <v>1.129974E-3</v>
      </c>
    </row>
    <row r="1050" spans="17:101" x14ac:dyDescent="0.4">
      <c r="CT1050">
        <v>192</v>
      </c>
      <c r="CU1050">
        <v>77</v>
      </c>
      <c r="CV1050">
        <v>1</v>
      </c>
      <c r="CW1050">
        <v>1.2999999999999999E-4</v>
      </c>
    </row>
    <row r="1051" spans="17:101" x14ac:dyDescent="0.4">
      <c r="Q1051" s="40"/>
      <c r="CT1051">
        <v>192</v>
      </c>
      <c r="CU1051">
        <v>77</v>
      </c>
      <c r="CV1051">
        <v>2</v>
      </c>
      <c r="CW1051">
        <v>1E-3</v>
      </c>
    </row>
    <row r="1052" spans="17:101" x14ac:dyDescent="0.4">
      <c r="CT1052">
        <v>193</v>
      </c>
      <c r="CU1052">
        <v>77</v>
      </c>
      <c r="CV1052">
        <v>0</v>
      </c>
      <c r="CW1052">
        <v>1E-3</v>
      </c>
    </row>
    <row r="1053" spans="17:101" x14ac:dyDescent="0.4">
      <c r="CT1053">
        <v>193</v>
      </c>
      <c r="CU1053">
        <v>77</v>
      </c>
      <c r="CV1053">
        <v>1</v>
      </c>
      <c r="CW1053">
        <v>2.7E-6</v>
      </c>
    </row>
    <row r="1054" spans="17:101" x14ac:dyDescent="0.4">
      <c r="CT1054">
        <v>192</v>
      </c>
      <c r="CU1054">
        <v>78</v>
      </c>
      <c r="CV1054">
        <v>0</v>
      </c>
      <c r="CW1054">
        <v>1.0757609999999999E-3</v>
      </c>
    </row>
    <row r="1055" spans="17:101" x14ac:dyDescent="0.4">
      <c r="CT1055">
        <v>195</v>
      </c>
      <c r="CU1055">
        <v>78</v>
      </c>
      <c r="CV1055">
        <v>0</v>
      </c>
      <c r="CW1055">
        <v>1E-3</v>
      </c>
    </row>
    <row r="1056" spans="17:101" x14ac:dyDescent="0.4">
      <c r="CT1056">
        <v>196</v>
      </c>
      <c r="CU1056">
        <v>78</v>
      </c>
      <c r="CV1056">
        <v>0</v>
      </c>
      <c r="CW1056">
        <v>1E-3</v>
      </c>
    </row>
  </sheetData>
  <sortState xmlns:xlrd2="http://schemas.microsoft.com/office/spreadsheetml/2017/richdata2" ref="ES14:EV1039">
    <sortCondition ref="ET14:ET1039"/>
  </sortState>
  <mergeCells count="14">
    <mergeCell ref="N12:X12"/>
    <mergeCell ref="CH12:CR12"/>
    <mergeCell ref="A12:K12"/>
    <mergeCell ref="A1:K2"/>
    <mergeCell ref="AX12:BH12"/>
    <mergeCell ref="A3:K11"/>
    <mergeCell ref="DF12:DP12"/>
    <mergeCell ref="DR12:EB12"/>
    <mergeCell ref="ED12:EN12"/>
    <mergeCell ref="CT12:DD12"/>
    <mergeCell ref="Z12:AJ12"/>
    <mergeCell ref="AL12:AV12"/>
    <mergeCell ref="BV12:CF12"/>
    <mergeCell ref="BJ12:BT12"/>
  </mergeCells>
  <phoneticPr fontId="1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B533D-AEB9-4145-ABC8-EFE0F16FDCCD}">
  <dimension ref="A1:AF135"/>
  <sheetViews>
    <sheetView topLeftCell="A39" workbookViewId="0">
      <selection activeCell="A24" sqref="A24:N24"/>
    </sheetView>
  </sheetViews>
  <sheetFormatPr defaultRowHeight="14.6" x14ac:dyDescent="0.4"/>
  <cols>
    <col min="1" max="1" width="27.23046875" bestFit="1" customWidth="1"/>
    <col min="2" max="2" width="21" customWidth="1"/>
    <col min="3" max="3" width="14.84375" customWidth="1"/>
    <col min="4" max="4" width="10.765625" customWidth="1"/>
    <col min="5" max="5" width="13.3828125" customWidth="1"/>
    <col min="6" max="6" width="20" customWidth="1"/>
    <col min="7" max="7" width="19.23046875" customWidth="1"/>
    <col min="8" max="8" width="17.3828125" customWidth="1"/>
    <col min="9" max="9" width="13.61328125" customWidth="1"/>
    <col min="10" max="10" width="21.4609375" bestFit="1" customWidth="1"/>
    <col min="11" max="11" width="23.4609375" bestFit="1" customWidth="1"/>
    <col min="12" max="12" width="18.23046875" customWidth="1"/>
    <col min="13" max="13" width="20.921875" customWidth="1"/>
    <col min="14" max="15" width="23.4609375" bestFit="1" customWidth="1"/>
    <col min="18" max="18" width="12.3046875" bestFit="1" customWidth="1"/>
    <col min="19" max="19" width="19.15234375" bestFit="1" customWidth="1"/>
    <col min="20" max="20" width="13.4609375" bestFit="1" customWidth="1"/>
    <col min="21" max="21" width="20.921875" bestFit="1" customWidth="1"/>
    <col min="22" max="22" width="17.15234375" bestFit="1" customWidth="1"/>
    <col min="23" max="24" width="18.23046875" bestFit="1" customWidth="1"/>
    <col min="25" max="25" width="15.69140625" bestFit="1" customWidth="1"/>
    <col min="26" max="26" width="18.23046875" bestFit="1" customWidth="1"/>
    <col min="27" max="27" width="19" bestFit="1" customWidth="1"/>
    <col min="28" max="28" width="20.765625" bestFit="1" customWidth="1"/>
    <col min="29" max="29" width="15.4609375" bestFit="1" customWidth="1"/>
    <col min="30" max="30" width="19" bestFit="1" customWidth="1"/>
    <col min="31" max="32" width="20.765625" bestFit="1" customWidth="1"/>
  </cols>
  <sheetData>
    <row r="1" spans="1:31" ht="14.6" customHeight="1" x14ac:dyDescent="0.4">
      <c r="A1" s="95" t="s">
        <v>183</v>
      </c>
      <c r="B1" s="95"/>
      <c r="C1" s="95"/>
      <c r="D1" s="95"/>
      <c r="E1" s="95"/>
      <c r="F1" s="95"/>
      <c r="G1" s="95"/>
      <c r="H1" s="95"/>
      <c r="I1" s="95"/>
      <c r="J1" s="95"/>
      <c r="K1" s="95"/>
      <c r="L1" s="95"/>
      <c r="M1" s="95"/>
      <c r="N1" s="95"/>
      <c r="R1" s="95" t="s">
        <v>176</v>
      </c>
      <c r="S1" s="95"/>
      <c r="T1" s="95"/>
      <c r="U1" s="95"/>
      <c r="V1" s="95"/>
      <c r="W1" s="95"/>
      <c r="X1" s="95"/>
      <c r="Y1" s="95"/>
      <c r="Z1" s="95"/>
      <c r="AA1" s="95"/>
      <c r="AB1" s="95"/>
      <c r="AC1" s="95"/>
      <c r="AD1" s="95"/>
      <c r="AE1" s="95"/>
    </row>
    <row r="2" spans="1:31" ht="14.6" customHeight="1" x14ac:dyDescent="0.4">
      <c r="A2" s="95"/>
      <c r="B2" s="95"/>
      <c r="C2" s="95"/>
      <c r="D2" s="95"/>
      <c r="E2" s="95"/>
      <c r="F2" s="95"/>
      <c r="G2" s="95"/>
      <c r="H2" s="95"/>
      <c r="I2" s="95"/>
      <c r="J2" s="95"/>
      <c r="K2" s="95"/>
      <c r="L2" s="95"/>
      <c r="M2" s="95"/>
      <c r="N2" s="95"/>
      <c r="R2" s="95"/>
      <c r="S2" s="95"/>
      <c r="T2" s="95"/>
      <c r="U2" s="95"/>
      <c r="V2" s="95"/>
      <c r="W2" s="95"/>
      <c r="X2" s="95"/>
      <c r="Y2" s="95"/>
      <c r="Z2" s="95"/>
      <c r="AA2" s="95"/>
      <c r="AB2" s="95"/>
      <c r="AC2" s="95"/>
      <c r="AD2" s="95"/>
      <c r="AE2" s="95"/>
    </row>
    <row r="4" spans="1:31" ht="14.6" customHeight="1" x14ac:dyDescent="0.4">
      <c r="A4" s="96" t="s">
        <v>203</v>
      </c>
      <c r="B4" s="96"/>
      <c r="C4" s="96"/>
      <c r="D4" s="96"/>
      <c r="E4" s="96"/>
      <c r="F4" s="96"/>
      <c r="G4" s="96"/>
      <c r="H4" s="96"/>
      <c r="I4" s="96"/>
      <c r="J4" s="96"/>
      <c r="K4" s="96"/>
      <c r="L4" s="96"/>
      <c r="M4" s="96"/>
      <c r="N4" s="96"/>
      <c r="R4" s="98" t="s">
        <v>310</v>
      </c>
      <c r="S4" s="99"/>
      <c r="T4" s="99"/>
      <c r="U4" s="99"/>
      <c r="V4" s="99"/>
      <c r="W4" s="99"/>
      <c r="X4" s="99"/>
      <c r="Y4" s="99"/>
      <c r="Z4" s="99"/>
      <c r="AA4" s="99"/>
      <c r="AB4" s="99"/>
      <c r="AC4" s="99"/>
      <c r="AD4" s="99"/>
      <c r="AE4" s="100"/>
    </row>
    <row r="5" spans="1:31" ht="14.6" customHeight="1" x14ac:dyDescent="0.4">
      <c r="A5" s="97" t="s">
        <v>1279</v>
      </c>
      <c r="B5" s="97"/>
      <c r="C5" s="97"/>
      <c r="D5" s="97"/>
      <c r="E5" s="97"/>
      <c r="F5" s="97"/>
      <c r="G5" s="97"/>
      <c r="H5" s="97"/>
      <c r="I5" s="97"/>
      <c r="J5" s="97"/>
      <c r="K5" s="97"/>
      <c r="L5" s="97"/>
      <c r="M5" s="97"/>
      <c r="N5" s="97"/>
      <c r="R5" s="101"/>
      <c r="S5" s="102"/>
      <c r="T5" s="102"/>
      <c r="U5" s="102"/>
      <c r="V5" s="102"/>
      <c r="W5" s="102"/>
      <c r="X5" s="102"/>
      <c r="Y5" s="102"/>
      <c r="Z5" s="102"/>
      <c r="AA5" s="102"/>
      <c r="AB5" s="102"/>
      <c r="AC5" s="102"/>
      <c r="AD5" s="102"/>
      <c r="AE5" s="103"/>
    </row>
    <row r="6" spans="1:31" x14ac:dyDescent="0.4">
      <c r="A6" s="97"/>
      <c r="B6" s="97"/>
      <c r="C6" s="97"/>
      <c r="D6" s="97"/>
      <c r="E6" s="97"/>
      <c r="F6" s="97"/>
      <c r="G6" s="97"/>
      <c r="H6" s="97"/>
      <c r="I6" s="97"/>
      <c r="J6" s="97"/>
      <c r="K6" s="97"/>
      <c r="L6" s="97"/>
      <c r="M6" s="97"/>
      <c r="N6" s="97"/>
      <c r="R6" s="101"/>
      <c r="S6" s="102"/>
      <c r="T6" s="102"/>
      <c r="U6" s="102"/>
      <c r="V6" s="102"/>
      <c r="W6" s="102"/>
      <c r="X6" s="102"/>
      <c r="Y6" s="102"/>
      <c r="Z6" s="102"/>
      <c r="AA6" s="102"/>
      <c r="AB6" s="102"/>
      <c r="AC6" s="102"/>
      <c r="AD6" s="102"/>
      <c r="AE6" s="103"/>
    </row>
    <row r="7" spans="1:31" x14ac:dyDescent="0.4">
      <c r="A7" s="97"/>
      <c r="B7" s="97"/>
      <c r="C7" s="97"/>
      <c r="D7" s="97"/>
      <c r="E7" s="97"/>
      <c r="F7" s="97"/>
      <c r="G7" s="97"/>
      <c r="H7" s="97"/>
      <c r="I7" s="97"/>
      <c r="J7" s="97"/>
      <c r="K7" s="97"/>
      <c r="L7" s="97"/>
      <c r="M7" s="97"/>
      <c r="N7" s="97"/>
      <c r="R7" s="104"/>
      <c r="S7" s="105"/>
      <c r="T7" s="105"/>
      <c r="U7" s="105"/>
      <c r="V7" s="105"/>
      <c r="W7" s="105"/>
      <c r="X7" s="105"/>
      <c r="Y7" s="105"/>
      <c r="Z7" s="105"/>
      <c r="AA7" s="105"/>
      <c r="AB7" s="105"/>
      <c r="AC7" s="105"/>
      <c r="AD7" s="105"/>
      <c r="AE7" s="106"/>
    </row>
    <row r="8" spans="1:31" x14ac:dyDescent="0.4">
      <c r="A8" s="97"/>
      <c r="B8" s="97"/>
      <c r="C8" s="97"/>
      <c r="D8" s="97"/>
      <c r="E8" s="97"/>
      <c r="F8" s="97"/>
      <c r="G8" s="97"/>
      <c r="H8" s="97"/>
      <c r="I8" s="97"/>
      <c r="J8" s="97"/>
      <c r="K8" s="97"/>
      <c r="L8" s="97"/>
      <c r="M8" s="97"/>
      <c r="N8" s="97"/>
    </row>
    <row r="9" spans="1:31" x14ac:dyDescent="0.4">
      <c r="A9" s="1" t="s">
        <v>199</v>
      </c>
      <c r="C9" s="1" t="s">
        <v>202</v>
      </c>
      <c r="R9" s="107" t="s">
        <v>203</v>
      </c>
      <c r="S9" s="107"/>
      <c r="T9" s="107"/>
      <c r="U9" s="107"/>
      <c r="V9" s="107"/>
      <c r="W9" s="107"/>
      <c r="X9" s="107"/>
      <c r="Y9" s="107"/>
      <c r="Z9" s="107"/>
      <c r="AA9" s="107"/>
      <c r="AB9" s="107"/>
      <c r="AC9" s="107"/>
      <c r="AD9" s="107"/>
      <c r="AE9" s="107"/>
    </row>
    <row r="10" spans="1:31" x14ac:dyDescent="0.4">
      <c r="A10">
        <v>10</v>
      </c>
      <c r="C10">
        <v>1000</v>
      </c>
      <c r="R10" s="8" t="s">
        <v>311</v>
      </c>
      <c r="S10" s="8"/>
      <c r="T10" s="8"/>
      <c r="U10" s="8"/>
      <c r="V10" s="8"/>
      <c r="W10" s="8"/>
      <c r="X10" s="8"/>
      <c r="Y10" s="8"/>
      <c r="Z10" s="8"/>
      <c r="AA10" s="8"/>
      <c r="AB10" s="8"/>
      <c r="AC10" s="8"/>
      <c r="AD10" s="8"/>
      <c r="AE10" s="8"/>
    </row>
    <row r="11" spans="1:31" x14ac:dyDescent="0.4">
      <c r="R11" s="1" t="s">
        <v>1</v>
      </c>
      <c r="S11" s="1" t="s">
        <v>7</v>
      </c>
      <c r="T11" s="1" t="s">
        <v>188</v>
      </c>
      <c r="U11" s="1" t="s">
        <v>189</v>
      </c>
      <c r="V11" s="1" t="s">
        <v>190</v>
      </c>
      <c r="W11" s="1" t="s">
        <v>191</v>
      </c>
      <c r="X11" s="1" t="s">
        <v>218</v>
      </c>
      <c r="Y11" s="1" t="s">
        <v>192</v>
      </c>
      <c r="Z11" s="1" t="s">
        <v>6</v>
      </c>
      <c r="AA11" s="1" t="s">
        <v>193</v>
      </c>
      <c r="AB11" s="1" t="s">
        <v>312</v>
      </c>
      <c r="AC11" s="1" t="s">
        <v>2</v>
      </c>
      <c r="AD11" s="1" t="s">
        <v>200</v>
      </c>
      <c r="AE11" s="1" t="s">
        <v>201</v>
      </c>
    </row>
    <row r="12" spans="1:31" x14ac:dyDescent="0.4">
      <c r="A12" s="1" t="s">
        <v>1</v>
      </c>
      <c r="B12" s="1" t="s">
        <v>7</v>
      </c>
      <c r="C12" s="1" t="s">
        <v>188</v>
      </c>
      <c r="D12" s="1" t="s">
        <v>189</v>
      </c>
      <c r="E12" s="1" t="s">
        <v>190</v>
      </c>
      <c r="F12" s="1" t="s">
        <v>191</v>
      </c>
      <c r="G12" s="1" t="s">
        <v>218</v>
      </c>
      <c r="H12" s="1" t="s">
        <v>192</v>
      </c>
      <c r="I12" s="1" t="s">
        <v>6</v>
      </c>
      <c r="J12" s="1" t="s">
        <v>193</v>
      </c>
      <c r="K12" s="1" t="s">
        <v>312</v>
      </c>
      <c r="L12" s="1" t="s">
        <v>2</v>
      </c>
      <c r="M12" s="1" t="s">
        <v>200</v>
      </c>
      <c r="N12" s="1" t="s">
        <v>201</v>
      </c>
      <c r="R12" s="2" t="s">
        <v>220</v>
      </c>
      <c r="S12" s="2">
        <v>1950</v>
      </c>
      <c r="T12" s="2">
        <v>1</v>
      </c>
      <c r="U12" s="2">
        <v>1</v>
      </c>
      <c r="V12" s="2">
        <v>1</v>
      </c>
      <c r="W12" s="2">
        <v>1</v>
      </c>
      <c r="X12" s="2">
        <v>41</v>
      </c>
      <c r="Y12">
        <f>-V12*W12*SQRT(T12*U12/(T12+U12))-X12</f>
        <v>-41.707106781186546</v>
      </c>
      <c r="Z12" s="5">
        <f>1/((ABS(Y12)+1)^(0.6))</f>
        <v>0.10512352361001563</v>
      </c>
      <c r="AA12" s="9">
        <f>(mole/muon_ratio)/Z12</f>
        <v>951261.87332701345</v>
      </c>
      <c r="AB12" s="10">
        <f>S12*keV_to_H</f>
        <v>1950000</v>
      </c>
      <c r="AC12" s="11">
        <f>ROUND(AA12,4-(1+INT(LOG10(ABS(AA12)))))*(sf_NSC/100)</f>
        <v>951300</v>
      </c>
      <c r="AD12" s="10">
        <f>AC12/I_b</f>
        <v>95.13</v>
      </c>
      <c r="AE12" s="10">
        <f>AB12/AD12</f>
        <v>20498.265531378114</v>
      </c>
    </row>
    <row r="13" spans="1:31" x14ac:dyDescent="0.4">
      <c r="A13" t="s">
        <v>1471</v>
      </c>
      <c r="B13" s="18">
        <v>1950</v>
      </c>
      <c r="C13">
        <v>1</v>
      </c>
      <c r="D13">
        <v>1</v>
      </c>
      <c r="E13">
        <v>1</v>
      </c>
      <c r="F13">
        <v>1</v>
      </c>
      <c r="G13">
        <v>41</v>
      </c>
      <c r="H13">
        <f>-E13*F13*SQRT(C13*D13/(C13+D13))-G13</f>
        <v>-41.707106781186546</v>
      </c>
      <c r="I13" s="5">
        <f>1/((ABS(H13)+1)^(0.6))</f>
        <v>0.10512352361001563</v>
      </c>
      <c r="J13" s="17">
        <f t="shared" ref="J13:J40" si="0">(mole/muon_ratio)/I13</f>
        <v>951261.87332701345</v>
      </c>
      <c r="K13" s="34">
        <f t="shared" ref="K13:K40" si="1">B13*keV_to_H</f>
        <v>1950000</v>
      </c>
      <c r="L13" s="34">
        <f t="shared" ref="L13:L40" si="2">ROUND(J13,4-(1+INT(LOG10(ABS(J13)))))*(sf_NSC/100)</f>
        <v>951300</v>
      </c>
      <c r="M13" s="33">
        <f t="shared" ref="M13:M40" si="3">L13/I_b</f>
        <v>95.13</v>
      </c>
      <c r="N13" s="75">
        <f t="shared" ref="N13:N40" si="4">K13/M13</f>
        <v>20498.265531378114</v>
      </c>
      <c r="Z13" s="5"/>
      <c r="AA13" s="9"/>
    </row>
    <row r="14" spans="1:31" x14ac:dyDescent="0.4">
      <c r="A14" t="s">
        <v>1472</v>
      </c>
      <c r="B14" s="18">
        <v>5490</v>
      </c>
      <c r="C14">
        <v>2</v>
      </c>
      <c r="D14">
        <v>1</v>
      </c>
      <c r="E14">
        <v>1</v>
      </c>
      <c r="F14">
        <v>1</v>
      </c>
      <c r="G14">
        <v>0</v>
      </c>
      <c r="H14">
        <f>-E14*F14*SQRT(C14*D14/(C14+D14))-G14</f>
        <v>-0.81649658092772603</v>
      </c>
      <c r="I14" s="5">
        <f t="shared" ref="I14:I40" si="5">1/((ABS(H14)+1)^(0.6))</f>
        <v>0.6989711476092858</v>
      </c>
      <c r="J14" s="17">
        <f t="shared" si="0"/>
        <v>143067.42179850102</v>
      </c>
      <c r="K14" s="34">
        <f t="shared" si="1"/>
        <v>5490000</v>
      </c>
      <c r="L14" s="34">
        <f t="shared" si="2"/>
        <v>143100</v>
      </c>
      <c r="M14" s="33">
        <f t="shared" si="3"/>
        <v>14.31</v>
      </c>
      <c r="N14" s="75">
        <f t="shared" si="4"/>
        <v>383647.79874213837</v>
      </c>
    </row>
    <row r="15" spans="1:31" x14ac:dyDescent="0.4">
      <c r="A15" t="s">
        <v>1473</v>
      </c>
      <c r="B15" s="18">
        <v>12900</v>
      </c>
      <c r="C15">
        <v>3</v>
      </c>
      <c r="D15">
        <v>3</v>
      </c>
      <c r="E15">
        <v>2</v>
      </c>
      <c r="F15">
        <v>2</v>
      </c>
      <c r="G15">
        <v>0</v>
      </c>
      <c r="H15">
        <f>-E15*F15*SQRT(C15*D15/(C15+D15))-G15</f>
        <v>-4.8989794855663558</v>
      </c>
      <c r="I15" s="5">
        <f t="shared" si="5"/>
        <v>0.34477349270907059</v>
      </c>
      <c r="J15" s="17">
        <f t="shared" si="0"/>
        <v>290045.49976927246</v>
      </c>
      <c r="K15" s="34">
        <f t="shared" si="1"/>
        <v>12900000</v>
      </c>
      <c r="L15" s="34">
        <f t="shared" si="2"/>
        <v>290000</v>
      </c>
      <c r="M15" s="33">
        <f t="shared" si="3"/>
        <v>29</v>
      </c>
      <c r="N15" s="75">
        <f t="shared" si="4"/>
        <v>444827.58620689658</v>
      </c>
      <c r="R15" s="107" t="s">
        <v>221</v>
      </c>
      <c r="S15" s="107"/>
      <c r="T15" s="107"/>
      <c r="U15" s="107"/>
      <c r="V15" s="107"/>
      <c r="W15" s="107"/>
      <c r="X15" s="107"/>
      <c r="Y15" s="107"/>
      <c r="Z15" s="107"/>
      <c r="AA15" s="107"/>
      <c r="AB15" s="107"/>
      <c r="AC15" s="107"/>
      <c r="AD15" s="107"/>
      <c r="AE15" s="107"/>
    </row>
    <row r="16" spans="1:31" x14ac:dyDescent="0.4">
      <c r="A16" t="s">
        <v>1474</v>
      </c>
      <c r="B16" s="18">
        <v>17600</v>
      </c>
      <c r="C16">
        <v>2</v>
      </c>
      <c r="D16">
        <v>3</v>
      </c>
      <c r="E16">
        <v>1</v>
      </c>
      <c r="F16">
        <v>1</v>
      </c>
      <c r="G16">
        <v>0</v>
      </c>
      <c r="H16">
        <f t="shared" ref="H16:H25" si="6">-E16*F16*SQRT(C16*D16/(C16+D16))-G16</f>
        <v>-1.0954451150103321</v>
      </c>
      <c r="I16" s="5">
        <f t="shared" si="5"/>
        <v>0.64155549035575954</v>
      </c>
      <c r="J16" s="17">
        <f t="shared" si="0"/>
        <v>155871.16235970071</v>
      </c>
      <c r="K16" s="34">
        <f t="shared" si="1"/>
        <v>17600000</v>
      </c>
      <c r="L16" s="34">
        <f t="shared" si="2"/>
        <v>155900</v>
      </c>
      <c r="M16" s="33">
        <f t="shared" si="3"/>
        <v>15.59</v>
      </c>
      <c r="N16" s="75">
        <f t="shared" si="4"/>
        <v>1128928.8005131495</v>
      </c>
      <c r="R16" s="8" t="s">
        <v>313</v>
      </c>
      <c r="S16" s="8"/>
      <c r="T16" s="8"/>
      <c r="U16" s="8"/>
      <c r="V16" s="8"/>
      <c r="W16" s="8"/>
      <c r="X16" s="8"/>
      <c r="Y16" s="8"/>
      <c r="Z16" s="8"/>
      <c r="AA16" s="8"/>
      <c r="AB16" s="8"/>
      <c r="AC16" s="8"/>
      <c r="AD16" s="8"/>
      <c r="AE16" s="8"/>
    </row>
    <row r="17" spans="1:32" ht="15" thickBot="1" x14ac:dyDescent="0.45">
      <c r="A17" t="s">
        <v>1475</v>
      </c>
      <c r="B17" s="18">
        <v>11300</v>
      </c>
      <c r="C17">
        <v>3</v>
      </c>
      <c r="D17">
        <v>3</v>
      </c>
      <c r="E17">
        <v>1</v>
      </c>
      <c r="F17">
        <v>1</v>
      </c>
      <c r="G17">
        <v>0</v>
      </c>
      <c r="H17">
        <f t="shared" si="6"/>
        <v>-1.2247448713915889</v>
      </c>
      <c r="I17" s="5">
        <f t="shared" si="5"/>
        <v>0.61891622995951245</v>
      </c>
      <c r="J17" s="17">
        <f t="shared" si="0"/>
        <v>161572.75437185043</v>
      </c>
      <c r="K17" s="34">
        <f t="shared" si="1"/>
        <v>11300000</v>
      </c>
      <c r="L17" s="34">
        <f t="shared" si="2"/>
        <v>161600</v>
      </c>
      <c r="M17" s="33">
        <f t="shared" si="3"/>
        <v>16.16</v>
      </c>
      <c r="N17" s="75">
        <f t="shared" si="4"/>
        <v>699257.42574257427</v>
      </c>
      <c r="R17" s="1" t="s">
        <v>1</v>
      </c>
      <c r="S17" s="1" t="s">
        <v>7</v>
      </c>
      <c r="T17" s="1" t="s">
        <v>204</v>
      </c>
      <c r="U17" s="1" t="s">
        <v>205</v>
      </c>
      <c r="V17" s="1" t="s">
        <v>219</v>
      </c>
      <c r="W17" s="1" t="s">
        <v>6</v>
      </c>
      <c r="X17" s="1" t="s">
        <v>193</v>
      </c>
      <c r="Y17" s="68" t="s">
        <v>312</v>
      </c>
      <c r="Z17" s="1" t="s">
        <v>2</v>
      </c>
      <c r="AA17" s="1" t="s">
        <v>200</v>
      </c>
      <c r="AB17" s="1" t="s">
        <v>201</v>
      </c>
    </row>
    <row r="18" spans="1:32" ht="15" thickTop="1" x14ac:dyDescent="0.4">
      <c r="A18" t="s">
        <v>1476</v>
      </c>
      <c r="B18" s="18">
        <v>18400</v>
      </c>
      <c r="C18">
        <v>2</v>
      </c>
      <c r="D18">
        <v>3</v>
      </c>
      <c r="E18">
        <v>1</v>
      </c>
      <c r="F18">
        <v>2</v>
      </c>
      <c r="G18">
        <v>0</v>
      </c>
      <c r="H18">
        <f t="shared" si="6"/>
        <v>-2.1908902300206643</v>
      </c>
      <c r="I18" s="5">
        <f>1/((ABS(H18)+1)^(0.6))</f>
        <v>0.49848590335634763</v>
      </c>
      <c r="J18" s="17">
        <f t="shared" si="0"/>
        <v>200607.47821892568</v>
      </c>
      <c r="K18" s="34">
        <f t="shared" si="1"/>
        <v>18400000</v>
      </c>
      <c r="L18" s="34">
        <f t="shared" si="2"/>
        <v>200600</v>
      </c>
      <c r="M18" s="33">
        <f t="shared" si="3"/>
        <v>20.059999999999999</v>
      </c>
      <c r="N18" s="75">
        <f t="shared" si="4"/>
        <v>917248.25523429713</v>
      </c>
      <c r="R18" s="2" t="s">
        <v>220</v>
      </c>
      <c r="S18" s="2">
        <v>25300</v>
      </c>
      <c r="T18" s="2">
        <v>3</v>
      </c>
      <c r="U18" s="2">
        <v>56</v>
      </c>
      <c r="V18">
        <f>LN(1+U18)^2</f>
        <v>16.346263554338563</v>
      </c>
      <c r="W18" s="5">
        <f>10/(V18)</f>
        <v>0.61176060001466437</v>
      </c>
      <c r="X18">
        <f>T18*mole/W18</f>
        <v>4903879.0663015693</v>
      </c>
      <c r="Y18" s="10">
        <f>S18*keV_to_H/r_debuff</f>
        <v>2530000</v>
      </c>
      <c r="Z18" s="11">
        <f>ROUND(X18,4-(1+INT(LOG10(ABS(X18)))))*(sf_NSC/100)</f>
        <v>4904000</v>
      </c>
      <c r="AA18" s="10">
        <f>Z18/I_b</f>
        <v>490.4</v>
      </c>
      <c r="AB18" s="10">
        <f>Y18/AA18</f>
        <v>5159.0538336052205</v>
      </c>
    </row>
    <row r="19" spans="1:32" x14ac:dyDescent="0.4">
      <c r="A19" t="s">
        <v>1477</v>
      </c>
      <c r="B19" s="18">
        <v>17300</v>
      </c>
      <c r="C19">
        <v>1</v>
      </c>
      <c r="D19">
        <v>7</v>
      </c>
      <c r="E19">
        <v>1</v>
      </c>
      <c r="F19">
        <v>3</v>
      </c>
      <c r="G19">
        <v>0</v>
      </c>
      <c r="H19">
        <f t="shared" si="6"/>
        <v>-2.8062430400804561</v>
      </c>
      <c r="I19" s="5">
        <f t="shared" si="5"/>
        <v>0.44843767320436845</v>
      </c>
      <c r="J19" s="17">
        <f t="shared" si="0"/>
        <v>222996.42954936696</v>
      </c>
      <c r="K19" s="34">
        <f t="shared" si="1"/>
        <v>17300000</v>
      </c>
      <c r="L19" s="34">
        <f t="shared" si="2"/>
        <v>223000</v>
      </c>
      <c r="M19" s="33">
        <f t="shared" si="3"/>
        <v>22.3</v>
      </c>
      <c r="N19" s="75">
        <f t="shared" si="4"/>
        <v>775784.75336322864</v>
      </c>
    </row>
    <row r="20" spans="1:32" x14ac:dyDescent="0.4">
      <c r="A20" t="s">
        <v>1478</v>
      </c>
      <c r="B20" s="18">
        <v>22400</v>
      </c>
      <c r="C20">
        <v>2</v>
      </c>
      <c r="D20">
        <v>6</v>
      </c>
      <c r="E20">
        <v>1</v>
      </c>
      <c r="F20">
        <v>3</v>
      </c>
      <c r="G20">
        <v>0</v>
      </c>
      <c r="H20">
        <f t="shared" si="6"/>
        <v>-3.6742346141747668</v>
      </c>
      <c r="I20" s="5">
        <f t="shared" si="5"/>
        <v>0.39643655700377578</v>
      </c>
      <c r="J20" s="17">
        <f t="shared" si="0"/>
        <v>252247.17103737628</v>
      </c>
      <c r="K20" s="34">
        <f t="shared" si="1"/>
        <v>22400000</v>
      </c>
      <c r="L20" s="34">
        <f t="shared" si="2"/>
        <v>252200</v>
      </c>
      <c r="M20" s="33">
        <f t="shared" si="3"/>
        <v>25.22</v>
      </c>
      <c r="N20" s="75">
        <f t="shared" si="4"/>
        <v>888183.98096748616</v>
      </c>
    </row>
    <row r="21" spans="1:32" x14ac:dyDescent="0.4">
      <c r="A21" t="s">
        <v>1479</v>
      </c>
      <c r="B21" s="18">
        <v>12100</v>
      </c>
      <c r="C21">
        <v>3</v>
      </c>
      <c r="D21">
        <v>3</v>
      </c>
      <c r="E21">
        <v>2</v>
      </c>
      <c r="F21">
        <v>1</v>
      </c>
      <c r="G21">
        <v>0</v>
      </c>
      <c r="H21">
        <f t="shared" si="6"/>
        <v>-2.4494897427831779</v>
      </c>
      <c r="I21" s="5">
        <f t="shared" si="5"/>
        <v>0.47571526254013424</v>
      </c>
      <c r="J21" s="17">
        <f t="shared" si="0"/>
        <v>210209.77856804288</v>
      </c>
      <c r="K21" s="34">
        <f t="shared" si="1"/>
        <v>12100000</v>
      </c>
      <c r="L21" s="34">
        <f t="shared" si="2"/>
        <v>210200</v>
      </c>
      <c r="M21" s="33">
        <f>L21/I_b</f>
        <v>21.02</v>
      </c>
      <c r="N21" s="75">
        <f t="shared" si="4"/>
        <v>575642.24548049481</v>
      </c>
    </row>
    <row r="22" spans="1:32" x14ac:dyDescent="0.4">
      <c r="A22" t="s">
        <v>194</v>
      </c>
      <c r="B22" s="18">
        <v>4030</v>
      </c>
      <c r="C22">
        <v>2</v>
      </c>
      <c r="D22">
        <v>2</v>
      </c>
      <c r="E22">
        <v>1</v>
      </c>
      <c r="F22">
        <v>1</v>
      </c>
      <c r="G22">
        <v>0</v>
      </c>
      <c r="H22">
        <f t="shared" si="6"/>
        <v>-1</v>
      </c>
      <c r="I22" s="5">
        <f t="shared" si="5"/>
        <v>0.65975395538644721</v>
      </c>
      <c r="J22" s="17">
        <f t="shared" si="0"/>
        <v>151571.65665103978</v>
      </c>
      <c r="K22" s="34">
        <f t="shared" si="1"/>
        <v>4030000</v>
      </c>
      <c r="L22" s="34">
        <f t="shared" si="2"/>
        <v>151600</v>
      </c>
      <c r="M22" s="33">
        <f t="shared" si="3"/>
        <v>15.16</v>
      </c>
      <c r="N22" s="75">
        <f t="shared" si="4"/>
        <v>265831.13456464378</v>
      </c>
      <c r="R22" s="96" t="s">
        <v>1265</v>
      </c>
      <c r="S22" s="96"/>
      <c r="T22" s="96"/>
      <c r="U22" s="96"/>
      <c r="V22" s="96"/>
      <c r="W22" s="96"/>
      <c r="X22" s="96"/>
      <c r="Y22" s="96"/>
      <c r="Z22" s="96"/>
      <c r="AA22" s="96"/>
      <c r="AB22" s="96"/>
      <c r="AC22" s="96"/>
      <c r="AD22" s="96"/>
      <c r="AE22" s="96"/>
      <c r="AF22" s="96"/>
    </row>
    <row r="23" spans="1:32" x14ac:dyDescent="0.4">
      <c r="A23" t="s">
        <v>1480</v>
      </c>
      <c r="B23" s="18">
        <v>16900</v>
      </c>
      <c r="C23">
        <v>3</v>
      </c>
      <c r="D23">
        <v>6</v>
      </c>
      <c r="E23">
        <v>2</v>
      </c>
      <c r="F23">
        <v>3</v>
      </c>
      <c r="G23">
        <v>0</v>
      </c>
      <c r="H23">
        <f t="shared" si="6"/>
        <v>-8.4852813742385713</v>
      </c>
      <c r="I23" s="5">
        <f t="shared" si="5"/>
        <v>0.25928050800061014</v>
      </c>
      <c r="J23" s="17">
        <f t="shared" si="0"/>
        <v>385682.67538169387</v>
      </c>
      <c r="K23" s="34">
        <f t="shared" si="1"/>
        <v>16900000</v>
      </c>
      <c r="L23" s="34">
        <f t="shared" si="2"/>
        <v>385700</v>
      </c>
      <c r="M23" s="33">
        <f t="shared" si="3"/>
        <v>38.57</v>
      </c>
      <c r="N23" s="75">
        <f t="shared" si="4"/>
        <v>438164.37645838736</v>
      </c>
      <c r="R23" s="110" t="s">
        <v>1273</v>
      </c>
      <c r="S23" s="111"/>
      <c r="T23" s="111"/>
      <c r="U23" s="111"/>
      <c r="V23" s="111"/>
      <c r="W23" s="111"/>
      <c r="X23" s="111"/>
      <c r="Y23" s="111"/>
      <c r="Z23" s="111"/>
      <c r="AA23" s="111"/>
      <c r="AB23" s="111"/>
      <c r="AC23" s="111"/>
      <c r="AD23" s="111"/>
      <c r="AE23" s="111"/>
      <c r="AF23" s="111"/>
    </row>
    <row r="24" spans="1:32" x14ac:dyDescent="0.4">
      <c r="A24" t="s">
        <v>1481</v>
      </c>
      <c r="B24" s="18">
        <v>8680</v>
      </c>
      <c r="C24">
        <v>1</v>
      </c>
      <c r="D24">
        <v>11</v>
      </c>
      <c r="E24">
        <v>1</v>
      </c>
      <c r="F24">
        <v>5</v>
      </c>
      <c r="G24">
        <v>0</v>
      </c>
      <c r="H24">
        <f t="shared" si="6"/>
        <v>-4.7871355387816905</v>
      </c>
      <c r="I24" s="5">
        <f t="shared" si="5"/>
        <v>0.34875609610049574</v>
      </c>
      <c r="J24" s="17">
        <f t="shared" si="0"/>
        <v>286733.3391964123</v>
      </c>
      <c r="K24" s="34">
        <f t="shared" si="1"/>
        <v>8680000</v>
      </c>
      <c r="L24" s="34">
        <f t="shared" si="2"/>
        <v>286700</v>
      </c>
      <c r="M24" s="33">
        <f t="shared" si="3"/>
        <v>28.67</v>
      </c>
      <c r="N24" s="75">
        <f t="shared" si="4"/>
        <v>302755.49354726193</v>
      </c>
      <c r="R24" s="1" t="s">
        <v>1264</v>
      </c>
      <c r="S24" s="1" t="s">
        <v>1267</v>
      </c>
      <c r="T24" s="1" t="s">
        <v>1283</v>
      </c>
      <c r="U24" s="1" t="s">
        <v>1268</v>
      </c>
      <c r="V24" s="1" t="s">
        <v>1271</v>
      </c>
    </row>
    <row r="25" spans="1:32" x14ac:dyDescent="0.4">
      <c r="A25" t="s">
        <v>1482</v>
      </c>
      <c r="B25" s="18">
        <v>4020</v>
      </c>
      <c r="C25">
        <v>1</v>
      </c>
      <c r="D25">
        <v>6</v>
      </c>
      <c r="E25">
        <v>1</v>
      </c>
      <c r="F25">
        <v>3</v>
      </c>
      <c r="G25">
        <v>0</v>
      </c>
      <c r="H25">
        <f t="shared" si="6"/>
        <v>-2.7774602993176543</v>
      </c>
      <c r="I25" s="5">
        <f t="shared" si="5"/>
        <v>0.45048470971923688</v>
      </c>
      <c r="J25" s="17">
        <f t="shared" si="0"/>
        <v>221983.11694602171</v>
      </c>
      <c r="K25" s="34">
        <f t="shared" si="1"/>
        <v>4020000</v>
      </c>
      <c r="L25" s="34">
        <f t="shared" si="2"/>
        <v>222000</v>
      </c>
      <c r="M25" s="33">
        <f t="shared" si="3"/>
        <v>22.2</v>
      </c>
      <c r="N25" s="75">
        <f t="shared" si="4"/>
        <v>181081.08108108109</v>
      </c>
      <c r="R25" s="40">
        <v>1.2E-15</v>
      </c>
      <c r="S25" s="40">
        <v>8.7699999999999995E-16</v>
      </c>
      <c r="T25" s="40">
        <v>1.44E-9</v>
      </c>
      <c r="U25" s="73">
        <v>4.1350000000000003E-15</v>
      </c>
      <c r="V25" s="40">
        <v>299792458</v>
      </c>
    </row>
    <row r="26" spans="1:32" x14ac:dyDescent="0.4">
      <c r="A26" t="s">
        <v>1483</v>
      </c>
      <c r="B26" s="18">
        <v>10700</v>
      </c>
      <c r="C26">
        <v>12</v>
      </c>
      <c r="D26">
        <v>2</v>
      </c>
      <c r="E26">
        <v>6</v>
      </c>
      <c r="F26">
        <v>2</v>
      </c>
      <c r="G26">
        <v>0</v>
      </c>
      <c r="H26">
        <f>-E26*F26*SQRT(C26*D26/(C26+D26))-G26</f>
        <v>-15.71168809699145</v>
      </c>
      <c r="I26" s="5">
        <f t="shared" si="5"/>
        <v>0.18458134536168738</v>
      </c>
      <c r="J26" s="17">
        <f t="shared" si="0"/>
        <v>541766.55720029492</v>
      </c>
      <c r="K26" s="34">
        <f t="shared" si="1"/>
        <v>10700000</v>
      </c>
      <c r="L26" s="34">
        <f t="shared" si="2"/>
        <v>541800</v>
      </c>
      <c r="M26" s="33">
        <f t="shared" si="3"/>
        <v>54.18</v>
      </c>
      <c r="N26" s="75">
        <f t="shared" si="4"/>
        <v>197489.84865263934</v>
      </c>
      <c r="R26" s="1" t="s">
        <v>1</v>
      </c>
      <c r="S26" s="1" t="s">
        <v>7</v>
      </c>
      <c r="T26" s="1" t="s">
        <v>1114</v>
      </c>
      <c r="U26" s="1" t="s">
        <v>205</v>
      </c>
      <c r="V26" s="1" t="s">
        <v>1144</v>
      </c>
      <c r="W26" s="1" t="s">
        <v>1266</v>
      </c>
      <c r="X26" s="1" t="s">
        <v>1272</v>
      </c>
      <c r="Y26" s="1" t="s">
        <v>6</v>
      </c>
      <c r="Z26" s="1" t="s">
        <v>193</v>
      </c>
      <c r="AA26" s="1" t="s">
        <v>1266</v>
      </c>
      <c r="AB26" s="1" t="s">
        <v>1282</v>
      </c>
      <c r="AC26" s="1" t="s">
        <v>312</v>
      </c>
      <c r="AD26" s="1" t="s">
        <v>2</v>
      </c>
      <c r="AE26" s="1" t="s">
        <v>200</v>
      </c>
      <c r="AF26" s="1" t="s">
        <v>201</v>
      </c>
    </row>
    <row r="27" spans="1:32" x14ac:dyDescent="0.4">
      <c r="A27" t="s">
        <v>1586</v>
      </c>
      <c r="B27" s="18">
        <v>14000</v>
      </c>
      <c r="C27">
        <v>14</v>
      </c>
      <c r="D27">
        <v>2</v>
      </c>
      <c r="E27">
        <v>7</v>
      </c>
      <c r="F27">
        <v>2</v>
      </c>
      <c r="G27">
        <v>0</v>
      </c>
      <c r="H27">
        <f>-E27*F27*SQRT(C27*D27/(C27+D27))-G27</f>
        <v>-18.520259177452136</v>
      </c>
      <c r="I27" s="5">
        <f t="shared" si="5"/>
        <v>0.16815456125466322</v>
      </c>
      <c r="J27" s="17">
        <f t="shared" si="0"/>
        <v>594690.97509971249</v>
      </c>
      <c r="K27" s="34">
        <f t="shared" si="1"/>
        <v>14000000</v>
      </c>
      <c r="L27" s="34">
        <f t="shared" si="2"/>
        <v>594700</v>
      </c>
      <c r="M27" s="33">
        <f t="shared" si="3"/>
        <v>59.47</v>
      </c>
      <c r="N27" s="75">
        <f t="shared" si="4"/>
        <v>235412.81318311754</v>
      </c>
      <c r="R27" s="2" t="s">
        <v>220</v>
      </c>
      <c r="S27" s="2">
        <v>25300</v>
      </c>
      <c r="T27" s="2">
        <v>1</v>
      </c>
      <c r="U27" s="2">
        <v>56</v>
      </c>
      <c r="V27" s="71">
        <v>26</v>
      </c>
      <c r="W27" s="17">
        <f>k*(V27+T27-1)/(r_p+r_0*(U27+T27-1)^(1/3))/1000</f>
        <v>6847.0668356637561</v>
      </c>
      <c r="X27" s="74">
        <f>PI()*(r_0*U27^(1/3)+h/SQRT(2*m_p*1000000*W27*1000)*c_s)^2/1E-28</f>
        <v>7.5741766323914872</v>
      </c>
      <c r="Y27" s="5">
        <f>MIN(X27/10,1)</f>
        <v>0.75741766323914872</v>
      </c>
      <c r="Z27">
        <f>T27*mole/Y27</f>
        <v>1320275.5210690906</v>
      </c>
      <c r="AA27" s="72">
        <f>ROUND(W27,3-(1+INT(LOG10(ABS(W27)))))</f>
        <v>6850</v>
      </c>
      <c r="AB27" s="11">
        <f>ROUND(W27+10000,3-(1+INT(LOG10(ABS(W27+10000)))))</f>
        <v>16800</v>
      </c>
      <c r="AC27" s="10">
        <f>S27*keV_to_H/r_debuff</f>
        <v>2530000</v>
      </c>
      <c r="AD27" s="11">
        <f>ROUND(Z27,4-(1+INT(LOG10(ABS(Z27)))))*(sf_NSC/100)</f>
        <v>1320000</v>
      </c>
      <c r="AE27" s="10">
        <f>AD27/I_b</f>
        <v>132</v>
      </c>
      <c r="AF27" s="10">
        <f>AC27/AE27</f>
        <v>19166.666666666668</v>
      </c>
    </row>
    <row r="28" spans="1:32" x14ac:dyDescent="0.4">
      <c r="A28" t="s">
        <v>1484</v>
      </c>
      <c r="B28" s="18">
        <v>7160</v>
      </c>
      <c r="C28">
        <v>4</v>
      </c>
      <c r="D28">
        <v>8</v>
      </c>
      <c r="E28">
        <v>2</v>
      </c>
      <c r="F28">
        <v>4</v>
      </c>
      <c r="G28">
        <v>6</v>
      </c>
      <c r="H28">
        <f t="shared" ref="H28:H38" si="7">-E28*F28*SQRT(C28*D28/(C28+D28))-G28</f>
        <v>-19.063945294843617</v>
      </c>
      <c r="I28" s="5">
        <f t="shared" si="5"/>
        <v>0.16540559617942277</v>
      </c>
      <c r="J28" s="17">
        <f t="shared" si="0"/>
        <v>604574.46609923383</v>
      </c>
      <c r="K28" s="34">
        <f t="shared" si="1"/>
        <v>7160000</v>
      </c>
      <c r="L28" s="34">
        <f t="shared" si="2"/>
        <v>604600</v>
      </c>
      <c r="M28" s="33">
        <f t="shared" si="3"/>
        <v>60.46</v>
      </c>
      <c r="N28" s="75">
        <f t="shared" si="4"/>
        <v>118425.40522659609</v>
      </c>
    </row>
    <row r="29" spans="1:32" x14ac:dyDescent="0.4">
      <c r="A29" t="s">
        <v>1486</v>
      </c>
      <c r="B29" s="18">
        <v>4730</v>
      </c>
      <c r="C29">
        <v>12</v>
      </c>
      <c r="D29">
        <v>4</v>
      </c>
      <c r="E29">
        <v>6</v>
      </c>
      <c r="F29">
        <v>2</v>
      </c>
      <c r="G29">
        <v>0</v>
      </c>
      <c r="H29">
        <f t="shared" si="7"/>
        <v>-20.784609690826528</v>
      </c>
      <c r="I29" s="5">
        <f t="shared" si="5"/>
        <v>0.15743820517594448</v>
      </c>
      <c r="J29" s="17">
        <f t="shared" si="0"/>
        <v>635169.84259472077</v>
      </c>
      <c r="K29" s="34">
        <f t="shared" si="1"/>
        <v>4730000</v>
      </c>
      <c r="L29" s="34">
        <f t="shared" si="2"/>
        <v>635200</v>
      </c>
      <c r="M29" s="33">
        <f t="shared" si="3"/>
        <v>63.52</v>
      </c>
      <c r="N29" s="75">
        <f t="shared" si="4"/>
        <v>74464.735516372792</v>
      </c>
    </row>
    <row r="30" spans="1:32" x14ac:dyDescent="0.4">
      <c r="A30" t="s">
        <v>1485</v>
      </c>
      <c r="B30" s="18">
        <v>9320</v>
      </c>
      <c r="C30">
        <v>16</v>
      </c>
      <c r="D30">
        <v>4</v>
      </c>
      <c r="E30">
        <v>8</v>
      </c>
      <c r="F30">
        <v>2</v>
      </c>
      <c r="G30">
        <v>0</v>
      </c>
      <c r="H30">
        <f t="shared" si="7"/>
        <v>-28.621670111997307</v>
      </c>
      <c r="I30" s="5">
        <f t="shared" si="5"/>
        <v>0.13092852503334468</v>
      </c>
      <c r="J30" s="17">
        <f t="shared" si="0"/>
        <v>763775.50250819791</v>
      </c>
      <c r="K30" s="34">
        <f t="shared" si="1"/>
        <v>9320000</v>
      </c>
      <c r="L30" s="34">
        <f t="shared" si="2"/>
        <v>763800</v>
      </c>
      <c r="M30" s="33">
        <f t="shared" si="3"/>
        <v>76.38</v>
      </c>
      <c r="N30" s="75">
        <f t="shared" si="4"/>
        <v>122021.47158942132</v>
      </c>
    </row>
    <row r="31" spans="1:32" x14ac:dyDescent="0.4">
      <c r="A31" t="s">
        <v>1487</v>
      </c>
      <c r="B31" s="18">
        <v>6980</v>
      </c>
      <c r="C31">
        <v>20</v>
      </c>
      <c r="D31">
        <v>4</v>
      </c>
      <c r="E31">
        <v>10</v>
      </c>
      <c r="F31">
        <v>2</v>
      </c>
      <c r="G31">
        <v>0</v>
      </c>
      <c r="H31">
        <f t="shared" si="7"/>
        <v>-36.514837167011073</v>
      </c>
      <c r="I31" s="5">
        <f t="shared" si="5"/>
        <v>0.11362611568681172</v>
      </c>
      <c r="J31" s="17">
        <f t="shared" si="0"/>
        <v>880079.36727882654</v>
      </c>
      <c r="K31" s="34">
        <f t="shared" si="1"/>
        <v>6980000</v>
      </c>
      <c r="L31" s="34">
        <f t="shared" si="2"/>
        <v>880100</v>
      </c>
      <c r="M31" s="33">
        <f t="shared" si="3"/>
        <v>88.01</v>
      </c>
      <c r="N31" s="75">
        <f t="shared" si="4"/>
        <v>79309.169412566756</v>
      </c>
    </row>
    <row r="32" spans="1:32" x14ac:dyDescent="0.4">
      <c r="A32" t="s">
        <v>1488</v>
      </c>
      <c r="B32" s="18">
        <v>6980</v>
      </c>
      <c r="C32">
        <v>24</v>
      </c>
      <c r="D32">
        <v>4</v>
      </c>
      <c r="E32">
        <v>12</v>
      </c>
      <c r="F32">
        <v>2</v>
      </c>
      <c r="G32">
        <v>0</v>
      </c>
      <c r="H32">
        <f t="shared" si="7"/>
        <v>-44.439364789082468</v>
      </c>
      <c r="I32" s="5">
        <f t="shared" si="5"/>
        <v>0.10128395439935778</v>
      </c>
      <c r="J32" s="17">
        <f t="shared" si="0"/>
        <v>987323.22007990326</v>
      </c>
      <c r="K32" s="34">
        <f t="shared" si="1"/>
        <v>6980000</v>
      </c>
      <c r="L32" s="34">
        <f t="shared" si="2"/>
        <v>987300</v>
      </c>
      <c r="M32" s="33">
        <f t="shared" si="3"/>
        <v>98.73</v>
      </c>
      <c r="N32" s="75">
        <f t="shared" si="4"/>
        <v>70697.862858300417</v>
      </c>
      <c r="R32" s="40"/>
    </row>
    <row r="33" spans="1:21" x14ac:dyDescent="0.4">
      <c r="A33" t="s">
        <v>1489</v>
      </c>
      <c r="B33" s="18">
        <v>6950</v>
      </c>
      <c r="C33">
        <v>28</v>
      </c>
      <c r="D33">
        <v>4</v>
      </c>
      <c r="E33">
        <v>14</v>
      </c>
      <c r="F33">
        <v>2</v>
      </c>
      <c r="G33">
        <v>0</v>
      </c>
      <c r="H33">
        <f t="shared" si="7"/>
        <v>-52.38320341483518</v>
      </c>
      <c r="I33" s="5">
        <f t="shared" si="5"/>
        <v>9.1951161861380942E-2</v>
      </c>
      <c r="J33" s="17">
        <f t="shared" si="0"/>
        <v>1087533.8383516341</v>
      </c>
      <c r="K33" s="34">
        <f t="shared" si="1"/>
        <v>6950000</v>
      </c>
      <c r="L33" s="34">
        <f t="shared" si="2"/>
        <v>1088000</v>
      </c>
      <c r="M33" s="33">
        <f t="shared" si="3"/>
        <v>108.8</v>
      </c>
      <c r="N33" s="75">
        <f t="shared" si="4"/>
        <v>63878.676470588238</v>
      </c>
    </row>
    <row r="34" spans="1:21" x14ac:dyDescent="0.4">
      <c r="A34" t="s">
        <v>1490</v>
      </c>
      <c r="B34" s="18">
        <v>6640</v>
      </c>
      <c r="C34">
        <v>32</v>
      </c>
      <c r="D34">
        <v>4</v>
      </c>
      <c r="E34">
        <v>16</v>
      </c>
      <c r="F34">
        <v>2</v>
      </c>
      <c r="G34">
        <v>0</v>
      </c>
      <c r="H34">
        <f t="shared" si="7"/>
        <v>-60.339778661252055</v>
      </c>
      <c r="I34" s="5">
        <f t="shared" si="5"/>
        <v>8.4596944489065407E-2</v>
      </c>
      <c r="J34" s="17">
        <f t="shared" si="0"/>
        <v>1182075.7901359608</v>
      </c>
      <c r="K34" s="34">
        <f t="shared" si="1"/>
        <v>6640000</v>
      </c>
      <c r="L34" s="34">
        <f t="shared" si="2"/>
        <v>1182000</v>
      </c>
      <c r="M34" s="33">
        <f t="shared" si="3"/>
        <v>118.2</v>
      </c>
      <c r="N34" s="75">
        <f t="shared" si="4"/>
        <v>56175.972927241964</v>
      </c>
    </row>
    <row r="35" spans="1:21" x14ac:dyDescent="0.4">
      <c r="A35" t="s">
        <v>195</v>
      </c>
      <c r="B35" s="18">
        <v>7040</v>
      </c>
      <c r="C35">
        <v>36</v>
      </c>
      <c r="D35">
        <v>4</v>
      </c>
      <c r="E35">
        <v>18</v>
      </c>
      <c r="F35">
        <v>2</v>
      </c>
      <c r="G35">
        <v>0</v>
      </c>
      <c r="H35">
        <f t="shared" si="7"/>
        <v>-68.305197459636986</v>
      </c>
      <c r="I35" s="5">
        <f t="shared" si="5"/>
        <v>7.8621353636389113E-2</v>
      </c>
      <c r="J35" s="17">
        <f t="shared" si="0"/>
        <v>1271919.0827276215</v>
      </c>
      <c r="K35" s="34">
        <f t="shared" si="1"/>
        <v>7040000</v>
      </c>
      <c r="L35" s="34">
        <f t="shared" si="2"/>
        <v>1272000</v>
      </c>
      <c r="M35" s="33">
        <f t="shared" si="3"/>
        <v>127.2</v>
      </c>
      <c r="N35" s="75">
        <f t="shared" si="4"/>
        <v>55345.911949685535</v>
      </c>
    </row>
    <row r="36" spans="1:21" x14ac:dyDescent="0.4">
      <c r="A36" t="s">
        <v>196</v>
      </c>
      <c r="B36" s="18">
        <v>18500</v>
      </c>
      <c r="C36">
        <v>40</v>
      </c>
      <c r="D36">
        <v>8</v>
      </c>
      <c r="E36">
        <v>20</v>
      </c>
      <c r="F36">
        <v>4</v>
      </c>
      <c r="G36">
        <v>0</v>
      </c>
      <c r="H36">
        <f>-E36*F36*SQRT(C36*D36/(C36+D36))-G36</f>
        <v>-206.55911179772889</v>
      </c>
      <c r="I36" s="5">
        <f>1/((ABS(H36)+1)^(0.6))</f>
        <v>4.0711295059693113E-2</v>
      </c>
      <c r="J36" s="17">
        <f>(mole/muon_ratio)/I36</f>
        <v>2456320.7791197645</v>
      </c>
      <c r="K36" s="34">
        <f t="shared" si="1"/>
        <v>18500000</v>
      </c>
      <c r="L36" s="34">
        <f>ROUND(J36,4-(1+INT(LOG10(ABS(J36)))))*(sf_NSC/100)</f>
        <v>2456000</v>
      </c>
      <c r="M36" s="33">
        <f t="shared" si="3"/>
        <v>245.6</v>
      </c>
      <c r="N36" s="75">
        <f t="shared" si="4"/>
        <v>75325.732899022798</v>
      </c>
    </row>
    <row r="37" spans="1:21" x14ac:dyDescent="0.4">
      <c r="A37" t="s">
        <v>197</v>
      </c>
      <c r="B37" s="18">
        <v>9350</v>
      </c>
      <c r="C37">
        <v>48</v>
      </c>
      <c r="D37">
        <v>4</v>
      </c>
      <c r="E37">
        <v>22</v>
      </c>
      <c r="F37">
        <v>2</v>
      </c>
      <c r="G37">
        <v>0</v>
      </c>
      <c r="H37">
        <f t="shared" si="7"/>
        <v>-84.547665209086006</v>
      </c>
      <c r="I37" s="5">
        <f t="shared" si="5"/>
        <v>6.9290724658359962E-2</v>
      </c>
      <c r="J37" s="17">
        <f t="shared" si="0"/>
        <v>1443194.6049496965</v>
      </c>
      <c r="K37" s="34">
        <f t="shared" si="1"/>
        <v>9350000</v>
      </c>
      <c r="L37" s="34">
        <f t="shared" si="2"/>
        <v>1443000</v>
      </c>
      <c r="M37" s="33">
        <f t="shared" si="3"/>
        <v>144.30000000000001</v>
      </c>
      <c r="N37" s="75">
        <f t="shared" si="4"/>
        <v>64795.564795564787</v>
      </c>
    </row>
    <row r="38" spans="1:21" x14ac:dyDescent="0.4">
      <c r="A38" t="s">
        <v>198</v>
      </c>
      <c r="B38" s="18">
        <v>7610</v>
      </c>
      <c r="C38">
        <v>52</v>
      </c>
      <c r="D38">
        <v>4</v>
      </c>
      <c r="E38">
        <v>24</v>
      </c>
      <c r="F38">
        <v>2</v>
      </c>
      <c r="G38">
        <v>0</v>
      </c>
      <c r="H38">
        <f t="shared" si="7"/>
        <v>-92.507914719305433</v>
      </c>
      <c r="I38" s="5">
        <f t="shared" si="5"/>
        <v>6.5688746831204736E-2</v>
      </c>
      <c r="J38" s="17">
        <f t="shared" si="0"/>
        <v>1522330.7617203023</v>
      </c>
      <c r="K38" s="34">
        <f t="shared" si="1"/>
        <v>7610000</v>
      </c>
      <c r="L38" s="34">
        <f t="shared" si="2"/>
        <v>1522000</v>
      </c>
      <c r="M38" s="33">
        <f t="shared" si="3"/>
        <v>152.19999999999999</v>
      </c>
      <c r="N38" s="75">
        <f t="shared" si="4"/>
        <v>50000.000000000007</v>
      </c>
      <c r="U38" s="40"/>
    </row>
    <row r="39" spans="1:21" x14ac:dyDescent="0.4">
      <c r="A39" t="s">
        <v>1491</v>
      </c>
      <c r="B39" s="18">
        <v>9590</v>
      </c>
      <c r="C39">
        <v>16</v>
      </c>
      <c r="D39">
        <v>16</v>
      </c>
      <c r="E39">
        <v>8</v>
      </c>
      <c r="F39">
        <v>8</v>
      </c>
      <c r="G39">
        <v>0</v>
      </c>
      <c r="H39">
        <f>-E39*F39*SQRT(C39*D39/(C39+D39))-G39</f>
        <v>-181.01933598375618</v>
      </c>
      <c r="I39" s="5">
        <f t="shared" si="5"/>
        <v>4.4048333740642841E-2</v>
      </c>
      <c r="J39" s="17">
        <f t="shared" si="0"/>
        <v>2270233.4346811231</v>
      </c>
      <c r="K39" s="34">
        <f t="shared" si="1"/>
        <v>9590000</v>
      </c>
      <c r="L39" s="34">
        <f t="shared" si="2"/>
        <v>2270000</v>
      </c>
      <c r="M39" s="33">
        <f t="shared" si="3"/>
        <v>227</v>
      </c>
      <c r="N39" s="75">
        <f t="shared" si="4"/>
        <v>42246.69603524229</v>
      </c>
    </row>
    <row r="40" spans="1:21" x14ac:dyDescent="0.4">
      <c r="A40" t="s">
        <v>1470</v>
      </c>
      <c r="B40" s="18">
        <v>2240</v>
      </c>
      <c r="C40">
        <v>12</v>
      </c>
      <c r="D40">
        <v>12</v>
      </c>
      <c r="E40">
        <v>6</v>
      </c>
      <c r="F40">
        <v>6</v>
      </c>
      <c r="G40">
        <v>0</v>
      </c>
      <c r="H40">
        <f>-E40*F40*SQRT(C40*D40/(C40+D40))-G40</f>
        <v>-88.181630740194407</v>
      </c>
      <c r="I40" s="5">
        <f t="shared" si="5"/>
        <v>6.7582578003985899E-2</v>
      </c>
      <c r="J40" s="17">
        <f t="shared" si="0"/>
        <v>1479671.2844263234</v>
      </c>
      <c r="K40" s="34">
        <f t="shared" si="1"/>
        <v>2240000</v>
      </c>
      <c r="L40" s="34">
        <f t="shared" si="2"/>
        <v>1480000</v>
      </c>
      <c r="M40" s="33">
        <f t="shared" si="3"/>
        <v>148</v>
      </c>
      <c r="N40" s="75">
        <f t="shared" si="4"/>
        <v>15135.135135135135</v>
      </c>
      <c r="T40" s="40"/>
      <c r="U40" s="40"/>
    </row>
    <row r="41" spans="1:21" x14ac:dyDescent="0.4">
      <c r="A41" t="s">
        <v>1469</v>
      </c>
      <c r="B41" s="18">
        <v>4590</v>
      </c>
      <c r="C41">
        <v>20</v>
      </c>
      <c r="D41">
        <v>20</v>
      </c>
      <c r="E41">
        <v>10</v>
      </c>
      <c r="F41">
        <v>10</v>
      </c>
      <c r="G41">
        <v>0</v>
      </c>
      <c r="H41">
        <f>-E41*F41*SQRT(C41*D41/(C41+D41))-G41</f>
        <v>-316.22776601683796</v>
      </c>
      <c r="I41" s="5">
        <f>1/((ABS(H41)+1)^(0.6))</f>
        <v>3.1562927976192014E-2</v>
      </c>
      <c r="J41" s="17">
        <f>(mole/muon_ratio)/I41</f>
        <v>3168273.8710245835</v>
      </c>
      <c r="K41" s="34">
        <f>B41*keV_to_H</f>
        <v>4590000</v>
      </c>
      <c r="L41" s="34">
        <f>ROUND(J41,4-(1+INT(LOG10(ABS(J41)))))*(sf_NSC/100)</f>
        <v>3168000</v>
      </c>
      <c r="M41" s="33">
        <f>L41/I_b</f>
        <v>316.8</v>
      </c>
      <c r="N41" s="75">
        <f>K41/M41</f>
        <v>14488.636363636364</v>
      </c>
    </row>
    <row r="42" spans="1:21" x14ac:dyDescent="0.4">
      <c r="J42" s="9"/>
    </row>
    <row r="43" spans="1:21" x14ac:dyDescent="0.4">
      <c r="J43" s="9"/>
    </row>
    <row r="45" spans="1:21" x14ac:dyDescent="0.4">
      <c r="A45" s="96" t="s">
        <v>221</v>
      </c>
      <c r="B45" s="96"/>
      <c r="C45" s="96"/>
      <c r="D45" s="96"/>
      <c r="E45" s="96"/>
      <c r="F45" s="96"/>
      <c r="G45" s="96"/>
      <c r="H45" s="96"/>
      <c r="I45" s="96"/>
      <c r="J45" s="96"/>
      <c r="K45" s="96"/>
      <c r="L45" s="96"/>
      <c r="M45" s="96"/>
      <c r="N45" s="96"/>
      <c r="O45" s="96"/>
    </row>
    <row r="46" spans="1:21" x14ac:dyDescent="0.4">
      <c r="A46" s="112" t="s">
        <v>1295</v>
      </c>
      <c r="B46" s="112"/>
      <c r="C46" s="112"/>
      <c r="D46" s="112"/>
      <c r="E46" s="112"/>
      <c r="F46" s="112"/>
      <c r="G46" s="112"/>
      <c r="H46" s="112"/>
      <c r="I46" s="112"/>
      <c r="J46" s="112"/>
      <c r="K46" s="112"/>
      <c r="L46" s="112"/>
      <c r="M46" s="112"/>
      <c r="N46" s="112"/>
      <c r="O46" s="112"/>
    </row>
    <row r="47" spans="1:21" x14ac:dyDescent="0.4">
      <c r="A47" s="112"/>
      <c r="B47" s="112"/>
      <c r="C47" s="112"/>
      <c r="D47" s="112"/>
      <c r="E47" s="112"/>
      <c r="F47" s="112"/>
      <c r="G47" s="112"/>
      <c r="H47" s="112"/>
      <c r="I47" s="112"/>
      <c r="J47" s="112"/>
      <c r="K47" s="112"/>
      <c r="L47" s="112"/>
      <c r="M47" s="112"/>
      <c r="N47" s="112"/>
      <c r="O47" s="112"/>
    </row>
    <row r="48" spans="1:21" x14ac:dyDescent="0.4">
      <c r="A48" s="1" t="s">
        <v>1297</v>
      </c>
    </row>
    <row r="49" spans="1:11" x14ac:dyDescent="0.4">
      <c r="A49">
        <v>10</v>
      </c>
    </row>
    <row r="50" spans="1:11" x14ac:dyDescent="0.4">
      <c r="A50" s="1" t="s">
        <v>1</v>
      </c>
      <c r="B50" s="1" t="s">
        <v>7</v>
      </c>
      <c r="C50" s="1" t="s">
        <v>204</v>
      </c>
      <c r="D50" s="1" t="s">
        <v>205</v>
      </c>
      <c r="E50" s="1" t="s">
        <v>1272</v>
      </c>
      <c r="F50" s="1" t="s">
        <v>6</v>
      </c>
      <c r="G50" s="1" t="s">
        <v>193</v>
      </c>
      <c r="H50" s="1" t="s">
        <v>312</v>
      </c>
      <c r="I50" s="1" t="s">
        <v>2</v>
      </c>
      <c r="J50" s="1" t="s">
        <v>200</v>
      </c>
      <c r="K50" s="1" t="s">
        <v>201</v>
      </c>
    </row>
    <row r="51" spans="1:11" x14ac:dyDescent="0.4">
      <c r="A51" t="s">
        <v>1533</v>
      </c>
      <c r="B51" s="18">
        <v>79300</v>
      </c>
      <c r="C51">
        <v>9</v>
      </c>
      <c r="D51">
        <v>56</v>
      </c>
      <c r="E51">
        <f t="shared" ref="E51:E93" si="8">PI()*(r_0*D51^(1/3)+h/SQRT(2*m_n*1000000*10000000)*c_s)^2/1E-28</f>
        <v>5.8399017353643741</v>
      </c>
      <c r="F51" s="5">
        <f t="shared" ref="F51:F93" si="9">MIN(1,E51/10)</f>
        <v>0.58399017353643745</v>
      </c>
      <c r="G51">
        <f t="shared" ref="G51:G93" si="10">C51*mole/F51</f>
        <v>15411218.215366863</v>
      </c>
      <c r="H51" s="34">
        <f>B51*keV_to_H/r_debuff</f>
        <v>7930000</v>
      </c>
      <c r="I51" s="34">
        <f>ROUND(G51,4-(1+INT(LOG10(ABS(G51)))))</f>
        <v>15410000</v>
      </c>
      <c r="J51" s="33">
        <f t="shared" ref="J51:J93" si="11">I51/I_b</f>
        <v>1541</v>
      </c>
      <c r="K51" s="75">
        <f>H51/J51</f>
        <v>5146.009085009734</v>
      </c>
    </row>
    <row r="52" spans="1:11" x14ac:dyDescent="0.4">
      <c r="A52" t="s">
        <v>1534</v>
      </c>
      <c r="B52" s="18">
        <v>53500</v>
      </c>
      <c r="C52">
        <v>6</v>
      </c>
      <c r="D52">
        <v>59</v>
      </c>
      <c r="E52">
        <f t="shared" si="8"/>
        <v>5.9091187679585406</v>
      </c>
      <c r="F52" s="5">
        <f t="shared" si="9"/>
        <v>0.59091187679585411</v>
      </c>
      <c r="G52">
        <f t="shared" si="10"/>
        <v>10153798.282976221</v>
      </c>
      <c r="H52" s="34">
        <f t="shared" ref="H52:H93" si="12">B52*keV_to_H/r_debuff</f>
        <v>5350000</v>
      </c>
      <c r="I52" s="34">
        <f t="shared" ref="I52:I92" si="13">ROUND(G52,4-(1+INT(LOG10(ABS(G52)))))</f>
        <v>10150000</v>
      </c>
      <c r="J52" s="33">
        <f t="shared" si="11"/>
        <v>1015</v>
      </c>
      <c r="K52" s="75">
        <f t="shared" ref="K52:K93" si="14">H52/J52</f>
        <v>5270.9359605911332</v>
      </c>
    </row>
    <row r="53" spans="1:11" x14ac:dyDescent="0.4">
      <c r="A53" t="s">
        <v>1535</v>
      </c>
      <c r="B53" s="18">
        <v>90000</v>
      </c>
      <c r="C53">
        <v>10</v>
      </c>
      <c r="D53">
        <v>58</v>
      </c>
      <c r="E53">
        <f t="shared" si="8"/>
        <v>5.8862676331430501</v>
      </c>
      <c r="F53" s="5">
        <f t="shared" si="9"/>
        <v>0.58862676331430497</v>
      </c>
      <c r="G53">
        <f t="shared" si="10"/>
        <v>16988694.064290054</v>
      </c>
      <c r="H53" s="34">
        <f t="shared" si="12"/>
        <v>9000000</v>
      </c>
      <c r="I53" s="34">
        <f>ROUND(G53,4-(1+INT(LOG10(ABS(G53)))))</f>
        <v>16990000</v>
      </c>
      <c r="J53" s="33">
        <f t="shared" si="11"/>
        <v>1699</v>
      </c>
      <c r="K53" s="75">
        <f t="shared" si="14"/>
        <v>5297.2336668628604</v>
      </c>
    </row>
    <row r="54" spans="1:11" x14ac:dyDescent="0.4">
      <c r="A54" t="s">
        <v>1560</v>
      </c>
      <c r="B54" s="18">
        <v>104000</v>
      </c>
      <c r="C54">
        <v>12</v>
      </c>
      <c r="D54">
        <v>63</v>
      </c>
      <c r="E54">
        <f t="shared" si="8"/>
        <v>5.9984462194843937</v>
      </c>
      <c r="F54" s="5">
        <f t="shared" si="9"/>
        <v>0.59984462194843935</v>
      </c>
      <c r="G54">
        <f t="shared" si="10"/>
        <v>20005180.609973829</v>
      </c>
      <c r="H54" s="34">
        <f t="shared" si="12"/>
        <v>10400000</v>
      </c>
      <c r="I54" s="34">
        <f t="shared" si="13"/>
        <v>20010000</v>
      </c>
      <c r="J54" s="33">
        <f t="shared" si="11"/>
        <v>2001</v>
      </c>
      <c r="K54" s="75">
        <f t="shared" si="14"/>
        <v>5197.4012993503247</v>
      </c>
    </row>
    <row r="55" spans="1:11" x14ac:dyDescent="0.4">
      <c r="A55" t="s">
        <v>206</v>
      </c>
      <c r="B55" s="18">
        <v>95800</v>
      </c>
      <c r="C55">
        <v>11</v>
      </c>
      <c r="D55">
        <v>64</v>
      </c>
      <c r="E55">
        <f t="shared" si="8"/>
        <v>6.020285327682446</v>
      </c>
      <c r="F55" s="5">
        <f t="shared" si="9"/>
        <v>0.60202853276824464</v>
      </c>
      <c r="G55">
        <f t="shared" si="10"/>
        <v>18271559.238928184</v>
      </c>
      <c r="H55" s="34">
        <f t="shared" si="12"/>
        <v>9580000</v>
      </c>
      <c r="I55" s="34">
        <f t="shared" si="13"/>
        <v>18270000</v>
      </c>
      <c r="J55" s="33">
        <f t="shared" si="11"/>
        <v>1827</v>
      </c>
      <c r="K55" s="75">
        <f t="shared" si="14"/>
        <v>5243.5686918445535</v>
      </c>
    </row>
    <row r="56" spans="1:11" x14ac:dyDescent="0.4">
      <c r="A56" t="s">
        <v>207</v>
      </c>
      <c r="B56" s="18">
        <v>120000</v>
      </c>
      <c r="C56">
        <v>13</v>
      </c>
      <c r="D56">
        <v>75</v>
      </c>
      <c r="E56">
        <f t="shared" si="8"/>
        <v>6.2490820884572003</v>
      </c>
      <c r="F56" s="5">
        <f t="shared" si="9"/>
        <v>0.62490820884572007</v>
      </c>
      <c r="G56">
        <f t="shared" si="10"/>
        <v>20803055.258327536</v>
      </c>
      <c r="H56" s="34">
        <f t="shared" si="12"/>
        <v>12000000</v>
      </c>
      <c r="I56" s="34">
        <f t="shared" si="13"/>
        <v>20800000</v>
      </c>
      <c r="J56" s="33">
        <f t="shared" si="11"/>
        <v>2080</v>
      </c>
      <c r="K56" s="75">
        <f t="shared" si="14"/>
        <v>5769.2307692307695</v>
      </c>
    </row>
    <row r="57" spans="1:11" x14ac:dyDescent="0.4">
      <c r="A57" t="s">
        <v>1298</v>
      </c>
      <c r="B57" s="18">
        <v>32800</v>
      </c>
      <c r="C57">
        <v>4</v>
      </c>
      <c r="D57">
        <v>88</v>
      </c>
      <c r="E57">
        <f>PI()*(r_0*D57^(1/3)+h/SQRT(2*m_n*1000000*10000000)*c_s)^2/1E-28</f>
        <v>6.4969198790511289</v>
      </c>
      <c r="F57" s="5">
        <f>MIN(1,E57/10)</f>
        <v>0.64969198790511284</v>
      </c>
      <c r="G57">
        <f>C57*mole/F57</f>
        <v>6156763.6271731239</v>
      </c>
      <c r="H57" s="34">
        <f>B57*keV_to_H/r_debuff</f>
        <v>3280000</v>
      </c>
      <c r="I57" s="34">
        <f>ROUND(G57,4-(1+INT(LOG10(ABS(G57)))))</f>
        <v>6157000</v>
      </c>
      <c r="J57" s="33">
        <f>I57/I_b</f>
        <v>615.70000000000005</v>
      </c>
      <c r="K57" s="75">
        <f>H57/J57</f>
        <v>5327.2697742407008</v>
      </c>
    </row>
    <row r="58" spans="1:11" x14ac:dyDescent="0.4">
      <c r="A58" t="s">
        <v>1537</v>
      </c>
      <c r="B58" s="18">
        <v>66700</v>
      </c>
      <c r="C58">
        <v>8</v>
      </c>
      <c r="D58">
        <v>90</v>
      </c>
      <c r="E58">
        <f>PI()*(r_0*D58^(1/3)+h/SQRT(2*m_n*1000000*10000000)*c_s)^2/1E-28</f>
        <v>6.5332336275744236</v>
      </c>
      <c r="F58" s="5">
        <f>MIN(1,E58/10)</f>
        <v>0.65332336275744241</v>
      </c>
      <c r="G58">
        <f>C58*mole/F58</f>
        <v>12245084.832470836</v>
      </c>
      <c r="H58" s="34">
        <f>B58*keV_to_H/r_debuff</f>
        <v>6670000</v>
      </c>
      <c r="I58" s="34">
        <f>ROUND(G58,4-(1+INT(LOG10(ABS(G58)))))</f>
        <v>12250000</v>
      </c>
      <c r="J58" s="33">
        <f>I58/I_b</f>
        <v>1225</v>
      </c>
      <c r="K58" s="35">
        <f>H58/J58</f>
        <v>5444.8979591836733</v>
      </c>
    </row>
    <row r="59" spans="1:11" x14ac:dyDescent="0.4">
      <c r="A59" t="s">
        <v>1536</v>
      </c>
      <c r="B59" s="18">
        <v>25000</v>
      </c>
      <c r="C59">
        <v>3</v>
      </c>
      <c r="D59">
        <v>89</v>
      </c>
      <c r="E59">
        <f>PI()*(r_0*D59^(1/3)+h/SQRT(2*m_n*1000000*10000000)*c_s)^2/1E-28</f>
        <v>6.5151321079770037</v>
      </c>
      <c r="F59" s="5">
        <f>MIN(1,E59/10)</f>
        <v>0.65151321079770042</v>
      </c>
      <c r="G59">
        <f>C59*mole/F59</f>
        <v>4604664.8790541897</v>
      </c>
      <c r="H59" s="34">
        <f>B59*keV_to_H/r_debuff</f>
        <v>2500000</v>
      </c>
      <c r="I59" s="34">
        <f>ROUND(G59,4-(1+INT(LOG10(ABS(G59)))))</f>
        <v>4605000</v>
      </c>
      <c r="J59" s="33">
        <f>I59/I_b</f>
        <v>460.5</v>
      </c>
      <c r="K59" s="35">
        <f>H59/J59</f>
        <v>5428.8816503800217</v>
      </c>
    </row>
    <row r="60" spans="1:11" x14ac:dyDescent="0.4">
      <c r="A60" t="s">
        <v>1539</v>
      </c>
      <c r="B60" s="18">
        <v>127000</v>
      </c>
      <c r="C60">
        <v>16</v>
      </c>
      <c r="D60">
        <v>90</v>
      </c>
      <c r="E60">
        <f t="shared" si="8"/>
        <v>6.5332336275744236</v>
      </c>
      <c r="F60" s="5">
        <f t="shared" si="9"/>
        <v>0.65332336275744241</v>
      </c>
      <c r="G60">
        <f t="shared" si="10"/>
        <v>24490169.664941672</v>
      </c>
      <c r="H60" s="34">
        <f t="shared" si="12"/>
        <v>12700000</v>
      </c>
      <c r="I60" s="34">
        <f t="shared" si="13"/>
        <v>24490000</v>
      </c>
      <c r="J60" s="33">
        <f t="shared" si="11"/>
        <v>2449</v>
      </c>
      <c r="K60" s="75">
        <f t="shared" si="14"/>
        <v>5185.7901184156799</v>
      </c>
    </row>
    <row r="61" spans="1:11" x14ac:dyDescent="0.4">
      <c r="A61" t="s">
        <v>1538</v>
      </c>
      <c r="B61" s="18">
        <v>41300</v>
      </c>
      <c r="C61">
        <v>5</v>
      </c>
      <c r="D61">
        <v>93</v>
      </c>
      <c r="E61">
        <f>PI()*(r_0*D61^(1/3)+h/SQRT(2*m_n*1000000*10000000)*c_s)^2/1E-28</f>
        <v>6.5868931547342262</v>
      </c>
      <c r="F61" s="5">
        <f>MIN(1,E61/10)</f>
        <v>0.65868931547342258</v>
      </c>
      <c r="G61">
        <f>C61*mole/F61</f>
        <v>7590832.1002691975</v>
      </c>
      <c r="H61" s="34">
        <f>B61*keV_to_H/r_debuff</f>
        <v>4130000</v>
      </c>
      <c r="I61" s="34">
        <f>ROUND(G61,4-(1+INT(LOG10(ABS(G61)))))</f>
        <v>7591000</v>
      </c>
      <c r="J61" s="33">
        <f>I61/I_b</f>
        <v>759.1</v>
      </c>
      <c r="K61" s="35">
        <f>H61/J61</f>
        <v>5440.6534053484384</v>
      </c>
    </row>
    <row r="62" spans="1:11" x14ac:dyDescent="0.4">
      <c r="A62" t="s">
        <v>208</v>
      </c>
      <c r="B62" s="18">
        <v>62800</v>
      </c>
      <c r="C62">
        <v>8</v>
      </c>
      <c r="D62">
        <v>98</v>
      </c>
      <c r="E62">
        <f t="shared" si="8"/>
        <v>6.6742831020406364</v>
      </c>
      <c r="F62" s="5">
        <f t="shared" si="9"/>
        <v>0.66742831020406368</v>
      </c>
      <c r="G62">
        <f t="shared" si="10"/>
        <v>11986306.061176863</v>
      </c>
      <c r="H62" s="34">
        <f t="shared" si="12"/>
        <v>6280000</v>
      </c>
      <c r="I62" s="34">
        <f t="shared" si="13"/>
        <v>11990000</v>
      </c>
      <c r="J62" s="33">
        <f t="shared" si="11"/>
        <v>1199</v>
      </c>
      <c r="K62" s="75">
        <f t="shared" si="14"/>
        <v>5237.6980817347794</v>
      </c>
    </row>
    <row r="63" spans="1:11" x14ac:dyDescent="0.4">
      <c r="A63" t="s">
        <v>1299</v>
      </c>
      <c r="B63" s="18">
        <v>26600</v>
      </c>
      <c r="C63">
        <v>3</v>
      </c>
      <c r="D63">
        <v>106</v>
      </c>
      <c r="E63">
        <f t="shared" si="8"/>
        <v>6.8092393927777568</v>
      </c>
      <c r="F63" s="5">
        <f t="shared" si="9"/>
        <v>0.68092393927777572</v>
      </c>
      <c r="G63">
        <f t="shared" si="10"/>
        <v>4405778.4239190649</v>
      </c>
      <c r="H63" s="34">
        <f t="shared" si="12"/>
        <v>2660000</v>
      </c>
      <c r="I63" s="34">
        <f>ROUND(G63,4-(1+INT(LOG10(ABS(G63)))))</f>
        <v>4406000</v>
      </c>
      <c r="J63" s="33">
        <f t="shared" si="11"/>
        <v>440.6</v>
      </c>
      <c r="K63" s="75">
        <f t="shared" si="14"/>
        <v>6037.2219700408532</v>
      </c>
    </row>
    <row r="64" spans="1:11" x14ac:dyDescent="0.4">
      <c r="A64" t="s">
        <v>1540</v>
      </c>
      <c r="B64" s="18">
        <v>114000</v>
      </c>
      <c r="C64">
        <v>14</v>
      </c>
      <c r="D64">
        <v>106</v>
      </c>
      <c r="E64">
        <f>PI()*(r_0*D64^(1/3)+h/SQRT(2*m_n*1000000*10000000)*c_s)^2/1E-28</f>
        <v>6.8092393927777568</v>
      </c>
      <c r="F64" s="5">
        <f>MIN(1,E64/10)</f>
        <v>0.68092393927777572</v>
      </c>
      <c r="G64">
        <f>C64*mole/F64</f>
        <v>20560299.311622303</v>
      </c>
      <c r="H64" s="34">
        <f>B64*keV_to_H/r_debuff</f>
        <v>11400000</v>
      </c>
      <c r="I64" s="34">
        <f>ROUND(G64,4-(1+INT(LOG10(ABS(G64)))))</f>
        <v>20560000</v>
      </c>
      <c r="J64" s="33">
        <f>I64/I_b</f>
        <v>2056</v>
      </c>
      <c r="K64" s="35">
        <f>H64/J64</f>
        <v>5544.747081712062</v>
      </c>
    </row>
    <row r="65" spans="1:11" x14ac:dyDescent="0.4">
      <c r="A65" t="s">
        <v>1541</v>
      </c>
      <c r="B65" s="18">
        <v>162000</v>
      </c>
      <c r="C65">
        <v>20</v>
      </c>
      <c r="D65">
        <v>107</v>
      </c>
      <c r="E65">
        <f t="shared" si="8"/>
        <v>6.8257176812427982</v>
      </c>
      <c r="F65" s="5">
        <f t="shared" si="9"/>
        <v>0.68257176812427978</v>
      </c>
      <c r="G65">
        <f t="shared" si="10"/>
        <v>29300948.169831842</v>
      </c>
      <c r="H65" s="34">
        <f t="shared" si="12"/>
        <v>16200000</v>
      </c>
      <c r="I65" s="34">
        <f t="shared" si="13"/>
        <v>29300000</v>
      </c>
      <c r="J65" s="33">
        <f t="shared" si="11"/>
        <v>2930</v>
      </c>
      <c r="K65" s="75">
        <f t="shared" si="14"/>
        <v>5529.0102389078502</v>
      </c>
    </row>
    <row r="66" spans="1:11" x14ac:dyDescent="0.4">
      <c r="A66" t="s">
        <v>209</v>
      </c>
      <c r="B66" s="18">
        <v>54400</v>
      </c>
      <c r="C66">
        <v>7</v>
      </c>
      <c r="D66">
        <v>120</v>
      </c>
      <c r="E66">
        <f t="shared" si="8"/>
        <v>7.0328304583301557</v>
      </c>
      <c r="F66" s="5">
        <f t="shared" si="9"/>
        <v>0.7032830458330156</v>
      </c>
      <c r="G66">
        <f t="shared" si="10"/>
        <v>9953318.2855399717</v>
      </c>
      <c r="H66" s="34">
        <f t="shared" si="12"/>
        <v>5440000</v>
      </c>
      <c r="I66" s="34">
        <f t="shared" si="13"/>
        <v>9953000</v>
      </c>
      <c r="J66" s="33">
        <f t="shared" si="11"/>
        <v>995.3</v>
      </c>
      <c r="K66" s="75">
        <f t="shared" si="14"/>
        <v>5465.6887370642016</v>
      </c>
    </row>
    <row r="67" spans="1:11" x14ac:dyDescent="0.4">
      <c r="A67" t="s">
        <v>1542</v>
      </c>
      <c r="B67" s="18">
        <v>78300</v>
      </c>
      <c r="C67">
        <v>10</v>
      </c>
      <c r="D67">
        <v>127</v>
      </c>
      <c r="E67">
        <f t="shared" si="8"/>
        <v>7.1393879013126105</v>
      </c>
      <c r="F67" s="5">
        <f t="shared" si="9"/>
        <v>0.71393879013126105</v>
      </c>
      <c r="G67">
        <f t="shared" si="10"/>
        <v>14006803.017610868</v>
      </c>
      <c r="H67" s="34">
        <f t="shared" si="12"/>
        <v>7830000</v>
      </c>
      <c r="I67" s="34">
        <f t="shared" si="13"/>
        <v>14010000</v>
      </c>
      <c r="J67" s="33">
        <f t="shared" si="11"/>
        <v>1401</v>
      </c>
      <c r="K67" s="75">
        <f t="shared" si="14"/>
        <v>5588.8650963597429</v>
      </c>
    </row>
    <row r="68" spans="1:11" x14ac:dyDescent="0.4">
      <c r="A68" t="s">
        <v>1543</v>
      </c>
      <c r="B68" s="18">
        <v>109000</v>
      </c>
      <c r="C68">
        <v>15</v>
      </c>
      <c r="D68">
        <v>137</v>
      </c>
      <c r="E68">
        <f>PI()*(r_0*D68^(1/3)+h/SQRT(2*m_n*1000000*10000000)*c_s)^2/1E-28</f>
        <v>7.2863185323766881</v>
      </c>
      <c r="F68" s="5">
        <f>MIN(1,E68/10)</f>
        <v>0.72863185323766877</v>
      </c>
      <c r="G68">
        <f>C68*mole/F68</f>
        <v>20586527.933616463</v>
      </c>
      <c r="H68" s="34">
        <f>B68*keV_to_H/r_debuff</f>
        <v>10900000</v>
      </c>
      <c r="I68" s="34">
        <f>ROUND(G68,4-(1+INT(LOG10(ABS(G68)))))</f>
        <v>20590000</v>
      </c>
      <c r="J68" s="33">
        <f>I68/I_b</f>
        <v>2059</v>
      </c>
      <c r="K68" s="35">
        <f>H68/J68</f>
        <v>5293.8319572608061</v>
      </c>
    </row>
    <row r="69" spans="1:11" x14ac:dyDescent="0.4">
      <c r="A69" t="s">
        <v>1544</v>
      </c>
      <c r="B69" s="18">
        <v>63400</v>
      </c>
      <c r="C69">
        <v>9</v>
      </c>
      <c r="D69">
        <v>138</v>
      </c>
      <c r="E69">
        <f t="shared" si="8"/>
        <v>7.3006932383717151</v>
      </c>
      <c r="F69" s="5">
        <f>MIN(1,E69/10)</f>
        <v>0.73006932383717149</v>
      </c>
      <c r="G69">
        <f>C69*mole/F69</f>
        <v>12327596.443440327</v>
      </c>
      <c r="H69" s="34">
        <f>B69*keV_to_H/r_debuff</f>
        <v>6340000</v>
      </c>
      <c r="I69" s="34">
        <f>ROUND(G69,4-(1+INT(LOG10(ABS(G69)))))</f>
        <v>12330000</v>
      </c>
      <c r="J69" s="33">
        <f>I69/I_b</f>
        <v>1233</v>
      </c>
      <c r="K69" s="35">
        <f>H69/J69</f>
        <v>5141.9302514193023</v>
      </c>
    </row>
    <row r="70" spans="1:11" x14ac:dyDescent="0.4">
      <c r="A70" t="s">
        <v>1545</v>
      </c>
      <c r="B70" s="18">
        <v>90800</v>
      </c>
      <c r="C70">
        <v>13</v>
      </c>
      <c r="D70">
        <v>142</v>
      </c>
      <c r="E70">
        <f t="shared" si="8"/>
        <v>7.3576461424974795</v>
      </c>
      <c r="F70" s="5">
        <f t="shared" si="9"/>
        <v>0.73576461424974793</v>
      </c>
      <c r="G70">
        <f t="shared" si="10"/>
        <v>17668694.237566691</v>
      </c>
      <c r="H70" s="34">
        <f t="shared" si="12"/>
        <v>9080000</v>
      </c>
      <c r="I70" s="34">
        <f t="shared" si="13"/>
        <v>17670000</v>
      </c>
      <c r="J70" s="33">
        <f t="shared" si="11"/>
        <v>1767</v>
      </c>
      <c r="K70" s="75">
        <f t="shared" si="14"/>
        <v>5138.6530843237124</v>
      </c>
    </row>
    <row r="71" spans="1:11" x14ac:dyDescent="0.4">
      <c r="A71" t="s">
        <v>1546</v>
      </c>
      <c r="B71" s="18">
        <v>80400</v>
      </c>
      <c r="C71">
        <v>11</v>
      </c>
      <c r="D71">
        <v>147</v>
      </c>
      <c r="E71">
        <f>PI()*(r_0*D71^(1/3)+h/SQRT(2*m_n*1000000*10000000)*c_s)^2/1E-28</f>
        <v>7.4276538669400702</v>
      </c>
      <c r="F71" s="5">
        <f>MIN(1,E71/10)</f>
        <v>0.74276538669400705</v>
      </c>
      <c r="G71">
        <f>C71*mole/F71</f>
        <v>14809521.548870463</v>
      </c>
      <c r="H71" s="34">
        <f>B71*keV_to_H/r_debuff</f>
        <v>8040000</v>
      </c>
      <c r="I71" s="34">
        <f>ROUND(G71,4-(1+INT(LOG10(ABS(G71)))))</f>
        <v>14810000</v>
      </c>
      <c r="J71" s="33">
        <f>I71/I_b</f>
        <v>1481</v>
      </c>
      <c r="K71" s="35">
        <f>H71/J71</f>
        <v>5428.7643484132341</v>
      </c>
    </row>
    <row r="72" spans="1:11" x14ac:dyDescent="0.4">
      <c r="A72" t="s">
        <v>1300</v>
      </c>
      <c r="B72" s="18">
        <v>44300</v>
      </c>
      <c r="C72">
        <v>6</v>
      </c>
      <c r="D72">
        <v>152</v>
      </c>
      <c r="E72">
        <f t="shared" si="8"/>
        <v>7.4964119964004814</v>
      </c>
      <c r="F72" s="5">
        <f t="shared" si="9"/>
        <v>0.74964119964004816</v>
      </c>
      <c r="G72">
        <f t="shared" si="10"/>
        <v>8003829.03565198</v>
      </c>
      <c r="H72" s="34">
        <f t="shared" si="12"/>
        <v>4430000</v>
      </c>
      <c r="I72" s="34">
        <f t="shared" si="13"/>
        <v>8004000</v>
      </c>
      <c r="J72" s="33">
        <f t="shared" si="11"/>
        <v>800.4</v>
      </c>
      <c r="K72" s="75">
        <f t="shared" si="14"/>
        <v>5534.7326336831584</v>
      </c>
    </row>
    <row r="73" spans="1:11" x14ac:dyDescent="0.4">
      <c r="A73" t="s">
        <v>1548</v>
      </c>
      <c r="B73" s="18">
        <v>66800</v>
      </c>
      <c r="C73">
        <v>9</v>
      </c>
      <c r="D73">
        <v>155</v>
      </c>
      <c r="E73">
        <f>PI()*(r_0*D73^(1/3)+h/SQRT(2*m_n*1000000*10000000)*c_s)^2/1E-28</f>
        <v>7.5370940637871762</v>
      </c>
      <c r="F73" s="5">
        <f>MIN(1,E73/10)</f>
        <v>0.75370940637871764</v>
      </c>
      <c r="G73">
        <f>C73*mole/F73</f>
        <v>11940941.593447164</v>
      </c>
      <c r="H73" s="34">
        <f>B73*keV_to_H/r_debuff</f>
        <v>6680000</v>
      </c>
      <c r="I73" s="34">
        <f>ROUND(G73,4-(1+INT(LOG10(ABS(G73)))))</f>
        <v>11940000</v>
      </c>
      <c r="J73" s="33">
        <f>I73/I_b</f>
        <v>1194</v>
      </c>
      <c r="K73" s="35">
        <f>H73/J73</f>
        <v>5594.6398659966499</v>
      </c>
    </row>
    <row r="74" spans="1:11" x14ac:dyDescent="0.4">
      <c r="A74" t="s">
        <v>1547</v>
      </c>
      <c r="B74" s="18">
        <v>50700</v>
      </c>
      <c r="C74">
        <v>7</v>
      </c>
      <c r="D74">
        <v>158</v>
      </c>
      <c r="E74">
        <f t="shared" si="8"/>
        <v>7.5773625117091701</v>
      </c>
      <c r="F74" s="5">
        <f t="shared" si="9"/>
        <v>0.75773625117091703</v>
      </c>
      <c r="G74">
        <f t="shared" si="10"/>
        <v>9238042.9063318782</v>
      </c>
      <c r="H74" s="34">
        <f t="shared" si="12"/>
        <v>5070000</v>
      </c>
      <c r="I74" s="34">
        <f>ROUND(G74,4-(1+INT(LOG10(ABS(G74)))))</f>
        <v>9238000</v>
      </c>
      <c r="J74" s="33">
        <f t="shared" si="11"/>
        <v>923.8</v>
      </c>
      <c r="K74" s="75">
        <f t="shared" si="14"/>
        <v>5488.2009092877252</v>
      </c>
    </row>
    <row r="75" spans="1:11" x14ac:dyDescent="0.4">
      <c r="A75" t="s">
        <v>1549</v>
      </c>
      <c r="B75" s="18">
        <v>29300</v>
      </c>
      <c r="C75">
        <v>4</v>
      </c>
      <c r="D75">
        <v>164</v>
      </c>
      <c r="E75">
        <f t="shared" si="8"/>
        <v>7.6567072900468975</v>
      </c>
      <c r="F75" s="5">
        <f t="shared" si="9"/>
        <v>0.7656707290046898</v>
      </c>
      <c r="G75">
        <f t="shared" si="10"/>
        <v>5224177.7679025</v>
      </c>
      <c r="H75" s="34">
        <f t="shared" si="12"/>
        <v>2930000</v>
      </c>
      <c r="I75" s="34">
        <f t="shared" si="13"/>
        <v>5224000</v>
      </c>
      <c r="J75" s="33">
        <f t="shared" si="11"/>
        <v>522.4</v>
      </c>
      <c r="K75" s="75">
        <f t="shared" si="14"/>
        <v>5608.7289433384385</v>
      </c>
    </row>
    <row r="76" spans="1:11" x14ac:dyDescent="0.4">
      <c r="A76" t="s">
        <v>1550</v>
      </c>
      <c r="B76" s="18">
        <v>92500</v>
      </c>
      <c r="C76">
        <v>13</v>
      </c>
      <c r="D76">
        <v>165</v>
      </c>
      <c r="E76">
        <f t="shared" si="8"/>
        <v>7.6697818787392098</v>
      </c>
      <c r="F76" s="5">
        <f>MIN(1,E76/10)</f>
        <v>0.76697818787392102</v>
      </c>
      <c r="G76">
        <f>C76*mole/F76</f>
        <v>16949634.560059994</v>
      </c>
      <c r="H76" s="34">
        <f>B76*keV_to_H/r_debuff</f>
        <v>9250000</v>
      </c>
      <c r="I76" s="34">
        <f>ROUND(G76,4-(1+INT(LOG10(ABS(G76)))))</f>
        <v>16950000</v>
      </c>
      <c r="J76" s="33">
        <f>I76/I_b</f>
        <v>1695</v>
      </c>
      <c r="K76" s="35">
        <f>H76/J76</f>
        <v>5457.2271386430675</v>
      </c>
    </row>
    <row r="77" spans="1:11" x14ac:dyDescent="0.4">
      <c r="A77" t="s">
        <v>1551</v>
      </c>
      <c r="B77" s="18">
        <v>97900</v>
      </c>
      <c r="C77">
        <v>14</v>
      </c>
      <c r="D77">
        <v>166</v>
      </c>
      <c r="E77">
        <f t="shared" si="8"/>
        <v>7.6828148331460762</v>
      </c>
      <c r="F77" s="5">
        <f t="shared" si="9"/>
        <v>0.76828148331460766</v>
      </c>
      <c r="G77">
        <f t="shared" si="10"/>
        <v>18222487.856403362</v>
      </c>
      <c r="H77" s="34">
        <f t="shared" si="12"/>
        <v>9790000</v>
      </c>
      <c r="I77" s="34">
        <f t="shared" si="13"/>
        <v>18220000</v>
      </c>
      <c r="J77" s="33">
        <f t="shared" si="11"/>
        <v>1822</v>
      </c>
      <c r="K77" s="75">
        <f t="shared" si="14"/>
        <v>5373.2162458836447</v>
      </c>
    </row>
    <row r="78" spans="1:11" x14ac:dyDescent="0.4">
      <c r="A78" t="s">
        <v>1552</v>
      </c>
      <c r="B78" s="18">
        <v>69500</v>
      </c>
      <c r="C78">
        <v>10</v>
      </c>
      <c r="D78">
        <v>174</v>
      </c>
      <c r="E78">
        <f t="shared" si="8"/>
        <v>7.7856257825304676</v>
      </c>
      <c r="F78" s="5">
        <f t="shared" si="9"/>
        <v>0.77856257825304676</v>
      </c>
      <c r="G78">
        <f t="shared" si="10"/>
        <v>12844182.701971352</v>
      </c>
      <c r="H78" s="34">
        <f t="shared" si="12"/>
        <v>6950000</v>
      </c>
      <c r="I78" s="34">
        <f t="shared" si="13"/>
        <v>12840000</v>
      </c>
      <c r="J78" s="33">
        <f t="shared" si="11"/>
        <v>1284</v>
      </c>
      <c r="K78" s="75">
        <f t="shared" si="14"/>
        <v>5412.7725856697816</v>
      </c>
    </row>
    <row r="79" spans="1:11" x14ac:dyDescent="0.4">
      <c r="A79" t="s">
        <v>1553</v>
      </c>
      <c r="B79" s="18">
        <v>69600</v>
      </c>
      <c r="C79">
        <v>10</v>
      </c>
      <c r="D79">
        <v>180</v>
      </c>
      <c r="E79">
        <f t="shared" si="8"/>
        <v>7.8611152082222784</v>
      </c>
      <c r="F79" s="5">
        <f t="shared" si="9"/>
        <v>0.78611152082222779</v>
      </c>
      <c r="G79">
        <f t="shared" si="10"/>
        <v>12720841.42659628</v>
      </c>
      <c r="H79" s="34">
        <f t="shared" si="12"/>
        <v>6960000</v>
      </c>
      <c r="I79" s="34">
        <f>ROUND(G79,4-(1+INT(LOG10(ABS(G79)))))</f>
        <v>12720000</v>
      </c>
      <c r="J79" s="33">
        <f t="shared" si="11"/>
        <v>1272</v>
      </c>
      <c r="K79" s="75">
        <f t="shared" si="14"/>
        <v>5471.6981132075471</v>
      </c>
    </row>
    <row r="80" spans="1:11" x14ac:dyDescent="0.4">
      <c r="A80" t="s">
        <v>1587</v>
      </c>
      <c r="B80" s="18">
        <v>75900</v>
      </c>
      <c r="C80">
        <v>11</v>
      </c>
      <c r="D80">
        <v>184</v>
      </c>
      <c r="E80">
        <f t="shared" si="8"/>
        <v>7.9107111140642123</v>
      </c>
      <c r="F80" s="5">
        <f t="shared" si="9"/>
        <v>0.79107111140642128</v>
      </c>
      <c r="G80">
        <f t="shared" si="10"/>
        <v>13905197.448612975</v>
      </c>
      <c r="H80" s="34">
        <f t="shared" si="12"/>
        <v>7590000</v>
      </c>
      <c r="I80" s="34">
        <f t="shared" si="13"/>
        <v>13910000</v>
      </c>
      <c r="J80" s="33">
        <f t="shared" si="11"/>
        <v>1391</v>
      </c>
      <c r="K80" s="75">
        <f t="shared" si="14"/>
        <v>5456.5061107117181</v>
      </c>
    </row>
    <row r="81" spans="1:15" x14ac:dyDescent="0.4">
      <c r="A81" t="s">
        <v>1554</v>
      </c>
      <c r="B81" s="18">
        <v>35600</v>
      </c>
      <c r="C81">
        <v>5</v>
      </c>
      <c r="D81">
        <v>192</v>
      </c>
      <c r="E81">
        <f t="shared" si="8"/>
        <v>8.0082384271652884</v>
      </c>
      <c r="F81" s="5">
        <f t="shared" si="9"/>
        <v>0.80082384271652884</v>
      </c>
      <c r="G81">
        <f t="shared" si="10"/>
        <v>6243570.3500524675</v>
      </c>
      <c r="H81" s="34">
        <f t="shared" si="12"/>
        <v>3560000</v>
      </c>
      <c r="I81" s="34">
        <f>ROUND(G81,4-(1+INT(LOG10(ABS(G81)))))</f>
        <v>6244000</v>
      </c>
      <c r="J81" s="33">
        <f t="shared" si="11"/>
        <v>624.4</v>
      </c>
      <c r="K81" s="75">
        <f t="shared" si="14"/>
        <v>5701.4734144778986</v>
      </c>
    </row>
    <row r="82" spans="1:15" x14ac:dyDescent="0.4">
      <c r="A82" t="s">
        <v>1555</v>
      </c>
      <c r="B82" s="18">
        <v>28900</v>
      </c>
      <c r="C82">
        <v>4</v>
      </c>
      <c r="D82">
        <v>193</v>
      </c>
      <c r="E82">
        <f t="shared" si="8"/>
        <v>8.020278893016906</v>
      </c>
      <c r="F82" s="5">
        <f t="shared" si="9"/>
        <v>0.80202788930169056</v>
      </c>
      <c r="G82">
        <f t="shared" si="10"/>
        <v>4987357.7382486276</v>
      </c>
      <c r="H82" s="34">
        <f t="shared" si="12"/>
        <v>2890000</v>
      </c>
      <c r="I82" s="34">
        <f t="shared" si="13"/>
        <v>4987000</v>
      </c>
      <c r="J82" s="33">
        <f t="shared" si="11"/>
        <v>498.7</v>
      </c>
      <c r="K82" s="75">
        <f t="shared" si="14"/>
        <v>5795.0671746541011</v>
      </c>
    </row>
    <row r="83" spans="1:15" x14ac:dyDescent="0.4">
      <c r="A83" t="s">
        <v>1556</v>
      </c>
      <c r="B83" s="18">
        <v>93900</v>
      </c>
      <c r="C83">
        <v>13</v>
      </c>
      <c r="D83">
        <v>195</v>
      </c>
      <c r="E83">
        <f t="shared" si="8"/>
        <v>8.0442625249224289</v>
      </c>
      <c r="F83" s="5">
        <f t="shared" si="9"/>
        <v>0.80442625249224287</v>
      </c>
      <c r="G83">
        <f t="shared" si="10"/>
        <v>16160586.454909811</v>
      </c>
      <c r="H83" s="34">
        <f t="shared" si="12"/>
        <v>9390000</v>
      </c>
      <c r="I83" s="34">
        <f t="shared" si="13"/>
        <v>16160000</v>
      </c>
      <c r="J83" s="33">
        <f t="shared" si="11"/>
        <v>1616</v>
      </c>
      <c r="K83" s="75">
        <f t="shared" si="14"/>
        <v>5810.6435643564355</v>
      </c>
    </row>
    <row r="84" spans="1:15" x14ac:dyDescent="0.4">
      <c r="A84" t="s">
        <v>1557</v>
      </c>
      <c r="B84" s="18">
        <v>79400</v>
      </c>
      <c r="C84">
        <v>11</v>
      </c>
      <c r="D84">
        <v>197</v>
      </c>
      <c r="E84">
        <f t="shared" si="8"/>
        <v>8.0681181630752672</v>
      </c>
      <c r="F84" s="5">
        <f t="shared" si="9"/>
        <v>0.80681181630752674</v>
      </c>
      <c r="G84">
        <f t="shared" si="10"/>
        <v>13633910.38364169</v>
      </c>
      <c r="H84" s="34">
        <f t="shared" si="12"/>
        <v>7940000</v>
      </c>
      <c r="I84" s="34">
        <f t="shared" si="13"/>
        <v>13630000</v>
      </c>
      <c r="J84" s="33">
        <f t="shared" si="11"/>
        <v>1363</v>
      </c>
      <c r="K84" s="75">
        <f t="shared" si="14"/>
        <v>5825.3851797505504</v>
      </c>
    </row>
    <row r="85" spans="1:15" x14ac:dyDescent="0.4">
      <c r="A85" t="s">
        <v>1558</v>
      </c>
      <c r="B85" s="18">
        <v>47400</v>
      </c>
      <c r="C85">
        <v>7</v>
      </c>
      <c r="D85">
        <v>202</v>
      </c>
      <c r="E85">
        <f t="shared" si="8"/>
        <v>8.1272105392917453</v>
      </c>
      <c r="F85" s="5">
        <f t="shared" si="9"/>
        <v>0.81272105392917449</v>
      </c>
      <c r="G85">
        <f t="shared" si="10"/>
        <v>8613041.2964667995</v>
      </c>
      <c r="H85" s="34">
        <f t="shared" si="12"/>
        <v>4740000</v>
      </c>
      <c r="I85" s="34">
        <f t="shared" si="13"/>
        <v>8613000</v>
      </c>
      <c r="J85" s="33">
        <f t="shared" si="11"/>
        <v>861.3</v>
      </c>
      <c r="K85" s="75">
        <f t="shared" si="14"/>
        <v>5503.3089515848142</v>
      </c>
    </row>
    <row r="86" spans="1:15" x14ac:dyDescent="0.4">
      <c r="A86" t="s">
        <v>210</v>
      </c>
      <c r="B86" s="18">
        <v>4580</v>
      </c>
      <c r="C86">
        <v>1</v>
      </c>
      <c r="D86">
        <v>208</v>
      </c>
      <c r="E86">
        <f t="shared" si="8"/>
        <v>8.1971248239842822</v>
      </c>
      <c r="F86" s="5">
        <f t="shared" si="9"/>
        <v>0.8197124823984282</v>
      </c>
      <c r="G86">
        <f t="shared" si="10"/>
        <v>1219939.9441546402</v>
      </c>
      <c r="H86" s="34">
        <f t="shared" si="12"/>
        <v>458000</v>
      </c>
      <c r="I86" s="34">
        <f t="shared" si="13"/>
        <v>1220000</v>
      </c>
      <c r="J86" s="33">
        <f t="shared" si="11"/>
        <v>122</v>
      </c>
      <c r="K86" s="75">
        <f t="shared" si="14"/>
        <v>3754.0983606557379</v>
      </c>
    </row>
    <row r="87" spans="1:15" x14ac:dyDescent="0.4">
      <c r="A87" t="s">
        <v>211</v>
      </c>
      <c r="B87" s="18">
        <v>5770</v>
      </c>
      <c r="C87">
        <v>1</v>
      </c>
      <c r="D87">
        <v>209</v>
      </c>
      <c r="E87">
        <f t="shared" si="8"/>
        <v>8.2086747274762004</v>
      </c>
      <c r="F87" s="5">
        <f t="shared" si="9"/>
        <v>0.82086747274762006</v>
      </c>
      <c r="G87">
        <f t="shared" si="10"/>
        <v>1218223.4443433175</v>
      </c>
      <c r="H87" s="34">
        <f t="shared" si="12"/>
        <v>577000</v>
      </c>
      <c r="I87" s="34">
        <f>ROUND(G87,4-(1+INT(LOG10(ABS(G87)))))</f>
        <v>1218000</v>
      </c>
      <c r="J87" s="33">
        <f t="shared" si="11"/>
        <v>121.8</v>
      </c>
      <c r="K87" s="75">
        <f t="shared" si="14"/>
        <v>4737.2742200328412</v>
      </c>
    </row>
    <row r="88" spans="1:15" x14ac:dyDescent="0.4">
      <c r="A88" t="s">
        <v>212</v>
      </c>
      <c r="B88" s="18">
        <v>89500</v>
      </c>
      <c r="C88">
        <v>16</v>
      </c>
      <c r="D88">
        <v>210</v>
      </c>
      <c r="E88">
        <f t="shared" si="8"/>
        <v>8.2201959401659952</v>
      </c>
      <c r="F88" s="5">
        <f t="shared" si="9"/>
        <v>0.82201959401659952</v>
      </c>
      <c r="G88">
        <f t="shared" si="10"/>
        <v>19464256.225110009</v>
      </c>
      <c r="H88" s="34">
        <f t="shared" si="12"/>
        <v>8950000</v>
      </c>
      <c r="I88" s="34">
        <f t="shared" si="13"/>
        <v>19460000</v>
      </c>
      <c r="J88" s="33">
        <f t="shared" si="11"/>
        <v>1946</v>
      </c>
      <c r="K88" s="75">
        <f t="shared" si="14"/>
        <v>4599.1778006166496</v>
      </c>
    </row>
    <row r="89" spans="1:15" x14ac:dyDescent="0.4">
      <c r="A89" t="s">
        <v>1591</v>
      </c>
      <c r="B89" s="18">
        <v>36600</v>
      </c>
      <c r="C89">
        <v>6</v>
      </c>
      <c r="D89">
        <v>226</v>
      </c>
      <c r="E89">
        <f t="shared" si="8"/>
        <v>8.4008007863137024</v>
      </c>
      <c r="F89" s="5">
        <f t="shared" si="9"/>
        <v>0.84008007863137024</v>
      </c>
      <c r="G89">
        <f t="shared" si="10"/>
        <v>7142176.2670232523</v>
      </c>
      <c r="H89" s="34">
        <f t="shared" si="12"/>
        <v>3660000</v>
      </c>
      <c r="I89" s="34">
        <f t="shared" si="13"/>
        <v>7142000</v>
      </c>
      <c r="J89" s="33">
        <f t="shared" si="11"/>
        <v>714.2</v>
      </c>
      <c r="K89" s="75">
        <f t="shared" si="14"/>
        <v>5124.6149537944548</v>
      </c>
    </row>
    <row r="90" spans="1:15" x14ac:dyDescent="0.4">
      <c r="A90" t="s">
        <v>213</v>
      </c>
      <c r="B90" s="18">
        <v>36600</v>
      </c>
      <c r="C90">
        <v>6</v>
      </c>
      <c r="D90">
        <v>232</v>
      </c>
      <c r="E90">
        <f t="shared" si="8"/>
        <v>8.4668119370633352</v>
      </c>
      <c r="F90" s="5">
        <f t="shared" si="9"/>
        <v>0.84668119370633355</v>
      </c>
      <c r="G90">
        <f t="shared" si="10"/>
        <v>7086492.5837493744</v>
      </c>
      <c r="H90" s="34">
        <f t="shared" si="12"/>
        <v>3660000</v>
      </c>
      <c r="I90" s="34">
        <f t="shared" si="13"/>
        <v>7086000</v>
      </c>
      <c r="J90" s="33">
        <f t="shared" si="11"/>
        <v>708.6</v>
      </c>
      <c r="K90" s="35">
        <f t="shared" si="14"/>
        <v>5165.1143099068586</v>
      </c>
    </row>
    <row r="91" spans="1:15" x14ac:dyDescent="0.4">
      <c r="A91" t="s">
        <v>214</v>
      </c>
      <c r="B91" s="18">
        <v>24900</v>
      </c>
      <c r="C91">
        <v>4</v>
      </c>
      <c r="D91">
        <v>238</v>
      </c>
      <c r="E91">
        <f t="shared" si="8"/>
        <v>8.5319463010780119</v>
      </c>
      <c r="F91" s="5">
        <f t="shared" si="9"/>
        <v>0.85319463010780117</v>
      </c>
      <c r="G91">
        <f t="shared" si="10"/>
        <v>4688262.0434385529</v>
      </c>
      <c r="H91" s="34">
        <f t="shared" si="12"/>
        <v>2490000</v>
      </c>
      <c r="I91" s="34">
        <f t="shared" si="13"/>
        <v>4688000</v>
      </c>
      <c r="J91" s="33">
        <f t="shared" si="11"/>
        <v>468.8</v>
      </c>
      <c r="K91" s="35">
        <f t="shared" si="14"/>
        <v>5311.4334470989761</v>
      </c>
    </row>
    <row r="92" spans="1:15" x14ac:dyDescent="0.4">
      <c r="A92" t="s">
        <v>215</v>
      </c>
      <c r="B92" s="18">
        <v>29500</v>
      </c>
      <c r="C92">
        <v>5</v>
      </c>
      <c r="D92">
        <v>242</v>
      </c>
      <c r="E92">
        <f t="shared" si="8"/>
        <v>8.5748992150402401</v>
      </c>
      <c r="F92" s="5">
        <f t="shared" si="9"/>
        <v>0.85748992150402403</v>
      </c>
      <c r="G92">
        <f t="shared" si="10"/>
        <v>5830972.3235348091</v>
      </c>
      <c r="H92" s="34">
        <f t="shared" si="12"/>
        <v>2950000</v>
      </c>
      <c r="I92" s="34">
        <f t="shared" si="13"/>
        <v>5831000</v>
      </c>
      <c r="J92" s="33">
        <f t="shared" si="11"/>
        <v>583.1</v>
      </c>
      <c r="K92" s="35">
        <f t="shared" si="14"/>
        <v>5059.1665237523575</v>
      </c>
    </row>
    <row r="93" spans="1:15" x14ac:dyDescent="0.4">
      <c r="A93" t="s">
        <v>216</v>
      </c>
      <c r="B93" s="18">
        <v>29900</v>
      </c>
      <c r="C93">
        <v>5</v>
      </c>
      <c r="D93">
        <v>247</v>
      </c>
      <c r="E93">
        <f t="shared" si="8"/>
        <v>8.6280786509241114</v>
      </c>
      <c r="F93" s="5">
        <f t="shared" si="9"/>
        <v>0.86280786509241114</v>
      </c>
      <c r="G93">
        <f t="shared" si="10"/>
        <v>5795032.9410412526</v>
      </c>
      <c r="H93" s="34">
        <f t="shared" si="12"/>
        <v>2990000</v>
      </c>
      <c r="I93" s="34">
        <f>ROUND(G93,4-(1+INT(LOG10(ABS(G93)))))</f>
        <v>5795000</v>
      </c>
      <c r="J93" s="33">
        <f t="shared" si="11"/>
        <v>579.5</v>
      </c>
      <c r="K93" s="35">
        <f t="shared" si="14"/>
        <v>5159.6203623813635</v>
      </c>
    </row>
    <row r="96" spans="1:15" x14ac:dyDescent="0.4">
      <c r="A96" s="107" t="s">
        <v>1265</v>
      </c>
      <c r="B96" s="107"/>
      <c r="C96" s="107"/>
      <c r="D96" s="107"/>
      <c r="E96" s="107"/>
      <c r="F96" s="107"/>
      <c r="G96" s="107"/>
      <c r="H96" s="107"/>
      <c r="I96" s="107"/>
      <c r="J96" s="107"/>
      <c r="K96" s="107"/>
      <c r="L96" s="107"/>
      <c r="M96" s="107"/>
      <c r="N96" s="107"/>
      <c r="O96" s="107"/>
    </row>
    <row r="97" spans="1:15" ht="14.6" customHeight="1" x14ac:dyDescent="0.4">
      <c r="A97" s="108" t="s">
        <v>1301</v>
      </c>
      <c r="B97" s="108"/>
      <c r="C97" s="108"/>
      <c r="D97" s="108"/>
      <c r="E97" s="108"/>
      <c r="F97" s="108"/>
      <c r="G97" s="108"/>
      <c r="H97" s="108"/>
      <c r="I97" s="108"/>
      <c r="J97" s="108"/>
      <c r="K97" s="108"/>
      <c r="L97" s="108"/>
      <c r="M97" s="108"/>
      <c r="N97" s="108"/>
      <c r="O97" s="108"/>
    </row>
    <row r="98" spans="1:15" x14ac:dyDescent="0.4">
      <c r="A98" s="109"/>
      <c r="B98" s="109"/>
      <c r="C98" s="109"/>
      <c r="D98" s="109"/>
      <c r="E98" s="109"/>
      <c r="F98" s="109"/>
      <c r="G98" s="109"/>
      <c r="H98" s="109"/>
      <c r="I98" s="109"/>
      <c r="J98" s="109"/>
      <c r="K98" s="109"/>
      <c r="L98" s="109"/>
      <c r="M98" s="109"/>
      <c r="N98" s="109"/>
      <c r="O98" s="109"/>
    </row>
    <row r="99" spans="1:15" x14ac:dyDescent="0.4">
      <c r="A99" s="109"/>
      <c r="B99" s="109"/>
      <c r="C99" s="109"/>
      <c r="D99" s="109"/>
      <c r="E99" s="109"/>
      <c r="F99" s="109"/>
      <c r="G99" s="109"/>
      <c r="H99" s="109"/>
      <c r="I99" s="109"/>
      <c r="J99" s="109"/>
      <c r="K99" s="109"/>
      <c r="L99" s="109"/>
      <c r="M99" s="109"/>
      <c r="N99" s="109"/>
      <c r="O99" s="109"/>
    </row>
    <row r="100" spans="1:15" x14ac:dyDescent="0.4">
      <c r="A100" s="1" t="s">
        <v>1296</v>
      </c>
    </row>
    <row r="101" spans="1:15" x14ac:dyDescent="0.4">
      <c r="A101">
        <v>10</v>
      </c>
    </row>
    <row r="102" spans="1:15" x14ac:dyDescent="0.4">
      <c r="A102" s="1" t="s">
        <v>1</v>
      </c>
      <c r="B102" s="1" t="s">
        <v>7</v>
      </c>
      <c r="C102" s="1" t="s">
        <v>1114</v>
      </c>
      <c r="D102" s="1" t="s">
        <v>205</v>
      </c>
      <c r="E102" s="1" t="s">
        <v>1144</v>
      </c>
      <c r="F102" s="1" t="s">
        <v>1281</v>
      </c>
      <c r="G102" s="1" t="s">
        <v>1272</v>
      </c>
      <c r="H102" s="1" t="s">
        <v>6</v>
      </c>
      <c r="I102" s="1" t="s">
        <v>193</v>
      </c>
      <c r="J102" s="1" t="s">
        <v>1266</v>
      </c>
      <c r="K102" s="1" t="s">
        <v>1282</v>
      </c>
      <c r="L102" s="1" t="s">
        <v>312</v>
      </c>
      <c r="M102" s="1" t="s">
        <v>2</v>
      </c>
      <c r="N102" s="1" t="s">
        <v>200</v>
      </c>
      <c r="O102" s="1" t="s">
        <v>201</v>
      </c>
    </row>
    <row r="103" spans="1:15" x14ac:dyDescent="0.4">
      <c r="A103" t="s">
        <v>1274</v>
      </c>
      <c r="B103">
        <v>14200</v>
      </c>
      <c r="C103">
        <v>2</v>
      </c>
      <c r="D103">
        <v>56</v>
      </c>
      <c r="E103">
        <v>26</v>
      </c>
      <c r="F103">
        <f>k*(E103+C103-1)/(r_p+r_0*(D103+C103-1)^(1/3))/1000</f>
        <v>7075.2639385466628</v>
      </c>
      <c r="G103">
        <f>PI()*(r_0*D103^(1/3)+h/SQRT(2*m_p*1000000*F103*1000)*c_s)^2/1E-28</f>
        <v>7.4017017568637549</v>
      </c>
      <c r="H103" s="5">
        <f t="shared" ref="H103:H135" si="15">MIN(G103/10,1)</f>
        <v>0.74017017568637544</v>
      </c>
      <c r="I103">
        <f t="shared" ref="I103:I135" si="16">C103*mole/H103</f>
        <v>2702081.3127810205</v>
      </c>
      <c r="J103" s="34">
        <f t="shared" ref="J103:J135" si="17">ROUND(F103,3-(1+INT(LOG10(ABS(F103)))))</f>
        <v>7080</v>
      </c>
      <c r="K103" s="34">
        <f t="shared" ref="K103:K135" si="18">ROUND(F103+10000,3-(1+INT(LOG10(ABS(F103+10000)))))</f>
        <v>17100</v>
      </c>
      <c r="L103" s="34">
        <f t="shared" ref="L103:L135" si="19">B103*keV_to_H/p_debuff</f>
        <v>1420000</v>
      </c>
      <c r="M103" s="34">
        <f t="shared" ref="M103:M135" si="20">ROUND(I103,4-(1+INT(LOG10(ABS(I103)))))*(sf_NSC/100)</f>
        <v>2702000</v>
      </c>
      <c r="N103" s="33">
        <f t="shared" ref="N103:N135" si="21">M103/I_b</f>
        <v>270.2</v>
      </c>
      <c r="O103" s="75">
        <f t="shared" ref="O103:O135" si="22">L103/N103</f>
        <v>5255.3663952627685</v>
      </c>
    </row>
    <row r="104" spans="1:15" x14ac:dyDescent="0.4">
      <c r="A104" t="s">
        <v>1559</v>
      </c>
      <c r="B104">
        <v>39200</v>
      </c>
      <c r="C104">
        <v>5</v>
      </c>
      <c r="D104">
        <v>59</v>
      </c>
      <c r="E104">
        <v>27</v>
      </c>
      <c r="F104">
        <f>k*(E104+C104-1)/(r_p+r_0*(D104+C104-1)^(1/3))/1000</f>
        <v>7898.2727250997441</v>
      </c>
      <c r="G104">
        <f>PI()*(r_0*D104^(1/3)+h/SQRT(2*m_p*1000000*F104*1000)*c_s)^2/1E-28</f>
        <v>6.9316605695864135</v>
      </c>
      <c r="H104" s="5">
        <f>MIN(G104/10,1)</f>
        <v>0.69316605695864131</v>
      </c>
      <c r="I104">
        <f>C104*mole/H104</f>
        <v>7213278.7660408076</v>
      </c>
      <c r="J104" s="34">
        <f>ROUND(F104,3-(1+INT(LOG10(ABS(F104)))))</f>
        <v>7900</v>
      </c>
      <c r="K104" s="34">
        <f>ROUND(F104+10000,3-(1+INT(LOG10(ABS(F104+10000)))))</f>
        <v>17900</v>
      </c>
      <c r="L104" s="34">
        <f>B104*keV_to_H/p_debuff</f>
        <v>3920000</v>
      </c>
      <c r="M104" s="34">
        <f>ROUND(I104,4-(1+INT(LOG10(ABS(I104)))))*(sf_NSC/100)</f>
        <v>7213000</v>
      </c>
      <c r="N104" s="33">
        <f>M104/I_b</f>
        <v>721.3</v>
      </c>
      <c r="O104" s="75">
        <f>L104/N104</f>
        <v>5434.6319145986417</v>
      </c>
    </row>
    <row r="105" spans="1:15" x14ac:dyDescent="0.4">
      <c r="A105" t="s">
        <v>1561</v>
      </c>
      <c r="B105">
        <v>71200</v>
      </c>
      <c r="C105">
        <v>9</v>
      </c>
      <c r="D105">
        <v>75</v>
      </c>
      <c r="E105">
        <v>33</v>
      </c>
      <c r="F105">
        <f t="shared" ref="F105:F135" si="23">k*(E105+C105-1)/(r_p+r_0*(D105+C105-1)^(1/3))/1000</f>
        <v>9660.5001692048118</v>
      </c>
      <c r="G105">
        <f t="shared" ref="G105:G135" si="24">PI()*(r_0*D105^(1/3)+h/SQRT(2*m_p*1000000*F105*1000)*c_s)^2/1E-28</f>
        <v>6.3951394885312567</v>
      </c>
      <c r="H105" s="5">
        <f t="shared" si="15"/>
        <v>0.63951394885312562</v>
      </c>
      <c r="I105">
        <f t="shared" si="16"/>
        <v>14073187.951787727</v>
      </c>
      <c r="J105" s="34">
        <f t="shared" si="17"/>
        <v>9660</v>
      </c>
      <c r="K105" s="34">
        <f t="shared" si="18"/>
        <v>19700</v>
      </c>
      <c r="L105" s="34">
        <f t="shared" si="19"/>
        <v>7120000</v>
      </c>
      <c r="M105" s="34">
        <f t="shared" si="20"/>
        <v>14070000</v>
      </c>
      <c r="N105" s="33">
        <f t="shared" si="21"/>
        <v>1407</v>
      </c>
      <c r="O105" s="75">
        <f t="shared" si="22"/>
        <v>5060.4122245913295</v>
      </c>
    </row>
    <row r="106" spans="1:15" x14ac:dyDescent="0.4">
      <c r="A106" t="s">
        <v>1562</v>
      </c>
      <c r="B106">
        <v>43200</v>
      </c>
      <c r="C106">
        <v>6</v>
      </c>
      <c r="D106">
        <v>88</v>
      </c>
      <c r="E106">
        <v>38</v>
      </c>
      <c r="F106">
        <f t="shared" si="23"/>
        <v>9807.1111727487896</v>
      </c>
      <c r="G106">
        <f t="shared" si="24"/>
        <v>6.5828504458391812</v>
      </c>
      <c r="H106" s="5">
        <f t="shared" si="15"/>
        <v>0.65828504458391812</v>
      </c>
      <c r="I106">
        <f t="shared" si="16"/>
        <v>9114592.6059924643</v>
      </c>
      <c r="J106" s="34">
        <f t="shared" si="17"/>
        <v>9810</v>
      </c>
      <c r="K106" s="34">
        <f t="shared" si="18"/>
        <v>19800</v>
      </c>
      <c r="L106" s="34">
        <f t="shared" si="19"/>
        <v>4320000</v>
      </c>
      <c r="M106" s="34">
        <f t="shared" si="20"/>
        <v>9115000</v>
      </c>
      <c r="N106" s="33">
        <f t="shared" si="21"/>
        <v>911.5</v>
      </c>
      <c r="O106" s="75">
        <f t="shared" si="22"/>
        <v>4739.44048272079</v>
      </c>
    </row>
    <row r="107" spans="1:15" x14ac:dyDescent="0.4">
      <c r="A107" t="s">
        <v>1588</v>
      </c>
      <c r="B107">
        <v>23100</v>
      </c>
      <c r="C107">
        <v>3</v>
      </c>
      <c r="D107">
        <v>90</v>
      </c>
      <c r="E107">
        <v>38</v>
      </c>
      <c r="F107">
        <f>k*(E107+C107-1)/(r_p+r_0*(D107+C107-1)^(1/3))/1000</f>
        <v>9151.2400817624348</v>
      </c>
      <c r="G107">
        <f>PI()*(r_0*D107^(1/3)+h/SQRT(2*m_p*1000000*F107*1000)*c_s)^2/1E-28</f>
        <v>6.916143324056919</v>
      </c>
      <c r="H107" s="5">
        <f>MIN(G107/10,1)</f>
        <v>0.69161433240569192</v>
      </c>
      <c r="I107">
        <f>C107*mole/H107</f>
        <v>4337677.6035928633</v>
      </c>
      <c r="J107" s="34">
        <f>ROUND(F107,3-(1+INT(LOG10(ABS(F107)))))</f>
        <v>9150</v>
      </c>
      <c r="K107" s="34">
        <f>ROUND(F107+10000,3-(1+INT(LOG10(ABS(F107+10000)))))</f>
        <v>19200</v>
      </c>
      <c r="L107" s="34">
        <f>B107*keV_to_H/p_debuff</f>
        <v>2310000</v>
      </c>
      <c r="M107" s="34">
        <f>ROUND(I107,4-(1+INT(LOG10(ABS(I107)))))*(sf_NSC/100)</f>
        <v>4338000</v>
      </c>
      <c r="N107" s="33">
        <f>M107/I_b</f>
        <v>433.8</v>
      </c>
      <c r="O107" s="75">
        <f>L107/N107</f>
        <v>5325.0345781466112</v>
      </c>
    </row>
    <row r="108" spans="1:15" x14ac:dyDescent="0.4">
      <c r="A108" t="s">
        <v>1563</v>
      </c>
      <c r="B108">
        <v>36100</v>
      </c>
      <c r="C108">
        <v>5</v>
      </c>
      <c r="D108">
        <v>89</v>
      </c>
      <c r="E108">
        <v>39</v>
      </c>
      <c r="F108">
        <f t="shared" si="23"/>
        <v>9807.1111727487896</v>
      </c>
      <c r="G108">
        <f t="shared" si="24"/>
        <v>6.6011826358189882</v>
      </c>
      <c r="H108" s="5">
        <f t="shared" si="15"/>
        <v>0.66011826358189885</v>
      </c>
      <c r="I108">
        <f t="shared" si="16"/>
        <v>7574400.3398258733</v>
      </c>
      <c r="J108" s="34">
        <f>ROUND(F108,3-(1+INT(LOG10(ABS(F108)))))</f>
        <v>9810</v>
      </c>
      <c r="K108" s="34">
        <f t="shared" si="18"/>
        <v>19800</v>
      </c>
      <c r="L108" s="34">
        <f t="shared" si="19"/>
        <v>3610000</v>
      </c>
      <c r="M108" s="34">
        <f t="shared" si="20"/>
        <v>7574000</v>
      </c>
      <c r="N108" s="33">
        <f t="shared" si="21"/>
        <v>757.4</v>
      </c>
      <c r="O108" s="75">
        <f t="shared" si="22"/>
        <v>4766.305782941643</v>
      </c>
    </row>
    <row r="109" spans="1:15" x14ac:dyDescent="0.4">
      <c r="A109" t="s">
        <v>1275</v>
      </c>
      <c r="B109">
        <v>27800</v>
      </c>
      <c r="C109">
        <v>4</v>
      </c>
      <c r="D109">
        <v>90</v>
      </c>
      <c r="E109">
        <v>40</v>
      </c>
      <c r="F109">
        <f t="shared" si="23"/>
        <v>9807.1111727487896</v>
      </c>
      <c r="G109">
        <f t="shared" si="24"/>
        <v>6.6194032212177412</v>
      </c>
      <c r="H109" s="5">
        <f t="shared" si="15"/>
        <v>0.66194032212177412</v>
      </c>
      <c r="I109">
        <f t="shared" si="16"/>
        <v>6042840.8216294432</v>
      </c>
      <c r="J109" s="34">
        <f t="shared" si="17"/>
        <v>9810</v>
      </c>
      <c r="K109" s="34">
        <f t="shared" si="18"/>
        <v>19800</v>
      </c>
      <c r="L109" s="34">
        <f t="shared" si="19"/>
        <v>2780000</v>
      </c>
      <c r="M109" s="34">
        <f t="shared" si="20"/>
        <v>6043000</v>
      </c>
      <c r="N109" s="33">
        <f t="shared" si="21"/>
        <v>604.29999999999995</v>
      </c>
      <c r="O109" s="75">
        <f t="shared" si="22"/>
        <v>4600.3640575872914</v>
      </c>
    </row>
    <row r="110" spans="1:15" x14ac:dyDescent="0.4">
      <c r="A110" t="s">
        <v>1564</v>
      </c>
      <c r="B110">
        <v>63800</v>
      </c>
      <c r="C110">
        <v>9</v>
      </c>
      <c r="D110">
        <v>98</v>
      </c>
      <c r="E110">
        <v>42</v>
      </c>
      <c r="F110">
        <f t="shared" si="23"/>
        <v>10982.058049946656</v>
      </c>
      <c r="G110">
        <f t="shared" si="24"/>
        <v>6.3059878779408702</v>
      </c>
      <c r="H110" s="5">
        <f t="shared" si="15"/>
        <v>0.63059878779408707</v>
      </c>
      <c r="I110">
        <f t="shared" si="16"/>
        <v>14272149.224205012</v>
      </c>
      <c r="J110" s="34">
        <f t="shared" si="17"/>
        <v>11000</v>
      </c>
      <c r="K110" s="34">
        <f t="shared" si="18"/>
        <v>21000</v>
      </c>
      <c r="L110" s="34">
        <f t="shared" si="19"/>
        <v>6380000</v>
      </c>
      <c r="M110" s="34">
        <f t="shared" si="20"/>
        <v>14270000</v>
      </c>
      <c r="N110" s="33">
        <f t="shared" si="21"/>
        <v>1427</v>
      </c>
      <c r="O110" s="75">
        <f t="shared" si="22"/>
        <v>4470.9180098107918</v>
      </c>
    </row>
    <row r="111" spans="1:15" x14ac:dyDescent="0.4">
      <c r="A111" t="s">
        <v>1565</v>
      </c>
      <c r="B111">
        <v>76100</v>
      </c>
      <c r="C111">
        <v>10</v>
      </c>
      <c r="D111">
        <v>106</v>
      </c>
      <c r="E111">
        <v>44</v>
      </c>
      <c r="F111">
        <f>k*(E111+C111-1)/(r_p+r_0*(D111+C111-1)^(1/3))/1000</f>
        <v>11369.776578430245</v>
      </c>
      <c r="G111">
        <f>PI()*(r_0*D111^(1/3)+h/SQRT(2*m_p*1000000*F111*1000)*c_s)^2/1E-28</f>
        <v>6.3043082660009757</v>
      </c>
      <c r="H111" s="5">
        <f>MIN(G111/10,1)</f>
        <v>0.63043082660009753</v>
      </c>
      <c r="I111">
        <f>C111*mole/H111</f>
        <v>15862168.501387894</v>
      </c>
      <c r="J111" s="34">
        <f>ROUND(F111,3-(1+INT(LOG10(ABS(F111)))))</f>
        <v>11400</v>
      </c>
      <c r="K111" s="34">
        <f>ROUND(F111+10000,3-(1+INT(LOG10(ABS(F111+10000)))))</f>
        <v>21400</v>
      </c>
      <c r="L111" s="34">
        <f>B111*keV_to_H/p_debuff</f>
        <v>7610000</v>
      </c>
      <c r="M111" s="34">
        <f>ROUND(I111,4-(1+INT(LOG10(ABS(I111)))))*(sf_NSC/100)</f>
        <v>15860000</v>
      </c>
      <c r="N111" s="33">
        <f>M111/I_b</f>
        <v>1586</v>
      </c>
      <c r="O111" s="75">
        <f>L111/N111</f>
        <v>4798.2345523329132</v>
      </c>
    </row>
    <row r="112" spans="1:15" x14ac:dyDescent="0.4">
      <c r="A112" t="s">
        <v>1566</v>
      </c>
      <c r="B112">
        <v>71400</v>
      </c>
      <c r="C112">
        <v>10</v>
      </c>
      <c r="D112">
        <v>106</v>
      </c>
      <c r="E112">
        <v>46</v>
      </c>
      <c r="F112">
        <f t="shared" si="23"/>
        <v>11798.824751201197</v>
      </c>
      <c r="G112">
        <f t="shared" si="24"/>
        <v>6.1664568915998199</v>
      </c>
      <c r="H112" s="5">
        <f t="shared" si="15"/>
        <v>0.61664568915998197</v>
      </c>
      <c r="I112">
        <f t="shared" si="16"/>
        <v>16216767.871388799</v>
      </c>
      <c r="J112" s="34">
        <f t="shared" si="17"/>
        <v>11800</v>
      </c>
      <c r="K112" s="34">
        <f t="shared" si="18"/>
        <v>21800</v>
      </c>
      <c r="L112" s="34">
        <f t="shared" si="19"/>
        <v>7140000</v>
      </c>
      <c r="M112" s="34">
        <f t="shared" si="20"/>
        <v>16220000</v>
      </c>
      <c r="N112" s="33">
        <f t="shared" si="21"/>
        <v>1622</v>
      </c>
      <c r="O112" s="75">
        <f t="shared" si="22"/>
        <v>4401.9728729963008</v>
      </c>
    </row>
    <row r="113" spans="1:15" x14ac:dyDescent="0.4">
      <c r="A113" t="s">
        <v>1276</v>
      </c>
      <c r="B113">
        <v>65700</v>
      </c>
      <c r="C113">
        <v>9</v>
      </c>
      <c r="D113">
        <v>107</v>
      </c>
      <c r="E113">
        <v>47</v>
      </c>
      <c r="F113">
        <f t="shared" si="23"/>
        <v>11798.824751201197</v>
      </c>
      <c r="G113">
        <f t="shared" si="24"/>
        <v>6.1821386221769217</v>
      </c>
      <c r="H113" s="5">
        <f t="shared" si="15"/>
        <v>0.61821386221769214</v>
      </c>
      <c r="I113">
        <f t="shared" si="16"/>
        <v>14558068.898220245</v>
      </c>
      <c r="J113" s="34">
        <f t="shared" si="17"/>
        <v>11800</v>
      </c>
      <c r="K113" s="34">
        <f t="shared" si="18"/>
        <v>21800</v>
      </c>
      <c r="L113" s="34">
        <f t="shared" si="19"/>
        <v>6570000</v>
      </c>
      <c r="M113" s="34">
        <f t="shared" si="20"/>
        <v>14560000</v>
      </c>
      <c r="N113" s="33">
        <f t="shared" si="21"/>
        <v>1456</v>
      </c>
      <c r="O113" s="75">
        <f t="shared" si="22"/>
        <v>4512.3626373626375</v>
      </c>
    </row>
    <row r="114" spans="1:15" x14ac:dyDescent="0.4">
      <c r="A114" t="s">
        <v>1567</v>
      </c>
      <c r="B114">
        <v>81700</v>
      </c>
      <c r="C114">
        <v>12</v>
      </c>
      <c r="D114">
        <v>120</v>
      </c>
      <c r="E114">
        <v>50</v>
      </c>
      <c r="F114">
        <f>k*(E114+C114-1)/(r_p+r_0*(D114+C114-1)^(1/3))/1000</f>
        <v>12599.864227086724</v>
      </c>
      <c r="G114">
        <f>PI()*(r_0*D114^(1/3)+h/SQRT(2*m_p*1000000*F114*1000)*c_s)^2/1E-28</f>
        <v>6.1405944786693709</v>
      </c>
      <c r="H114" s="5">
        <f>MIN(G114/10,1)</f>
        <v>0.61405944786693711</v>
      </c>
      <c r="I114">
        <f>C114*mole/H114</f>
        <v>19542081.864686701</v>
      </c>
      <c r="J114" s="34">
        <f>ROUND(F114,3-(1+INT(LOG10(ABS(F114)))))</f>
        <v>12600</v>
      </c>
      <c r="K114" s="34">
        <f>ROUND(F114+10000,3-(1+INT(LOG10(ABS(F114+10000)))))</f>
        <v>22600</v>
      </c>
      <c r="L114" s="34">
        <f>B114*keV_to_H/p_debuff</f>
        <v>8170000</v>
      </c>
      <c r="M114" s="34">
        <f>ROUND(I114,4-(1+INT(LOG10(ABS(I114)))))*(sf_NSC/100)</f>
        <v>19540000</v>
      </c>
      <c r="N114" s="33">
        <f>M114/I_b</f>
        <v>1954</v>
      </c>
      <c r="O114" s="75">
        <f>L114/N114</f>
        <v>4181.1668372569093</v>
      </c>
    </row>
    <row r="115" spans="1:15" x14ac:dyDescent="0.4">
      <c r="A115" t="s">
        <v>1568</v>
      </c>
      <c r="B115">
        <v>34900</v>
      </c>
      <c r="C115">
        <v>5</v>
      </c>
      <c r="D115">
        <v>127</v>
      </c>
      <c r="E115">
        <v>53</v>
      </c>
      <c r="F115">
        <f t="shared" si="23"/>
        <v>11773.643622031857</v>
      </c>
      <c r="G115">
        <f t="shared" si="24"/>
        <v>6.488863552756281</v>
      </c>
      <c r="H115" s="5">
        <f t="shared" si="15"/>
        <v>0.6488863552756281</v>
      </c>
      <c r="I115">
        <f t="shared" si="16"/>
        <v>7705509.5385325914</v>
      </c>
      <c r="J115" s="34">
        <f t="shared" si="17"/>
        <v>11800</v>
      </c>
      <c r="K115" s="34">
        <f t="shared" si="18"/>
        <v>21800</v>
      </c>
      <c r="L115" s="34">
        <f t="shared" si="19"/>
        <v>3490000</v>
      </c>
      <c r="M115" s="34">
        <f t="shared" si="20"/>
        <v>7706000</v>
      </c>
      <c r="N115" s="33">
        <f t="shared" si="21"/>
        <v>770.6</v>
      </c>
      <c r="O115" s="75">
        <f t="shared" si="22"/>
        <v>4528.9384894887098</v>
      </c>
    </row>
    <row r="116" spans="1:15" x14ac:dyDescent="0.4">
      <c r="A116" t="s">
        <v>1569</v>
      </c>
      <c r="B116">
        <v>35800</v>
      </c>
      <c r="C116">
        <v>5</v>
      </c>
      <c r="D116">
        <v>137</v>
      </c>
      <c r="E116">
        <v>55</v>
      </c>
      <c r="F116">
        <f>k*(E116+C116-1)/(r_p+r_0*(D116+C116-1)^(1/3))/1000</f>
        <v>11927.904517028981</v>
      </c>
      <c r="G116">
        <f>PI()*(r_0*D116^(1/3)+h/SQRT(2*m_p*1000000*F116*1000)*c_s)^2/1E-28</f>
        <v>6.5796859439881015</v>
      </c>
      <c r="H116" s="5">
        <f>MIN(G116/10,1)</f>
        <v>0.65796859439881017</v>
      </c>
      <c r="I116">
        <f>C116*mole/H116</f>
        <v>7599146.8932776796</v>
      </c>
      <c r="J116" s="34">
        <f>ROUND(F116,3-(1+INT(LOG10(ABS(F116)))))</f>
        <v>11900</v>
      </c>
      <c r="K116" s="34">
        <f>ROUND(F116+10000,3-(1+INT(LOG10(ABS(F116+10000)))))</f>
        <v>21900</v>
      </c>
      <c r="L116" s="34">
        <f>B116*keV_to_H/p_debuff</f>
        <v>3580000</v>
      </c>
      <c r="M116" s="34">
        <f>ROUND(I116,4-(1+INT(LOG10(ABS(I116)))))*(sf_NSC/100)</f>
        <v>7599000</v>
      </c>
      <c r="N116" s="33">
        <f>M116/I_b</f>
        <v>759.9</v>
      </c>
      <c r="O116" s="75">
        <f>L116/N116</f>
        <v>4711.1462034478218</v>
      </c>
    </row>
    <row r="117" spans="1:15" x14ac:dyDescent="0.4">
      <c r="A117" t="s">
        <v>1277</v>
      </c>
      <c r="B117">
        <v>26800</v>
      </c>
      <c r="C117">
        <v>4</v>
      </c>
      <c r="D117">
        <v>138</v>
      </c>
      <c r="E117">
        <v>56</v>
      </c>
      <c r="F117">
        <f t="shared" si="23"/>
        <v>11927.904517028981</v>
      </c>
      <c r="G117">
        <f t="shared" si="24"/>
        <v>6.5933461948257071</v>
      </c>
      <c r="H117" s="5">
        <f t="shared" si="15"/>
        <v>0.65933461948257066</v>
      </c>
      <c r="I117">
        <f t="shared" si="16"/>
        <v>6066722.2405811185</v>
      </c>
      <c r="J117" s="34">
        <f t="shared" si="17"/>
        <v>11900</v>
      </c>
      <c r="K117" s="34">
        <f t="shared" si="18"/>
        <v>21900</v>
      </c>
      <c r="L117" s="34">
        <f t="shared" si="19"/>
        <v>2680000</v>
      </c>
      <c r="M117" s="34">
        <f t="shared" si="20"/>
        <v>6067000</v>
      </c>
      <c r="N117" s="33">
        <f t="shared" si="21"/>
        <v>606.70000000000005</v>
      </c>
      <c r="O117" s="75">
        <f t="shared" si="22"/>
        <v>4417.3397066095267</v>
      </c>
    </row>
    <row r="118" spans="1:15" x14ac:dyDescent="0.4">
      <c r="A118" t="s">
        <v>1278</v>
      </c>
      <c r="B118">
        <v>10600</v>
      </c>
      <c r="C118">
        <v>2</v>
      </c>
      <c r="D118">
        <v>142</v>
      </c>
      <c r="E118">
        <v>60</v>
      </c>
      <c r="F118">
        <f t="shared" si="23"/>
        <v>12281.560069648132</v>
      </c>
      <c r="G118">
        <f t="shared" si="24"/>
        <v>6.5380977614198619</v>
      </c>
      <c r="H118" s="5">
        <f t="shared" si="15"/>
        <v>0.65380977614198621</v>
      </c>
      <c r="I118">
        <f t="shared" si="16"/>
        <v>3058993.7210814436</v>
      </c>
      <c r="J118" s="34">
        <f t="shared" si="17"/>
        <v>12300</v>
      </c>
      <c r="K118" s="34">
        <f t="shared" si="18"/>
        <v>22300</v>
      </c>
      <c r="L118" s="34">
        <f t="shared" si="19"/>
        <v>1060000</v>
      </c>
      <c r="M118" s="34">
        <f t="shared" si="20"/>
        <v>3059000</v>
      </c>
      <c r="N118" s="33">
        <f t="shared" si="21"/>
        <v>305.89999999999998</v>
      </c>
      <c r="O118" s="75">
        <f t="shared" si="22"/>
        <v>3465.1847008826417</v>
      </c>
    </row>
    <row r="119" spans="1:15" x14ac:dyDescent="0.4">
      <c r="A119" t="s">
        <v>1570</v>
      </c>
      <c r="B119">
        <v>55000</v>
      </c>
      <c r="C119">
        <v>9</v>
      </c>
      <c r="D119">
        <v>147</v>
      </c>
      <c r="E119">
        <v>61</v>
      </c>
      <c r="F119">
        <f>k*(E119+C119-1)/(r_p+r_0*(D119+C119-1)^(1/3))/1000</f>
        <v>13568.168198983778</v>
      </c>
      <c r="G119">
        <f>PI()*(r_0*D119^(1/3)+h/SQRT(2*m_p*1000000*F119*1000)*c_s)^2/1E-28</f>
        <v>6.2475715467720194</v>
      </c>
      <c r="H119" s="5">
        <f>MIN(G119/10,1)</f>
        <v>0.62475715467720194</v>
      </c>
      <c r="I119">
        <f>C119*mole/H119</f>
        <v>14405597.331094349</v>
      </c>
      <c r="J119" s="34">
        <f>ROUND(F119,3-(1+INT(LOG10(ABS(F119)))))</f>
        <v>13600</v>
      </c>
      <c r="K119" s="34">
        <f>ROUND(F119+10000,3-(1+INT(LOG10(ABS(F119+10000)))))</f>
        <v>23600</v>
      </c>
      <c r="L119" s="34">
        <f>B119*keV_to_H/p_debuff</f>
        <v>5500000</v>
      </c>
      <c r="M119" s="34">
        <f>ROUND(I119,4-(1+INT(LOG10(ABS(I119)))))*(sf_NSC/100)</f>
        <v>14410000</v>
      </c>
      <c r="N119" s="33">
        <f>M119/I_b</f>
        <v>1441</v>
      </c>
      <c r="O119" s="75">
        <f>L119/N119</f>
        <v>3816.7938931297708</v>
      </c>
    </row>
    <row r="120" spans="1:15" x14ac:dyDescent="0.4">
      <c r="A120" t="s">
        <v>1571</v>
      </c>
      <c r="B120">
        <v>24900</v>
      </c>
      <c r="C120">
        <v>4</v>
      </c>
      <c r="D120">
        <v>152</v>
      </c>
      <c r="E120">
        <v>62</v>
      </c>
      <c r="F120">
        <f t="shared" si="23"/>
        <v>12781.607723680372</v>
      </c>
      <c r="G120">
        <f t="shared" si="24"/>
        <v>6.5220788031034544</v>
      </c>
      <c r="H120" s="5">
        <f t="shared" si="15"/>
        <v>0.65220788031034549</v>
      </c>
      <c r="I120">
        <f t="shared" si="16"/>
        <v>6133013.906695894</v>
      </c>
      <c r="J120" s="34">
        <f t="shared" si="17"/>
        <v>12800</v>
      </c>
      <c r="K120" s="34">
        <f t="shared" si="18"/>
        <v>22800</v>
      </c>
      <c r="L120" s="34">
        <f t="shared" si="19"/>
        <v>2490000</v>
      </c>
      <c r="M120" s="34">
        <f t="shared" si="20"/>
        <v>6133000</v>
      </c>
      <c r="N120" s="33">
        <f t="shared" si="21"/>
        <v>613.29999999999995</v>
      </c>
      <c r="O120" s="75">
        <f t="shared" si="22"/>
        <v>4060.0032610467965</v>
      </c>
    </row>
    <row r="121" spans="1:15" x14ac:dyDescent="0.4">
      <c r="A121" t="s">
        <v>1573</v>
      </c>
      <c r="B121">
        <v>70200</v>
      </c>
      <c r="C121">
        <v>11</v>
      </c>
      <c r="D121">
        <v>155</v>
      </c>
      <c r="E121">
        <v>63</v>
      </c>
      <c r="F121">
        <f>k*(E121+C121-1)/(r_p+r_0*(D121+C121-1)^(1/3))/1000</f>
        <v>14093.480576409725</v>
      </c>
      <c r="G121">
        <f>PI()*(r_0*D121^(1/3)+h/SQRT(2*m_p*1000000*F121*1000)*c_s)^2/1E-28</f>
        <v>6.2181037113544262</v>
      </c>
      <c r="H121" s="5">
        <f>MIN(G121/10,1)</f>
        <v>0.62181037113544257</v>
      </c>
      <c r="I121">
        <f>C121*mole/H121</f>
        <v>17690280.687846527</v>
      </c>
      <c r="J121" s="34">
        <f>ROUND(F121,3-(1+INT(LOG10(ABS(F121)))))</f>
        <v>14100</v>
      </c>
      <c r="K121" s="34">
        <f>ROUND(F121+10000,3-(1+INT(LOG10(ABS(F121+10000)))))</f>
        <v>24100</v>
      </c>
      <c r="L121" s="34">
        <f>B121*keV_to_H/p_debuff</f>
        <v>7020000</v>
      </c>
      <c r="M121" s="34">
        <f>ROUND(I121,4-(1+INT(LOG10(ABS(I121)))))*(sf_NSC/100)</f>
        <v>17690000</v>
      </c>
      <c r="N121" s="33">
        <f>M121/I_b</f>
        <v>1769</v>
      </c>
      <c r="O121" s="75">
        <f>L121/N121</f>
        <v>3968.343697003957</v>
      </c>
    </row>
    <row r="122" spans="1:15" x14ac:dyDescent="0.4">
      <c r="A122" t="s">
        <v>1572</v>
      </c>
      <c r="B122">
        <v>50500</v>
      </c>
      <c r="C122">
        <v>8</v>
      </c>
      <c r="D122">
        <v>158</v>
      </c>
      <c r="E122">
        <v>64</v>
      </c>
      <c r="F122">
        <f t="shared" si="23"/>
        <v>13707.35782089165</v>
      </c>
      <c r="G122">
        <f t="shared" si="24"/>
        <v>6.3495628209069332</v>
      </c>
      <c r="H122" s="5">
        <f t="shared" si="15"/>
        <v>0.63495628209069332</v>
      </c>
      <c r="I122">
        <f t="shared" si="16"/>
        <v>12599292.62162545</v>
      </c>
      <c r="J122" s="34">
        <f t="shared" si="17"/>
        <v>13700</v>
      </c>
      <c r="K122" s="34">
        <f t="shared" si="18"/>
        <v>23700</v>
      </c>
      <c r="L122" s="34">
        <f t="shared" si="19"/>
        <v>5050000</v>
      </c>
      <c r="M122" s="34">
        <f t="shared" si="20"/>
        <v>12600000</v>
      </c>
      <c r="N122" s="33">
        <f t="shared" si="21"/>
        <v>1260</v>
      </c>
      <c r="O122" s="75">
        <f t="shared" si="22"/>
        <v>4007.936507936508</v>
      </c>
    </row>
    <row r="123" spans="1:15" x14ac:dyDescent="0.4">
      <c r="A123" t="s">
        <v>1574</v>
      </c>
      <c r="B123">
        <v>37500</v>
      </c>
      <c r="C123">
        <v>6</v>
      </c>
      <c r="D123">
        <v>164</v>
      </c>
      <c r="E123">
        <v>66</v>
      </c>
      <c r="F123">
        <f t="shared" si="23"/>
        <v>13611.075645472647</v>
      </c>
      <c r="G123">
        <f t="shared" si="24"/>
        <v>6.4467519582461712</v>
      </c>
      <c r="H123" s="5">
        <f t="shared" si="15"/>
        <v>0.64467519582461708</v>
      </c>
      <c r="I123">
        <f t="shared" si="16"/>
        <v>9307012.3356076684</v>
      </c>
      <c r="J123" s="34">
        <f t="shared" si="17"/>
        <v>13600</v>
      </c>
      <c r="K123" s="34">
        <f t="shared" si="18"/>
        <v>23600</v>
      </c>
      <c r="L123" s="34">
        <f t="shared" si="19"/>
        <v>3750000</v>
      </c>
      <c r="M123" s="34">
        <f t="shared" si="20"/>
        <v>9307000</v>
      </c>
      <c r="N123" s="33">
        <f t="shared" si="21"/>
        <v>930.7</v>
      </c>
      <c r="O123" s="75">
        <f t="shared" si="22"/>
        <v>4029.2253142795744</v>
      </c>
    </row>
    <row r="124" spans="1:15" x14ac:dyDescent="0.4">
      <c r="A124" t="s">
        <v>1575</v>
      </c>
      <c r="B124">
        <v>31300</v>
      </c>
      <c r="C124">
        <v>5</v>
      </c>
      <c r="D124">
        <v>165</v>
      </c>
      <c r="E124">
        <v>67</v>
      </c>
      <c r="F124">
        <f t="shared" si="23"/>
        <v>13611.075645472647</v>
      </c>
      <c r="G124">
        <f t="shared" si="24"/>
        <v>6.4587495513747326</v>
      </c>
      <c r="H124" s="5">
        <f t="shared" si="15"/>
        <v>0.64587495513747328</v>
      </c>
      <c r="I124">
        <f t="shared" si="16"/>
        <v>7741436.5741055235</v>
      </c>
      <c r="J124" s="34">
        <f t="shared" si="17"/>
        <v>13600</v>
      </c>
      <c r="K124" s="34">
        <f t="shared" si="18"/>
        <v>23600</v>
      </c>
      <c r="L124" s="34">
        <f t="shared" si="19"/>
        <v>3130000</v>
      </c>
      <c r="M124" s="34">
        <f t="shared" si="20"/>
        <v>7741000</v>
      </c>
      <c r="N124" s="33">
        <f t="shared" si="21"/>
        <v>774.1</v>
      </c>
      <c r="O124" s="75">
        <f t="shared" si="22"/>
        <v>4043.4052448004131</v>
      </c>
    </row>
    <row r="125" spans="1:15" x14ac:dyDescent="0.4">
      <c r="A125" t="s">
        <v>1576</v>
      </c>
      <c r="B125">
        <v>24000</v>
      </c>
      <c r="C125">
        <v>4</v>
      </c>
      <c r="D125">
        <v>166</v>
      </c>
      <c r="E125">
        <v>68</v>
      </c>
      <c r="F125">
        <f t="shared" si="23"/>
        <v>13611.075645472647</v>
      </c>
      <c r="G125">
        <f t="shared" si="24"/>
        <v>6.4707098529713702</v>
      </c>
      <c r="H125" s="5">
        <f t="shared" si="15"/>
        <v>0.64707098529713702</v>
      </c>
      <c r="I125">
        <f t="shared" si="16"/>
        <v>6181701.993890496</v>
      </c>
      <c r="J125" s="34">
        <f t="shared" si="17"/>
        <v>13600</v>
      </c>
      <c r="K125" s="34">
        <f t="shared" si="18"/>
        <v>23600</v>
      </c>
      <c r="L125" s="34">
        <f t="shared" si="19"/>
        <v>2400000</v>
      </c>
      <c r="M125" s="34">
        <f t="shared" si="20"/>
        <v>6182000</v>
      </c>
      <c r="N125" s="33">
        <f t="shared" si="21"/>
        <v>618.20000000000005</v>
      </c>
      <c r="O125" s="75">
        <f t="shared" si="22"/>
        <v>3882.2387576835972</v>
      </c>
    </row>
    <row r="126" spans="1:15" x14ac:dyDescent="0.4">
      <c r="A126" t="s">
        <v>1577</v>
      </c>
      <c r="B126">
        <v>58100</v>
      </c>
      <c r="C126">
        <v>10</v>
      </c>
      <c r="D126">
        <v>174</v>
      </c>
      <c r="E126">
        <v>70</v>
      </c>
      <c r="F126">
        <f t="shared" si="23"/>
        <v>14793.442569098779</v>
      </c>
      <c r="G126">
        <f t="shared" si="24"/>
        <v>6.2808283230262099</v>
      </c>
      <c r="H126" s="5">
        <f t="shared" si="15"/>
        <v>0.62808283230262096</v>
      </c>
      <c r="I126">
        <f t="shared" si="16"/>
        <v>15921466.860252965</v>
      </c>
      <c r="J126" s="34">
        <f t="shared" si="17"/>
        <v>14800</v>
      </c>
      <c r="K126" s="34">
        <f t="shared" si="18"/>
        <v>24800</v>
      </c>
      <c r="L126" s="34">
        <f t="shared" si="19"/>
        <v>5810000</v>
      </c>
      <c r="M126" s="34">
        <f t="shared" si="20"/>
        <v>15920000</v>
      </c>
      <c r="N126" s="33">
        <f t="shared" si="21"/>
        <v>1592</v>
      </c>
      <c r="O126" s="75">
        <f t="shared" si="22"/>
        <v>3649.497487437186</v>
      </c>
    </row>
    <row r="127" spans="1:15" x14ac:dyDescent="0.4">
      <c r="A127" t="s">
        <v>1578</v>
      </c>
      <c r="B127">
        <v>58400</v>
      </c>
      <c r="C127">
        <v>10</v>
      </c>
      <c r="D127">
        <v>180</v>
      </c>
      <c r="E127">
        <v>72</v>
      </c>
      <c r="F127">
        <f t="shared" si="23"/>
        <v>15024.050347584001</v>
      </c>
      <c r="G127">
        <f t="shared" si="24"/>
        <v>6.2975539836242538</v>
      </c>
      <c r="H127" s="5">
        <f t="shared" si="15"/>
        <v>0.62975539836242533</v>
      </c>
      <c r="I127">
        <f t="shared" si="16"/>
        <v>15879181.069353823</v>
      </c>
      <c r="J127" s="34">
        <f t="shared" si="17"/>
        <v>15000</v>
      </c>
      <c r="K127" s="34">
        <f t="shared" si="18"/>
        <v>25000</v>
      </c>
      <c r="L127" s="34">
        <f t="shared" si="19"/>
        <v>5840000</v>
      </c>
      <c r="M127" s="34">
        <f t="shared" si="20"/>
        <v>15880000</v>
      </c>
      <c r="N127" s="33">
        <f t="shared" si="21"/>
        <v>1588</v>
      </c>
      <c r="O127" s="75">
        <f t="shared" si="22"/>
        <v>3677.581863979849</v>
      </c>
    </row>
    <row r="128" spans="1:15" x14ac:dyDescent="0.4">
      <c r="A128" t="s">
        <v>1579</v>
      </c>
      <c r="B128">
        <v>40000</v>
      </c>
      <c r="C128">
        <v>7</v>
      </c>
      <c r="D128">
        <v>184</v>
      </c>
      <c r="E128">
        <v>74</v>
      </c>
      <c r="F128">
        <f t="shared" si="23"/>
        <v>14815.431181842643</v>
      </c>
      <c r="G128">
        <f t="shared" si="24"/>
        <v>6.3882780925491671</v>
      </c>
      <c r="H128" s="5">
        <f t="shared" si="15"/>
        <v>0.63882780925491667</v>
      </c>
      <c r="I128">
        <f t="shared" si="16"/>
        <v>10957569.31459246</v>
      </c>
      <c r="J128" s="34">
        <f t="shared" si="17"/>
        <v>14800</v>
      </c>
      <c r="K128" s="34">
        <f t="shared" si="18"/>
        <v>24800</v>
      </c>
      <c r="L128" s="34">
        <f t="shared" si="19"/>
        <v>4000000</v>
      </c>
      <c r="M128" s="34">
        <f t="shared" si="20"/>
        <v>10960000</v>
      </c>
      <c r="N128" s="33">
        <f t="shared" si="21"/>
        <v>1096</v>
      </c>
      <c r="O128" s="75">
        <f t="shared" si="22"/>
        <v>3649.6350364963505</v>
      </c>
    </row>
    <row r="129" spans="1:15" x14ac:dyDescent="0.4">
      <c r="A129" t="s">
        <v>1580</v>
      </c>
      <c r="B129">
        <v>43200</v>
      </c>
      <c r="C129">
        <v>7</v>
      </c>
      <c r="D129">
        <v>192</v>
      </c>
      <c r="E129">
        <v>76</v>
      </c>
      <c r="F129">
        <f>k*(E129+C129-1)/(r_p+r_0*(D129+C129-1)^(1/3))/1000</f>
        <v>15001.577871941106</v>
      </c>
      <c r="G129">
        <f t="shared" si="24"/>
        <v>6.4342766955997668</v>
      </c>
      <c r="H129" s="5">
        <f t="shared" si="15"/>
        <v>0.64342766955997666</v>
      </c>
      <c r="I129">
        <f t="shared" si="16"/>
        <v>10879233.721464165</v>
      </c>
      <c r="J129" s="34">
        <f t="shared" si="17"/>
        <v>15000</v>
      </c>
      <c r="K129" s="34">
        <f t="shared" si="18"/>
        <v>25000</v>
      </c>
      <c r="L129" s="34">
        <f t="shared" si="19"/>
        <v>4320000</v>
      </c>
      <c r="M129" s="34">
        <f t="shared" si="20"/>
        <v>10880000</v>
      </c>
      <c r="N129" s="33">
        <f t="shared" si="21"/>
        <v>1088</v>
      </c>
      <c r="O129" s="75">
        <f t="shared" si="22"/>
        <v>3970.5882352941176</v>
      </c>
    </row>
    <row r="130" spans="1:15" x14ac:dyDescent="0.4">
      <c r="A130" t="s">
        <v>1581</v>
      </c>
      <c r="B130">
        <v>37200</v>
      </c>
      <c r="C130">
        <v>6</v>
      </c>
      <c r="D130">
        <v>193</v>
      </c>
      <c r="E130">
        <v>77</v>
      </c>
      <c r="F130">
        <f>k*(E130+C130-1)/(r_p+r_0*(D130+C130-1)^(1/3))/1000</f>
        <v>15001.577871941106</v>
      </c>
      <c r="G130">
        <f t="shared" si="24"/>
        <v>6.4450697289704078</v>
      </c>
      <c r="H130" s="5">
        <f t="shared" si="15"/>
        <v>0.64450697289704073</v>
      </c>
      <c r="I130">
        <f t="shared" si="16"/>
        <v>9309441.5612451304</v>
      </c>
      <c r="J130" s="34">
        <f>ROUND(F130,3-(1+INT(LOG10(ABS(F130)))))</f>
        <v>15000</v>
      </c>
      <c r="K130" s="34">
        <f t="shared" si="18"/>
        <v>25000</v>
      </c>
      <c r="L130" s="34">
        <f t="shared" si="19"/>
        <v>3720000</v>
      </c>
      <c r="M130" s="34">
        <f t="shared" si="20"/>
        <v>9309000</v>
      </c>
      <c r="N130" s="33">
        <f t="shared" si="21"/>
        <v>930.9</v>
      </c>
      <c r="O130" s="75">
        <f t="shared" si="22"/>
        <v>3996.1327747341284</v>
      </c>
    </row>
    <row r="131" spans="1:15" x14ac:dyDescent="0.4">
      <c r="A131" t="s">
        <v>1582</v>
      </c>
      <c r="B131">
        <v>24900</v>
      </c>
      <c r="C131">
        <v>4</v>
      </c>
      <c r="D131">
        <v>195</v>
      </c>
      <c r="E131">
        <v>78</v>
      </c>
      <c r="F131">
        <f t="shared" si="23"/>
        <v>14818.63180033207</v>
      </c>
      <c r="G131">
        <f t="shared" si="24"/>
        <v>6.5076228295926466</v>
      </c>
      <c r="H131" s="5">
        <f t="shared" si="15"/>
        <v>0.65076228295926464</v>
      </c>
      <c r="I131">
        <f t="shared" si="16"/>
        <v>6146637.7273902111</v>
      </c>
      <c r="J131" s="34">
        <f t="shared" si="17"/>
        <v>14800</v>
      </c>
      <c r="K131" s="34">
        <f t="shared" si="18"/>
        <v>24800</v>
      </c>
      <c r="L131" s="34">
        <f t="shared" si="19"/>
        <v>2490000</v>
      </c>
      <c r="M131" s="34">
        <f t="shared" si="20"/>
        <v>6147000</v>
      </c>
      <c r="N131" s="33">
        <f t="shared" si="21"/>
        <v>614.70000000000005</v>
      </c>
      <c r="O131" s="75">
        <f t="shared" si="22"/>
        <v>4050.7564665690579</v>
      </c>
    </row>
    <row r="132" spans="1:15" x14ac:dyDescent="0.4">
      <c r="A132" t="s">
        <v>1583</v>
      </c>
      <c r="B132">
        <v>24100</v>
      </c>
      <c r="C132">
        <v>4</v>
      </c>
      <c r="D132">
        <v>197</v>
      </c>
      <c r="E132">
        <v>79</v>
      </c>
      <c r="F132">
        <f>k*(E132+C132-1)/(r_p+r_0*(D132+C132-1)^(1/3))/1000</f>
        <v>14956.978600034383</v>
      </c>
      <c r="G132">
        <f>PI()*(r_0*D132^(1/3)+h/SQRT(2*m_p*1000000*F132*1000)*c_s)^2/1E-28</f>
        <v>6.4979046154760347</v>
      </c>
      <c r="H132" s="5">
        <f>MIN(G132/10,1)</f>
        <v>0.64979046154760345</v>
      </c>
      <c r="I132">
        <f>C132*mole/H132</f>
        <v>6155830.5895614643</v>
      </c>
      <c r="J132" s="34">
        <f>ROUND(F132,3-(1+INT(LOG10(ABS(F132)))))</f>
        <v>15000</v>
      </c>
      <c r="K132" s="34">
        <f>ROUND(F132+10000,3-(1+INT(LOG10(ABS(F132+10000)))))</f>
        <v>25000</v>
      </c>
      <c r="L132" s="34">
        <f>B132*keV_to_H/p_debuff</f>
        <v>2410000</v>
      </c>
      <c r="M132" s="34">
        <f>ROUND(I132,4-(1+INT(LOG10(ABS(I132)))))*(sf_NSC/100)</f>
        <v>6156000</v>
      </c>
      <c r="N132" s="33">
        <f>M132/I_b</f>
        <v>615.6</v>
      </c>
      <c r="O132" s="75">
        <f>L132/N132</f>
        <v>3914.8797920727743</v>
      </c>
    </row>
    <row r="133" spans="1:15" x14ac:dyDescent="0.4">
      <c r="A133" t="s">
        <v>1584</v>
      </c>
      <c r="B133">
        <v>24600</v>
      </c>
      <c r="C133">
        <v>4</v>
      </c>
      <c r="D133">
        <v>202</v>
      </c>
      <c r="E133">
        <v>80</v>
      </c>
      <c r="F133">
        <f>k*(E133+C133-1)/(r_p+r_0*(D133+C133-1)^(1/3))/1000</f>
        <v>15028.967263124701</v>
      </c>
      <c r="G133">
        <f>PI()*(r_0*D133^(1/3)+h/SQRT(2*m_p*1000000*F133*1000)*c_s)^2/1E-28</f>
        <v>6.5348586099522912</v>
      </c>
      <c r="H133" s="5">
        <f>MIN(G133/10,1)</f>
        <v>0.6534858609952291</v>
      </c>
      <c r="I133">
        <f>C133*mole/H133</f>
        <v>6121019.9619440623</v>
      </c>
      <c r="J133" s="34">
        <f>ROUND(F133,3-(1+INT(LOG10(ABS(F133)))))</f>
        <v>15000</v>
      </c>
      <c r="K133" s="34">
        <f>ROUND(F133+10000,3-(1+INT(LOG10(ABS(F133+10000)))))</f>
        <v>25000</v>
      </c>
      <c r="L133" s="34">
        <f>B133*keV_to_H/p_debuff</f>
        <v>2460000</v>
      </c>
      <c r="M133" s="34">
        <f>ROUND(I133,4-(1+INT(LOG10(ABS(I133)))))*(sf_NSC/100)</f>
        <v>6121000</v>
      </c>
      <c r="N133" s="33">
        <f>M133/I_b</f>
        <v>612.1</v>
      </c>
      <c r="O133" s="75">
        <f>L133/N133</f>
        <v>4018.9511517725859</v>
      </c>
    </row>
    <row r="134" spans="1:15" x14ac:dyDescent="0.4">
      <c r="A134" t="s">
        <v>1585</v>
      </c>
      <c r="B134">
        <v>8780</v>
      </c>
      <c r="C134">
        <v>2</v>
      </c>
      <c r="D134">
        <v>208</v>
      </c>
      <c r="E134">
        <v>82</v>
      </c>
      <c r="F134">
        <f t="shared" si="23"/>
        <v>14943.051056325176</v>
      </c>
      <c r="G134">
        <f t="shared" si="24"/>
        <v>6.6168747768946696</v>
      </c>
      <c r="H134" s="5">
        <f t="shared" si="15"/>
        <v>0.66168747768946701</v>
      </c>
      <c r="I134">
        <f t="shared" si="16"/>
        <v>3022574.9578694752</v>
      </c>
      <c r="J134" s="34">
        <f t="shared" si="17"/>
        <v>14900</v>
      </c>
      <c r="K134" s="34">
        <f t="shared" si="18"/>
        <v>24900</v>
      </c>
      <c r="L134" s="34">
        <f t="shared" si="19"/>
        <v>878000</v>
      </c>
      <c r="M134" s="34">
        <f t="shared" si="20"/>
        <v>3023000</v>
      </c>
      <c r="N134" s="33">
        <f t="shared" si="21"/>
        <v>302.3</v>
      </c>
      <c r="O134" s="75">
        <f t="shared" si="22"/>
        <v>2904.3996030433345</v>
      </c>
    </row>
    <row r="135" spans="1:15" x14ac:dyDescent="0.4">
      <c r="A135" t="s">
        <v>1280</v>
      </c>
      <c r="B135">
        <v>4980</v>
      </c>
      <c r="C135">
        <v>1</v>
      </c>
      <c r="D135">
        <v>209</v>
      </c>
      <c r="E135">
        <v>83</v>
      </c>
      <c r="F135">
        <f t="shared" si="23"/>
        <v>14943.051056325176</v>
      </c>
      <c r="G135">
        <f t="shared" si="24"/>
        <v>6.6272522428456986</v>
      </c>
      <c r="H135" s="5">
        <f t="shared" si="15"/>
        <v>0.66272522428456981</v>
      </c>
      <c r="I135">
        <f t="shared" si="16"/>
        <v>1508920.9876982239</v>
      </c>
      <c r="J135" s="34">
        <f t="shared" si="17"/>
        <v>14900</v>
      </c>
      <c r="K135" s="34">
        <f t="shared" si="18"/>
        <v>24900</v>
      </c>
      <c r="L135" s="34">
        <f t="shared" si="19"/>
        <v>498000</v>
      </c>
      <c r="M135" s="34">
        <f t="shared" si="20"/>
        <v>1509000</v>
      </c>
      <c r="N135" s="33">
        <f t="shared" si="21"/>
        <v>150.9</v>
      </c>
      <c r="O135" s="75">
        <f t="shared" si="22"/>
        <v>3300.1988071570577</v>
      </c>
    </row>
  </sheetData>
  <mergeCells count="13">
    <mergeCell ref="A96:O96"/>
    <mergeCell ref="A97:O99"/>
    <mergeCell ref="R23:AF23"/>
    <mergeCell ref="R22:AF22"/>
    <mergeCell ref="A46:O47"/>
    <mergeCell ref="R1:AE2"/>
    <mergeCell ref="A45:O45"/>
    <mergeCell ref="A5:N8"/>
    <mergeCell ref="A1:N2"/>
    <mergeCell ref="A4:N4"/>
    <mergeCell ref="R4:AE7"/>
    <mergeCell ref="R9:AE9"/>
    <mergeCell ref="R15:AE15"/>
  </mergeCells>
  <pageMargins left="0.7" right="0.7" top="0.75" bottom="0.75" header="0.3" footer="0.3"/>
  <pageSetup paperSize="9" orientation="portrait" horizontalDpi="0" verticalDpi="0"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07495-6D91-41DD-81CC-3BB0B8A6A59F}">
  <dimension ref="A1:F51"/>
  <sheetViews>
    <sheetView workbookViewId="0">
      <selection activeCell="A37" sqref="A37"/>
    </sheetView>
  </sheetViews>
  <sheetFormatPr defaultRowHeight="14.6" x14ac:dyDescent="0.4"/>
  <cols>
    <col min="1" max="1" width="17.69140625" bestFit="1" customWidth="1"/>
    <col min="2" max="2" width="11.15234375" customWidth="1"/>
    <col min="3" max="3" width="16.84375" customWidth="1"/>
    <col min="4" max="4" width="17.23046875" customWidth="1"/>
    <col min="5" max="5" width="13.61328125" customWidth="1"/>
    <col min="6" max="6" width="21" customWidth="1"/>
    <col min="7" max="7" width="19.3046875" bestFit="1" customWidth="1"/>
  </cols>
  <sheetData>
    <row r="1" spans="1:6" ht="14.6" customHeight="1" x14ac:dyDescent="0.4">
      <c r="A1" s="95" t="s">
        <v>183</v>
      </c>
      <c r="B1" s="95"/>
      <c r="C1" s="95"/>
      <c r="D1" s="95"/>
      <c r="E1" s="95"/>
      <c r="F1" s="95"/>
    </row>
    <row r="2" spans="1:6" ht="14.6" customHeight="1" x14ac:dyDescent="0.4">
      <c r="A2" s="95"/>
      <c r="B2" s="95"/>
      <c r="C2" s="95"/>
      <c r="D2" s="95"/>
      <c r="E2" s="95"/>
      <c r="F2" s="95"/>
    </row>
    <row r="3" spans="1:6" ht="14.6" customHeight="1" x14ac:dyDescent="0.4">
      <c r="A3" s="97" t="s">
        <v>1071</v>
      </c>
      <c r="B3" s="97"/>
      <c r="C3" s="97"/>
      <c r="D3" s="97"/>
      <c r="E3" s="97"/>
      <c r="F3" s="97"/>
    </row>
    <row r="4" spans="1:6" x14ac:dyDescent="0.4">
      <c r="A4" s="97"/>
      <c r="B4" s="97"/>
      <c r="C4" s="97"/>
      <c r="D4" s="97"/>
      <c r="E4" s="97"/>
      <c r="F4" s="97"/>
    </row>
    <row r="5" spans="1:6" x14ac:dyDescent="0.4">
      <c r="A5" s="97"/>
      <c r="B5" s="97"/>
      <c r="C5" s="97"/>
      <c r="D5" s="97"/>
      <c r="E5" s="97"/>
      <c r="F5" s="97"/>
    </row>
    <row r="6" spans="1:6" x14ac:dyDescent="0.4">
      <c r="A6" s="97"/>
      <c r="B6" s="97"/>
      <c r="C6" s="97"/>
      <c r="D6" s="97"/>
      <c r="E6" s="97"/>
      <c r="F6" s="97"/>
    </row>
    <row r="7" spans="1:6" x14ac:dyDescent="0.4">
      <c r="A7" s="97"/>
      <c r="B7" s="97"/>
      <c r="C7" s="97"/>
      <c r="D7" s="97"/>
      <c r="E7" s="97"/>
      <c r="F7" s="97"/>
    </row>
    <row r="8" spans="1:6" x14ac:dyDescent="0.4">
      <c r="A8" s="97"/>
      <c r="B8" s="97"/>
      <c r="C8" s="97"/>
      <c r="D8" s="97"/>
      <c r="E8" s="97"/>
      <c r="F8" s="97"/>
    </row>
    <row r="9" spans="1:6" x14ac:dyDescent="0.4">
      <c r="A9" s="97"/>
      <c r="B9" s="97"/>
      <c r="C9" s="97"/>
      <c r="D9" s="97"/>
      <c r="E9" s="97"/>
      <c r="F9" s="97"/>
    </row>
    <row r="10" spans="1:6" x14ac:dyDescent="0.4">
      <c r="A10" s="97"/>
      <c r="B10" s="97"/>
      <c r="C10" s="97"/>
      <c r="D10" s="97"/>
      <c r="E10" s="97"/>
      <c r="F10" s="97"/>
    </row>
    <row r="12" spans="1:6" ht="15" thickBot="1" x14ac:dyDescent="0.45">
      <c r="A12" s="56" t="s">
        <v>1</v>
      </c>
      <c r="B12" s="57" t="s">
        <v>3</v>
      </c>
      <c r="C12" s="57" t="s">
        <v>4</v>
      </c>
      <c r="D12" s="57" t="s">
        <v>5</v>
      </c>
      <c r="E12" s="57" t="s">
        <v>6</v>
      </c>
      <c r="F12" s="57" t="s">
        <v>7</v>
      </c>
    </row>
    <row r="13" spans="1:6" ht="15" thickTop="1" x14ac:dyDescent="0.4">
      <c r="A13" t="s">
        <v>941</v>
      </c>
      <c r="B13">
        <v>5</v>
      </c>
      <c r="C13" s="18">
        <v>0</v>
      </c>
      <c r="D13" s="18">
        <v>30000</v>
      </c>
      <c r="E13" s="5">
        <v>0.5</v>
      </c>
      <c r="F13" s="18">
        <v>2220</v>
      </c>
    </row>
    <row r="14" spans="1:6" x14ac:dyDescent="0.4">
      <c r="A14" t="s">
        <v>942</v>
      </c>
      <c r="B14">
        <v>5</v>
      </c>
      <c r="C14" s="18">
        <v>0</v>
      </c>
      <c r="D14" s="18">
        <v>30000</v>
      </c>
      <c r="E14" s="5">
        <v>0.5</v>
      </c>
      <c r="F14" s="18">
        <v>2220</v>
      </c>
    </row>
    <row r="15" spans="1:6" x14ac:dyDescent="0.4">
      <c r="A15" t="s">
        <v>905</v>
      </c>
      <c r="B15">
        <v>5</v>
      </c>
      <c r="C15" s="18">
        <v>0</v>
      </c>
      <c r="D15" s="18">
        <v>30000</v>
      </c>
      <c r="E15" s="5">
        <v>0.5</v>
      </c>
      <c r="F15" s="18">
        <v>6260</v>
      </c>
    </row>
    <row r="16" spans="1:6" x14ac:dyDescent="0.4">
      <c r="A16" t="s">
        <v>906</v>
      </c>
      <c r="B16">
        <v>5</v>
      </c>
      <c r="C16" s="18">
        <v>0</v>
      </c>
      <c r="D16" s="18">
        <v>30000</v>
      </c>
      <c r="E16" s="5">
        <v>0.5</v>
      </c>
      <c r="F16" s="18">
        <v>6260</v>
      </c>
    </row>
    <row r="17" spans="1:6" x14ac:dyDescent="0.4">
      <c r="A17" t="s">
        <v>943</v>
      </c>
      <c r="B17">
        <v>5</v>
      </c>
      <c r="C17" s="18">
        <v>0</v>
      </c>
      <c r="D17" s="18">
        <v>30000</v>
      </c>
      <c r="E17" s="5">
        <v>0.5</v>
      </c>
      <c r="F17" s="18">
        <v>20600</v>
      </c>
    </row>
    <row r="18" spans="1:6" x14ac:dyDescent="0.4">
      <c r="A18" t="s">
        <v>944</v>
      </c>
      <c r="B18">
        <v>5</v>
      </c>
      <c r="C18" s="18">
        <v>0</v>
      </c>
      <c r="D18" s="18">
        <v>30000</v>
      </c>
      <c r="E18" s="5">
        <v>0.5</v>
      </c>
      <c r="F18" s="18">
        <v>20600</v>
      </c>
    </row>
    <row r="19" spans="1:6" x14ac:dyDescent="0.4">
      <c r="A19" t="s">
        <v>907</v>
      </c>
      <c r="B19">
        <v>5</v>
      </c>
      <c r="C19" s="18">
        <v>700</v>
      </c>
      <c r="D19" s="18">
        <v>10000</v>
      </c>
      <c r="E19" s="5">
        <v>0.25</v>
      </c>
      <c r="F19" s="18">
        <v>420</v>
      </c>
    </row>
    <row r="20" spans="1:6" x14ac:dyDescent="0.4">
      <c r="A20" t="s">
        <v>908</v>
      </c>
      <c r="B20">
        <v>5</v>
      </c>
      <c r="C20" s="18">
        <v>700</v>
      </c>
      <c r="D20" s="18">
        <v>10000</v>
      </c>
      <c r="E20" s="5">
        <v>0.25</v>
      </c>
      <c r="F20" s="18">
        <v>420</v>
      </c>
    </row>
    <row r="21" spans="1:6" x14ac:dyDescent="0.4">
      <c r="A21" t="s">
        <v>909</v>
      </c>
      <c r="B21">
        <v>5</v>
      </c>
      <c r="C21" s="18">
        <v>700</v>
      </c>
      <c r="D21" s="18">
        <v>10000</v>
      </c>
      <c r="E21" s="5">
        <v>0.5</v>
      </c>
      <c r="F21" s="18">
        <v>5490</v>
      </c>
    </row>
    <row r="22" spans="1:6" x14ac:dyDescent="0.4">
      <c r="A22" t="s">
        <v>927</v>
      </c>
      <c r="B22">
        <v>5</v>
      </c>
      <c r="C22" s="18">
        <v>700</v>
      </c>
      <c r="D22" s="18">
        <v>10000</v>
      </c>
      <c r="E22" s="5">
        <v>0.5</v>
      </c>
      <c r="F22" s="18">
        <v>5490</v>
      </c>
    </row>
    <row r="23" spans="1:6" x14ac:dyDescent="0.4">
      <c r="A23" t="s">
        <v>928</v>
      </c>
      <c r="B23">
        <v>5</v>
      </c>
      <c r="C23" s="18">
        <v>700</v>
      </c>
      <c r="D23" s="18">
        <v>10000</v>
      </c>
      <c r="E23" s="5">
        <v>0.5</v>
      </c>
      <c r="F23" s="18">
        <v>12900</v>
      </c>
    </row>
    <row r="24" spans="1:6" x14ac:dyDescent="0.4">
      <c r="A24" t="s">
        <v>929</v>
      </c>
      <c r="B24">
        <v>5</v>
      </c>
      <c r="C24" s="18">
        <v>700</v>
      </c>
      <c r="D24" s="18">
        <v>10000</v>
      </c>
      <c r="E24" s="5">
        <v>0.5</v>
      </c>
      <c r="F24" s="18">
        <v>12900</v>
      </c>
    </row>
    <row r="25" spans="1:6" x14ac:dyDescent="0.4">
      <c r="A25" t="s">
        <v>930</v>
      </c>
      <c r="B25">
        <v>5</v>
      </c>
      <c r="C25" s="18">
        <v>700</v>
      </c>
      <c r="D25" s="18">
        <v>10000</v>
      </c>
      <c r="E25" s="5">
        <v>0.5</v>
      </c>
      <c r="F25" s="18">
        <v>17600</v>
      </c>
    </row>
    <row r="26" spans="1:6" x14ac:dyDescent="0.4">
      <c r="A26" t="s">
        <v>931</v>
      </c>
      <c r="B26">
        <v>5</v>
      </c>
      <c r="C26" s="18">
        <v>700</v>
      </c>
      <c r="D26" s="18">
        <v>10000</v>
      </c>
      <c r="E26" s="5">
        <v>0.5</v>
      </c>
      <c r="F26" s="18">
        <v>17600</v>
      </c>
    </row>
    <row r="27" spans="1:6" x14ac:dyDescent="0.4">
      <c r="A27" t="s">
        <v>932</v>
      </c>
      <c r="B27">
        <v>5</v>
      </c>
      <c r="C27" s="18">
        <v>700</v>
      </c>
      <c r="D27" s="18">
        <v>10000</v>
      </c>
      <c r="E27" s="5">
        <v>0.5</v>
      </c>
      <c r="F27" s="18">
        <v>11300</v>
      </c>
    </row>
    <row r="28" spans="1:6" x14ac:dyDescent="0.4">
      <c r="A28" t="s">
        <v>933</v>
      </c>
      <c r="B28">
        <v>5</v>
      </c>
      <c r="C28" s="18">
        <v>700</v>
      </c>
      <c r="D28" s="18">
        <v>10000</v>
      </c>
      <c r="E28" s="5">
        <v>0.5</v>
      </c>
      <c r="F28" s="18">
        <v>11300</v>
      </c>
    </row>
    <row r="29" spans="1:6" x14ac:dyDescent="0.4">
      <c r="A29" t="s">
        <v>934</v>
      </c>
      <c r="B29">
        <v>5</v>
      </c>
      <c r="C29" s="18">
        <v>700</v>
      </c>
      <c r="D29" s="18">
        <v>10000</v>
      </c>
      <c r="E29" s="5">
        <v>0.5</v>
      </c>
      <c r="F29" s="18">
        <v>18400</v>
      </c>
    </row>
    <row r="30" spans="1:6" x14ac:dyDescent="0.4">
      <c r="A30" t="s">
        <v>935</v>
      </c>
      <c r="B30">
        <v>5</v>
      </c>
      <c r="C30" s="18">
        <v>700</v>
      </c>
      <c r="D30" s="18">
        <v>10000</v>
      </c>
      <c r="E30" s="5">
        <v>0.5</v>
      </c>
      <c r="F30" s="18">
        <v>18400</v>
      </c>
    </row>
    <row r="31" spans="1:6" x14ac:dyDescent="0.4">
      <c r="A31" t="s">
        <v>936</v>
      </c>
      <c r="B31">
        <v>5</v>
      </c>
      <c r="C31" s="18">
        <v>700</v>
      </c>
      <c r="D31" s="18">
        <v>10000</v>
      </c>
      <c r="E31" s="5">
        <v>0.5</v>
      </c>
      <c r="F31" s="18">
        <v>12100</v>
      </c>
    </row>
    <row r="32" spans="1:6" x14ac:dyDescent="0.4">
      <c r="A32" t="s">
        <v>937</v>
      </c>
      <c r="B32">
        <v>5</v>
      </c>
      <c r="C32" s="18">
        <v>700</v>
      </c>
      <c r="D32" s="18">
        <v>10000</v>
      </c>
      <c r="E32" s="5">
        <v>0.5</v>
      </c>
      <c r="F32" s="18">
        <v>12100</v>
      </c>
    </row>
    <row r="33" spans="1:6" x14ac:dyDescent="0.4">
      <c r="A33" t="s">
        <v>938</v>
      </c>
      <c r="B33">
        <v>5</v>
      </c>
      <c r="C33" s="18">
        <v>700</v>
      </c>
      <c r="D33" s="18">
        <v>10000</v>
      </c>
      <c r="E33" s="5">
        <v>0.5</v>
      </c>
      <c r="F33" s="18">
        <v>4030</v>
      </c>
    </row>
    <row r="34" spans="1:6" x14ac:dyDescent="0.4">
      <c r="A34" t="s">
        <v>939</v>
      </c>
      <c r="B34">
        <v>5</v>
      </c>
      <c r="C34" s="18">
        <v>700</v>
      </c>
      <c r="D34" s="18">
        <v>10000</v>
      </c>
      <c r="E34" s="5">
        <v>0.5</v>
      </c>
      <c r="F34" s="18">
        <v>4030</v>
      </c>
    </row>
    <row r="35" spans="1:6" x14ac:dyDescent="0.4">
      <c r="A35" t="s">
        <v>940</v>
      </c>
      <c r="B35">
        <v>5</v>
      </c>
      <c r="C35" s="18">
        <v>0</v>
      </c>
      <c r="D35" s="18">
        <v>50000000</v>
      </c>
      <c r="E35" s="5">
        <v>1</v>
      </c>
      <c r="F35" s="18">
        <v>220000</v>
      </c>
    </row>
    <row r="36" spans="1:6" x14ac:dyDescent="0.4">
      <c r="A36" t="s">
        <v>945</v>
      </c>
      <c r="B36">
        <v>5</v>
      </c>
      <c r="C36" s="18">
        <v>0</v>
      </c>
      <c r="D36" s="18">
        <v>50000000</v>
      </c>
      <c r="E36" s="5">
        <v>1</v>
      </c>
      <c r="F36" s="18">
        <v>223000</v>
      </c>
    </row>
    <row r="37" spans="1:6" x14ac:dyDescent="0.4">
      <c r="A37" t="s">
        <v>947</v>
      </c>
      <c r="B37">
        <v>5</v>
      </c>
      <c r="C37" s="18">
        <v>0</v>
      </c>
      <c r="D37" s="18">
        <v>50000000</v>
      </c>
      <c r="E37" s="5">
        <v>1</v>
      </c>
      <c r="F37" s="18">
        <v>81800</v>
      </c>
    </row>
    <row r="38" spans="1:6" x14ac:dyDescent="0.4">
      <c r="A38" t="s">
        <v>948</v>
      </c>
      <c r="B38">
        <v>5</v>
      </c>
      <c r="C38" s="18">
        <v>0</v>
      </c>
      <c r="D38" s="18">
        <v>50000000</v>
      </c>
      <c r="E38" s="5">
        <v>1</v>
      </c>
      <c r="F38" s="18">
        <v>81800</v>
      </c>
    </row>
    <row r="39" spans="1:6" x14ac:dyDescent="0.4">
      <c r="A39" t="s">
        <v>946</v>
      </c>
      <c r="B39">
        <v>5</v>
      </c>
      <c r="C39" s="18">
        <v>232000</v>
      </c>
      <c r="D39" s="18">
        <v>348000</v>
      </c>
      <c r="E39" s="5">
        <v>2.5000000000000001E-2</v>
      </c>
      <c r="F39" s="18">
        <v>-211000</v>
      </c>
    </row>
    <row r="40" spans="1:6" x14ac:dyDescent="0.4">
      <c r="A40" t="s">
        <v>949</v>
      </c>
      <c r="B40">
        <v>5</v>
      </c>
      <c r="C40" s="18">
        <v>232000</v>
      </c>
      <c r="D40" s="18">
        <v>348000</v>
      </c>
      <c r="E40" s="5">
        <v>2.5000000000000001E-2</v>
      </c>
      <c r="F40" s="18">
        <v>-211000</v>
      </c>
    </row>
    <row r="41" spans="1:6" x14ac:dyDescent="0.4">
      <c r="A41" t="s">
        <v>950</v>
      </c>
      <c r="B41">
        <v>5</v>
      </c>
      <c r="C41" s="18">
        <v>232000</v>
      </c>
      <c r="D41" s="18">
        <v>348000</v>
      </c>
      <c r="E41" s="5">
        <v>0.1</v>
      </c>
      <c r="F41" s="18">
        <v>-211000</v>
      </c>
    </row>
    <row r="42" spans="1:6" x14ac:dyDescent="0.4">
      <c r="A42" t="s">
        <v>951</v>
      </c>
      <c r="B42">
        <v>5</v>
      </c>
      <c r="C42" s="18">
        <v>457000</v>
      </c>
      <c r="D42" s="18">
        <v>683000</v>
      </c>
      <c r="E42" s="5">
        <v>0.1</v>
      </c>
      <c r="F42" s="18">
        <v>-415000</v>
      </c>
    </row>
    <row r="43" spans="1:6" x14ac:dyDescent="0.4">
      <c r="A43" t="s">
        <v>952</v>
      </c>
      <c r="B43">
        <v>5</v>
      </c>
      <c r="C43" s="18">
        <v>457000</v>
      </c>
      <c r="D43" s="18">
        <v>683000</v>
      </c>
      <c r="E43" s="5">
        <v>0.1</v>
      </c>
      <c r="F43" s="18">
        <v>-415000</v>
      </c>
    </row>
    <row r="44" spans="1:6" x14ac:dyDescent="0.4">
      <c r="A44" t="s">
        <v>953</v>
      </c>
      <c r="B44">
        <v>5</v>
      </c>
      <c r="C44" s="18">
        <v>1300000</v>
      </c>
      <c r="D44" s="18">
        <v>1950000</v>
      </c>
      <c r="E44" s="5">
        <v>2.5000000000000001E-2</v>
      </c>
      <c r="F44" s="18">
        <v>-1180000</v>
      </c>
    </row>
    <row r="45" spans="1:6" x14ac:dyDescent="0.4">
      <c r="A45" t="s">
        <v>954</v>
      </c>
      <c r="B45">
        <v>5</v>
      </c>
      <c r="C45" s="18">
        <v>1300000</v>
      </c>
      <c r="D45" s="18">
        <v>1950000</v>
      </c>
      <c r="E45" s="5">
        <v>2.5000000000000001E-2</v>
      </c>
      <c r="F45" s="18">
        <v>-1180000</v>
      </c>
    </row>
    <row r="46" spans="1:6" x14ac:dyDescent="0.4">
      <c r="A46" t="s">
        <v>955</v>
      </c>
      <c r="B46">
        <v>5</v>
      </c>
      <c r="C46" s="18">
        <v>3910000</v>
      </c>
      <c r="D46" s="18">
        <v>5870000</v>
      </c>
      <c r="E46" s="5">
        <v>2.5000000000000001E-2</v>
      </c>
      <c r="F46" s="18">
        <v>-3560000</v>
      </c>
    </row>
    <row r="47" spans="1:6" x14ac:dyDescent="0.4">
      <c r="A47" t="s">
        <v>956</v>
      </c>
      <c r="B47">
        <v>5</v>
      </c>
      <c r="C47" s="18">
        <v>101000000</v>
      </c>
      <c r="D47" s="18">
        <v>152000000</v>
      </c>
      <c r="E47" s="5">
        <v>2.5000000000000001E-2</v>
      </c>
      <c r="F47" s="18">
        <v>-91500000</v>
      </c>
    </row>
    <row r="48" spans="1:6" x14ac:dyDescent="0.4">
      <c r="A48" t="s">
        <v>957</v>
      </c>
      <c r="B48">
        <v>5</v>
      </c>
      <c r="C48" s="18">
        <v>101000000</v>
      </c>
      <c r="D48" s="18">
        <v>152000000</v>
      </c>
      <c r="E48" s="5">
        <v>2.5000000000000001E-2</v>
      </c>
      <c r="F48" s="18">
        <v>-91500000</v>
      </c>
    </row>
    <row r="49" spans="1:6" x14ac:dyDescent="0.4">
      <c r="A49" t="s">
        <v>958</v>
      </c>
      <c r="B49">
        <v>5</v>
      </c>
      <c r="C49" s="18">
        <v>180000000</v>
      </c>
      <c r="D49" s="18">
        <v>270000000</v>
      </c>
      <c r="E49" s="5">
        <v>2.5000000000000001E-2</v>
      </c>
      <c r="F49" s="18">
        <v>-164000000</v>
      </c>
    </row>
    <row r="50" spans="1:6" x14ac:dyDescent="0.4">
      <c r="A50" t="s">
        <v>959</v>
      </c>
      <c r="B50">
        <v>5</v>
      </c>
      <c r="C50" s="18">
        <v>276000000</v>
      </c>
      <c r="D50" s="18">
        <v>414000000</v>
      </c>
      <c r="E50" s="5">
        <v>2.5000000000000001E-2</v>
      </c>
      <c r="F50" s="18">
        <v>-252000000</v>
      </c>
    </row>
    <row r="51" spans="1:6" x14ac:dyDescent="0.4">
      <c r="A51" t="s">
        <v>960</v>
      </c>
      <c r="B51">
        <v>5</v>
      </c>
      <c r="C51" s="18">
        <v>276000000</v>
      </c>
      <c r="D51" s="18">
        <v>414000000</v>
      </c>
      <c r="E51" s="5">
        <v>2.5000000000000001E-2</v>
      </c>
      <c r="F51" s="18">
        <v>-252000000</v>
      </c>
    </row>
  </sheetData>
  <mergeCells count="2">
    <mergeCell ref="A1:F2"/>
    <mergeCell ref="A3:F10"/>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B0D7-22DB-4CCA-BC01-551A42CEE1AE}">
  <dimension ref="A1:F49"/>
  <sheetViews>
    <sheetView workbookViewId="0">
      <selection activeCell="A15" sqref="A15"/>
    </sheetView>
  </sheetViews>
  <sheetFormatPr defaultRowHeight="14.6" x14ac:dyDescent="0.4"/>
  <cols>
    <col min="1" max="1" width="11.15234375" bestFit="1" customWidth="1"/>
    <col min="2" max="2" width="11.15234375" customWidth="1"/>
    <col min="3" max="3" width="16.84375" customWidth="1"/>
    <col min="4" max="4" width="17.23046875" customWidth="1"/>
    <col min="5" max="5" width="13.61328125" customWidth="1"/>
    <col min="6" max="6" width="21" customWidth="1"/>
  </cols>
  <sheetData>
    <row r="1" spans="1:6" x14ac:dyDescent="0.4">
      <c r="A1" s="95" t="s">
        <v>183</v>
      </c>
      <c r="B1" s="95"/>
      <c r="C1" s="95"/>
      <c r="D1" s="95"/>
      <c r="E1" s="95"/>
      <c r="F1" s="95"/>
    </row>
    <row r="2" spans="1:6" x14ac:dyDescent="0.4">
      <c r="A2" s="95"/>
      <c r="B2" s="95"/>
      <c r="C2" s="95"/>
      <c r="D2" s="95"/>
      <c r="E2" s="95"/>
      <c r="F2" s="95"/>
    </row>
    <row r="3" spans="1:6" ht="14.6" customHeight="1" x14ac:dyDescent="0.4">
      <c r="A3" s="97" t="s">
        <v>1110</v>
      </c>
      <c r="B3" s="97"/>
      <c r="C3" s="97"/>
      <c r="D3" s="97"/>
      <c r="E3" s="97"/>
      <c r="F3" s="97"/>
    </row>
    <row r="4" spans="1:6" x14ac:dyDescent="0.4">
      <c r="A4" s="97"/>
      <c r="B4" s="97"/>
      <c r="C4" s="97"/>
      <c r="D4" s="97"/>
      <c r="E4" s="97"/>
      <c r="F4" s="97"/>
    </row>
    <row r="5" spans="1:6" x14ac:dyDescent="0.4">
      <c r="A5" s="97"/>
      <c r="B5" s="97"/>
      <c r="C5" s="97"/>
      <c r="D5" s="97"/>
      <c r="E5" s="97"/>
      <c r="F5" s="97"/>
    </row>
    <row r="6" spans="1:6" x14ac:dyDescent="0.4">
      <c r="A6" s="97"/>
      <c r="B6" s="97"/>
      <c r="C6" s="97"/>
      <c r="D6" s="97"/>
      <c r="E6" s="97"/>
      <c r="F6" s="97"/>
    </row>
    <row r="7" spans="1:6" x14ac:dyDescent="0.4">
      <c r="A7" s="97"/>
      <c r="B7" s="97"/>
      <c r="C7" s="97"/>
      <c r="D7" s="97"/>
      <c r="E7" s="97"/>
      <c r="F7" s="97"/>
    </row>
    <row r="8" spans="1:6" x14ac:dyDescent="0.4">
      <c r="A8" s="97"/>
      <c r="B8" s="97"/>
      <c r="C8" s="97"/>
      <c r="D8" s="97"/>
      <c r="E8" s="97"/>
      <c r="F8" s="97"/>
    </row>
    <row r="9" spans="1:6" x14ac:dyDescent="0.4">
      <c r="A9" s="97"/>
      <c r="B9" s="97"/>
      <c r="C9" s="97"/>
      <c r="D9" s="97"/>
      <c r="E9" s="97"/>
      <c r="F9" s="97"/>
    </row>
    <row r="10" spans="1:6" x14ac:dyDescent="0.4">
      <c r="A10" s="97"/>
      <c r="B10" s="97"/>
      <c r="C10" s="97"/>
      <c r="D10" s="97"/>
      <c r="E10" s="97"/>
      <c r="F10" s="97"/>
    </row>
    <row r="11" spans="1:6" x14ac:dyDescent="0.4">
      <c r="A11" s="97"/>
      <c r="B11" s="97"/>
      <c r="C11" s="97"/>
      <c r="D11" s="97"/>
      <c r="E11" s="97"/>
      <c r="F11" s="97"/>
    </row>
    <row r="12" spans="1:6" x14ac:dyDescent="0.4">
      <c r="A12" s="97"/>
      <c r="B12" s="97"/>
      <c r="C12" s="97"/>
      <c r="D12" s="97"/>
      <c r="E12" s="97"/>
      <c r="F12" s="97"/>
    </row>
    <row r="13" spans="1:6" x14ac:dyDescent="0.4">
      <c r="A13" s="58"/>
      <c r="B13" s="58"/>
      <c r="C13" s="58"/>
      <c r="D13" s="58"/>
      <c r="E13" s="58"/>
      <c r="F13" s="58"/>
    </row>
    <row r="14" spans="1:6" x14ac:dyDescent="0.4">
      <c r="A14" s="58"/>
      <c r="B14" s="58"/>
      <c r="C14" s="58"/>
      <c r="D14" s="58"/>
      <c r="E14" s="58"/>
      <c r="F14" s="58"/>
    </row>
    <row r="15" spans="1:6" ht="15" thickBot="1" x14ac:dyDescent="0.45">
      <c r="A15" s="56" t="s">
        <v>1</v>
      </c>
      <c r="B15" s="57" t="s">
        <v>3</v>
      </c>
      <c r="C15" s="57" t="s">
        <v>4</v>
      </c>
      <c r="D15" s="57" t="s">
        <v>5</v>
      </c>
      <c r="E15" s="57" t="s">
        <v>6</v>
      </c>
      <c r="F15" s="57" t="s">
        <v>7</v>
      </c>
    </row>
    <row r="16" spans="1:6" ht="15" thickTop="1" x14ac:dyDescent="0.4">
      <c r="A16" t="s">
        <v>1072</v>
      </c>
      <c r="B16">
        <v>0</v>
      </c>
      <c r="C16">
        <v>0</v>
      </c>
      <c r="D16" t="s">
        <v>724</v>
      </c>
      <c r="E16" s="7">
        <v>1</v>
      </c>
      <c r="F16" s="18">
        <v>1490</v>
      </c>
    </row>
    <row r="17" spans="1:6" x14ac:dyDescent="0.4">
      <c r="A17" t="s">
        <v>1073</v>
      </c>
      <c r="B17">
        <v>0</v>
      </c>
      <c r="C17">
        <v>0</v>
      </c>
      <c r="D17" t="s">
        <v>724</v>
      </c>
      <c r="E17" s="7">
        <v>1</v>
      </c>
      <c r="F17" s="18">
        <v>1490</v>
      </c>
    </row>
    <row r="18" spans="1:6" x14ac:dyDescent="0.4">
      <c r="A18" t="s">
        <v>1075</v>
      </c>
      <c r="B18">
        <v>0</v>
      </c>
      <c r="C18">
        <v>0</v>
      </c>
      <c r="D18" t="s">
        <v>724</v>
      </c>
      <c r="E18" s="7">
        <v>0.98</v>
      </c>
      <c r="F18" s="18">
        <v>135000</v>
      </c>
    </row>
    <row r="19" spans="1:6" x14ac:dyDescent="0.4">
      <c r="A19" t="s">
        <v>1074</v>
      </c>
      <c r="B19">
        <v>0</v>
      </c>
      <c r="C19">
        <v>0</v>
      </c>
      <c r="D19" t="s">
        <v>724</v>
      </c>
      <c r="E19" s="7">
        <v>0.99</v>
      </c>
      <c r="F19" s="18">
        <v>34000</v>
      </c>
    </row>
    <row r="20" spans="1:6" x14ac:dyDescent="0.4">
      <c r="A20" t="s">
        <v>1076</v>
      </c>
      <c r="B20">
        <v>0</v>
      </c>
      <c r="C20">
        <v>0</v>
      </c>
      <c r="D20" t="s">
        <v>724</v>
      </c>
      <c r="E20" s="7">
        <v>0.99</v>
      </c>
      <c r="F20" s="18">
        <v>34000</v>
      </c>
    </row>
    <row r="21" spans="1:6" x14ac:dyDescent="0.4">
      <c r="A21" t="s">
        <v>1077</v>
      </c>
      <c r="B21">
        <v>0</v>
      </c>
      <c r="C21">
        <v>0</v>
      </c>
      <c r="D21" t="s">
        <v>724</v>
      </c>
      <c r="E21" s="7">
        <v>1</v>
      </c>
      <c r="F21" s="18">
        <v>105000</v>
      </c>
    </row>
    <row r="22" spans="1:6" x14ac:dyDescent="0.4">
      <c r="A22" t="s">
        <v>1078</v>
      </c>
      <c r="B22">
        <v>0</v>
      </c>
      <c r="C22">
        <v>0</v>
      </c>
      <c r="D22" t="s">
        <v>724</v>
      </c>
      <c r="E22" s="7">
        <v>1</v>
      </c>
      <c r="F22" s="18">
        <v>105000</v>
      </c>
    </row>
    <row r="23" spans="1:6" x14ac:dyDescent="0.4">
      <c r="A23" t="s">
        <v>1079</v>
      </c>
      <c r="B23">
        <v>0</v>
      </c>
      <c r="C23">
        <v>0</v>
      </c>
      <c r="D23" t="s">
        <v>724</v>
      </c>
      <c r="E23" s="7">
        <v>0.25</v>
      </c>
      <c r="F23" s="18">
        <v>1500000</v>
      </c>
    </row>
    <row r="24" spans="1:6" x14ac:dyDescent="0.4">
      <c r="A24" t="s">
        <v>1080</v>
      </c>
      <c r="B24">
        <v>0</v>
      </c>
      <c r="C24">
        <v>0</v>
      </c>
      <c r="D24" t="s">
        <v>724</v>
      </c>
      <c r="E24" s="7">
        <v>0.25</v>
      </c>
      <c r="F24" s="18">
        <v>1500000</v>
      </c>
    </row>
    <row r="25" spans="1:6" x14ac:dyDescent="0.4">
      <c r="A25" t="s">
        <v>1081</v>
      </c>
      <c r="B25">
        <v>0</v>
      </c>
      <c r="C25">
        <v>0</v>
      </c>
      <c r="D25" t="s">
        <v>724</v>
      </c>
      <c r="E25" s="7">
        <v>0.63</v>
      </c>
      <c r="F25" s="18">
        <v>388000</v>
      </c>
    </row>
    <row r="26" spans="1:6" x14ac:dyDescent="0.4">
      <c r="A26" t="s">
        <v>1082</v>
      </c>
      <c r="B26">
        <v>0</v>
      </c>
      <c r="C26">
        <v>0</v>
      </c>
      <c r="D26" t="s">
        <v>724</v>
      </c>
      <c r="E26" s="7">
        <v>0.63</v>
      </c>
      <c r="F26" s="18">
        <v>388000</v>
      </c>
    </row>
    <row r="27" spans="1:6" x14ac:dyDescent="0.4">
      <c r="A27" t="s">
        <v>1085</v>
      </c>
      <c r="B27">
        <v>0</v>
      </c>
      <c r="C27">
        <v>0</v>
      </c>
      <c r="D27" t="s">
        <v>724</v>
      </c>
      <c r="E27" s="7">
        <v>0.77</v>
      </c>
      <c r="F27" s="18">
        <v>218000</v>
      </c>
    </row>
    <row r="28" spans="1:6" x14ac:dyDescent="0.4">
      <c r="A28" t="s">
        <v>1084</v>
      </c>
      <c r="B28">
        <v>0</v>
      </c>
      <c r="C28">
        <v>0</v>
      </c>
      <c r="D28" t="s">
        <v>724</v>
      </c>
      <c r="E28" s="7">
        <v>0.77</v>
      </c>
      <c r="F28" s="18">
        <v>218000</v>
      </c>
    </row>
    <row r="29" spans="1:6" x14ac:dyDescent="0.4">
      <c r="A29" t="s">
        <v>1083</v>
      </c>
      <c r="B29">
        <v>0</v>
      </c>
      <c r="C29">
        <v>0</v>
      </c>
      <c r="D29" t="s">
        <v>724</v>
      </c>
      <c r="E29" s="7">
        <v>0.32</v>
      </c>
      <c r="F29" s="18">
        <v>80300000</v>
      </c>
    </row>
    <row r="30" spans="1:6" x14ac:dyDescent="0.4">
      <c r="A30" t="s">
        <v>1086</v>
      </c>
      <c r="B30">
        <v>0</v>
      </c>
      <c r="C30">
        <v>0</v>
      </c>
      <c r="D30" t="s">
        <v>724</v>
      </c>
      <c r="E30" s="7">
        <v>0.32</v>
      </c>
      <c r="F30" s="18">
        <v>80300000</v>
      </c>
    </row>
    <row r="31" spans="1:6" x14ac:dyDescent="0.4">
      <c r="A31" t="s">
        <v>1087</v>
      </c>
      <c r="B31">
        <v>0</v>
      </c>
      <c r="C31">
        <v>0</v>
      </c>
      <c r="D31" t="s">
        <v>724</v>
      </c>
      <c r="E31" s="7">
        <v>6.8000000000000005E-2</v>
      </c>
      <c r="F31" s="18">
        <v>91200000</v>
      </c>
    </row>
    <row r="32" spans="1:6" x14ac:dyDescent="0.4">
      <c r="A32" t="s">
        <v>1088</v>
      </c>
      <c r="B32">
        <v>0</v>
      </c>
      <c r="C32">
        <v>0</v>
      </c>
      <c r="D32" t="s">
        <v>724</v>
      </c>
      <c r="E32" s="7">
        <v>0.56999999999999995</v>
      </c>
      <c r="F32" s="18">
        <v>116000000</v>
      </c>
    </row>
    <row r="33" spans="1:6" x14ac:dyDescent="0.4">
      <c r="A33" t="s">
        <v>1089</v>
      </c>
      <c r="B33">
        <v>0</v>
      </c>
      <c r="C33">
        <v>0</v>
      </c>
      <c r="D33" t="s">
        <v>724</v>
      </c>
      <c r="E33" s="7">
        <v>0.33</v>
      </c>
      <c r="F33" s="18">
        <v>133000</v>
      </c>
    </row>
    <row r="34" spans="1:6" x14ac:dyDescent="0.4">
      <c r="A34" t="s">
        <v>1090</v>
      </c>
      <c r="B34">
        <v>0</v>
      </c>
      <c r="C34">
        <v>0</v>
      </c>
      <c r="D34" t="s">
        <v>724</v>
      </c>
      <c r="E34" s="7">
        <v>0.33</v>
      </c>
      <c r="F34" s="18">
        <v>130000</v>
      </c>
    </row>
    <row r="35" spans="1:6" x14ac:dyDescent="0.4">
      <c r="A35" t="s">
        <v>1091</v>
      </c>
      <c r="B35">
        <v>0</v>
      </c>
      <c r="C35">
        <v>0</v>
      </c>
      <c r="D35" t="s">
        <v>724</v>
      </c>
      <c r="E35" s="7">
        <v>7.0000000000000007E-2</v>
      </c>
      <c r="F35" s="18">
        <v>130000</v>
      </c>
    </row>
    <row r="36" spans="1:6" x14ac:dyDescent="0.4">
      <c r="A36" t="s">
        <v>1092</v>
      </c>
      <c r="B36">
        <v>0</v>
      </c>
      <c r="C36">
        <v>0</v>
      </c>
      <c r="D36" t="s">
        <v>724</v>
      </c>
      <c r="E36" s="7">
        <v>0.08</v>
      </c>
      <c r="F36" s="18">
        <v>5840000</v>
      </c>
    </row>
    <row r="37" spans="1:6" x14ac:dyDescent="0.4">
      <c r="A37" t="s">
        <v>1093</v>
      </c>
      <c r="B37">
        <v>0</v>
      </c>
      <c r="C37">
        <v>0</v>
      </c>
      <c r="D37" t="s">
        <v>724</v>
      </c>
      <c r="E37" s="7">
        <v>1</v>
      </c>
      <c r="F37" s="18">
        <v>19</v>
      </c>
    </row>
    <row r="38" spans="1:6" x14ac:dyDescent="0.4">
      <c r="A38" t="s">
        <v>1094</v>
      </c>
      <c r="B38">
        <v>0</v>
      </c>
      <c r="C38">
        <v>0</v>
      </c>
      <c r="D38" t="s">
        <v>724</v>
      </c>
      <c r="E38" s="7">
        <v>1</v>
      </c>
      <c r="F38" s="18">
        <v>19</v>
      </c>
    </row>
    <row r="39" spans="1:6" x14ac:dyDescent="0.4">
      <c r="A39" t="s">
        <v>1095</v>
      </c>
      <c r="B39">
        <v>0</v>
      </c>
      <c r="C39">
        <v>0</v>
      </c>
      <c r="D39" t="s">
        <v>724</v>
      </c>
      <c r="E39" s="7">
        <v>0.33</v>
      </c>
      <c r="F39" s="18">
        <v>742000</v>
      </c>
    </row>
    <row r="40" spans="1:6" x14ac:dyDescent="0.4">
      <c r="A40" t="s">
        <v>1097</v>
      </c>
      <c r="B40">
        <v>0</v>
      </c>
      <c r="C40">
        <v>0</v>
      </c>
      <c r="D40" t="s">
        <v>724</v>
      </c>
      <c r="E40" s="7">
        <v>0.52</v>
      </c>
      <c r="F40" s="18">
        <v>117000</v>
      </c>
    </row>
    <row r="41" spans="1:6" x14ac:dyDescent="0.4">
      <c r="A41" t="s">
        <v>1098</v>
      </c>
      <c r="B41">
        <v>0</v>
      </c>
      <c r="C41">
        <v>0</v>
      </c>
      <c r="D41" t="s">
        <v>724</v>
      </c>
      <c r="E41" s="7">
        <v>0.52</v>
      </c>
      <c r="F41" s="18">
        <v>117000</v>
      </c>
    </row>
    <row r="42" spans="1:6" x14ac:dyDescent="0.4">
      <c r="A42" t="s">
        <v>1100</v>
      </c>
      <c r="B42">
        <v>0</v>
      </c>
      <c r="C42">
        <v>0</v>
      </c>
      <c r="D42" t="s">
        <v>724</v>
      </c>
      <c r="E42" s="7">
        <v>0.99</v>
      </c>
      <c r="F42" s="18">
        <v>120000</v>
      </c>
    </row>
    <row r="43" spans="1:6" x14ac:dyDescent="0.4">
      <c r="A43" t="s">
        <v>1101</v>
      </c>
      <c r="B43">
        <v>0</v>
      </c>
      <c r="C43">
        <v>0</v>
      </c>
      <c r="D43" t="s">
        <v>724</v>
      </c>
      <c r="E43" s="7">
        <v>0.99</v>
      </c>
      <c r="F43" s="18">
        <v>120000</v>
      </c>
    </row>
    <row r="44" spans="1:6" x14ac:dyDescent="0.4">
      <c r="A44" t="s">
        <v>1103</v>
      </c>
      <c r="B44">
        <v>0</v>
      </c>
      <c r="C44">
        <v>0</v>
      </c>
      <c r="D44" t="s">
        <v>724</v>
      </c>
      <c r="E44" s="7">
        <v>1</v>
      </c>
      <c r="F44" s="18">
        <v>152000</v>
      </c>
    </row>
    <row r="45" spans="1:6" x14ac:dyDescent="0.4">
      <c r="A45" t="s">
        <v>1104</v>
      </c>
      <c r="B45">
        <v>0</v>
      </c>
      <c r="C45">
        <v>0</v>
      </c>
      <c r="D45" t="s">
        <v>724</v>
      </c>
      <c r="E45" s="7">
        <v>1</v>
      </c>
      <c r="F45" s="18">
        <v>152000</v>
      </c>
    </row>
    <row r="46" spans="1:6" x14ac:dyDescent="0.4">
      <c r="A46" t="s">
        <v>1106</v>
      </c>
      <c r="B46">
        <v>0</v>
      </c>
      <c r="C46">
        <v>0</v>
      </c>
      <c r="D46" t="s">
        <v>724</v>
      </c>
      <c r="E46" s="7">
        <v>1</v>
      </c>
      <c r="F46" s="18">
        <v>150000</v>
      </c>
    </row>
    <row r="47" spans="1:6" x14ac:dyDescent="0.4">
      <c r="A47" t="s">
        <v>1107</v>
      </c>
      <c r="B47">
        <v>0</v>
      </c>
      <c r="C47">
        <v>0</v>
      </c>
      <c r="D47" t="s">
        <v>724</v>
      </c>
      <c r="E47" s="7">
        <v>1</v>
      </c>
      <c r="F47" s="18">
        <v>150000</v>
      </c>
    </row>
    <row r="48" spans="1:6" x14ac:dyDescent="0.4">
      <c r="A48" t="s">
        <v>1108</v>
      </c>
      <c r="B48">
        <v>0</v>
      </c>
      <c r="C48" s="18">
        <v>1120</v>
      </c>
      <c r="D48" s="18">
        <v>230000</v>
      </c>
      <c r="E48" s="7">
        <v>1</v>
      </c>
      <c r="F48" s="18">
        <v>-1020</v>
      </c>
    </row>
    <row r="49" spans="1:6" x14ac:dyDescent="0.4">
      <c r="A49" t="s">
        <v>1109</v>
      </c>
      <c r="B49">
        <v>0</v>
      </c>
      <c r="C49" s="18">
        <v>233000</v>
      </c>
      <c r="D49" t="s">
        <v>724</v>
      </c>
      <c r="E49" s="7">
        <v>0.5</v>
      </c>
      <c r="F49" s="18">
        <v>-211000</v>
      </c>
    </row>
  </sheetData>
  <mergeCells count="2">
    <mergeCell ref="A1:F2"/>
    <mergeCell ref="A3:F12"/>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6DE9-220A-4895-A0CC-52B92919257E}">
  <dimension ref="A1:H27"/>
  <sheetViews>
    <sheetView workbookViewId="0">
      <selection activeCell="A26" sqref="A26"/>
    </sheetView>
  </sheetViews>
  <sheetFormatPr defaultRowHeight="14.6" x14ac:dyDescent="0.4"/>
  <cols>
    <col min="1" max="1" width="9.921875" bestFit="1" customWidth="1"/>
    <col min="2" max="2" width="19.07421875" bestFit="1" customWidth="1"/>
    <col min="3" max="3" width="20.69140625" bestFit="1" customWidth="1"/>
    <col min="4" max="4" width="13.3046875" bestFit="1" customWidth="1"/>
    <col min="5" max="5" width="21.765625" bestFit="1" customWidth="1"/>
    <col min="6" max="6" width="25" bestFit="1" customWidth="1"/>
    <col min="7" max="7" width="23.921875" bestFit="1" customWidth="1"/>
    <col min="8" max="8" width="19.69140625" bestFit="1" customWidth="1"/>
  </cols>
  <sheetData>
    <row r="1" spans="1:8" ht="14.6" customHeight="1" x14ac:dyDescent="0.4">
      <c r="A1" s="95" t="s">
        <v>183</v>
      </c>
      <c r="B1" s="95"/>
      <c r="C1" s="95"/>
      <c r="D1" s="95"/>
      <c r="E1" s="95"/>
      <c r="F1" s="95"/>
      <c r="G1" s="95"/>
      <c r="H1" s="95"/>
    </row>
    <row r="2" spans="1:8" ht="14.6" customHeight="1" x14ac:dyDescent="0.4">
      <c r="A2" s="95"/>
      <c r="B2" s="95"/>
      <c r="C2" s="95"/>
      <c r="D2" s="95"/>
      <c r="E2" s="95"/>
      <c r="F2" s="95"/>
      <c r="G2" s="95"/>
      <c r="H2" s="95"/>
    </row>
    <row r="3" spans="1:8" x14ac:dyDescent="0.4">
      <c r="A3" s="131" t="s">
        <v>1257</v>
      </c>
      <c r="B3" s="131"/>
      <c r="C3" s="131"/>
      <c r="D3" s="131"/>
      <c r="E3" s="131"/>
      <c r="F3" s="131"/>
      <c r="G3" s="131"/>
      <c r="H3" s="131"/>
    </row>
    <row r="4" spans="1:8" x14ac:dyDescent="0.4">
      <c r="A4" s="130"/>
      <c r="B4" s="130"/>
      <c r="C4" s="130"/>
      <c r="D4" s="130"/>
      <c r="E4" s="130"/>
      <c r="F4" s="130"/>
      <c r="G4" s="130"/>
      <c r="H4" s="130"/>
    </row>
    <row r="5" spans="1:8" x14ac:dyDescent="0.4">
      <c r="A5" s="130"/>
      <c r="B5" s="130"/>
      <c r="C5" s="130"/>
      <c r="D5" s="130"/>
      <c r="E5" s="130"/>
      <c r="F5" s="130"/>
      <c r="G5" s="130"/>
      <c r="H5" s="130"/>
    </row>
    <row r="6" spans="1:8" x14ac:dyDescent="0.4">
      <c r="A6" s="130"/>
      <c r="B6" s="130"/>
      <c r="C6" s="130"/>
      <c r="D6" s="130"/>
      <c r="E6" s="130"/>
      <c r="F6" s="130"/>
      <c r="G6" s="130"/>
      <c r="H6" s="130"/>
    </row>
    <row r="7" spans="1:8" x14ac:dyDescent="0.4">
      <c r="A7" s="130"/>
      <c r="B7" s="130"/>
      <c r="C7" s="130"/>
      <c r="D7" s="130"/>
      <c r="E7" s="130"/>
      <c r="F7" s="130"/>
      <c r="G7" s="130"/>
      <c r="H7" s="130"/>
    </row>
    <row r="10" spans="1:8" x14ac:dyDescent="0.4">
      <c r="A10" s="96" t="s">
        <v>1211</v>
      </c>
      <c r="B10" s="96"/>
      <c r="C10" s="96"/>
      <c r="D10" s="96"/>
      <c r="E10" s="96"/>
      <c r="F10" s="96"/>
      <c r="G10" s="96"/>
      <c r="H10" s="96"/>
    </row>
    <row r="11" spans="1:8" x14ac:dyDescent="0.4">
      <c r="A11" s="1" t="s">
        <v>1193</v>
      </c>
      <c r="B11" s="1" t="s">
        <v>1192</v>
      </c>
      <c r="C11" s="1" t="s">
        <v>1194</v>
      </c>
      <c r="D11" s="1" t="s">
        <v>1195</v>
      </c>
      <c r="E11" s="1" t="s">
        <v>1196</v>
      </c>
      <c r="F11" s="1" t="s">
        <v>1213</v>
      </c>
      <c r="G11" s="1" t="s">
        <v>1197</v>
      </c>
      <c r="H11" s="1" t="s">
        <v>1214</v>
      </c>
    </row>
    <row r="12" spans="1:8" x14ac:dyDescent="0.4">
      <c r="A12" t="s">
        <v>1191</v>
      </c>
      <c r="B12">
        <v>64</v>
      </c>
      <c r="C12">
        <v>1</v>
      </c>
      <c r="D12">
        <v>50</v>
      </c>
      <c r="E12">
        <v>1000</v>
      </c>
      <c r="F12">
        <v>40</v>
      </c>
      <c r="G12">
        <v>400</v>
      </c>
      <c r="H12">
        <v>0.1</v>
      </c>
    </row>
    <row r="13" spans="1:8" x14ac:dyDescent="0.4">
      <c r="A13" t="s">
        <v>1202</v>
      </c>
      <c r="B13">
        <v>64</v>
      </c>
      <c r="C13">
        <v>1</v>
      </c>
      <c r="D13">
        <v>50</v>
      </c>
      <c r="E13">
        <v>1000</v>
      </c>
      <c r="F13">
        <v>600</v>
      </c>
      <c r="G13">
        <v>450</v>
      </c>
      <c r="H13">
        <v>0.25</v>
      </c>
    </row>
    <row r="14" spans="1:8" x14ac:dyDescent="0.4">
      <c r="A14" t="s">
        <v>1201</v>
      </c>
      <c r="B14">
        <v>64</v>
      </c>
      <c r="C14">
        <v>1</v>
      </c>
      <c r="D14">
        <v>50</v>
      </c>
      <c r="E14">
        <v>1000</v>
      </c>
      <c r="F14">
        <v>200</v>
      </c>
      <c r="G14">
        <v>400</v>
      </c>
      <c r="H14">
        <v>0.1</v>
      </c>
    </row>
    <row r="15" spans="1:8" x14ac:dyDescent="0.4">
      <c r="A15" t="s">
        <v>1198</v>
      </c>
      <c r="B15">
        <v>64</v>
      </c>
      <c r="C15">
        <v>1</v>
      </c>
      <c r="D15">
        <v>50</v>
      </c>
      <c r="E15">
        <v>1000</v>
      </c>
      <c r="F15">
        <v>230</v>
      </c>
      <c r="G15">
        <v>400</v>
      </c>
      <c r="H15">
        <v>0.2</v>
      </c>
    </row>
    <row r="16" spans="1:8" x14ac:dyDescent="0.4">
      <c r="A16" t="s">
        <v>1200</v>
      </c>
      <c r="B16">
        <v>64</v>
      </c>
      <c r="C16">
        <v>1</v>
      </c>
      <c r="D16">
        <v>50</v>
      </c>
      <c r="E16">
        <v>1000</v>
      </c>
      <c r="F16">
        <v>600</v>
      </c>
      <c r="G16">
        <v>450</v>
      </c>
      <c r="H16">
        <v>0.25</v>
      </c>
    </row>
    <row r="17" spans="1:8" x14ac:dyDescent="0.4">
      <c r="A17" t="s">
        <v>1203</v>
      </c>
      <c r="B17">
        <v>64</v>
      </c>
      <c r="C17">
        <v>1</v>
      </c>
      <c r="D17">
        <v>50</v>
      </c>
      <c r="E17">
        <v>1000</v>
      </c>
      <c r="F17">
        <v>700</v>
      </c>
      <c r="G17">
        <v>450</v>
      </c>
      <c r="H17">
        <v>0.25</v>
      </c>
    </row>
    <row r="18" spans="1:8" x14ac:dyDescent="0.4">
      <c r="A18" t="s">
        <v>1199</v>
      </c>
      <c r="B18">
        <v>64</v>
      </c>
      <c r="C18">
        <v>1</v>
      </c>
      <c r="D18">
        <v>25</v>
      </c>
      <c r="E18">
        <v>1000</v>
      </c>
      <c r="F18">
        <v>600</v>
      </c>
      <c r="G18">
        <v>450</v>
      </c>
      <c r="H18">
        <v>0.25</v>
      </c>
    </row>
    <row r="21" spans="1:8" x14ac:dyDescent="0.4">
      <c r="A21" s="96" t="s">
        <v>1212</v>
      </c>
      <c r="B21" s="96"/>
      <c r="C21" s="96"/>
      <c r="D21" s="96"/>
      <c r="E21" s="96"/>
      <c r="F21" s="96"/>
    </row>
    <row r="22" spans="1:8" ht="15" thickBot="1" x14ac:dyDescent="0.45">
      <c r="A22" s="1" t="s">
        <v>1193</v>
      </c>
      <c r="B22" s="68" t="s">
        <v>1192</v>
      </c>
      <c r="C22" s="68" t="s">
        <v>1194</v>
      </c>
      <c r="D22" s="1" t="s">
        <v>1210</v>
      </c>
      <c r="E22" s="68" t="s">
        <v>1204</v>
      </c>
      <c r="F22" s="68" t="s">
        <v>1205</v>
      </c>
    </row>
    <row r="23" spans="1:8" ht="15" thickTop="1" x14ac:dyDescent="0.4">
      <c r="A23" t="s">
        <v>1206</v>
      </c>
      <c r="B23">
        <v>1</v>
      </c>
      <c r="C23">
        <v>64</v>
      </c>
      <c r="D23">
        <v>1000</v>
      </c>
      <c r="E23">
        <v>4</v>
      </c>
      <c r="F23">
        <v>300</v>
      </c>
    </row>
    <row r="24" spans="1:8" x14ac:dyDescent="0.4">
      <c r="A24" t="s">
        <v>1207</v>
      </c>
      <c r="B24">
        <v>1</v>
      </c>
      <c r="C24">
        <v>64</v>
      </c>
      <c r="D24">
        <v>1000</v>
      </c>
      <c r="E24">
        <v>77</v>
      </c>
      <c r="F24">
        <v>300</v>
      </c>
    </row>
    <row r="25" spans="1:8" x14ac:dyDescent="0.4">
      <c r="A25" t="s">
        <v>1262</v>
      </c>
      <c r="B25">
        <v>1</v>
      </c>
      <c r="C25">
        <v>64</v>
      </c>
      <c r="D25">
        <v>1000</v>
      </c>
      <c r="E25">
        <v>27</v>
      </c>
      <c r="F25">
        <v>300</v>
      </c>
    </row>
    <row r="26" spans="1:8" x14ac:dyDescent="0.4">
      <c r="A26" t="s">
        <v>1208</v>
      </c>
      <c r="B26">
        <v>1</v>
      </c>
      <c r="C26">
        <v>64</v>
      </c>
      <c r="D26">
        <v>1000</v>
      </c>
      <c r="E26">
        <v>87</v>
      </c>
      <c r="F26">
        <v>300</v>
      </c>
    </row>
    <row r="27" spans="1:8" x14ac:dyDescent="0.4">
      <c r="A27" t="s">
        <v>1209</v>
      </c>
      <c r="B27">
        <v>1</v>
      </c>
      <c r="C27">
        <v>1</v>
      </c>
      <c r="D27">
        <v>32</v>
      </c>
      <c r="E27">
        <v>300</v>
      </c>
      <c r="F27">
        <v>350</v>
      </c>
    </row>
  </sheetData>
  <mergeCells count="4">
    <mergeCell ref="A10:H10"/>
    <mergeCell ref="A21:F21"/>
    <mergeCell ref="A1:H2"/>
    <mergeCell ref="A3:H7"/>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27</vt:i4>
      </vt:variant>
    </vt:vector>
  </HeadingPairs>
  <TitlesOfParts>
    <vt:vector size="40" baseType="lpstr">
      <vt:lpstr>Explanation</vt:lpstr>
      <vt:lpstr>Settings</vt:lpstr>
      <vt:lpstr>Accelerator Calculator</vt:lpstr>
      <vt:lpstr>NSC Calculator</vt:lpstr>
      <vt:lpstr>Liquefier Calculator</vt:lpstr>
      <vt:lpstr>Mass Defect Calculator</vt:lpstr>
      <vt:lpstr>Target Chamber Recipes</vt:lpstr>
      <vt:lpstr>Spallation Yields</vt:lpstr>
      <vt:lpstr>Fission Yields</vt:lpstr>
      <vt:lpstr>NSC Recipes</vt:lpstr>
      <vt:lpstr>Collision Chamber Recipes</vt:lpstr>
      <vt:lpstr>Decay Chamber Recipes</vt:lpstr>
      <vt:lpstr>Liquefier Recipes</vt:lpstr>
      <vt:lpstr>amu</vt:lpstr>
      <vt:lpstr>beam_atten</vt:lpstr>
      <vt:lpstr>c_s</vt:lpstr>
      <vt:lpstr>E_smin</vt:lpstr>
      <vt:lpstr>h</vt:lpstr>
      <vt:lpstr>HPM_EM_ratio</vt:lpstr>
      <vt:lpstr>HX_EM_h</vt:lpstr>
      <vt:lpstr>I_b</vt:lpstr>
      <vt:lpstr>k</vt:lpstr>
      <vt:lpstr>keV_to_H</vt:lpstr>
      <vt:lpstr>LiqNozzleSpeed</vt:lpstr>
      <vt:lpstr>m_e</vt:lpstr>
      <vt:lpstr>M_HP_ratio</vt:lpstr>
      <vt:lpstr>m_n</vt:lpstr>
      <vt:lpstr>m_p</vt:lpstr>
      <vt:lpstr>mole</vt:lpstr>
      <vt:lpstr>muon_ratio</vt:lpstr>
      <vt:lpstr>NSC_HM_h</vt:lpstr>
      <vt:lpstr>NSC_M_h</vt:lpstr>
      <vt:lpstr>p_debuff</vt:lpstr>
      <vt:lpstr>r_0</vt:lpstr>
      <vt:lpstr>r_debuff</vt:lpstr>
      <vt:lpstr>r_p</vt:lpstr>
      <vt:lpstr>sf_beam</vt:lpstr>
      <vt:lpstr>sf_NSC</vt:lpstr>
      <vt:lpstr>sf_TC</vt:lpstr>
      <vt:lpstr>Turb_HPM_RF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Lachlan Goulden</dc:creator>
  <cp:lastModifiedBy>Lachlan Goulden</cp:lastModifiedBy>
  <dcterms:created xsi:type="dcterms:W3CDTF">2015-06-05T18:17:20Z</dcterms:created>
  <dcterms:modified xsi:type="dcterms:W3CDTF">2026-09-20T07:31:16Z</dcterms:modified>
</cp:coreProperties>
</file>