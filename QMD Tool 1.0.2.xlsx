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f58eb7ac02b72f7f/Mod save/"/>
    </mc:Choice>
  </mc:AlternateContent>
  <xr:revisionPtr revIDLastSave="2005" documentId="13_ncr:1_{0113DB99-0F82-44C8-8B2E-206B0F6759A1}" xr6:coauthVersionLast="47" xr6:coauthVersionMax="47" xr10:uidLastSave="{1C32DF2D-1A5B-47F1-B881-69ABAA467245}"/>
  <bookViews>
    <workbookView xWindow="-103" yWindow="-103" windowWidth="33120" windowHeight="18000" tabRatio="809" xr2:uid="{00000000-000D-0000-FFFF-FFFF00000000}"/>
  </bookViews>
  <sheets>
    <sheet name="Explanation" sheetId="7" r:id="rId1"/>
    <sheet name="Settings" sheetId="1" r:id="rId2"/>
    <sheet name="Accelerator Calculator" sheetId="4" r:id="rId3"/>
    <sheet name="NSC Calculator" sheetId="5" r:id="rId4"/>
    <sheet name="Liquefier Calculator" sheetId="12" r:id="rId5"/>
    <sheet name="Mass Defect Calculator" sheetId="6" r:id="rId6"/>
    <sheet name="Target Chamber Recipes" sheetId="2" r:id="rId7"/>
    <sheet name="NSC Recipes" sheetId="3" r:id="rId8"/>
    <sheet name="Collision Chamber Recipes" sheetId="8" r:id="rId9"/>
    <sheet name="Decay Chamber Recipes" sheetId="10" r:id="rId10"/>
    <sheet name="Liquefier Recipes" sheetId="11" r:id="rId11"/>
  </sheets>
  <definedNames>
    <definedName name="amu">'Mass Defect Calculator'!$I$20</definedName>
    <definedName name="beam_atten">Settings!$A$19</definedName>
    <definedName name="E_smin">Settings!$A$22</definedName>
    <definedName name="I_b">Settings!$A$7</definedName>
    <definedName name="keV_to_H">'NSC Recipes'!$C$10</definedName>
    <definedName name="LiqNozzleSpeed">Settings!$A$25</definedName>
    <definedName name="m_e">'Mass Defect Calculator'!$I$22</definedName>
    <definedName name="mole">Settings!$A$37</definedName>
    <definedName name="muon_ratio">'NSC Recipes'!$A$10</definedName>
    <definedName name="r_debuff">'NSC Recipes'!$A$50</definedName>
    <definedName name="sf_beam">Settings!$A$10</definedName>
    <definedName name="sf_NSC">Settings!$A$16</definedName>
    <definedName name="sf_TC">Settings!$A$13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 i="12" l="1"/>
  <c r="L30" i="12"/>
  <c r="M29" i="12"/>
  <c r="A26" i="12"/>
  <c r="A29" i="12"/>
  <c r="B26" i="12" s="1"/>
  <c r="C12" i="12"/>
  <c r="H29" i="12"/>
  <c r="K48" i="12"/>
  <c r="L48" i="12"/>
  <c r="M48" i="12"/>
  <c r="K49" i="12"/>
  <c r="L49" i="12"/>
  <c r="M49" i="12"/>
  <c r="K50" i="12"/>
  <c r="L50" i="12"/>
  <c r="M50" i="12"/>
  <c r="K51" i="12"/>
  <c r="L51" i="12"/>
  <c r="M51" i="12"/>
  <c r="K52" i="12"/>
  <c r="L52" i="12"/>
  <c r="M52" i="12"/>
  <c r="K53" i="12"/>
  <c r="L53" i="12"/>
  <c r="M53" i="12"/>
  <c r="K54" i="12"/>
  <c r="L54" i="12"/>
  <c r="M54" i="12"/>
  <c r="K55" i="12"/>
  <c r="L55" i="12"/>
  <c r="M55" i="12"/>
  <c r="K56" i="12"/>
  <c r="L56" i="12"/>
  <c r="M56" i="12"/>
  <c r="K57" i="12"/>
  <c r="L57" i="12"/>
  <c r="M57" i="12"/>
  <c r="K58" i="12"/>
  <c r="L58" i="12"/>
  <c r="M58" i="12"/>
  <c r="K59" i="12"/>
  <c r="L59" i="12"/>
  <c r="M59" i="12"/>
  <c r="K60" i="12"/>
  <c r="L60" i="12"/>
  <c r="M60" i="12"/>
  <c r="K61" i="12"/>
  <c r="L61" i="12"/>
  <c r="M61" i="12"/>
  <c r="K62" i="12"/>
  <c r="L62" i="12"/>
  <c r="M62" i="12"/>
  <c r="K63" i="12"/>
  <c r="L63" i="12"/>
  <c r="M63" i="12"/>
  <c r="K64" i="12"/>
  <c r="L64" i="12"/>
  <c r="M64" i="12"/>
  <c r="K65" i="12"/>
  <c r="L65" i="12"/>
  <c r="M65" i="12"/>
  <c r="M30" i="12"/>
  <c r="M31" i="12"/>
  <c r="M32" i="12"/>
  <c r="M33" i="12"/>
  <c r="M34" i="12"/>
  <c r="M35" i="12"/>
  <c r="M36" i="12"/>
  <c r="M37" i="12"/>
  <c r="M38" i="12"/>
  <c r="M39" i="12"/>
  <c r="M40" i="12"/>
  <c r="M41" i="12"/>
  <c r="M42" i="12"/>
  <c r="M43" i="12"/>
  <c r="M44" i="12"/>
  <c r="M45" i="12"/>
  <c r="M46" i="12"/>
  <c r="M47" i="12"/>
  <c r="L31" i="12"/>
  <c r="L32" i="12"/>
  <c r="L33" i="12"/>
  <c r="L34" i="12"/>
  <c r="L35" i="12"/>
  <c r="L36" i="12"/>
  <c r="L37" i="12"/>
  <c r="L38" i="12"/>
  <c r="L39" i="12"/>
  <c r="L40" i="12"/>
  <c r="L41" i="12"/>
  <c r="L42" i="12"/>
  <c r="L43" i="12"/>
  <c r="L44" i="12"/>
  <c r="L45" i="12"/>
  <c r="L46" i="12"/>
  <c r="L47" i="12"/>
  <c r="K30" i="12"/>
  <c r="K31" i="12"/>
  <c r="K32" i="12"/>
  <c r="K33" i="12"/>
  <c r="K34" i="12"/>
  <c r="K35" i="12"/>
  <c r="K36" i="12"/>
  <c r="K37" i="12"/>
  <c r="K38" i="12"/>
  <c r="K39" i="12"/>
  <c r="K40" i="12"/>
  <c r="K41" i="12"/>
  <c r="K42" i="12"/>
  <c r="K43" i="12"/>
  <c r="K44" i="12"/>
  <c r="K45" i="12"/>
  <c r="K46" i="12"/>
  <c r="K47" i="12"/>
  <c r="K29" i="12"/>
  <c r="F15" i="12"/>
  <c r="E15" i="12"/>
  <c r="D15" i="12"/>
  <c r="C15" i="12"/>
  <c r="B15" i="12"/>
  <c r="H12" i="12"/>
  <c r="N30" i="12" s="1"/>
  <c r="G12" i="12"/>
  <c r="F12" i="12"/>
  <c r="E12" i="12"/>
  <c r="D12" i="12"/>
  <c r="B12" i="12"/>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A18" i="4" a="1"/>
  <c r="A18" i="4" s="1"/>
  <c r="H329" i="2"/>
  <c r="H330" i="2"/>
  <c r="H331" i="2"/>
  <c r="H332" i="2"/>
  <c r="B330" i="2"/>
  <c r="B332" i="2"/>
  <c r="B331" i="2"/>
  <c r="B329" i="2"/>
  <c r="A18" i="12" l="1"/>
  <c r="C26" i="12"/>
  <c r="C32" i="12"/>
  <c r="N29" i="12"/>
  <c r="D26" i="12"/>
  <c r="G26" i="12" s="1"/>
  <c r="H26" i="12" s="1"/>
  <c r="N60" i="12"/>
  <c r="P60" i="12" s="1"/>
  <c r="B32" i="12"/>
  <c r="B18" i="12"/>
  <c r="N33" i="12"/>
  <c r="O33" i="12" s="1"/>
  <c r="N31" i="12"/>
  <c r="P31" i="12" s="1"/>
  <c r="N62" i="12"/>
  <c r="P62" i="12" s="1"/>
  <c r="N55" i="12"/>
  <c r="O30" i="12"/>
  <c r="N39" i="12"/>
  <c r="P39" i="12" s="1"/>
  <c r="N47" i="12"/>
  <c r="O47" i="12" s="1"/>
  <c r="N53" i="12"/>
  <c r="O53" i="12" s="1"/>
  <c r="N46" i="12"/>
  <c r="O46" i="12" s="1"/>
  <c r="N45" i="12"/>
  <c r="O45" i="12" s="1"/>
  <c r="N65" i="12"/>
  <c r="N52" i="12"/>
  <c r="P52" i="12" s="1"/>
  <c r="N44" i="12"/>
  <c r="O44" i="12" s="1"/>
  <c r="N59" i="12"/>
  <c r="P59" i="12" s="1"/>
  <c r="N43" i="12"/>
  <c r="P43" i="12" s="1"/>
  <c r="O52" i="12"/>
  <c r="N42" i="12"/>
  <c r="P42" i="12" s="1"/>
  <c r="N41" i="12"/>
  <c r="P41" i="12" s="1"/>
  <c r="N58" i="12"/>
  <c r="P58" i="12" s="1"/>
  <c r="N40" i="12"/>
  <c r="P40" i="12" s="1"/>
  <c r="N64" i="12"/>
  <c r="O64" i="12" s="1"/>
  <c r="N57" i="12"/>
  <c r="O57" i="12" s="1"/>
  <c r="N51" i="12"/>
  <c r="N38" i="12"/>
  <c r="O38" i="12" s="1"/>
  <c r="N37" i="12"/>
  <c r="P37" i="12" s="1"/>
  <c r="N36" i="12"/>
  <c r="P36" i="12" s="1"/>
  <c r="N35" i="12"/>
  <c r="P35" i="12" s="1"/>
  <c r="N34" i="12"/>
  <c r="P34" i="12" s="1"/>
  <c r="N63" i="12"/>
  <c r="O63" i="12" s="1"/>
  <c r="N56" i="12"/>
  <c r="P56" i="12" s="1"/>
  <c r="N50" i="12"/>
  <c r="N32" i="12"/>
  <c r="O32" i="12" s="1"/>
  <c r="N61" i="12"/>
  <c r="N54" i="12"/>
  <c r="N49" i="12"/>
  <c r="N48" i="12"/>
  <c r="O48" i="12" s="1"/>
  <c r="I24" i="4"/>
  <c r="I25" i="4"/>
  <c r="I23" i="4"/>
  <c r="I22" i="4"/>
  <c r="I21" i="4"/>
  <c r="I20" i="4"/>
  <c r="I19" i="4"/>
  <c r="I18" i="4"/>
  <c r="G36" i="6"/>
  <c r="G33" i="6"/>
  <c r="G21" i="6"/>
  <c r="G22" i="6"/>
  <c r="G23" i="6"/>
  <c r="G24" i="6"/>
  <c r="G25" i="6"/>
  <c r="G26" i="6"/>
  <c r="G27" i="6"/>
  <c r="G28" i="6"/>
  <c r="G29" i="6"/>
  <c r="G30" i="6"/>
  <c r="G31" i="6"/>
  <c r="G32" i="6"/>
  <c r="G34" i="6"/>
  <c r="G35"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N50" i="2" a="1"/>
  <c r="N50" i="2" s="1"/>
  <c r="P29" i="12" l="1"/>
  <c r="O29" i="12"/>
  <c r="E26" i="12"/>
  <c r="F26" i="12" s="1"/>
  <c r="E32" i="12" s="1"/>
  <c r="D32" i="12"/>
  <c r="D29" i="12"/>
  <c r="C29" i="12" s="1"/>
  <c r="B29" i="12" s="1"/>
  <c r="O60" i="12"/>
  <c r="O36" i="12"/>
  <c r="O37" i="12"/>
  <c r="P33" i="12"/>
  <c r="P45" i="12"/>
  <c r="P46" i="12"/>
  <c r="P47" i="12"/>
  <c r="P44" i="12"/>
  <c r="P64" i="12"/>
  <c r="O34" i="12"/>
  <c r="O31" i="12"/>
  <c r="P30" i="12"/>
  <c r="P63" i="12"/>
  <c r="O56" i="12"/>
  <c r="O62" i="12"/>
  <c r="O35" i="12"/>
  <c r="P38" i="12"/>
  <c r="O41" i="12"/>
  <c r="P32" i="12"/>
  <c r="O40" i="12"/>
  <c r="O43" i="12"/>
  <c r="P48" i="12"/>
  <c r="P57" i="12"/>
  <c r="O51" i="12"/>
  <c r="P51" i="12"/>
  <c r="O59" i="12"/>
  <c r="O61" i="12"/>
  <c r="P61" i="12"/>
  <c r="P53" i="12"/>
  <c r="O55" i="12"/>
  <c r="P55" i="12"/>
  <c r="P49" i="12"/>
  <c r="O49" i="12"/>
  <c r="O54" i="12"/>
  <c r="P54" i="12"/>
  <c r="O65" i="12"/>
  <c r="P65" i="12"/>
  <c r="O58" i="12"/>
  <c r="O50" i="12"/>
  <c r="P50" i="12"/>
  <c r="O39" i="12"/>
  <c r="O42" i="12"/>
  <c r="G20" i="6"/>
  <c r="P25" i="6"/>
  <c r="P26" i="6"/>
  <c r="P27" i="6"/>
  <c r="P24" i="6"/>
  <c r="B14" i="4"/>
  <c r="M25" i="6"/>
  <c r="M26" i="6"/>
  <c r="M27" i="6"/>
  <c r="M24" i="6"/>
  <c r="C14" i="4"/>
  <c r="R5" i="7"/>
  <c r="R6" i="7"/>
  <c r="R7" i="7"/>
  <c r="R8" i="7"/>
  <c r="R9" i="7"/>
  <c r="R10" i="7"/>
  <c r="R11" i="7"/>
  <c r="R12" i="7"/>
  <c r="R13" i="7"/>
  <c r="R14" i="7"/>
  <c r="R15" i="7"/>
  <c r="R16" i="7"/>
  <c r="R17" i="7"/>
  <c r="R18" i="7"/>
  <c r="R19" i="7"/>
  <c r="R20" i="7"/>
  <c r="R21" i="7"/>
  <c r="R22" i="7"/>
  <c r="R23" i="7"/>
  <c r="R24" i="7"/>
  <c r="R25" i="7"/>
  <c r="R26" i="7"/>
  <c r="R27" i="7"/>
  <c r="R28" i="7"/>
  <c r="R29" i="7"/>
  <c r="R30" i="7"/>
  <c r="R32" i="7"/>
  <c r="R33" i="7"/>
  <c r="R34" i="7"/>
  <c r="R36" i="7"/>
  <c r="R37" i="7"/>
  <c r="R38" i="7"/>
  <c r="R39" i="7"/>
  <c r="R40" i="7"/>
  <c r="R41" i="7"/>
  <c r="R42" i="7"/>
  <c r="R43" i="7"/>
  <c r="R44" i="7"/>
  <c r="R45" i="7"/>
  <c r="R46" i="7"/>
  <c r="R47" i="7"/>
  <c r="R48" i="7"/>
  <c r="R49" i="7"/>
  <c r="R50" i="7"/>
  <c r="R51" i="7"/>
  <c r="R52" i="7"/>
  <c r="R53" i="7"/>
  <c r="R54" i="7"/>
  <c r="R55" i="7"/>
  <c r="R56" i="7"/>
  <c r="R57" i="7"/>
  <c r="Q58" i="7"/>
  <c r="R58" i="7"/>
  <c r="R59" i="7"/>
  <c r="Q60" i="7"/>
  <c r="R60" i="7"/>
  <c r="R61" i="7"/>
  <c r="Q62" i="7"/>
  <c r="R62" i="7"/>
  <c r="Q63" i="7"/>
  <c r="R63" i="7"/>
  <c r="Q64" i="7"/>
  <c r="R64" i="7"/>
  <c r="Q65" i="7"/>
  <c r="R65" i="7"/>
  <c r="Q66" i="7"/>
  <c r="R66" i="7"/>
  <c r="Q67" i="7"/>
  <c r="R67" i="7"/>
  <c r="Q68" i="7"/>
  <c r="R68" i="7"/>
  <c r="P23" i="6"/>
  <c r="P20" i="6"/>
  <c r="A32" i="12" l="1"/>
  <c r="H32" i="12" s="1"/>
  <c r="F32" i="12"/>
  <c r="L13" i="4"/>
  <c r="L15" i="4" s="1"/>
  <c r="L18" i="4" s="1" a="1"/>
  <c r="P22" i="6"/>
  <c r="M23" i="6"/>
  <c r="P21" i="6"/>
  <c r="M20" i="6"/>
  <c r="M22" i="6"/>
  <c r="M21" i="6"/>
  <c r="G32" i="12" l="1"/>
  <c r="G29" i="12"/>
  <c r="F29" i="12"/>
  <c r="L18" i="4"/>
  <c r="T19" i="4"/>
  <c r="T47" i="4"/>
  <c r="T52" i="4"/>
  <c r="T26" i="4"/>
  <c r="T29" i="4"/>
  <c r="T34" i="4"/>
  <c r="T38" i="4"/>
  <c r="T41" i="4"/>
  <c r="T44" i="4"/>
  <c r="T20" i="4"/>
  <c r="T48" i="4"/>
  <c r="T51" i="4"/>
  <c r="T25" i="4"/>
  <c r="T27" i="4"/>
  <c r="T18" i="4"/>
  <c r="T21" i="4"/>
  <c r="T49" i="4"/>
  <c r="T24" i="4"/>
  <c r="T54" i="4"/>
  <c r="T31" i="4"/>
  <c r="T39" i="4"/>
  <c r="T45" i="4"/>
  <c r="T22" i="4"/>
  <c r="T50" i="4"/>
  <c r="T53" i="4"/>
  <c r="T55" i="4"/>
  <c r="T30" i="4"/>
  <c r="T33" i="4"/>
  <c r="T36" i="4"/>
  <c r="T42" i="4"/>
  <c r="T46" i="4"/>
  <c r="T23" i="4"/>
  <c r="T28" i="4"/>
  <c r="T32" i="4"/>
  <c r="T35" i="4"/>
  <c r="T37" i="4"/>
  <c r="T40" i="4"/>
  <c r="T43" i="4"/>
  <c r="Q20" i="6"/>
  <c r="Q21" i="6" s="1"/>
  <c r="B287" i="2"/>
  <c r="H287" i="2" s="1"/>
  <c r="B324" i="2"/>
  <c r="H324" i="2" s="1"/>
  <c r="B323" i="2"/>
  <c r="H323" i="2" s="1"/>
  <c r="B322" i="2"/>
  <c r="H322" i="2" s="1"/>
  <c r="B321" i="2"/>
  <c r="H321" i="2" s="1"/>
  <c r="B320" i="2"/>
  <c r="H320" i="2" s="1"/>
  <c r="B319" i="2"/>
  <c r="H319" i="2" s="1"/>
  <c r="B318" i="2"/>
  <c r="H318" i="2" s="1"/>
  <c r="B317" i="2"/>
  <c r="H317" i="2" s="1"/>
  <c r="B316" i="2"/>
  <c r="H316" i="2" s="1"/>
  <c r="B315" i="2"/>
  <c r="H315" i="2" s="1"/>
  <c r="B314" i="2"/>
  <c r="H314" i="2" s="1"/>
  <c r="B313" i="2"/>
  <c r="H313" i="2" s="1"/>
  <c r="B312" i="2"/>
  <c r="H312" i="2" s="1"/>
  <c r="B311" i="2"/>
  <c r="H311" i="2" s="1"/>
  <c r="B310" i="2"/>
  <c r="H310" i="2" s="1"/>
  <c r="B309" i="2"/>
  <c r="H309" i="2" s="1"/>
  <c r="B308" i="2"/>
  <c r="H308" i="2" s="1"/>
  <c r="B307" i="2"/>
  <c r="H307" i="2" s="1"/>
  <c r="B306" i="2"/>
  <c r="H306" i="2" s="1"/>
  <c r="B305" i="2"/>
  <c r="H305" i="2" s="1"/>
  <c r="B304" i="2"/>
  <c r="H304" i="2" s="1"/>
  <c r="B303" i="2"/>
  <c r="H303" i="2" s="1"/>
  <c r="B302" i="2"/>
  <c r="H302" i="2" s="1"/>
  <c r="B301" i="2"/>
  <c r="H301" i="2" s="1"/>
  <c r="B300" i="2"/>
  <c r="H300" i="2" s="1"/>
  <c r="B299" i="2"/>
  <c r="H299" i="2" s="1"/>
  <c r="B298" i="2"/>
  <c r="H298" i="2" s="1"/>
  <c r="B297" i="2"/>
  <c r="H297" i="2" s="1"/>
  <c r="B296" i="2"/>
  <c r="H296" i="2" s="1"/>
  <c r="B295" i="2"/>
  <c r="H295" i="2" s="1"/>
  <c r="B294" i="2"/>
  <c r="H294" i="2" s="1"/>
  <c r="B293" i="2"/>
  <c r="H293" i="2" s="1"/>
  <c r="B292" i="2"/>
  <c r="H292" i="2" s="1"/>
  <c r="B291" i="2"/>
  <c r="H291" i="2" s="1"/>
  <c r="B290" i="2"/>
  <c r="H290" i="2" s="1"/>
  <c r="B289" i="2"/>
  <c r="H289" i="2" s="1"/>
  <c r="B288" i="2"/>
  <c r="H288" i="2" s="1"/>
  <c r="B497" i="2"/>
  <c r="H497" i="2" s="1"/>
  <c r="B496" i="2"/>
  <c r="H496" i="2" s="1"/>
  <c r="B495" i="2"/>
  <c r="H495" i="2" s="1"/>
  <c r="B494" i="2"/>
  <c r="H494" i="2" s="1"/>
  <c r="B493" i="2"/>
  <c r="H493" i="2" s="1"/>
  <c r="B492" i="2"/>
  <c r="H492" i="2" s="1"/>
  <c r="B491" i="2"/>
  <c r="H491" i="2" s="1"/>
  <c r="B490" i="2"/>
  <c r="H490" i="2" s="1"/>
  <c r="B489" i="2"/>
  <c r="H489" i="2" s="1"/>
  <c r="B488" i="2"/>
  <c r="H488" i="2" s="1"/>
  <c r="B487" i="2"/>
  <c r="H487" i="2" s="1"/>
  <c r="B486" i="2"/>
  <c r="H486" i="2" s="1"/>
  <c r="B485" i="2"/>
  <c r="H485" i="2" s="1"/>
  <c r="B484" i="2"/>
  <c r="H484" i="2" s="1"/>
  <c r="B483" i="2"/>
  <c r="H483" i="2" s="1"/>
  <c r="B482" i="2"/>
  <c r="H482" i="2" s="1"/>
  <c r="B481" i="2"/>
  <c r="H481" i="2" s="1"/>
  <c r="B480" i="2"/>
  <c r="H480" i="2" s="1"/>
  <c r="B479" i="2"/>
  <c r="H479" i="2" s="1"/>
  <c r="B478" i="2"/>
  <c r="H478" i="2" s="1"/>
  <c r="B477" i="2"/>
  <c r="H477" i="2" s="1"/>
  <c r="B476" i="2"/>
  <c r="H476" i="2" s="1"/>
  <c r="B475" i="2"/>
  <c r="H475" i="2" s="1"/>
  <c r="B474" i="2"/>
  <c r="H474" i="2" s="1"/>
  <c r="B473" i="2"/>
  <c r="H473" i="2" s="1"/>
  <c r="B472" i="2"/>
  <c r="H472" i="2" s="1"/>
  <c r="B471" i="2"/>
  <c r="H471" i="2" s="1"/>
  <c r="B470" i="2"/>
  <c r="H470" i="2" s="1"/>
  <c r="B469" i="2"/>
  <c r="H469" i="2" s="1"/>
  <c r="B468" i="2"/>
  <c r="H468" i="2" s="1"/>
  <c r="B467" i="2"/>
  <c r="H467" i="2" s="1"/>
  <c r="B466" i="2"/>
  <c r="H466" i="2" s="1"/>
  <c r="B465" i="2"/>
  <c r="H465" i="2" s="1"/>
  <c r="B464" i="2"/>
  <c r="H464" i="2" s="1"/>
  <c r="B463" i="2"/>
  <c r="H463" i="2" s="1"/>
  <c r="B462" i="2"/>
  <c r="H462" i="2" s="1"/>
  <c r="B461" i="2"/>
  <c r="H461" i="2" s="1"/>
  <c r="B460" i="2"/>
  <c r="H460" i="2" s="1"/>
  <c r="A11" i="5" a="1"/>
  <c r="A11" i="5" s="1"/>
  <c r="E29" i="12" l="1"/>
  <c r="D40" i="5"/>
  <c r="E40" i="5" s="1"/>
  <c r="D44" i="5"/>
  <c r="E44" i="5" s="1"/>
  <c r="D45" i="5"/>
  <c r="E45" i="5" s="1"/>
  <c r="D43" i="5"/>
  <c r="E43" i="5" s="1"/>
  <c r="D42" i="5"/>
  <c r="E42" i="5" s="1"/>
  <c r="D41" i="5"/>
  <c r="AF40" i="4"/>
  <c r="AF41" i="4"/>
  <c r="AF45" i="4"/>
  <c r="AF46" i="4"/>
  <c r="AF47" i="4"/>
  <c r="AF26" i="4"/>
  <c r="AF27" i="4"/>
  <c r="AF28" i="4"/>
  <c r="AF29" i="4"/>
  <c r="AF30" i="4"/>
  <c r="AF31" i="4"/>
  <c r="AF32" i="4"/>
  <c r="AF33" i="4"/>
  <c r="AF34" i="4"/>
  <c r="AF35" i="4"/>
  <c r="AF36" i="4"/>
  <c r="AF37" i="4"/>
  <c r="AF38" i="4"/>
  <c r="AF39" i="4"/>
  <c r="AF42" i="4"/>
  <c r="AF43" i="4"/>
  <c r="AF44" i="4"/>
  <c r="AF48" i="4"/>
  <c r="AF49" i="4"/>
  <c r="AF50" i="4"/>
  <c r="AF51" i="4"/>
  <c r="AF52" i="4"/>
  <c r="AF53" i="4"/>
  <c r="AF54" i="4"/>
  <c r="AF55" i="4"/>
  <c r="B148" i="2"/>
  <c r="H148" i="2" s="1"/>
  <c r="B149" i="2"/>
  <c r="H149" i="2" s="1"/>
  <c r="B150" i="2"/>
  <c r="H150" i="2" s="1"/>
  <c r="B151" i="2"/>
  <c r="H151" i="2" s="1"/>
  <c r="B152" i="2"/>
  <c r="H152" i="2" s="1"/>
  <c r="B153" i="2"/>
  <c r="H153" i="2" s="1"/>
  <c r="B154" i="2"/>
  <c r="H154" i="2" s="1"/>
  <c r="B155" i="2"/>
  <c r="H155" i="2" s="1"/>
  <c r="B156" i="2"/>
  <c r="H156" i="2" s="1"/>
  <c r="B157" i="2"/>
  <c r="H157" i="2" s="1"/>
  <c r="B158" i="2"/>
  <c r="H158" i="2" s="1"/>
  <c r="B159" i="2"/>
  <c r="H159" i="2" s="1"/>
  <c r="B160" i="2"/>
  <c r="H160" i="2" s="1"/>
  <c r="B161" i="2"/>
  <c r="H161" i="2" s="1"/>
  <c r="B162" i="2"/>
  <c r="H162" i="2" s="1"/>
  <c r="B163" i="2"/>
  <c r="H163" i="2" s="1"/>
  <c r="B164" i="2"/>
  <c r="H164" i="2" s="1"/>
  <c r="B165" i="2"/>
  <c r="H165" i="2" s="1"/>
  <c r="B166" i="2"/>
  <c r="H166" i="2" s="1"/>
  <c r="B167" i="2"/>
  <c r="H167" i="2" s="1"/>
  <c r="B168" i="2"/>
  <c r="H168" i="2" s="1"/>
  <c r="B169" i="2"/>
  <c r="H169" i="2" s="1"/>
  <c r="B170" i="2"/>
  <c r="H170" i="2" s="1"/>
  <c r="B171" i="2"/>
  <c r="H171" i="2" s="1"/>
  <c r="B172" i="2"/>
  <c r="H172" i="2" s="1"/>
  <c r="B173" i="2"/>
  <c r="H173" i="2" s="1"/>
  <c r="B174" i="2"/>
  <c r="H174" i="2" s="1"/>
  <c r="B175" i="2"/>
  <c r="H175" i="2" s="1"/>
  <c r="B176" i="2"/>
  <c r="H176" i="2" s="1"/>
  <c r="B177" i="2"/>
  <c r="H177" i="2" s="1"/>
  <c r="B178" i="2"/>
  <c r="H178" i="2" s="1"/>
  <c r="B179" i="2"/>
  <c r="H179" i="2" s="1"/>
  <c r="B180" i="2"/>
  <c r="H180" i="2" s="1"/>
  <c r="B111" i="2"/>
  <c r="H111" i="2" s="1"/>
  <c r="B107" i="2"/>
  <c r="H107" i="2" s="1"/>
  <c r="B108" i="2"/>
  <c r="H108" i="2" s="1"/>
  <c r="B109" i="2"/>
  <c r="H109" i="2" s="1"/>
  <c r="B110" i="2"/>
  <c r="H110" i="2" s="1"/>
  <c r="B112" i="2"/>
  <c r="H112" i="2" s="1"/>
  <c r="B113" i="2"/>
  <c r="H113" i="2" s="1"/>
  <c r="B114" i="2"/>
  <c r="H114" i="2" s="1"/>
  <c r="B115" i="2"/>
  <c r="H115" i="2" s="1"/>
  <c r="B116" i="2"/>
  <c r="H116" i="2" s="1"/>
  <c r="B117" i="2"/>
  <c r="H117" i="2" s="1"/>
  <c r="B118" i="2"/>
  <c r="H118" i="2" s="1"/>
  <c r="B119" i="2"/>
  <c r="H119" i="2" s="1"/>
  <c r="B120" i="2"/>
  <c r="H120" i="2" s="1"/>
  <c r="B121" i="2"/>
  <c r="H121" i="2" s="1"/>
  <c r="B122" i="2"/>
  <c r="H122" i="2" s="1"/>
  <c r="B123" i="2"/>
  <c r="H123" i="2" s="1"/>
  <c r="B124" i="2"/>
  <c r="H124" i="2" s="1"/>
  <c r="B125" i="2"/>
  <c r="H125" i="2" s="1"/>
  <c r="B126" i="2"/>
  <c r="H126" i="2" s="1"/>
  <c r="B127" i="2"/>
  <c r="H127" i="2" s="1"/>
  <c r="B128" i="2"/>
  <c r="H128" i="2" s="1"/>
  <c r="B129" i="2"/>
  <c r="H129" i="2" s="1"/>
  <c r="B130" i="2"/>
  <c r="H130" i="2" s="1"/>
  <c r="B131" i="2"/>
  <c r="H131" i="2" s="1"/>
  <c r="B132" i="2"/>
  <c r="H132" i="2" s="1"/>
  <c r="B133" i="2"/>
  <c r="H133" i="2" s="1"/>
  <c r="B134" i="2"/>
  <c r="H134" i="2" s="1"/>
  <c r="B135" i="2"/>
  <c r="H135" i="2" s="1"/>
  <c r="B136" i="2"/>
  <c r="H136" i="2" s="1"/>
  <c r="B137" i="2"/>
  <c r="H137" i="2" s="1"/>
  <c r="B138" i="2"/>
  <c r="H138" i="2" s="1"/>
  <c r="B139" i="2"/>
  <c r="H139" i="2" s="1"/>
  <c r="B140" i="2"/>
  <c r="H140" i="2" s="1"/>
  <c r="B141" i="2"/>
  <c r="H141" i="2" s="1"/>
  <c r="B142" i="2"/>
  <c r="H142" i="2" s="1"/>
  <c r="B143" i="2"/>
  <c r="H143" i="2" s="1"/>
  <c r="B144" i="2"/>
  <c r="H144" i="2" s="1"/>
  <c r="F44" i="5" l="1"/>
  <c r="G44" i="5" s="1"/>
  <c r="H44" i="5" s="1"/>
  <c r="I44" i="5" s="1"/>
  <c r="F42" i="5"/>
  <c r="G42" i="5" s="1"/>
  <c r="H42" i="5" s="1"/>
  <c r="I42" i="5" s="1"/>
  <c r="F43" i="5"/>
  <c r="G43" i="5" s="1"/>
  <c r="H43" i="5" s="1"/>
  <c r="I43" i="5" s="1"/>
  <c r="F40" i="5"/>
  <c r="G40" i="5" s="1"/>
  <c r="H40" i="5" s="1"/>
  <c r="I40" i="5" s="1"/>
  <c r="F41" i="5"/>
  <c r="G41" i="5" s="1"/>
  <c r="H41" i="5" s="1"/>
  <c r="I41" i="5" s="1"/>
  <c r="E41" i="5"/>
  <c r="F45" i="5"/>
  <c r="G45" i="5" s="1"/>
  <c r="H45" i="5" s="1"/>
  <c r="I45" i="5" s="1"/>
  <c r="M15" i="4"/>
  <c r="W15" i="4" l="1"/>
  <c r="W18" i="4" s="1" a="1"/>
  <c r="N15" i="4"/>
  <c r="J14" i="3"/>
  <c r="L14" i="3" s="1"/>
  <c r="J15" i="3"/>
  <c r="L15" i="3" s="1"/>
  <c r="J16" i="3"/>
  <c r="L16" i="3" s="1"/>
  <c r="J17" i="3"/>
  <c r="L17" i="3" s="1"/>
  <c r="J18" i="3"/>
  <c r="L18" i="3" s="1"/>
  <c r="J19" i="3"/>
  <c r="L19" i="3" s="1"/>
  <c r="J20" i="3"/>
  <c r="L20" i="3" s="1"/>
  <c r="J21" i="3"/>
  <c r="L21" i="3" s="1"/>
  <c r="M21" i="3" s="1"/>
  <c r="J22" i="3"/>
  <c r="L22" i="3" s="1"/>
  <c r="J23" i="3"/>
  <c r="L23" i="3" s="1"/>
  <c r="J24" i="3"/>
  <c r="L24" i="3" s="1"/>
  <c r="J25" i="3"/>
  <c r="L25" i="3" s="1"/>
  <c r="J26" i="3"/>
  <c r="L26" i="3" s="1"/>
  <c r="J27" i="3"/>
  <c r="L27" i="3" s="1"/>
  <c r="J28" i="3"/>
  <c r="L28" i="3" s="1"/>
  <c r="J29" i="3"/>
  <c r="L29" i="3" s="1"/>
  <c r="J30" i="3"/>
  <c r="L30" i="3" s="1"/>
  <c r="J31" i="3"/>
  <c r="L31" i="3" s="1"/>
  <c r="J32" i="3"/>
  <c r="L32" i="3" s="1"/>
  <c r="J33" i="3"/>
  <c r="L33" i="3" s="1"/>
  <c r="J34" i="3"/>
  <c r="L34" i="3" s="1"/>
  <c r="J35" i="3"/>
  <c r="L35" i="3" s="1"/>
  <c r="J36" i="3"/>
  <c r="L36" i="3" s="1"/>
  <c r="J37" i="3"/>
  <c r="L37" i="3" s="1"/>
  <c r="J38" i="3"/>
  <c r="L38" i="3" s="1"/>
  <c r="J39" i="3"/>
  <c r="L39" i="3" s="1"/>
  <c r="J40" i="3"/>
  <c r="L40" i="3" s="1"/>
  <c r="J41" i="3"/>
  <c r="L41" i="3" s="1"/>
  <c r="J13" i="3"/>
  <c r="L13" i="3" s="1"/>
  <c r="N20" i="2"/>
  <c r="N21" i="2"/>
  <c r="N22" i="2"/>
  <c r="N23" i="2"/>
  <c r="N24" i="2"/>
  <c r="N25" i="2"/>
  <c r="N26" i="2"/>
  <c r="N27" i="2"/>
  <c r="N28" i="2"/>
  <c r="N29" i="2"/>
  <c r="N30" i="2"/>
  <c r="N31" i="2"/>
  <c r="N32" i="2"/>
  <c r="N33" i="2"/>
  <c r="N34" i="2"/>
  <c r="N35" i="2"/>
  <c r="N36" i="2"/>
  <c r="N37" i="2"/>
  <c r="N38" i="2"/>
  <c r="N39" i="2"/>
  <c r="N40" i="2"/>
  <c r="N41" i="2"/>
  <c r="N42" i="2"/>
  <c r="N43" i="2"/>
  <c r="N44" i="2"/>
  <c r="N45" i="2"/>
  <c r="N46" i="2"/>
  <c r="N19"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18"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9" i="2"/>
  <c r="B408" i="2"/>
  <c r="B413" i="2"/>
  <c r="B401" i="2"/>
  <c r="B402" i="2"/>
  <c r="B403" i="2"/>
  <c r="B400" i="2"/>
  <c r="B393" i="2"/>
  <c r="B394" i="2"/>
  <c r="B395" i="2"/>
  <c r="B392" i="2"/>
  <c r="B391" i="2"/>
  <c r="B386" i="2"/>
  <c r="B381" i="2"/>
  <c r="B380" i="2"/>
  <c r="B352" i="2"/>
  <c r="B353" i="2"/>
  <c r="B354" i="2"/>
  <c r="B355" i="2"/>
  <c r="B356" i="2"/>
  <c r="B357" i="2"/>
  <c r="B358" i="2"/>
  <c r="B359" i="2"/>
  <c r="B360" i="2"/>
  <c r="B361" i="2"/>
  <c r="B362" i="2"/>
  <c r="B363" i="2"/>
  <c r="B364" i="2"/>
  <c r="B365" i="2"/>
  <c r="B366" i="2"/>
  <c r="B367" i="2"/>
  <c r="B368" i="2"/>
  <c r="B369" i="2"/>
  <c r="B370" i="2"/>
  <c r="B371" i="2"/>
  <c r="B372" i="2"/>
  <c r="B373" i="2"/>
  <c r="B374" i="2"/>
  <c r="B375" i="2"/>
  <c r="B351" i="2"/>
  <c r="B338" i="2"/>
  <c r="B339" i="2"/>
  <c r="B340" i="2"/>
  <c r="B341" i="2"/>
  <c r="B342" i="2"/>
  <c r="B343" i="2"/>
  <c r="B344" i="2"/>
  <c r="B345" i="2"/>
  <c r="B346" i="2"/>
  <c r="B337"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61" i="2"/>
  <c r="B247" i="2"/>
  <c r="B248" i="2"/>
  <c r="B249" i="2"/>
  <c r="B250" i="2"/>
  <c r="B251" i="2"/>
  <c r="B252" i="2"/>
  <c r="B253" i="2"/>
  <c r="B254" i="2"/>
  <c r="B255" i="2"/>
  <c r="B256" i="2"/>
  <c r="B246"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15"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6" i="2"/>
  <c r="B7" i="2"/>
  <c r="B8" i="2"/>
  <c r="B9" i="2"/>
  <c r="B11" i="2"/>
  <c r="B10" i="2"/>
  <c r="B12" i="2"/>
  <c r="B13" i="2"/>
  <c r="B14" i="2"/>
  <c r="B15" i="2"/>
  <c r="B16" i="2"/>
  <c r="B17" i="2"/>
  <c r="B18" i="2"/>
  <c r="B19" i="2"/>
  <c r="B21" i="2"/>
  <c r="B20" i="2"/>
  <c r="B22" i="2"/>
  <c r="B23" i="2"/>
  <c r="B24" i="2"/>
  <c r="B25" i="2"/>
  <c r="B26" i="2"/>
  <c r="B27" i="2"/>
  <c r="B28" i="2"/>
  <c r="B30" i="2"/>
  <c r="B29" i="2"/>
  <c r="B31" i="2"/>
  <c r="B32" i="2"/>
  <c r="B33" i="2"/>
  <c r="B34" i="2"/>
  <c r="B35" i="2"/>
  <c r="B36" i="2"/>
  <c r="B37" i="2"/>
  <c r="B38" i="2"/>
  <c r="B39" i="2"/>
  <c r="B41" i="2"/>
  <c r="B40" i="2"/>
  <c r="B42" i="2"/>
  <c r="B43" i="2"/>
  <c r="B44" i="2"/>
  <c r="B45" i="2"/>
  <c r="B46" i="2"/>
  <c r="B47" i="2"/>
  <c r="B48" i="2"/>
  <c r="B49" i="2"/>
  <c r="B50" i="2"/>
  <c r="B51" i="2"/>
  <c r="B52" i="2"/>
  <c r="B53" i="2"/>
  <c r="B54" i="2"/>
  <c r="B55" i="2"/>
  <c r="B56" i="2"/>
  <c r="B57" i="2"/>
  <c r="B58" i="2"/>
  <c r="B59" i="2"/>
  <c r="B60" i="2"/>
  <c r="B61" i="2"/>
  <c r="B62" i="2"/>
  <c r="B63" i="2"/>
  <c r="B64" i="2"/>
  <c r="B66" i="2"/>
  <c r="B65" i="2"/>
  <c r="B67" i="2"/>
  <c r="B68" i="2"/>
  <c r="Y18" i="3"/>
  <c r="V18" i="3"/>
  <c r="W18" i="3" s="1"/>
  <c r="X18" i="3" s="1"/>
  <c r="Z18" i="3" s="1"/>
  <c r="AB12" i="3"/>
  <c r="Y12" i="3"/>
  <c r="Z12" i="3" s="1"/>
  <c r="AA12" i="3" s="1"/>
  <c r="AC12" i="3" s="1"/>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52" i="3"/>
  <c r="E86" i="3"/>
  <c r="F86" i="3" s="1"/>
  <c r="E85" i="3"/>
  <c r="F85" i="3" s="1"/>
  <c r="G85" i="3" s="1"/>
  <c r="E84" i="3"/>
  <c r="F84" i="3" s="1"/>
  <c r="G84" i="3" s="1"/>
  <c r="E83" i="3"/>
  <c r="F83" i="3" s="1"/>
  <c r="E82" i="3"/>
  <c r="F82" i="3" s="1"/>
  <c r="G82" i="3" s="1"/>
  <c r="E81" i="3"/>
  <c r="F81" i="3" s="1"/>
  <c r="G81" i="3" s="1"/>
  <c r="E80" i="3"/>
  <c r="F80" i="3" s="1"/>
  <c r="G80" i="3" s="1"/>
  <c r="E79" i="3"/>
  <c r="F79" i="3" s="1"/>
  <c r="G79" i="3" s="1"/>
  <c r="E78" i="3"/>
  <c r="F78" i="3" s="1"/>
  <c r="G78" i="3" s="1"/>
  <c r="E77" i="3"/>
  <c r="F77" i="3" s="1"/>
  <c r="G77" i="3" s="1"/>
  <c r="E76" i="3"/>
  <c r="F76" i="3" s="1"/>
  <c r="G76" i="3" s="1"/>
  <c r="E75" i="3"/>
  <c r="F75" i="3" s="1"/>
  <c r="G75" i="3" s="1"/>
  <c r="E74" i="3"/>
  <c r="F74" i="3" s="1"/>
  <c r="G74" i="3" s="1"/>
  <c r="E73" i="3"/>
  <c r="F73" i="3" s="1"/>
  <c r="G73" i="3" s="1"/>
  <c r="E72" i="3"/>
  <c r="F72" i="3" s="1"/>
  <c r="G72" i="3" s="1"/>
  <c r="E71" i="3"/>
  <c r="F71" i="3" s="1"/>
  <c r="G71" i="3" s="1"/>
  <c r="E70" i="3"/>
  <c r="F70" i="3" s="1"/>
  <c r="G70" i="3" s="1"/>
  <c r="E69" i="3"/>
  <c r="F69" i="3" s="1"/>
  <c r="G69" i="3" s="1"/>
  <c r="E68" i="3"/>
  <c r="F68" i="3" s="1"/>
  <c r="E67" i="3"/>
  <c r="F67" i="3" s="1"/>
  <c r="E66" i="3"/>
  <c r="F66" i="3" s="1"/>
  <c r="E65" i="3"/>
  <c r="F65" i="3" s="1"/>
  <c r="G65" i="3" s="1"/>
  <c r="E64" i="3"/>
  <c r="F64" i="3" s="1"/>
  <c r="G64" i="3" s="1"/>
  <c r="E63" i="3"/>
  <c r="F63" i="3" s="1"/>
  <c r="G63" i="3" s="1"/>
  <c r="E62" i="3"/>
  <c r="F62" i="3" s="1"/>
  <c r="G62" i="3" s="1"/>
  <c r="E61" i="3"/>
  <c r="F61" i="3" s="1"/>
  <c r="G61" i="3" s="1"/>
  <c r="E60" i="3"/>
  <c r="F60" i="3" s="1"/>
  <c r="G60" i="3" s="1"/>
  <c r="E59" i="3"/>
  <c r="F59" i="3" s="1"/>
  <c r="G59" i="3" s="1"/>
  <c r="E58" i="3"/>
  <c r="F58" i="3" s="1"/>
  <c r="G58" i="3" s="1"/>
  <c r="E57" i="3"/>
  <c r="F57" i="3" s="1"/>
  <c r="E56" i="3"/>
  <c r="F56" i="3" s="1"/>
  <c r="E55" i="3"/>
  <c r="F55" i="3" s="1"/>
  <c r="E54" i="3"/>
  <c r="F54" i="3" s="1"/>
  <c r="E53" i="3"/>
  <c r="F53" i="3" s="1"/>
  <c r="G53" i="3" s="1"/>
  <c r="E52" i="3"/>
  <c r="F52" i="3" s="1"/>
  <c r="G52" i="3" s="1"/>
  <c r="H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13" i="3"/>
  <c r="H41" i="3"/>
  <c r="I41" i="3" s="1"/>
  <c r="H40" i="3"/>
  <c r="I40" i="3" s="1"/>
  <c r="H39" i="3"/>
  <c r="I39" i="3" s="1"/>
  <c r="H38" i="3"/>
  <c r="I38" i="3" s="1"/>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AE20" i="4" l="1"/>
  <c r="AE21" i="4"/>
  <c r="AE18" i="4"/>
  <c r="AE19" i="4"/>
  <c r="W18" i="4"/>
  <c r="AF24" i="4"/>
  <c r="AF25" i="4"/>
  <c r="C11" i="5" a="1"/>
  <c r="C11" i="5" s="1"/>
  <c r="B11" i="5" a="1"/>
  <c r="AA18" i="3"/>
  <c r="AB18" i="3" s="1"/>
  <c r="AD12" i="3"/>
  <c r="AE12" i="3" s="1"/>
  <c r="I13" i="3"/>
  <c r="M13" i="3" s="1"/>
  <c r="N13" i="3" s="1"/>
  <c r="M18" i="3"/>
  <c r="N18" i="3" s="1"/>
  <c r="G83" i="3"/>
  <c r="I83" i="3" s="1"/>
  <c r="J83" i="3" s="1"/>
  <c r="K83" i="3" s="1"/>
  <c r="I65" i="3"/>
  <c r="J65" i="3" s="1"/>
  <c r="K65" i="3" s="1"/>
  <c r="G54" i="3"/>
  <c r="I54" i="3" s="1"/>
  <c r="J54" i="3" s="1"/>
  <c r="K54" i="3" s="1"/>
  <c r="I85" i="3"/>
  <c r="J85" i="3" s="1"/>
  <c r="K85" i="3" s="1"/>
  <c r="G56" i="3"/>
  <c r="I56" i="3" s="1"/>
  <c r="J56" i="3" s="1"/>
  <c r="K56" i="3" s="1"/>
  <c r="I82" i="3"/>
  <c r="J82" i="3" s="1"/>
  <c r="K82" i="3" s="1"/>
  <c r="G68" i="3"/>
  <c r="I68" i="3" s="1"/>
  <c r="J68" i="3" s="1"/>
  <c r="K68" i="3" s="1"/>
  <c r="I52" i="3"/>
  <c r="J52" i="3" s="1"/>
  <c r="K52" i="3" s="1"/>
  <c r="G67" i="3"/>
  <c r="I67" i="3" s="1"/>
  <c r="J67" i="3" s="1"/>
  <c r="K67" i="3" s="1"/>
  <c r="I84" i="3"/>
  <c r="J84" i="3" s="1"/>
  <c r="K84" i="3" s="1"/>
  <c r="I58" i="3"/>
  <c r="J58" i="3" s="1"/>
  <c r="K58" i="3" s="1"/>
  <c r="I59" i="3"/>
  <c r="J59" i="3" s="1"/>
  <c r="K59" i="3" s="1"/>
  <c r="G86" i="3"/>
  <c r="I86" i="3" s="1"/>
  <c r="J86" i="3" s="1"/>
  <c r="K86" i="3" s="1"/>
  <c r="G57" i="3"/>
  <c r="I57" i="3" s="1"/>
  <c r="J57" i="3" s="1"/>
  <c r="K57" i="3" s="1"/>
  <c r="I63" i="3"/>
  <c r="J63" i="3" s="1"/>
  <c r="K63" i="3" s="1"/>
  <c r="I64" i="3"/>
  <c r="J64" i="3" s="1"/>
  <c r="K64" i="3" s="1"/>
  <c r="G55" i="3"/>
  <c r="I55" i="3" s="1"/>
  <c r="J55" i="3" s="1"/>
  <c r="K55" i="3" s="1"/>
  <c r="I77" i="3"/>
  <c r="J77" i="3" s="1"/>
  <c r="K77" i="3" s="1"/>
  <c r="I78" i="3"/>
  <c r="J78" i="3" s="1"/>
  <c r="K78" i="3" s="1"/>
  <c r="I53" i="3"/>
  <c r="J53" i="3" s="1"/>
  <c r="K53" i="3" s="1"/>
  <c r="I81" i="3"/>
  <c r="J81" i="3" s="1"/>
  <c r="K81" i="3" s="1"/>
  <c r="G66" i="3"/>
  <c r="I66" i="3" s="1"/>
  <c r="J66" i="3" s="1"/>
  <c r="K66" i="3" s="1"/>
  <c r="I79" i="3"/>
  <c r="J79" i="3" s="1"/>
  <c r="K79" i="3" s="1"/>
  <c r="I80" i="3"/>
  <c r="I69" i="3"/>
  <c r="J69" i="3" s="1"/>
  <c r="K69" i="3" s="1"/>
  <c r="I70" i="3"/>
  <c r="J70" i="3" s="1"/>
  <c r="K70" i="3" s="1"/>
  <c r="I71" i="3"/>
  <c r="J71" i="3" s="1"/>
  <c r="K71" i="3" s="1"/>
  <c r="I72" i="3"/>
  <c r="J72" i="3" s="1"/>
  <c r="K72" i="3" s="1"/>
  <c r="I73" i="3"/>
  <c r="J73" i="3" s="1"/>
  <c r="K73" i="3" s="1"/>
  <c r="I60" i="3"/>
  <c r="J60" i="3" s="1"/>
  <c r="K60" i="3" s="1"/>
  <c r="I74" i="3"/>
  <c r="J74" i="3" s="1"/>
  <c r="K74" i="3" s="1"/>
  <c r="I61" i="3"/>
  <c r="J61" i="3" s="1"/>
  <c r="K61" i="3" s="1"/>
  <c r="I75" i="3"/>
  <c r="J75" i="3" s="1"/>
  <c r="K75" i="3" s="1"/>
  <c r="I62" i="3"/>
  <c r="J62" i="3" s="1"/>
  <c r="K62" i="3" s="1"/>
  <c r="I76" i="3"/>
  <c r="J76" i="3" s="1"/>
  <c r="K76" i="3" s="1"/>
  <c r="M30" i="3"/>
  <c r="N30" i="3" s="1"/>
  <c r="M32" i="3"/>
  <c r="N32" i="3" s="1"/>
  <c r="M24" i="3"/>
  <c r="N24" i="3" s="1"/>
  <c r="M23" i="3"/>
  <c r="N23" i="3" s="1"/>
  <c r="M22" i="3"/>
  <c r="N22" i="3" s="1"/>
  <c r="M19" i="3"/>
  <c r="N19" i="3" s="1"/>
  <c r="M17" i="3"/>
  <c r="N17" i="3" s="1"/>
  <c r="M31" i="3"/>
  <c r="N31" i="3" s="1"/>
  <c r="M33" i="3"/>
  <c r="N33" i="3" s="1"/>
  <c r="N21" i="3"/>
  <c r="M20" i="3"/>
  <c r="N20" i="3" s="1"/>
  <c r="M15" i="3"/>
  <c r="N15" i="3" s="1"/>
  <c r="M16" i="3"/>
  <c r="N16" i="3" s="1"/>
  <c r="M38" i="3"/>
  <c r="N38" i="3" s="1"/>
  <c r="M39" i="3"/>
  <c r="N39" i="3" s="1"/>
  <c r="M40" i="3"/>
  <c r="N40" i="3" s="1"/>
  <c r="M27" i="3"/>
  <c r="N27" i="3" s="1"/>
  <c r="M34" i="3"/>
  <c r="N34" i="3" s="1"/>
  <c r="M37" i="3"/>
  <c r="N37" i="3" s="1"/>
  <c r="M25" i="3"/>
  <c r="N25" i="3" s="1"/>
  <c r="M26" i="3"/>
  <c r="N26" i="3" s="1"/>
  <c r="M28" i="3"/>
  <c r="N28" i="3" s="1"/>
  <c r="M29" i="3"/>
  <c r="N29" i="3" s="1"/>
  <c r="B11" i="5" l="1"/>
  <c r="D11" i="5" s="1"/>
  <c r="F11" i="5" s="1"/>
  <c r="D28" i="5"/>
  <c r="D26" i="5"/>
  <c r="D31" i="5"/>
  <c r="D32" i="5"/>
  <c r="D25" i="5"/>
  <c r="D23" i="5"/>
  <c r="D24" i="5"/>
  <c r="D27" i="5"/>
  <c r="D33" i="5"/>
  <c r="D35" i="5"/>
  <c r="D36" i="5"/>
  <c r="D20" i="5"/>
  <c r="D29" i="5"/>
  <c r="D21" i="5"/>
  <c r="D22" i="5"/>
  <c r="D34" i="5"/>
  <c r="D37" i="5"/>
  <c r="D30" i="5"/>
  <c r="D18" i="5"/>
  <c r="D17" i="5"/>
  <c r="D15" i="5"/>
  <c r="D13" i="5"/>
  <c r="D12" i="5"/>
  <c r="D19" i="5"/>
  <c r="D16" i="5"/>
  <c r="D14" i="5"/>
  <c r="D39" i="5"/>
  <c r="D38" i="5"/>
  <c r="M14" i="3"/>
  <c r="N14" i="3" s="1"/>
  <c r="J80" i="3"/>
  <c r="K80" i="3" s="1"/>
  <c r="M35" i="3"/>
  <c r="N35" i="3" s="1"/>
  <c r="M36" i="3"/>
  <c r="N36" i="3" s="1"/>
  <c r="M41" i="3"/>
  <c r="N41" i="3" s="1"/>
  <c r="O20" i="2"/>
  <c r="P20" i="2" s="1"/>
  <c r="Q20" i="2" s="1"/>
  <c r="O21" i="2"/>
  <c r="P21" i="2" s="1"/>
  <c r="Q21" i="2" s="1"/>
  <c r="O22" i="2"/>
  <c r="P22" i="2" s="1"/>
  <c r="Q22" i="2" s="1"/>
  <c r="O23" i="2"/>
  <c r="P23" i="2" s="1"/>
  <c r="Q23" i="2" s="1"/>
  <c r="O24" i="2"/>
  <c r="P24" i="2" s="1"/>
  <c r="Q24" i="2" s="1"/>
  <c r="O25" i="2"/>
  <c r="P25" i="2" s="1"/>
  <c r="Q25" i="2" s="1"/>
  <c r="O26" i="2"/>
  <c r="P26" i="2" s="1"/>
  <c r="Q26" i="2" s="1"/>
  <c r="O27" i="2"/>
  <c r="P27" i="2" s="1"/>
  <c r="Q27" i="2" s="1"/>
  <c r="O28" i="2"/>
  <c r="P28" i="2" s="1"/>
  <c r="Q28" i="2" s="1"/>
  <c r="O29" i="2"/>
  <c r="P29" i="2" s="1"/>
  <c r="Q29" i="2" s="1"/>
  <c r="O30" i="2"/>
  <c r="P30" i="2" s="1"/>
  <c r="Q30" i="2" s="1"/>
  <c r="O31" i="2"/>
  <c r="P31" i="2" s="1"/>
  <c r="Q31" i="2" s="1"/>
  <c r="O32" i="2"/>
  <c r="P32" i="2" s="1"/>
  <c r="Q32" i="2" s="1"/>
  <c r="O33" i="2"/>
  <c r="P33" i="2" s="1"/>
  <c r="Q33" i="2" s="1"/>
  <c r="O34" i="2"/>
  <c r="O36" i="2"/>
  <c r="O37" i="2"/>
  <c r="O38" i="2"/>
  <c r="O39" i="2"/>
  <c r="O40" i="2"/>
  <c r="O41" i="2"/>
  <c r="O42" i="2"/>
  <c r="O43" i="2"/>
  <c r="O44" i="2"/>
  <c r="O45" i="2"/>
  <c r="O46" i="2"/>
  <c r="O19"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18"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69" i="2"/>
  <c r="H408" i="2"/>
  <c r="H413" i="2"/>
  <c r="H401" i="2"/>
  <c r="H402" i="2"/>
  <c r="H403" i="2"/>
  <c r="H400" i="2"/>
  <c r="H393" i="2"/>
  <c r="H394" i="2"/>
  <c r="H395" i="2"/>
  <c r="H392" i="2"/>
  <c r="H391" i="2"/>
  <c r="H386" i="2"/>
  <c r="H381" i="2"/>
  <c r="H380" i="2"/>
  <c r="H352" i="2"/>
  <c r="H353" i="2"/>
  <c r="H354" i="2"/>
  <c r="H355" i="2"/>
  <c r="H356" i="2"/>
  <c r="H357" i="2"/>
  <c r="H358" i="2"/>
  <c r="H359" i="2"/>
  <c r="H360" i="2"/>
  <c r="H361" i="2"/>
  <c r="H362" i="2"/>
  <c r="H363" i="2"/>
  <c r="H364" i="2"/>
  <c r="H365" i="2"/>
  <c r="H366" i="2"/>
  <c r="H367" i="2"/>
  <c r="H368" i="2"/>
  <c r="H369" i="2"/>
  <c r="H370" i="2"/>
  <c r="H371" i="2"/>
  <c r="H372" i="2"/>
  <c r="H373" i="2"/>
  <c r="H374" i="2"/>
  <c r="H375" i="2"/>
  <c r="H351" i="2"/>
  <c r="H338" i="2"/>
  <c r="H339" i="2"/>
  <c r="H340" i="2"/>
  <c r="H341" i="2"/>
  <c r="H342" i="2"/>
  <c r="H343" i="2"/>
  <c r="H344" i="2"/>
  <c r="H345" i="2"/>
  <c r="H346" i="2"/>
  <c r="H337"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61" i="2"/>
  <c r="H247" i="2"/>
  <c r="H248" i="2"/>
  <c r="H249" i="2"/>
  <c r="H250" i="2"/>
  <c r="H251" i="2"/>
  <c r="H252" i="2"/>
  <c r="H253" i="2"/>
  <c r="H254" i="2"/>
  <c r="H255" i="2"/>
  <c r="H256" i="2"/>
  <c r="H246" i="2"/>
  <c r="H237" i="2"/>
  <c r="H238" i="2"/>
  <c r="H216" i="2"/>
  <c r="H217" i="2"/>
  <c r="H218" i="2"/>
  <c r="H219" i="2"/>
  <c r="H220" i="2"/>
  <c r="H221" i="2"/>
  <c r="H222" i="2"/>
  <c r="H223" i="2"/>
  <c r="H224" i="2"/>
  <c r="H225" i="2"/>
  <c r="H226" i="2"/>
  <c r="H227" i="2"/>
  <c r="H228" i="2"/>
  <c r="H229" i="2"/>
  <c r="H230" i="2"/>
  <c r="H231" i="2"/>
  <c r="H232" i="2"/>
  <c r="H233" i="2"/>
  <c r="H234" i="2"/>
  <c r="H235" i="2"/>
  <c r="H236" i="2"/>
  <c r="H239" i="2"/>
  <c r="H240" i="2"/>
  <c r="H241" i="2"/>
  <c r="H215"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7" i="2"/>
  <c r="H8" i="2"/>
  <c r="H9" i="2"/>
  <c r="H11" i="2"/>
  <c r="H10" i="2"/>
  <c r="H12" i="2"/>
  <c r="H13" i="2"/>
  <c r="H14" i="2"/>
  <c r="H15" i="2"/>
  <c r="H16" i="2"/>
  <c r="H17" i="2"/>
  <c r="H18" i="2"/>
  <c r="H19" i="2"/>
  <c r="H21" i="2"/>
  <c r="H20" i="2"/>
  <c r="H22" i="2"/>
  <c r="H23" i="2"/>
  <c r="H24" i="2"/>
  <c r="H25" i="2"/>
  <c r="H26" i="2"/>
  <c r="H27" i="2"/>
  <c r="H28" i="2"/>
  <c r="H30" i="2"/>
  <c r="H29" i="2"/>
  <c r="H31" i="2"/>
  <c r="H32" i="2"/>
  <c r="H33" i="2"/>
  <c r="H34" i="2"/>
  <c r="H35" i="2"/>
  <c r="H36" i="2"/>
  <c r="H37" i="2"/>
  <c r="H38" i="2"/>
  <c r="H39" i="2"/>
  <c r="H41" i="2"/>
  <c r="H40" i="2"/>
  <c r="H42" i="2"/>
  <c r="H43" i="2"/>
  <c r="H44" i="2"/>
  <c r="H45" i="2"/>
  <c r="H46" i="2"/>
  <c r="H47" i="2"/>
  <c r="H48" i="2"/>
  <c r="H49" i="2"/>
  <c r="H50" i="2"/>
  <c r="H51" i="2"/>
  <c r="H52" i="2"/>
  <c r="H53" i="2"/>
  <c r="H54" i="2"/>
  <c r="H55" i="2"/>
  <c r="H56" i="2"/>
  <c r="H57" i="2"/>
  <c r="H58" i="2"/>
  <c r="H59" i="2"/>
  <c r="H60" i="2"/>
  <c r="H61" i="2"/>
  <c r="H62" i="2"/>
  <c r="H63" i="2"/>
  <c r="H64" i="2"/>
  <c r="H66" i="2"/>
  <c r="H65" i="2"/>
  <c r="H67" i="2"/>
  <c r="H68" i="2"/>
  <c r="H6" i="2"/>
  <c r="U49" i="4" l="1"/>
  <c r="U48" i="4"/>
  <c r="U47" i="4"/>
  <c r="U44" i="4"/>
  <c r="U40" i="4"/>
  <c r="U43" i="4"/>
  <c r="U53" i="4"/>
  <c r="U50" i="4"/>
  <c r="U55" i="4"/>
  <c r="U45" i="4"/>
  <c r="U51" i="4"/>
  <c r="U39" i="4"/>
  <c r="U54" i="4"/>
  <c r="U52" i="4"/>
  <c r="U41" i="4"/>
  <c r="U46" i="4"/>
  <c r="U38" i="4"/>
  <c r="U42" i="4"/>
  <c r="U32" i="4"/>
  <c r="U25" i="4"/>
  <c r="U31" i="4"/>
  <c r="U36" i="4"/>
  <c r="U21" i="4"/>
  <c r="U30" i="4"/>
  <c r="U26" i="4"/>
  <c r="U23" i="4"/>
  <c r="U35" i="4"/>
  <c r="U18" i="4"/>
  <c r="U34" i="4"/>
  <c r="U33" i="4"/>
  <c r="U28" i="4"/>
  <c r="U37" i="4"/>
  <c r="U19" i="4"/>
  <c r="U29" i="4"/>
  <c r="U22" i="4"/>
  <c r="U27" i="4"/>
  <c r="U24" i="4"/>
  <c r="U20" i="4"/>
  <c r="F39" i="5"/>
  <c r="G39" i="5" s="1"/>
  <c r="H39" i="5" s="1"/>
  <c r="I39" i="5" s="1"/>
  <c r="E39" i="5"/>
  <c r="F34" i="5"/>
  <c r="G34" i="5" s="1"/>
  <c r="H34" i="5" s="1"/>
  <c r="I34" i="5" s="1"/>
  <c r="E34" i="5"/>
  <c r="F22" i="5"/>
  <c r="G22" i="5" s="1"/>
  <c r="H22" i="5" s="1"/>
  <c r="I22" i="5" s="1"/>
  <c r="E22" i="5"/>
  <c r="F19" i="5"/>
  <c r="G19" i="5" s="1"/>
  <c r="H19" i="5" s="1"/>
  <c r="I19" i="5" s="1"/>
  <c r="E19" i="5"/>
  <c r="F15" i="5"/>
  <c r="G15" i="5" s="1"/>
  <c r="H15" i="5" s="1"/>
  <c r="I15" i="5" s="1"/>
  <c r="E15" i="5"/>
  <c r="F18" i="5"/>
  <c r="G18" i="5" s="1"/>
  <c r="H18" i="5" s="1"/>
  <c r="I18" i="5" s="1"/>
  <c r="E18" i="5"/>
  <c r="F37" i="5"/>
  <c r="G37" i="5" s="1"/>
  <c r="H37" i="5" s="1"/>
  <c r="I37" i="5" s="1"/>
  <c r="E37" i="5"/>
  <c r="F36" i="5"/>
  <c r="G36" i="5" s="1"/>
  <c r="H36" i="5" s="1"/>
  <c r="I36" i="5" s="1"/>
  <c r="E36" i="5"/>
  <c r="F24" i="5"/>
  <c r="G24" i="5" s="1"/>
  <c r="H24" i="5" s="1"/>
  <c r="I24" i="5" s="1"/>
  <c r="E24" i="5"/>
  <c r="F25" i="5"/>
  <c r="G25" i="5" s="1"/>
  <c r="H25" i="5" s="1"/>
  <c r="I25" i="5" s="1"/>
  <c r="E25" i="5"/>
  <c r="F32" i="5"/>
  <c r="G32" i="5" s="1"/>
  <c r="H32" i="5" s="1"/>
  <c r="I32" i="5" s="1"/>
  <c r="E32" i="5"/>
  <c r="F17" i="5"/>
  <c r="G17" i="5" s="1"/>
  <c r="H17" i="5" s="1"/>
  <c r="I17" i="5" s="1"/>
  <c r="E17" i="5"/>
  <c r="F29" i="5"/>
  <c r="G29" i="5" s="1"/>
  <c r="H29" i="5" s="1"/>
  <c r="I29" i="5" s="1"/>
  <c r="E29" i="5"/>
  <c r="F23" i="5"/>
  <c r="G23" i="5" s="1"/>
  <c r="H23" i="5" s="1"/>
  <c r="I23" i="5" s="1"/>
  <c r="E23" i="5"/>
  <c r="F13" i="5"/>
  <c r="G13" i="5" s="1"/>
  <c r="H13" i="5" s="1"/>
  <c r="I13" i="5" s="1"/>
  <c r="E13" i="5"/>
  <c r="F21" i="5"/>
  <c r="G21" i="5" s="1"/>
  <c r="H21" i="5" s="1"/>
  <c r="I21" i="5" s="1"/>
  <c r="E21" i="5"/>
  <c r="F27" i="5"/>
  <c r="G27" i="5" s="1"/>
  <c r="H27" i="5" s="1"/>
  <c r="I27" i="5" s="1"/>
  <c r="E27" i="5"/>
  <c r="F31" i="5"/>
  <c r="G31" i="5" s="1"/>
  <c r="H31" i="5" s="1"/>
  <c r="I31" i="5" s="1"/>
  <c r="E31" i="5"/>
  <c r="F28" i="5"/>
  <c r="G28" i="5" s="1"/>
  <c r="H28" i="5" s="1"/>
  <c r="I28" i="5" s="1"/>
  <c r="E28" i="5"/>
  <c r="F14" i="5"/>
  <c r="G14" i="5" s="1"/>
  <c r="H14" i="5" s="1"/>
  <c r="I14" i="5" s="1"/>
  <c r="E14" i="5"/>
  <c r="F16" i="5"/>
  <c r="G16" i="5" s="1"/>
  <c r="H16" i="5" s="1"/>
  <c r="I16" i="5" s="1"/>
  <c r="E16" i="5"/>
  <c r="F12" i="5"/>
  <c r="G12" i="5" s="1"/>
  <c r="H12" i="5" s="1"/>
  <c r="I12" i="5" s="1"/>
  <c r="E12" i="5"/>
  <c r="F30" i="5"/>
  <c r="G30" i="5" s="1"/>
  <c r="H30" i="5" s="1"/>
  <c r="I30" i="5" s="1"/>
  <c r="E30" i="5"/>
  <c r="F20" i="5"/>
  <c r="G20" i="5" s="1"/>
  <c r="H20" i="5" s="1"/>
  <c r="I20" i="5" s="1"/>
  <c r="E20" i="5"/>
  <c r="F35" i="5"/>
  <c r="G35" i="5" s="1"/>
  <c r="H35" i="5" s="1"/>
  <c r="I35" i="5" s="1"/>
  <c r="E35" i="5"/>
  <c r="F33" i="5"/>
  <c r="G33" i="5" s="1"/>
  <c r="H33" i="5" s="1"/>
  <c r="I33" i="5" s="1"/>
  <c r="E33" i="5"/>
  <c r="F26" i="5"/>
  <c r="G26" i="5" s="1"/>
  <c r="H26" i="5" s="1"/>
  <c r="I26" i="5" s="1"/>
  <c r="E26" i="5"/>
  <c r="F38" i="5"/>
  <c r="G38" i="5" s="1"/>
  <c r="H38" i="5" s="1"/>
  <c r="I38" i="5" s="1"/>
  <c r="E38" i="5"/>
  <c r="E11" i="5"/>
  <c r="G11" i="5"/>
  <c r="H11" i="5" s="1"/>
  <c r="I11" i="5" s="1"/>
  <c r="O35" i="2"/>
  <c r="P35" i="2" s="1"/>
  <c r="Q35" i="2" s="1"/>
  <c r="P38" i="2"/>
  <c r="Q38" i="2" s="1"/>
  <c r="P46" i="2"/>
  <c r="Q46" i="2" s="1"/>
  <c r="P44" i="2"/>
  <c r="Q44" i="2" s="1"/>
  <c r="P41" i="2"/>
  <c r="Q41" i="2" s="1"/>
  <c r="P34" i="2"/>
  <c r="Q34" i="2" s="1"/>
  <c r="P43" i="2"/>
  <c r="Q43" i="2" s="1"/>
  <c r="P37" i="2"/>
  <c r="Q37" i="2" s="1"/>
  <c r="P36" i="2"/>
  <c r="Q36" i="2" s="1"/>
  <c r="P45" i="2"/>
  <c r="Q45" i="2" s="1"/>
  <c r="P39" i="2"/>
  <c r="Q39" i="2" s="1"/>
  <c r="P42" i="2"/>
  <c r="Q42" i="2" s="1"/>
  <c r="P40" i="2"/>
  <c r="Q40" i="2" s="1"/>
  <c r="P19" i="2"/>
  <c r="Q19" i="2" s="1"/>
  <c r="J50" i="4" l="1"/>
  <c r="J22" i="4"/>
  <c r="J37" i="4"/>
  <c r="J33" i="4"/>
  <c r="J31" i="4"/>
  <c r="J40" i="4"/>
  <c r="J18" i="4"/>
  <c r="J55" i="4"/>
  <c r="J27" i="4"/>
  <c r="J26" i="4"/>
  <c r="J25" i="4"/>
  <c r="J24" i="4"/>
  <c r="J23" i="4"/>
  <c r="J49" i="4"/>
  <c r="J21" i="4"/>
  <c r="J47" i="4"/>
  <c r="J46" i="4"/>
  <c r="J44" i="4"/>
  <c r="J43" i="4"/>
  <c r="J41" i="4"/>
  <c r="J30" i="4"/>
  <c r="J38" i="4"/>
  <c r="J48" i="4"/>
  <c r="J36" i="4"/>
  <c r="J35" i="4"/>
  <c r="J39" i="4"/>
  <c r="J28" i="4"/>
  <c r="J54" i="4"/>
  <c r="J53" i="4"/>
  <c r="J52" i="4"/>
  <c r="J51" i="4"/>
  <c r="J20" i="4"/>
  <c r="J19" i="4"/>
  <c r="J45" i="4"/>
  <c r="J42" i="4"/>
  <c r="J29" i="4"/>
  <c r="J34" i="4"/>
  <c r="J32" i="4"/>
  <c r="AF21" i="4"/>
  <c r="AF19" i="4"/>
  <c r="AF20" i="4"/>
  <c r="AF23" i="4"/>
  <c r="AF22" i="4"/>
  <c r="AF1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<sst xmlns="http://schemas.openxmlformats.org/spreadsheetml/2006/main" count="1939" uniqueCount="1385">
  <si>
    <t>Proton Reactions</t>
  </si>
  <si>
    <t>Reaction</t>
  </si>
  <si>
    <t>Amount (pu)</t>
  </si>
  <si>
    <t>Min Focus</t>
  </si>
  <si>
    <t>Min Energy (keV)</t>
  </si>
  <si>
    <t>Max energy (keV)</t>
  </si>
  <si>
    <t>Cross Section</t>
  </si>
  <si>
    <t>Energy Released (keV)</t>
  </si>
  <si>
    <t>B-11(p,3α)</t>
  </si>
  <si>
    <t>Be-9(p,α)Li-6</t>
  </si>
  <si>
    <t>Al-27(p,γ)Si-28</t>
  </si>
  <si>
    <t>B-10(p,α)Be-7</t>
  </si>
  <si>
    <t>F-19(p,α)O-16</t>
  </si>
  <si>
    <t>Cu-63(p,γ)Zn-64</t>
  </si>
  <si>
    <t>Co-59(p,γ)Ni-60</t>
  </si>
  <si>
    <t>Os-192(p,n)Ir-192</t>
  </si>
  <si>
    <t>Mn-55(p,γ)Fe-56</t>
  </si>
  <si>
    <t>H-2(p,n+2p)</t>
  </si>
  <si>
    <t>Th-232(p,2n)Pa-231</t>
  </si>
  <si>
    <t>U-238(p,2n)Np-237</t>
  </si>
  <si>
    <t>Au-197(p,2n)Hg-196</t>
  </si>
  <si>
    <t>Pu-242(p,2n)Am-241</t>
  </si>
  <si>
    <t>Bi-209(p,γ)Po-210</t>
  </si>
  <si>
    <t>B-11(p,γ)C-12</t>
  </si>
  <si>
    <t>Ca-40(p,2p)K-39</t>
  </si>
  <si>
    <t>N-14(p,2α)Be-7</t>
  </si>
  <si>
    <t>O-16(p,p+α)C-12</t>
  </si>
  <si>
    <t>Si-28(p,2p)Al-27</t>
  </si>
  <si>
    <t>U-238(p,3n)Np-236</t>
  </si>
  <si>
    <t>Na-23(p,p+n)Na-22</t>
  </si>
  <si>
    <t>Bi-209(p,α)Pb-206</t>
  </si>
  <si>
    <t>U-235(p,γ)Np-236</t>
  </si>
  <si>
    <t>Au-179(p,α)Pt-194</t>
  </si>
  <si>
    <t>Mg-26(p,n+α)Na-22</t>
  </si>
  <si>
    <t>C-12(p,α+n+p)Be-7</t>
  </si>
  <si>
    <t>B-11(p,2n+t)Be-7</t>
  </si>
  <si>
    <t>Ca-40(p,3p)Ar-38</t>
  </si>
  <si>
    <t>Si-28(p,3p)Mg-26</t>
  </si>
  <si>
    <t>N-14(p,p+d)C-12</t>
  </si>
  <si>
    <t>Mg-24(p,2p+n)Na-22</t>
  </si>
  <si>
    <t>O-16(p,p+d)N-14</t>
  </si>
  <si>
    <t>Al-27(p,α+n+p)Na-22</t>
  </si>
  <si>
    <t>Cu-63(p,α)Ni-60</t>
  </si>
  <si>
    <t>U-238(p,2n+,fission)Heavy waste</t>
  </si>
  <si>
    <t>Au-179(p,n+p+α)Ir-192</t>
  </si>
  <si>
    <t>C-12(p,p+t)Be-9</t>
  </si>
  <si>
    <t>Al-27(p,2n+3p)Na-23</t>
  </si>
  <si>
    <t>Neutron Reactions</t>
  </si>
  <si>
    <t>He-3(n,p+t)</t>
  </si>
  <si>
    <t>Be-7(n,p)Li-7</t>
  </si>
  <si>
    <t>B-10(n,γ)B-11</t>
  </si>
  <si>
    <t>Na-22(n,p)Ne-22</t>
  </si>
  <si>
    <t>Co-59(n,γ)Co-60</t>
  </si>
  <si>
    <t>Ir-192(n,γ)Ir-193</t>
  </si>
  <si>
    <t>U-233(n,γ)U-234</t>
  </si>
  <si>
    <t>U-234(n,γ)U-235</t>
  </si>
  <si>
    <t>Np-236(n,γ)Np-237</t>
  </si>
  <si>
    <t>Pu-238(n,γ)Pu-239</t>
  </si>
  <si>
    <t>Pu-241(n,γ)Pu-242</t>
  </si>
  <si>
    <t>Am-241(n,γ)Am-242</t>
  </si>
  <si>
    <t>Am-242(n,γ)Am-243</t>
  </si>
  <si>
    <t>S-32(n,α)Si-29</t>
  </si>
  <si>
    <t>Li-6(n,n+d+α)</t>
  </si>
  <si>
    <t>Cl-35(n,α)P-32(e+ν̅e̅)S-32</t>
  </si>
  <si>
    <t>Ca-40(n,α)Ar-37(νe)Cl-37</t>
  </si>
  <si>
    <t>Be-9(n,2α+2n)</t>
  </si>
  <si>
    <t>Li-7(n,n+α+t)</t>
  </si>
  <si>
    <t>Zn-64(n,α)Ni-61</t>
  </si>
  <si>
    <t>N-14(n,t)C-12</t>
  </si>
  <si>
    <t>Pu-242(n,2n)Pu-241</t>
  </si>
  <si>
    <t>Ir-193(n,2n)Ir-192</t>
  </si>
  <si>
    <t>Pu-239(n,2n)Pu-238</t>
  </si>
  <si>
    <t>Am-243(n,2n)Am-242</t>
  </si>
  <si>
    <t>H-3(n,2n+d)</t>
  </si>
  <si>
    <t>Np-237(n,2n)Np-236</t>
  </si>
  <si>
    <t>H-2(n,2n+p)</t>
  </si>
  <si>
    <t>Fe-56(n,α)Cr-53</t>
  </si>
  <si>
    <t>Cu-63(n,p+n)Ni-62</t>
  </si>
  <si>
    <t>Cr-52(n,α)Ti-49</t>
  </si>
  <si>
    <t>B-11(n,t)Be-9</t>
  </si>
  <si>
    <t>Al-27(n,n+p)Mg-26</t>
  </si>
  <si>
    <t>Mg-24(n,n+α)Ne-20</t>
  </si>
  <si>
    <t>Ca-40(n,n+p)K-39</t>
  </si>
  <si>
    <t>Zn-64(n,p+n)Cu-63</t>
  </si>
  <si>
    <t>Be-9(n,t)Li-7</t>
  </si>
  <si>
    <t>K-39(n,n+α)Cl-35</t>
  </si>
  <si>
    <t>B-11(n,2n)B-10</t>
  </si>
  <si>
    <t>Na-23(n,2n)Na-22</t>
  </si>
  <si>
    <t>U-235(n,3n)U-233</t>
  </si>
  <si>
    <t>Si-28(n,n+p)Al-27</t>
  </si>
  <si>
    <t>Ni-58(n,α+n)Fe-54</t>
  </si>
  <si>
    <t>Pt-195(n,α)Os-192</t>
  </si>
  <si>
    <t>Tb-159(n,n+α)Eu-155</t>
  </si>
  <si>
    <t>Zr-90(n,d)Y-89</t>
  </si>
  <si>
    <t>O-16(n,2α)Be-9</t>
  </si>
  <si>
    <t>Nb-93(n,n+α)Y-89</t>
  </si>
  <si>
    <t>U-238(n,4n)U-235</t>
  </si>
  <si>
    <t>Mn-55(n,t)Cr-53</t>
  </si>
  <si>
    <t>C-12(n,d)B-11</t>
  </si>
  <si>
    <t>Co-59(n,t)Fe-57</t>
  </si>
  <si>
    <t>Y-89(n,d)Sr-88</t>
  </si>
  <si>
    <t>Na-23(n,t)Ne-21</t>
  </si>
  <si>
    <t>Au-197(n,n+α)Ir-193</t>
  </si>
  <si>
    <t>Mg-24(n,n+d)Na-22</t>
  </si>
  <si>
    <t>Cn-291(n,8n)Heavy waste</t>
  </si>
  <si>
    <t>Bi-209(n,t)Pb-207</t>
  </si>
  <si>
    <t>Photon Reactions</t>
  </si>
  <si>
    <t>H-2(γ,n+p)</t>
  </si>
  <si>
    <t>Li-6(γ,n+p+α)</t>
  </si>
  <si>
    <t>He-3(γ,n+2p)</t>
  </si>
  <si>
    <t>Np-237(γ,n)Np-236</t>
  </si>
  <si>
    <t>Pu-239(γ,n)Pu-238</t>
  </si>
  <si>
    <t>Am-243(γ,n)Am-242</t>
  </si>
  <si>
    <t>W-184(γ,α)Hf-180</t>
  </si>
  <si>
    <t>Zr-90(γ,p)Y-89</t>
  </si>
  <si>
    <t>Ir-193(γ,n)Ir-192</t>
  </si>
  <si>
    <t>Bi-209(γ,p+n)Pb-207</t>
  </si>
  <si>
    <t>Nb-93(γ,α)Y-89</t>
  </si>
  <si>
    <t>U-235(γ,2n)U-233</t>
  </si>
  <si>
    <t>Fe-56(γ,p)Mn-55</t>
  </si>
  <si>
    <t>Y-89(γ,p)Sr-88</t>
  </si>
  <si>
    <t>Al-27(γ,p)Mg-26</t>
  </si>
  <si>
    <t>Si-28(γ,p)Al-27</t>
  </si>
  <si>
    <t>Ca-40(γ,p)K-39</t>
  </si>
  <si>
    <t>Li-7(γ,n)Li-6</t>
  </si>
  <si>
    <t>Cu-63(γ,p+n)Ni-61</t>
  </si>
  <si>
    <t>N-14(γ,n+p)C-12</t>
  </si>
  <si>
    <t>Mg-26(γ,2n)Mg-24</t>
  </si>
  <si>
    <t>B-11(γ,2α+d+n)</t>
  </si>
  <si>
    <t>Be-9(γ,2α+n)</t>
  </si>
  <si>
    <t>O-16(γ,n+p)N-14</t>
  </si>
  <si>
    <t>C-12(γ,α+n)Be-7</t>
  </si>
  <si>
    <t>C-12(γ,α+n+p)Li-6</t>
  </si>
  <si>
    <t>Fe-56(e,α+e)Cr-52</t>
  </si>
  <si>
    <t>Co-59(e,α+e)Mn-55</t>
  </si>
  <si>
    <t>Zn-64(e,α+e)Ni-60</t>
  </si>
  <si>
    <t>Zr-90(e,p+e)Y-89</t>
  </si>
  <si>
    <t>Deuteron Reactions</t>
  </si>
  <si>
    <t>H-3(d,n+α)</t>
  </si>
  <si>
    <t>H-2(d,n+t)</t>
  </si>
  <si>
    <t>Li-6(d,n)Be-7</t>
  </si>
  <si>
    <t>Be-9(d,α)Li-7</t>
  </si>
  <si>
    <t>B-11(d,n)C-12</t>
  </si>
  <si>
    <t>Li-7(d,n+2α)</t>
  </si>
  <si>
    <t>O-16(d,α)N-14</t>
  </si>
  <si>
    <t>C-12(d,α)B-10</t>
  </si>
  <si>
    <t>Co-59(d,p)Co-60</t>
  </si>
  <si>
    <t>Mg-24(d,α)Na-22</t>
  </si>
  <si>
    <t>Bi-209(d,n)Po-210</t>
  </si>
  <si>
    <t>U-233(d,p)U-234</t>
  </si>
  <si>
    <t>Pu-241(d,2n)Am-241</t>
  </si>
  <si>
    <t>U-234(d,p)U-235</t>
  </si>
  <si>
    <t>Pu-238(d,p)Pu-239</t>
  </si>
  <si>
    <t>U-235(d,n)Np-236</t>
  </si>
  <si>
    <t>Os-192(d,2n)Ir-192</t>
  </si>
  <si>
    <t>Pu-242(d,2n)Am-242</t>
  </si>
  <si>
    <t>Am-243(d,2n)Cm-243</t>
  </si>
  <si>
    <t>Au-197(d,3n)Hg-196</t>
  </si>
  <si>
    <t>U-238(d,4n)Np-236</t>
  </si>
  <si>
    <t>Na-23(d,n+d)Na-22</t>
  </si>
  <si>
    <t>Be-9(d,2n+d)Be-7</t>
  </si>
  <si>
    <t>Be-9(d,d+2α+n)</t>
  </si>
  <si>
    <t>Al-27(d,t+α)Na-22</t>
  </si>
  <si>
    <t>Y-89(d,α)Sr-87</t>
  </si>
  <si>
    <t>Helion Reactions</t>
  </si>
  <si>
    <t>Alpha Reactions</t>
  </si>
  <si>
    <t>Be-9(α,n)C-12</t>
  </si>
  <si>
    <t>Mg-26(α,n)Si-29</t>
  </si>
  <si>
    <t>F-19(α,n)Na-22</t>
  </si>
  <si>
    <t>F-19(α,p)Ne-22</t>
  </si>
  <si>
    <t>Li-7(α,n)B-10</t>
  </si>
  <si>
    <t>N-14(α,n+p)O-16</t>
  </si>
  <si>
    <t>Cu-63(α,p)Zn-66</t>
  </si>
  <si>
    <t>Os-192(α,n)Pt-195</t>
  </si>
  <si>
    <t>U-235(α,n)Pu-238</t>
  </si>
  <si>
    <t>Yb-176(α,2n)Hf-178</t>
  </si>
  <si>
    <t>Pb-208(α,2n)Po-210</t>
  </si>
  <si>
    <t>Li-6(α,γ)B-10</t>
  </si>
  <si>
    <t>U-233(α,p)Np-236</t>
  </si>
  <si>
    <t>U-238(α,3n)Pu-239</t>
  </si>
  <si>
    <t>Pu-239(α,p)Am-242</t>
  </si>
  <si>
    <t>N-14(α,n+p+α)C-12</t>
  </si>
  <si>
    <t>U-235(α,t)Np-236</t>
  </si>
  <si>
    <r>
      <t>C-12(</t>
    </r>
    <r>
      <rPr>
        <sz val="11"/>
        <color theme="1"/>
        <rFont val="Calibri"/>
        <family val="2"/>
      </rPr>
      <t>α</t>
    </r>
    <r>
      <rPr>
        <sz val="11"/>
        <color theme="1"/>
        <rFont val="Calibri"/>
        <family val="2"/>
        <scheme val="minor"/>
      </rPr>
      <t>,α+p)B-11</t>
    </r>
  </si>
  <si>
    <t>C-12(α,n+α+p)B-10</t>
  </si>
  <si>
    <t>Be-9(α,2n+α)Be-7</t>
  </si>
  <si>
    <t>Li-7(B-11,2n+α)C-12</t>
  </si>
  <si>
    <t>Bk-248(Ca-48,n+α+2νe)Cn-291</t>
  </si>
  <si>
    <t>Ir-192(ν̅e̅,e̅)Os-192</t>
  </si>
  <si>
    <t>Am-242(ν̅e̅,e̅)Pu-242</t>
  </si>
  <si>
    <t>Cm-243(ν̅e̅,e̅)Am-243</t>
  </si>
  <si>
    <t>Bk-247(ν̅e̅,e̅)Cm-247</t>
  </si>
  <si>
    <r>
      <t>Ni-58(ν̅e̅,e̅)Co-58(,e</t>
    </r>
    <r>
      <rPr>
        <sz val="11"/>
        <color theme="1"/>
        <rFont val="Calibri"/>
        <family val="2"/>
      </rPr>
      <t>̅</t>
    </r>
    <r>
      <rPr>
        <sz val="11"/>
        <color theme="1"/>
        <rFont val="Calibri"/>
        <family val="2"/>
        <scheme val="minor"/>
      </rPr>
      <t>+νe)Fe-58</t>
    </r>
  </si>
  <si>
    <r>
      <t>Cm-247(</t>
    </r>
    <r>
      <rPr>
        <sz val="11"/>
        <color theme="1"/>
        <rFont val="Calibri"/>
        <family val="2"/>
      </rPr>
      <t>νe</t>
    </r>
    <r>
      <rPr>
        <sz val="11"/>
        <color theme="1"/>
        <rFont val="Calibri"/>
        <family val="2"/>
        <scheme val="minor"/>
      </rPr>
      <t>,e)Bk-247</t>
    </r>
  </si>
  <si>
    <r>
      <t>Am-243(</t>
    </r>
    <r>
      <rPr>
        <sz val="11"/>
        <color theme="1"/>
        <rFont val="Calibri"/>
        <family val="2"/>
      </rPr>
      <t>νe</t>
    </r>
    <r>
      <rPr>
        <sz val="11"/>
        <color theme="1"/>
        <rFont val="Calibri"/>
        <family val="2"/>
        <scheme val="minor"/>
      </rPr>
      <t>,e)Cm-243</t>
    </r>
  </si>
  <si>
    <t>Pu-242(νe,e)Am-242</t>
  </si>
  <si>
    <r>
      <t>Os-192(</t>
    </r>
    <r>
      <rPr>
        <sz val="11"/>
        <color theme="1"/>
        <rFont val="Calibri"/>
        <family val="2"/>
      </rPr>
      <t>νe</t>
    </r>
    <r>
      <rPr>
        <sz val="11"/>
        <color theme="1"/>
        <rFont val="Calibri"/>
        <family val="2"/>
        <scheme val="minor"/>
      </rPr>
      <t>,e)Ir-192</t>
    </r>
  </si>
  <si>
    <t>Electron Reactions</t>
  </si>
  <si>
    <t>Recipe Creator</t>
  </si>
  <si>
    <t>Real Cross section (barn)</t>
  </si>
  <si>
    <t>QMD Cross section</t>
  </si>
  <si>
    <t>cross section</t>
  </si>
  <si>
    <t>Base time (t)</t>
  </si>
  <si>
    <t>Base time (s)</t>
  </si>
  <si>
    <t>Base time (min)</t>
  </si>
  <si>
    <t>Default QMD recipes obey the conservation on particles specifically baryon and lepton numbers. This means there is a link between the amount of particles a recipe requires and it's cross section. Each unit of matter is defined to have a QMD particle mole amount of particles e.g. 1 iron ingot, 144 mB of gold and 1000 mB of helium all contain 1 particle mole of there respective atoms. Things to be carful of are molecular substances like hydrogen since each hydrogen molecule is H2 there is actually 2 particle moles of protons in 1000 mB of hydrogen.</t>
  </si>
  <si>
    <t>Default QMD Recipes</t>
  </si>
  <si>
    <t>1a. If you have a real reaction and know the real reaction cross section in barns use this.</t>
  </si>
  <si>
    <t>This Target Chamber recipe creator helps calculate the recipe parameters that obey conservation of particles. You can of course not use this and make up your own values if you like but this helps make them mesh with QMD default recipes better so you don't have infinite exploit loops.</t>
  </si>
  <si>
    <t>1. Choose a cross section. Because particle units are whole numbers, only certain values of cross section result in perfect conservation of particles, the table below has these cross sections and there corresponding input particle amount and recipe time for a default beam. Default target chamber recipes normally  range from 1% to 100% but you can go lower if you want really long recipes.</t>
  </si>
  <si>
    <t>Input Particle Amount (pu)</t>
  </si>
  <si>
    <t>Default Beam Time (s)</t>
  </si>
  <si>
    <t>A1</t>
  </si>
  <si>
    <t>A2</t>
  </si>
  <si>
    <t>Z1</t>
  </si>
  <si>
    <t>Z2</t>
  </si>
  <si>
    <t>Ln(σ)</t>
  </si>
  <si>
    <t>pu</t>
  </si>
  <si>
    <t>Amount [pu]</t>
  </si>
  <si>
    <t>Time [t]</t>
  </si>
  <si>
    <t>H/t</t>
  </si>
  <si>
    <r>
      <t>H+H+</t>
    </r>
    <r>
      <rPr>
        <sz val="11"/>
        <color theme="1"/>
        <rFont val="Calibri"/>
        <family val="2"/>
      </rPr>
      <t xml:space="preserve">μ </t>
    </r>
    <r>
      <rPr>
        <sz val="11"/>
        <color theme="1"/>
        <rFont val="Calibri"/>
        <family val="2"/>
        <scheme val="minor"/>
      </rPr>
      <t>-&gt; D+e</t>
    </r>
    <r>
      <rPr>
        <sz val="11"/>
        <color theme="1"/>
        <rFont val="Calibri"/>
        <family val="2"/>
      </rPr>
      <t>̅+ν</t>
    </r>
    <r>
      <rPr>
        <sz val="11"/>
        <color theme="1"/>
        <rFont val="Calibri"/>
        <family val="2"/>
        <scheme val="minor"/>
      </rPr>
      <t>e</t>
    </r>
  </si>
  <si>
    <r>
      <t>D+H +</t>
    </r>
    <r>
      <rPr>
        <sz val="11"/>
        <color theme="1"/>
        <rFont val="Calibri"/>
        <family val="2"/>
      </rPr>
      <t xml:space="preserve">μ </t>
    </r>
    <r>
      <rPr>
        <sz val="11"/>
        <color theme="1"/>
        <rFont val="Calibri"/>
        <family val="2"/>
        <scheme val="minor"/>
      </rPr>
      <t>-&gt; He-3</t>
    </r>
  </si>
  <si>
    <r>
      <t>He-3+He-3+</t>
    </r>
    <r>
      <rPr>
        <sz val="11"/>
        <color theme="1"/>
        <rFont val="Calibri"/>
        <family val="2"/>
      </rPr>
      <t xml:space="preserve">μ </t>
    </r>
    <r>
      <rPr>
        <sz val="11"/>
        <color theme="1"/>
        <rFont val="Calibri"/>
        <family val="2"/>
        <scheme val="minor"/>
      </rPr>
      <t>-&gt; He+2H</t>
    </r>
  </si>
  <si>
    <r>
      <t>D+T +</t>
    </r>
    <r>
      <rPr>
        <sz val="11"/>
        <color theme="1"/>
        <rFont val="Calibri"/>
        <family val="2"/>
      </rPr>
      <t xml:space="preserve">μ </t>
    </r>
    <r>
      <rPr>
        <sz val="11"/>
        <color theme="1"/>
        <rFont val="Calibri"/>
        <family val="2"/>
        <scheme val="minor"/>
      </rPr>
      <t>-&gt; He+n</t>
    </r>
  </si>
  <si>
    <t>T+T + μ -&gt; He+2n</t>
  </si>
  <si>
    <t>D+He-3+μ -&gt; He+H</t>
  </si>
  <si>
    <t>H+Li-7+μ -&gt; 2He</t>
  </si>
  <si>
    <t>D+Li-6+μ -&gt; 2He</t>
  </si>
  <si>
    <t>He-3+T+μ -&gt; He+H+n</t>
  </si>
  <si>
    <t>D+D+μ -&gt; T+H</t>
  </si>
  <si>
    <t>He-3+Li-6+μ -&gt; 2He+H</t>
  </si>
  <si>
    <t>H+B-11+μ -&gt; 3He</t>
  </si>
  <si>
    <t>H+Li-6+μ -&gt; He+He-3</t>
  </si>
  <si>
    <r>
      <t>C-12+2H+2</t>
    </r>
    <r>
      <rPr>
        <sz val="11"/>
        <color theme="1"/>
        <rFont val="Calibri"/>
        <family val="2"/>
      </rPr>
      <t xml:space="preserve">μ </t>
    </r>
    <r>
      <rPr>
        <sz val="11"/>
        <color theme="1"/>
        <rFont val="Calibri"/>
        <family val="2"/>
        <scheme val="minor"/>
      </rPr>
      <t>-&gt; N-14+e̅+νe</t>
    </r>
  </si>
  <si>
    <r>
      <t>N-14+2p+2</t>
    </r>
    <r>
      <rPr>
        <sz val="11"/>
        <color theme="1"/>
        <rFont val="Calibri"/>
        <family val="2"/>
      </rPr>
      <t xml:space="preserve">μ </t>
    </r>
    <r>
      <rPr>
        <sz val="11"/>
        <color theme="1"/>
        <rFont val="Calibri"/>
        <family val="2"/>
        <scheme val="minor"/>
      </rPr>
      <t>-&gt; C-12+He+e̅+νe</t>
    </r>
  </si>
  <si>
    <r>
      <t>3He +2</t>
    </r>
    <r>
      <rPr>
        <sz val="11"/>
        <color theme="1"/>
        <rFont val="Calibri"/>
        <family val="2"/>
      </rPr>
      <t xml:space="preserve">μ </t>
    </r>
    <r>
      <rPr>
        <sz val="11"/>
        <color theme="1"/>
        <rFont val="Calibri"/>
        <family val="2"/>
        <scheme val="minor"/>
      </rPr>
      <t>-&gt; C-12</t>
    </r>
  </si>
  <si>
    <r>
      <t>C-12+He+</t>
    </r>
    <r>
      <rPr>
        <sz val="11"/>
        <color theme="1"/>
        <rFont val="Calibri"/>
        <family val="2"/>
      </rPr>
      <t xml:space="preserve">μ </t>
    </r>
    <r>
      <rPr>
        <sz val="11"/>
        <color theme="1"/>
        <rFont val="Calibri"/>
        <family val="2"/>
        <scheme val="minor"/>
      </rPr>
      <t>-&gt; O-16</t>
    </r>
  </si>
  <si>
    <r>
      <t>O-16+He+</t>
    </r>
    <r>
      <rPr>
        <sz val="11"/>
        <color theme="1"/>
        <rFont val="Calibri"/>
        <family val="2"/>
      </rPr>
      <t xml:space="preserve">μ </t>
    </r>
    <r>
      <rPr>
        <sz val="11"/>
        <color theme="1"/>
        <rFont val="Calibri"/>
        <family val="2"/>
        <scheme val="minor"/>
      </rPr>
      <t>-&gt; Ne-20</t>
    </r>
  </si>
  <si>
    <r>
      <t>Ne-20+He+</t>
    </r>
    <r>
      <rPr>
        <sz val="11"/>
        <color theme="1"/>
        <rFont val="Calibri"/>
        <family val="2"/>
      </rPr>
      <t xml:space="preserve">μ </t>
    </r>
    <r>
      <rPr>
        <sz val="11"/>
        <color theme="1"/>
        <rFont val="Calibri"/>
        <family val="2"/>
        <scheme val="minor"/>
      </rPr>
      <t>-&gt; Mg-24</t>
    </r>
  </si>
  <si>
    <r>
      <t>Mg-24+He+</t>
    </r>
    <r>
      <rPr>
        <sz val="11"/>
        <color theme="1"/>
        <rFont val="Calibri"/>
        <family val="2"/>
      </rPr>
      <t xml:space="preserve">μ </t>
    </r>
    <r>
      <rPr>
        <sz val="11"/>
        <color theme="1"/>
        <rFont val="Calibri"/>
        <family val="2"/>
        <scheme val="minor"/>
      </rPr>
      <t>-&gt; Si-28</t>
    </r>
  </si>
  <si>
    <r>
      <t>Si-28+He+</t>
    </r>
    <r>
      <rPr>
        <sz val="11"/>
        <color theme="1"/>
        <rFont val="Calibri"/>
        <family val="2"/>
      </rPr>
      <t xml:space="preserve">μ </t>
    </r>
    <r>
      <rPr>
        <sz val="11"/>
        <color theme="1"/>
        <rFont val="Calibri"/>
        <family val="2"/>
        <scheme val="minor"/>
      </rPr>
      <t>-&gt; S-32</t>
    </r>
  </si>
  <si>
    <r>
      <t>S-32+He+</t>
    </r>
    <r>
      <rPr>
        <sz val="11"/>
        <color theme="1"/>
        <rFont val="Calibri"/>
        <family val="2"/>
      </rPr>
      <t xml:space="preserve">μ </t>
    </r>
    <r>
      <rPr>
        <sz val="11"/>
        <color theme="1"/>
        <rFont val="Calibri"/>
        <family val="2"/>
        <scheme val="minor"/>
      </rPr>
      <t>-&gt; Ar-36</t>
    </r>
  </si>
  <si>
    <r>
      <t>Ar-36+He+</t>
    </r>
    <r>
      <rPr>
        <sz val="11"/>
        <color theme="1"/>
        <rFont val="Calibri"/>
        <family val="2"/>
      </rPr>
      <t xml:space="preserve">μ </t>
    </r>
    <r>
      <rPr>
        <sz val="11"/>
        <color theme="1"/>
        <rFont val="Calibri"/>
        <family val="2"/>
        <scheme val="minor"/>
      </rPr>
      <t>-&gt;Ca-40</t>
    </r>
  </si>
  <si>
    <r>
      <t>Ca-40+2He+2</t>
    </r>
    <r>
      <rPr>
        <sz val="11"/>
        <color theme="1"/>
        <rFont val="Calibri"/>
        <family val="2"/>
      </rPr>
      <t xml:space="preserve">μ </t>
    </r>
    <r>
      <rPr>
        <sz val="11"/>
        <color theme="1"/>
        <rFont val="Calibri"/>
        <family val="2"/>
        <scheme val="minor"/>
      </rPr>
      <t>-&gt;Ti-48+2e̅+2νe</t>
    </r>
  </si>
  <si>
    <r>
      <t>Ti-48+He+</t>
    </r>
    <r>
      <rPr>
        <sz val="11"/>
        <color theme="1"/>
        <rFont val="Calibri"/>
        <family val="2"/>
      </rPr>
      <t xml:space="preserve">μ </t>
    </r>
    <r>
      <rPr>
        <sz val="11"/>
        <color theme="1"/>
        <rFont val="Calibri"/>
        <family val="2"/>
        <scheme val="minor"/>
      </rPr>
      <t>-&gt;Cr-52</t>
    </r>
  </si>
  <si>
    <r>
      <t>Cr-52+He+</t>
    </r>
    <r>
      <rPr>
        <sz val="11"/>
        <color theme="1"/>
        <rFont val="Calibri"/>
        <family val="2"/>
      </rPr>
      <t xml:space="preserve">μ </t>
    </r>
    <r>
      <rPr>
        <sz val="11"/>
        <color theme="1"/>
        <rFont val="Calibri"/>
        <family val="2"/>
        <scheme val="minor"/>
      </rPr>
      <t>-&gt;Fe-56</t>
    </r>
  </si>
  <si>
    <r>
      <t>Fe-56+He+</t>
    </r>
    <r>
      <rPr>
        <sz val="11"/>
        <color theme="1"/>
        <rFont val="Calibri"/>
        <family val="2"/>
      </rPr>
      <t xml:space="preserve">μ </t>
    </r>
    <r>
      <rPr>
        <sz val="11"/>
        <color theme="1"/>
        <rFont val="Calibri"/>
        <family val="2"/>
        <scheme val="minor"/>
      </rPr>
      <t>-&gt;Ni-60</t>
    </r>
  </si>
  <si>
    <r>
      <t>O-16+O-16+</t>
    </r>
    <r>
      <rPr>
        <sz val="11"/>
        <color theme="1"/>
        <rFont val="Calibri"/>
        <family val="2"/>
      </rPr>
      <t xml:space="preserve">μ </t>
    </r>
    <r>
      <rPr>
        <sz val="11"/>
        <color theme="1"/>
        <rFont val="Calibri"/>
        <family val="2"/>
        <scheme val="minor"/>
      </rPr>
      <t>-&gt; Si-28+He</t>
    </r>
  </si>
  <si>
    <r>
      <t>C-12+C-12+</t>
    </r>
    <r>
      <rPr>
        <sz val="11"/>
        <color theme="1"/>
        <rFont val="Calibri"/>
        <family val="2"/>
      </rPr>
      <t xml:space="preserve">μ </t>
    </r>
    <r>
      <rPr>
        <sz val="11"/>
        <color theme="1"/>
        <rFont val="Calibri"/>
        <family val="2"/>
        <scheme val="minor"/>
      </rPr>
      <t>-&gt; Na-23+H</t>
    </r>
  </si>
  <si>
    <t>muon catalyst ratio</t>
  </si>
  <si>
    <t>Default Beam Time (t)</t>
  </si>
  <si>
    <t>Default Beam Heat (H/t)</t>
  </si>
  <si>
    <t>keV to Heat ratio</t>
  </si>
  <si>
    <t>Muon Catalysed Fusion</t>
  </si>
  <si>
    <t>n</t>
  </si>
  <si>
    <t>A</t>
  </si>
  <si>
    <r>
      <t>Fe-56+3n -&gt; Co-59+e+ν</t>
    </r>
    <r>
      <rPr>
        <sz val="11"/>
        <color theme="1"/>
        <rFont val="Calibri"/>
        <family val="2"/>
      </rPr>
      <t>̅</t>
    </r>
    <r>
      <rPr>
        <sz val="11"/>
        <color theme="1"/>
        <rFont val="Calibri"/>
        <family val="2"/>
        <scheme val="minor"/>
      </rPr>
      <t>e</t>
    </r>
  </si>
  <si>
    <t>Co-59+4n -&gt; Cu-63+2e+2ν̅e</t>
  </si>
  <si>
    <t>Ni-60 + 3n -&gt; Cu-63 +e+ν̅e</t>
  </si>
  <si>
    <t>Cu-63+n -&gt; Zn-64+e+ν̅e</t>
  </si>
  <si>
    <t>Zn-64+11n -&gt; As-75+3e+3ν̅e</t>
  </si>
  <si>
    <t>As-75+13n -&gt; Sr-88+5e+5ν̅e</t>
  </si>
  <si>
    <t>Sr-88+2n -&gt; Sr-90</t>
  </si>
  <si>
    <t>Zr-90+8n -&gt; Mo-98+2e+2ν̅e</t>
  </si>
  <si>
    <t>Mo-98+8n -&gt; Ru-106+2e+2ν̅e</t>
  </si>
  <si>
    <t xml:space="preserve"> Ru-106+3n -&gt; Ag-109+3e+3ν̅e</t>
  </si>
  <si>
    <t>Ag-109+11n -&gt; Sn-120+3e+3ν̅e</t>
  </si>
  <si>
    <t>Sn-120+7n -&gt; I-127+3e+3ν̅e</t>
  </si>
  <si>
    <t>I-127+10n -&gt; Cs-137+2e+2ν̅e</t>
  </si>
  <si>
    <t>Cs-137+6n -&gt; Nd-143+5e+5ν̅e</t>
  </si>
  <si>
    <t>Nd-143+9n -&gt; Sm-152+2e+2ν̅e</t>
  </si>
  <si>
    <t xml:space="preserve"> Sm-152+7n -&gt; Tb-159+3e+3ν̅e</t>
  </si>
  <si>
    <t>Eu-155 + 4n -&gt; Tb-159 +2e+2ν̅e</t>
  </si>
  <si>
    <t xml:space="preserve"> Tb-159+9n -&gt; Er-168+3e+3ν̅e</t>
  </si>
  <si>
    <t>Er-168+6n -&gt; Yb-174+2e+2ν̅e</t>
  </si>
  <si>
    <t>Yb-174+6n -&gt; Hf-180+2e+2ν̅e</t>
  </si>
  <si>
    <t>Hf-180+4n -&gt; W-184+2e+2ν̅e</t>
  </si>
  <si>
    <t xml:space="preserve"> W-184+8n -&gt; Os-192+2e+2ν̅e</t>
  </si>
  <si>
    <t>Os-192+n -&gt; Ir-193+e+ν̅e</t>
  </si>
  <si>
    <t xml:space="preserve"> Ir-193+2n -&gt; Pt-195+e+ν̅e</t>
  </si>
  <si>
    <t>Pt-195+2n -&gt; Au-197+e+ν̅e</t>
  </si>
  <si>
    <t xml:space="preserve"> Au-197+5n -&gt; Hg-202+e+ν̅e</t>
  </si>
  <si>
    <t xml:space="preserve"> Hg-202+6n -&gt; Pb-208+2e+2ν̅e</t>
  </si>
  <si>
    <t>Pb-208+n -&gt; Bi-209+e+ν̅e</t>
  </si>
  <si>
    <t>Bi-209+n -&gt; Po-210+e+ν̅e</t>
  </si>
  <si>
    <t>Po-210+16n-&gt;  Ra-226+4e+4ν̅e</t>
  </si>
  <si>
    <t xml:space="preserve"> Ra-226+6n-&gt; Th-232+2e+2ν̅e</t>
  </si>
  <si>
    <t>Th-232+6n -&gt; U-238 +2e+2ν̅e</t>
  </si>
  <si>
    <t>U-238+4n-&gt;Pu-242 +2e+2ν̅e</t>
  </si>
  <si>
    <t>Pu-242+5n -&gt; Cm-247 +2e+2ν̅e</t>
  </si>
  <si>
    <t>Cm-247+5n -&gt; Cf-252 +2e+2ν̅e</t>
  </si>
  <si>
    <t>R-process Heat debuff</t>
  </si>
  <si>
    <t>R- Process</t>
  </si>
  <si>
    <t>Input Amount (pu)</t>
  </si>
  <si>
    <t>Total heat out (H)</t>
  </si>
  <si>
    <t>Weak Factor</t>
  </si>
  <si>
    <t>Some Factor</t>
  </si>
  <si>
    <t>Your Reaction</t>
  </si>
  <si>
    <t>R-Process</t>
  </si>
  <si>
    <t>Nucleosynthesis Recipe Scale Factor</t>
  </si>
  <si>
    <t>Target Chamber Recipe Scale Factor</t>
  </si>
  <si>
    <t>Beam Scaling Factor</t>
  </si>
  <si>
    <t>QMD Configs</t>
  </si>
  <si>
    <t>Base Ion source Output (pu/t)</t>
  </si>
  <si>
    <t>Default mole to particle unit ratio</t>
  </si>
  <si>
    <t>Name</t>
  </si>
  <si>
    <t>Charge</t>
  </si>
  <si>
    <t>up</t>
  </si>
  <si>
    <t>antiup</t>
  </si>
  <si>
    <t>down</t>
  </si>
  <si>
    <t>antidown</t>
  </si>
  <si>
    <t>charm</t>
  </si>
  <si>
    <t>anticharm</t>
  </si>
  <si>
    <t>strange</t>
  </si>
  <si>
    <t>antistrange</t>
  </si>
  <si>
    <t>top</t>
  </si>
  <si>
    <t>antitop</t>
  </si>
  <si>
    <t>bottom</t>
  </si>
  <si>
    <t>antibottom</t>
  </si>
  <si>
    <t>Mass (MeV)</t>
  </si>
  <si>
    <t>electron</t>
  </si>
  <si>
    <t>positron</t>
  </si>
  <si>
    <t>electron neutrino</t>
  </si>
  <si>
    <t>electron antineutrino</t>
  </si>
  <si>
    <t>muon</t>
  </si>
  <si>
    <t>antimuon</t>
  </si>
  <si>
    <t>muon neutrino</t>
  </si>
  <si>
    <t>muon antineutrino</t>
  </si>
  <si>
    <t>tau</t>
  </si>
  <si>
    <t>antitau</t>
  </si>
  <si>
    <t>tau neutrino</t>
  </si>
  <si>
    <t>antitau neutrino</t>
  </si>
  <si>
    <t>photon</t>
  </si>
  <si>
    <t>gluon</t>
  </si>
  <si>
    <t>w plus boson</t>
  </si>
  <si>
    <t>w minus boson</t>
  </si>
  <si>
    <t>z boson</t>
  </si>
  <si>
    <t>deuteron</t>
  </si>
  <si>
    <t>antideuteron</t>
  </si>
  <si>
    <t>helion</t>
  </si>
  <si>
    <t>antihelion</t>
  </si>
  <si>
    <t>alpha</t>
  </si>
  <si>
    <t>antialpha</t>
  </si>
  <si>
    <t>boron ion</t>
  </si>
  <si>
    <t>proton</t>
  </si>
  <si>
    <t>antiproton</t>
  </si>
  <si>
    <t>neutron</t>
  </si>
  <si>
    <t>antineutron</t>
  </si>
  <si>
    <t>sigma plus</t>
  </si>
  <si>
    <t>antisigma plus</t>
  </si>
  <si>
    <t>sigma minus</t>
  </si>
  <si>
    <t>antisigma minus</t>
  </si>
  <si>
    <t>delta plus plus</t>
  </si>
  <si>
    <t>delta minus</t>
  </si>
  <si>
    <t>pion plus</t>
  </si>
  <si>
    <t>pion minus</t>
  </si>
  <si>
    <t>pion naught</t>
  </si>
  <si>
    <t>kaon plus</t>
  </si>
  <si>
    <t>kaon minus</t>
  </si>
  <si>
    <t>kaon naught</t>
  </si>
  <si>
    <t>antikaon naught</t>
  </si>
  <si>
    <t>eta</t>
  </si>
  <si>
    <t>eta prime</t>
  </si>
  <si>
    <t>charmed eta</t>
  </si>
  <si>
    <t>bottom eta</t>
  </si>
  <si>
    <t>glueball</t>
  </si>
  <si>
    <t>Input Particle</t>
  </si>
  <si>
    <t>Accelerator</t>
  </si>
  <si>
    <t>Length/Radius (blocks)</t>
  </si>
  <si>
    <t>RF Cavity Voltage (kV)</t>
  </si>
  <si>
    <t>Dipole Strength (T)</t>
  </si>
  <si>
    <t>Redstone Signal Strength</t>
  </si>
  <si>
    <t>Type</t>
  </si>
  <si>
    <t>Linear</t>
  </si>
  <si>
    <t>Synchrotron</t>
  </si>
  <si>
    <t>Decelerator</t>
  </si>
  <si>
    <t>Output Focus</t>
  </si>
  <si>
    <t>Output Energy (keV)</t>
  </si>
  <si>
    <t>Beam Attenuation Rate</t>
  </si>
  <si>
    <t>Input Focus</t>
  </si>
  <si>
    <t>Input amount (pu/t)</t>
  </si>
  <si>
    <t>Computer Energy Setting</t>
  </si>
  <si>
    <t>Computer Controlled</t>
  </si>
  <si>
    <t>Particle</t>
  </si>
  <si>
    <t>Input Energy (keV)</t>
  </si>
  <si>
    <t>Error</t>
  </si>
  <si>
    <t>Max Output Energy (keV)</t>
  </si>
  <si>
    <t>Quadrupole Strength (T)</t>
  </si>
  <si>
    <t>If you want to use the same scaling as QMD for Nucleosynthesis chamber recipes you can use these here. Sticking to the what QMD uses is not that important as is the case for target chamber recipes. The only thing that would break particle conservation is for R-process reactions if you make the input amount less than the  amount of neutrons needed to be added for the output e.g. for the reaction converting Fe-56 into Co-59 you need to add 3 neutrons for every atom so for one mole of Fe-56 you need at minimum 3 particle moles of neutrons otherwise you are creating particles from nothing. You can have the recipe use more than 3 particle moles because this just corresponds to a cross section less than 100% and thus a loss of neutrons to the environment.</t>
  </si>
  <si>
    <t>For muon catalysed fusion look over at the default recipe text to see the meaning of the inputs then input the energy released i.e. the mass defect, A1, A2, Z1,Z2 and the weak factor.</t>
  </si>
  <si>
    <t>Heat Released (H)</t>
  </si>
  <si>
    <t>For R-process look over at the default recipe text to see the meaning of the inputs then input the energy released i.e. the mass defect, n and A.</t>
  </si>
  <si>
    <t>This is very similar to the muon catalysed fusion except uses a different estimation for the cross section. Once again Don't remember what it was based off. The R-process heat debuff is to reduce the amount of usable heat from r processes because otherwise it is to easy to make energy out of them. n is the amount of neutron added to the nuclei which has a atomic mass A.</t>
  </si>
  <si>
    <t>Minimum Synchrotron Input Energy (keV)</t>
  </si>
  <si>
    <t>Antiproton Reactions</t>
  </si>
  <si>
    <t>Electron Antineutrino Reactions</t>
  </si>
  <si>
    <t>Calcium 48 Ion Reactions</t>
  </si>
  <si>
    <t>Boron Ion Reactions</t>
  </si>
  <si>
    <t>Pion Minus Reactions</t>
  </si>
  <si>
    <t>Pion Plus Reactions</t>
  </si>
  <si>
    <t>antidelta minus</t>
  </si>
  <si>
    <t>antidelta plus plus</t>
  </si>
  <si>
    <t>Possible Target Chamber Reactions For Input Particle</t>
  </si>
  <si>
    <t>Possible Target Chamber Reactions For Output Particle</t>
  </si>
  <si>
    <t>Possible Target Chamber Reactions For Synchrotron Port Output</t>
  </si>
  <si>
    <t>Synchrotron Port</t>
  </si>
  <si>
    <t>Synchrotron Port Output Energy (keV)</t>
  </si>
  <si>
    <t>NSC Input Particle</t>
  </si>
  <si>
    <t>Recipe Time (t)</t>
  </si>
  <si>
    <t>Recipe Time (s)</t>
  </si>
  <si>
    <t>NSC Input Fluids</t>
  </si>
  <si>
    <t>mercury</t>
  </si>
  <si>
    <t>hot mercury</t>
  </si>
  <si>
    <t>Input Coolant</t>
  </si>
  <si>
    <t>Heat Output (H/t)</t>
  </si>
  <si>
    <t>Output HPM (mB/t)</t>
  </si>
  <si>
    <t>RF/mb</t>
  </si>
  <si>
    <t>Setup Input Power (RF/t)</t>
  </si>
  <si>
    <t>Net Power (RF/t)</t>
  </si>
  <si>
    <t>Output Power (RF/t)</t>
  </si>
  <si>
    <t>Antideuteron Reactions</t>
  </si>
  <si>
    <t>Cf-252(p,p+p̅)Cf-waste</t>
  </si>
  <si>
    <t>Cf-251(p,p+p̅)Cf-waste</t>
  </si>
  <si>
    <t>Cf-250(p,p+p̅)Cf-waste</t>
  </si>
  <si>
    <t>Cf-249(p,p,p+p̅)Cf-waste</t>
  </si>
  <si>
    <t>Bk-248(p,p+p̅)Bk-waste</t>
  </si>
  <si>
    <t>Bk-247(p,p+p̅)Bk-waste</t>
  </si>
  <si>
    <t>Cm-247(p,p+p̅)Cm-waste</t>
  </si>
  <si>
    <t>Cm-246(p,p+p̅)Cm-waste</t>
  </si>
  <si>
    <t>Cm-245(p,p+p̅)Cm-waste</t>
  </si>
  <si>
    <t>Cm-243(p,p+p̅)Cm-waste</t>
  </si>
  <si>
    <t>Am-243(p,p+p̅)Am-waste</t>
  </si>
  <si>
    <t>Am-242(p,p+p̅)Am-waste</t>
  </si>
  <si>
    <t>Am-241(p,p+p̅)Am-waste</t>
  </si>
  <si>
    <t>Pu-242(p,p+p̅)Pu-waste</t>
  </si>
  <si>
    <t>Pu-241(p,p+p̅)Pu-waste</t>
  </si>
  <si>
    <t>Pu-239(p,p+p̅)Pu-waste</t>
  </si>
  <si>
    <t>Pu-238(p,p+p̅)Pu-waste</t>
  </si>
  <si>
    <t>Np-237(p,p+p̅)Np-waste</t>
  </si>
  <si>
    <t>Np-236(p,p+p̅)Np-waste</t>
  </si>
  <si>
    <t>U-238(p,p+p̅)U-waste</t>
  </si>
  <si>
    <t>U-235(p,p+p̅)U-waste</t>
  </si>
  <si>
    <t>U-234(p,p+p̅)U-waste</t>
  </si>
  <si>
    <t>U-233(p,p+p̅)U-waste</t>
  </si>
  <si>
    <t>Pa-233(p,p+p̅)Pa-waste</t>
  </si>
  <si>
    <t>Pa-231(p,p+p̅)Pa-waste</t>
  </si>
  <si>
    <t>Th-232(p,p+p̅)Th-waste</t>
  </si>
  <si>
    <t>Ra-226(p,p+p̅)Ra-waste</t>
  </si>
  <si>
    <t>Po-210(p,p+p̅)Po-waste</t>
  </si>
  <si>
    <t>Bi-209(p,p+p̅)Bi-waste</t>
  </si>
  <si>
    <t>Pb-208(p,p+p̅)Pb-waste</t>
  </si>
  <si>
    <t>Au-197(p,p+p̅)Au-waste</t>
  </si>
  <si>
    <t>Pt-195(p,p+p̅)Pt-waste</t>
  </si>
  <si>
    <t>Ir-193(p,p+p̅)Ir-waste</t>
  </si>
  <si>
    <t>Ir-192(p,p+p̅)Ir-waste</t>
  </si>
  <si>
    <t>Os-192(p,p+p̅)Os-waste</t>
  </si>
  <si>
    <t>W-184(p,p+p̅)W-waste</t>
  </si>
  <si>
    <t>Hf-180(p,p+p̅)Hf-waste</t>
  </si>
  <si>
    <t>Hg-202(p,p+p̅)Hg-waste</t>
  </si>
  <si>
    <t>Ra-226(p,n)Heavy waste</t>
  </si>
  <si>
    <t>U-233(p,n)Heavy waste</t>
  </si>
  <si>
    <t>U-234(p,2n)Heavy waste</t>
  </si>
  <si>
    <t>U-235(p,4n)Heavy waste</t>
  </si>
  <si>
    <t>Np-237(p,2n)Heavy waste</t>
  </si>
  <si>
    <t>Pu-239(p, 4n)Heavy waste</t>
  </si>
  <si>
    <t>Pu-241(p, 4n)Heavy waste</t>
  </si>
  <si>
    <t>Pu-242(p,4n)Heavy waste</t>
  </si>
  <si>
    <t>Am-241(p, 4n)Heavy waste</t>
  </si>
  <si>
    <t>Am-243(p,2n)Heavy waste</t>
  </si>
  <si>
    <t>Cn-291(p,2n)Heavy waste</t>
  </si>
  <si>
    <t>Bi-209(p,n)Light waste</t>
  </si>
  <si>
    <t>Pt-194(p,n)Light waste</t>
  </si>
  <si>
    <t>Hg-202(p,n)Light waste</t>
  </si>
  <si>
    <t>Au-197(p,n)Light waste</t>
  </si>
  <si>
    <t>Pb-208(p,n)Light waste</t>
  </si>
  <si>
    <t>W-184(p,n)Light waste</t>
  </si>
  <si>
    <t>U-233(e,n+e)Heavy waste</t>
  </si>
  <si>
    <t>U-235(e,n+e)Heavy waste</t>
  </si>
  <si>
    <t>Th-232(e,n+e)Heavy waste</t>
  </si>
  <si>
    <t>Th-232(p,n)Heavy waste</t>
  </si>
  <si>
    <t>Cf-252(d,d+d̅)Cf-waste</t>
  </si>
  <si>
    <t>Cf-251(d,d+d̅)Cf-waste</t>
  </si>
  <si>
    <t>Cf-250(d,d+d̅)Cf-waste</t>
  </si>
  <si>
    <t>Bk-248(d,d+d̅)Bk-waste</t>
  </si>
  <si>
    <t>Bk-247(d,d+d̅)Bk-waste</t>
  </si>
  <si>
    <t>Cm-247(d,d+d̅)Cm-waste</t>
  </si>
  <si>
    <t>Cm-246(d,d+d̅)Cm-waste</t>
  </si>
  <si>
    <t>Cm-245(d,d+d̅)Cm-waste</t>
  </si>
  <si>
    <t>Cm-243(d,d+d̅)Cm-waste</t>
  </si>
  <si>
    <t>Am-243(d,d+d̅)Am-waste</t>
  </si>
  <si>
    <t>Am-242(d,d+d̅)Am-waste</t>
  </si>
  <si>
    <t>Am-241(d,d+d̅)Am-waste</t>
  </si>
  <si>
    <t>U-238(d,d+d̅)U-waste</t>
  </si>
  <si>
    <t>U-235(d,d+d̅)U-waste</t>
  </si>
  <si>
    <t>U-234(d,d+d̅)U-waste</t>
  </si>
  <si>
    <t>U-233(d,d+d̅)U-waste</t>
  </si>
  <si>
    <t>Th-232(d,d+d̅)Th-waste</t>
  </si>
  <si>
    <t>Ra-226(d,d+d̅)Ra-waste</t>
  </si>
  <si>
    <t>Bi-209(d,d+d̅)Bi-waste</t>
  </si>
  <si>
    <t>Au-197(d,d+d̅)Au-waste</t>
  </si>
  <si>
    <t>Ir-193(d,d+d̅)Ir-waste</t>
  </si>
  <si>
    <t>Ir-192(d,d+d̅)Ir-waste</t>
  </si>
  <si>
    <t>Os-192(d,d+d̅)Os-waste</t>
  </si>
  <si>
    <t>W-184(d,d+d̅)W-waste</t>
  </si>
  <si>
    <t>Hf-180(d,d+d̅)Hf-waste</t>
  </si>
  <si>
    <t>Hg-202(d,d+d̅)Hg-waste</t>
  </si>
  <si>
    <t>Pt-195(d,d+d̅)Pt-waste</t>
  </si>
  <si>
    <t>Pb-208(d,d+d̅)Pb-waste</t>
  </si>
  <si>
    <t>Po-210(d,d+d̅)Po-waste</t>
  </si>
  <si>
    <t>Pa-231(d,d+d̅)Pa-waste</t>
  </si>
  <si>
    <t>Pa-233(d,d+d̅)Pa-waste</t>
  </si>
  <si>
    <t>Np-236(d,d+d̅)Np-waste</t>
  </si>
  <si>
    <t>Np-237(d,d+d̅)Np-waste</t>
  </si>
  <si>
    <t>Pu-238(d,d+d̅)Pu-waste</t>
  </si>
  <si>
    <t>Pu-239(d,d+d̅)Pu-waste</t>
  </si>
  <si>
    <t>Pu-241(d,d+d̅)Pu-waste</t>
  </si>
  <si>
    <t>Pu-242(d,d+d̅)Pu-waste</t>
  </si>
  <si>
    <t>Mass defect (keV)</t>
  </si>
  <si>
    <t>Isotope</t>
  </si>
  <si>
    <t>Hydrogen</t>
  </si>
  <si>
    <t>Atomic Number</t>
  </si>
  <si>
    <t>Deuterium</t>
  </si>
  <si>
    <t>Tritium</t>
  </si>
  <si>
    <t>Helium 3</t>
  </si>
  <si>
    <t>Helium 4</t>
  </si>
  <si>
    <t>Lithium 6</t>
  </si>
  <si>
    <t>Lithium 7</t>
  </si>
  <si>
    <t>Beryllium 7</t>
  </si>
  <si>
    <t>Beryllium 9</t>
  </si>
  <si>
    <t>Boron 10</t>
  </si>
  <si>
    <t>Boron 11</t>
  </si>
  <si>
    <t>Carbon 12</t>
  </si>
  <si>
    <t>Carbon 13</t>
  </si>
  <si>
    <t>Carbon 14</t>
  </si>
  <si>
    <t>Beryllium 10</t>
  </si>
  <si>
    <t>Nitrogen 14</t>
  </si>
  <si>
    <t>Nitrogen 15</t>
  </si>
  <si>
    <t>Oxygen 16</t>
  </si>
  <si>
    <t>Oxygen 17</t>
  </si>
  <si>
    <t>Oxygen 18</t>
  </si>
  <si>
    <t>Fluorine 19</t>
  </si>
  <si>
    <t>Neon  20</t>
  </si>
  <si>
    <t>Neon 21</t>
  </si>
  <si>
    <t>Neon 22</t>
  </si>
  <si>
    <t>Sodium 22</t>
  </si>
  <si>
    <t>Sodium 23</t>
  </si>
  <si>
    <t>Magnesium 24</t>
  </si>
  <si>
    <t>Magnesium 25</t>
  </si>
  <si>
    <t>Magnesium 26</t>
  </si>
  <si>
    <t>Aluminium 26</t>
  </si>
  <si>
    <t>Aluminium 27</t>
  </si>
  <si>
    <t>Silicon 28</t>
  </si>
  <si>
    <t>Silicon 29</t>
  </si>
  <si>
    <t>Silicon 30</t>
  </si>
  <si>
    <t>Silicon 32</t>
  </si>
  <si>
    <t>Phosphorus 31</t>
  </si>
  <si>
    <t>Sulphur 32</t>
  </si>
  <si>
    <t>Sulphur 33</t>
  </si>
  <si>
    <t>Sulphur 34</t>
  </si>
  <si>
    <t>Sulphur 35</t>
  </si>
  <si>
    <t>Sulphur 36</t>
  </si>
  <si>
    <t>Chlorine 35</t>
  </si>
  <si>
    <t>Chlorine 36</t>
  </si>
  <si>
    <t>Chlorine 37</t>
  </si>
  <si>
    <t>Argon 36</t>
  </si>
  <si>
    <t>Argon 37</t>
  </si>
  <si>
    <t>Argon 38</t>
  </si>
  <si>
    <t>Argon 39</t>
  </si>
  <si>
    <t>Argon 40</t>
  </si>
  <si>
    <t>Argon 42</t>
  </si>
  <si>
    <t>Potassium 39</t>
  </si>
  <si>
    <t>Potassium 40</t>
  </si>
  <si>
    <t>Potassium 41</t>
  </si>
  <si>
    <t>Calcium 40</t>
  </si>
  <si>
    <t>Calcium 41</t>
  </si>
  <si>
    <t>Calcium 42</t>
  </si>
  <si>
    <t>Calcium 43</t>
  </si>
  <si>
    <t>Calcium 44</t>
  </si>
  <si>
    <t>Calcium 48</t>
  </si>
  <si>
    <t>Scandium 45</t>
  </si>
  <si>
    <t>Titanium 46</t>
  </si>
  <si>
    <t>Titanium 47</t>
  </si>
  <si>
    <t>Titanium 48</t>
  </si>
  <si>
    <t>Titanium 49</t>
  </si>
  <si>
    <t>Titanium 50</t>
  </si>
  <si>
    <t>Vanadium 50</t>
  </si>
  <si>
    <t>Vanadium 51</t>
  </si>
  <si>
    <t>Chromium 50</t>
  </si>
  <si>
    <t>Chromium 52</t>
  </si>
  <si>
    <t>Chromium 53</t>
  </si>
  <si>
    <t>Chromium 54</t>
  </si>
  <si>
    <t>Manganese 55</t>
  </si>
  <si>
    <t>Iron 54</t>
  </si>
  <si>
    <t>Iron 56</t>
  </si>
  <si>
    <t>Iron 57</t>
  </si>
  <si>
    <t>Iron 58</t>
  </si>
  <si>
    <t>Cobalt 59</t>
  </si>
  <si>
    <t>Cobalt 60</t>
  </si>
  <si>
    <t>Nickel 58</t>
  </si>
  <si>
    <t>Nickel 59</t>
  </si>
  <si>
    <t>Nickel 60</t>
  </si>
  <si>
    <t>Nickel 61</t>
  </si>
  <si>
    <t>Nickel 62</t>
  </si>
  <si>
    <t>Nickel 64</t>
  </si>
  <si>
    <t>Copper 63</t>
  </si>
  <si>
    <t>Copper 65</t>
  </si>
  <si>
    <t>Zinc 64</t>
  </si>
  <si>
    <t>Zinc 65</t>
  </si>
  <si>
    <t>Zinc 66</t>
  </si>
  <si>
    <t>Zinc 67</t>
  </si>
  <si>
    <t>Zinc 68</t>
  </si>
  <si>
    <t>Zinc 70</t>
  </si>
  <si>
    <t>Gallium 69</t>
  </si>
  <si>
    <t>Gallium 71</t>
  </si>
  <si>
    <t>Germanium 70</t>
  </si>
  <si>
    <t>Germanium 72</t>
  </si>
  <si>
    <t>Germanium 73</t>
  </si>
  <si>
    <t>Germanium 74</t>
  </si>
  <si>
    <t>Germanium 76</t>
  </si>
  <si>
    <t>Arsenic 75</t>
  </si>
  <si>
    <t>Selenium 80</t>
  </si>
  <si>
    <t>Bromine 79</t>
  </si>
  <si>
    <t>Bromine 81</t>
  </si>
  <si>
    <t>Krypton 84</t>
  </si>
  <si>
    <t>Rubidium 85</t>
  </si>
  <si>
    <t>Strontium 84</t>
  </si>
  <si>
    <t>Strontium 86</t>
  </si>
  <si>
    <t>Strontium 87</t>
  </si>
  <si>
    <t>Strontium 88</t>
  </si>
  <si>
    <t>Strontium 90</t>
  </si>
  <si>
    <t>Yttrium 89</t>
  </si>
  <si>
    <t>Zirconium 90</t>
  </si>
  <si>
    <t>Zirconium 91</t>
  </si>
  <si>
    <t>Zirconium 92</t>
  </si>
  <si>
    <t>Zirconium 93</t>
  </si>
  <si>
    <t>Zirconium 94</t>
  </si>
  <si>
    <t>Zirconium 96</t>
  </si>
  <si>
    <t>Niobium 93</t>
  </si>
  <si>
    <t>Molybdenum 92</t>
  </si>
  <si>
    <t>Molybdenum 94</t>
  </si>
  <si>
    <t>Molybdenum 95</t>
  </si>
  <si>
    <t>Molybdenum 96</t>
  </si>
  <si>
    <t>Molybdenum 97</t>
  </si>
  <si>
    <t>Molybdenum 98</t>
  </si>
  <si>
    <t>Molybdenum 100</t>
  </si>
  <si>
    <t>Technetium 98</t>
  </si>
  <si>
    <t>Technetium 99</t>
  </si>
  <si>
    <t>Ruthenium 96</t>
  </si>
  <si>
    <t>Ruthenium 98</t>
  </si>
  <si>
    <t>Ruthenium 99</t>
  </si>
  <si>
    <t>Ruthenium 100</t>
  </si>
  <si>
    <t>Ruthenium 101</t>
  </si>
  <si>
    <t>Ruthenium 102</t>
  </si>
  <si>
    <t>Ruthenium 104</t>
  </si>
  <si>
    <t>Ruthenium 106</t>
  </si>
  <si>
    <t>Rhodium  103</t>
  </si>
  <si>
    <t>Palladium 106</t>
  </si>
  <si>
    <t>Silver 107</t>
  </si>
  <si>
    <t>Silver 109</t>
  </si>
  <si>
    <t>Cadmium 114</t>
  </si>
  <si>
    <t>Indium 113</t>
  </si>
  <si>
    <t>Indium 115</t>
  </si>
  <si>
    <t>Tin 112</t>
  </si>
  <si>
    <t>Tin 114</t>
  </si>
  <si>
    <t>Tin 115</t>
  </si>
  <si>
    <t>Tin 116</t>
  </si>
  <si>
    <t>Tin 117</t>
  </si>
  <si>
    <t>Tin 118</t>
  </si>
  <si>
    <t>Tin 119</t>
  </si>
  <si>
    <t>Tin 120</t>
  </si>
  <si>
    <t>Tin 122</t>
  </si>
  <si>
    <t>Tin 124</t>
  </si>
  <si>
    <t>Antimony 121</t>
  </si>
  <si>
    <t>Antimony 123</t>
  </si>
  <si>
    <t>Tellurium 120</t>
  </si>
  <si>
    <t>Tellurium 122</t>
  </si>
  <si>
    <t>Tellurium 123</t>
  </si>
  <si>
    <t>Tellurium 124</t>
  </si>
  <si>
    <t>Tellurium 125</t>
  </si>
  <si>
    <t>Tellurium 126</t>
  </si>
  <si>
    <t>Tellurium 128</t>
  </si>
  <si>
    <t>Tellurium 130</t>
  </si>
  <si>
    <t>Iodine 127</t>
  </si>
  <si>
    <t>Iodine 129</t>
  </si>
  <si>
    <t>Xenon 124</t>
  </si>
  <si>
    <t>Xenon126</t>
  </si>
  <si>
    <t>Xenon 128</t>
  </si>
  <si>
    <t>Xenon 129</t>
  </si>
  <si>
    <t>Xenon 130</t>
  </si>
  <si>
    <t>Xenon 131</t>
  </si>
  <si>
    <t>Xenon 132</t>
  </si>
  <si>
    <t>Xenon 134</t>
  </si>
  <si>
    <t>Xenon 136</t>
  </si>
  <si>
    <t>Caesium 133</t>
  </si>
  <si>
    <t>Caesium 135</t>
  </si>
  <si>
    <t>Caesium 137</t>
  </si>
  <si>
    <t>Barium 130</t>
  </si>
  <si>
    <t>Barium 132</t>
  </si>
  <si>
    <t>Barium 134</t>
  </si>
  <si>
    <t>Barium 135</t>
  </si>
  <si>
    <t>Barium 136</t>
  </si>
  <si>
    <t>Barium 137</t>
  </si>
  <si>
    <t>Barium 138</t>
  </si>
  <si>
    <t>Lanthanum 138</t>
  </si>
  <si>
    <t>Lanthanum 139</t>
  </si>
  <si>
    <t>Cerium 140</t>
  </si>
  <si>
    <t>Praseodymium 141</t>
  </si>
  <si>
    <t>Neodymium 142</t>
  </si>
  <si>
    <t>Neodymium 143</t>
  </si>
  <si>
    <t>Neodymium 144</t>
  </si>
  <si>
    <t>Neodymium 145</t>
  </si>
  <si>
    <t>Neodymium 146</t>
  </si>
  <si>
    <t>Neodymium 148</t>
  </si>
  <si>
    <t>Neodymium 150</t>
  </si>
  <si>
    <t>Promethium 145</t>
  </si>
  <si>
    <t>Promethium 146</t>
  </si>
  <si>
    <t>Promethium 147</t>
  </si>
  <si>
    <t>Samarium 144</t>
  </si>
  <si>
    <t>Samarium 147</t>
  </si>
  <si>
    <t>Samarium 148</t>
  </si>
  <si>
    <t>Samarium 149</t>
  </si>
  <si>
    <t>Samarium 150</t>
  </si>
  <si>
    <t>Samarium 152</t>
  </si>
  <si>
    <t>Samarium 154</t>
  </si>
  <si>
    <t>Europium 151</t>
  </si>
  <si>
    <t>Europium 153</t>
  </si>
  <si>
    <t>Europium 155</t>
  </si>
  <si>
    <t>Gadolinium 152</t>
  </si>
  <si>
    <t>Gadolinium 154</t>
  </si>
  <si>
    <t>Gadolinium 155</t>
  </si>
  <si>
    <t>Gadolinium 156</t>
  </si>
  <si>
    <t>Gadolinium 157</t>
  </si>
  <si>
    <t>Gadolinium 158</t>
  </si>
  <si>
    <t>Gadolinium 160</t>
  </si>
  <si>
    <t>Terbium 159</t>
  </si>
  <si>
    <t>Dysprosium 156</t>
  </si>
  <si>
    <t>Dysprosium 158</t>
  </si>
  <si>
    <t>Dysprosium 160</t>
  </si>
  <si>
    <t>Dysprosium 161</t>
  </si>
  <si>
    <t>Dysprosium 162</t>
  </si>
  <si>
    <t>Dysprosium 163</t>
  </si>
  <si>
    <t>Dysprosium 164</t>
  </si>
  <si>
    <t>Holmium 165</t>
  </si>
  <si>
    <t>Erbium 166</t>
  </si>
  <si>
    <t>Erbium 167</t>
  </si>
  <si>
    <t>Erbium 168</t>
  </si>
  <si>
    <t>Erbium 170</t>
  </si>
  <si>
    <t>Thulium 169</t>
  </si>
  <si>
    <t>Ytterbium 168</t>
  </si>
  <si>
    <t>Ytterbium 170</t>
  </si>
  <si>
    <t>Ytterbium 171</t>
  </si>
  <si>
    <t>Ytterbium 172</t>
  </si>
  <si>
    <t>Ytterbium 173</t>
  </si>
  <si>
    <t>Ytterbium 174</t>
  </si>
  <si>
    <t>Ytterbium 176</t>
  </si>
  <si>
    <t>Lutetium 175</t>
  </si>
  <si>
    <t>Lutetium 176</t>
  </si>
  <si>
    <t>Hafnium 174</t>
  </si>
  <si>
    <t>Hafnium 176</t>
  </si>
  <si>
    <t>Hafnium 177</t>
  </si>
  <si>
    <t>Hafnium178</t>
  </si>
  <si>
    <t>Hafnium 179</t>
  </si>
  <si>
    <t>Hafnium 180</t>
  </si>
  <si>
    <t>Hafnium 182</t>
  </si>
  <si>
    <t>Tantalum 181</t>
  </si>
  <si>
    <t>Tungsten 180</t>
  </si>
  <si>
    <t>Tungsten 181</t>
  </si>
  <si>
    <t>Tungsten 182</t>
  </si>
  <si>
    <t>Tungsten 183</t>
  </si>
  <si>
    <t>Tungsten 184</t>
  </si>
  <si>
    <t>Tungsten 185</t>
  </si>
  <si>
    <t>Tungsten 186</t>
  </si>
  <si>
    <t>Rhenium 185</t>
  </si>
  <si>
    <t>Rhenium 187</t>
  </si>
  <si>
    <t>Osmium 184</t>
  </si>
  <si>
    <t>Osmium 186</t>
  </si>
  <si>
    <t>Osmium 187</t>
  </si>
  <si>
    <t>Osmium 188</t>
  </si>
  <si>
    <t>Osmium 189</t>
  </si>
  <si>
    <t>Osmium 190</t>
  </si>
  <si>
    <t>Osmium 192</t>
  </si>
  <si>
    <t>Iridium 191</t>
  </si>
  <si>
    <t>Iridium 192</t>
  </si>
  <si>
    <t>Iridium 193</t>
  </si>
  <si>
    <t>Platinum 192</t>
  </si>
  <si>
    <t>Platinum 195</t>
  </si>
  <si>
    <t>Platinum 196</t>
  </si>
  <si>
    <t>Platinum 198</t>
  </si>
  <si>
    <t>Mercury 196</t>
  </si>
  <si>
    <t>Mercury 198</t>
  </si>
  <si>
    <t>Mercury 199</t>
  </si>
  <si>
    <t>Mercury 202</t>
  </si>
  <si>
    <t>Thallium 203</t>
  </si>
  <si>
    <t>Thallium 205</t>
  </si>
  <si>
    <t>Lead 204</t>
  </si>
  <si>
    <t>Lead 206</t>
  </si>
  <si>
    <t>Lead 207</t>
  </si>
  <si>
    <t>Lead 208</t>
  </si>
  <si>
    <t>Lead 210</t>
  </si>
  <si>
    <t>Bismuth 209</t>
  </si>
  <si>
    <t>Polonium 209</t>
  </si>
  <si>
    <t>Polonium 210</t>
  </si>
  <si>
    <t>Radon 222</t>
  </si>
  <si>
    <t>Francium 223</t>
  </si>
  <si>
    <t>Radium 226</t>
  </si>
  <si>
    <t>Actinium 227</t>
  </si>
  <si>
    <t>Thorium 230</t>
  </si>
  <si>
    <t>Thorium 232</t>
  </si>
  <si>
    <t>Protactinium 231</t>
  </si>
  <si>
    <t>Protactinium 233</t>
  </si>
  <si>
    <t>Uranium 233</t>
  </si>
  <si>
    <t>Uranium 234</t>
  </si>
  <si>
    <t>Uranium 235</t>
  </si>
  <si>
    <t>Uranium 238</t>
  </si>
  <si>
    <t>Neptunium 236</t>
  </si>
  <si>
    <t>Neptunium 237</t>
  </si>
  <si>
    <t>Plutonium 238</t>
  </si>
  <si>
    <t>Plutonium 239</t>
  </si>
  <si>
    <t>Plutonium 241</t>
  </si>
  <si>
    <t>Plutonium 242</t>
  </si>
  <si>
    <t>Americium 241</t>
  </si>
  <si>
    <t>Americium 243</t>
  </si>
  <si>
    <t>Curium 243</t>
  </si>
  <si>
    <t>Curium 245</t>
  </si>
  <si>
    <t>Curium 246</t>
  </si>
  <si>
    <t>Curium 247</t>
  </si>
  <si>
    <t>Berkelium 247</t>
  </si>
  <si>
    <t>Berkelium 248</t>
  </si>
  <si>
    <t>Atom Mass (amu)</t>
  </si>
  <si>
    <t>Outputs</t>
  </si>
  <si>
    <t>Inputs</t>
  </si>
  <si>
    <t>None</t>
  </si>
  <si>
    <t>Atomic Mass Unit (MeV)</t>
  </si>
  <si>
    <t>Output Amounts</t>
  </si>
  <si>
    <t>Inputs Mass (Mev)</t>
  </si>
  <si>
    <t>Outputs Mass(Mev)</t>
  </si>
  <si>
    <t>Abundance</t>
  </si>
  <si>
    <t>Stable</t>
  </si>
  <si>
    <t>Half Life (Years)</t>
  </si>
  <si>
    <t>Calcium 45</t>
  </si>
  <si>
    <t>Calcium 46</t>
  </si>
  <si>
    <t>Scandium 46</t>
  </si>
  <si>
    <t>Titanium 44</t>
  </si>
  <si>
    <t>Vanadium 49</t>
  </si>
  <si>
    <t>Manganese 53</t>
  </si>
  <si>
    <t>Manganese 54</t>
  </si>
  <si>
    <t>Iron 55</t>
  </si>
  <si>
    <t>Iron 59</t>
  </si>
  <si>
    <t>Iron 60</t>
  </si>
  <si>
    <t>Cobalt 56</t>
  </si>
  <si>
    <t>Cobalt 57</t>
  </si>
  <si>
    <t>Cobalt 58</t>
  </si>
  <si>
    <t>Nickel 63</t>
  </si>
  <si>
    <t>Germanium 69</t>
  </si>
  <si>
    <t>Arsenic 73</t>
  </si>
  <si>
    <t>Selenium 74</t>
  </si>
  <si>
    <t>Selenium 75</t>
  </si>
  <si>
    <t>Selenium 76</t>
  </si>
  <si>
    <t>Selenium 77</t>
  </si>
  <si>
    <t>Selenium 78</t>
  </si>
  <si>
    <t>Selenium 79</t>
  </si>
  <si>
    <t>Selenium 82</t>
  </si>
  <si>
    <t>Krypton 80</t>
  </si>
  <si>
    <t>Krypton 81</t>
  </si>
  <si>
    <t>Krypton 82</t>
  </si>
  <si>
    <t>Krypton 83</t>
  </si>
  <si>
    <t>Krypton 85</t>
  </si>
  <si>
    <t>Krypton 86</t>
  </si>
  <si>
    <t>Krypton 78</t>
  </si>
  <si>
    <t>Rubidium 83</t>
  </si>
  <si>
    <t>Rubidium 87</t>
  </si>
  <si>
    <t>Strontium 85</t>
  </si>
  <si>
    <t>Strontium 89</t>
  </si>
  <si>
    <t>Yttrium 91</t>
  </si>
  <si>
    <t>Yttrium 88</t>
  </si>
  <si>
    <t>Zirconium 88</t>
  </si>
  <si>
    <t>Zirconium 95</t>
  </si>
  <si>
    <t>Niobium 91</t>
  </si>
  <si>
    <t>Niobium 92</t>
  </si>
  <si>
    <t>Niobium 94</t>
  </si>
  <si>
    <t>Molybdenum 93</t>
  </si>
  <si>
    <t>Technetium 97</t>
  </si>
  <si>
    <t>Rhodium  101</t>
  </si>
  <si>
    <t>Rhodium  102</t>
  </si>
  <si>
    <t>Palladium 102</t>
  </si>
  <si>
    <t>Palladium 104</t>
  </si>
  <si>
    <t>Palladium 105</t>
  </si>
  <si>
    <t>Palladium 107</t>
  </si>
  <si>
    <t>Palladium 108</t>
  </si>
  <si>
    <t>Palladium 110</t>
  </si>
  <si>
    <t>Cadmium 106</t>
  </si>
  <si>
    <t>Cadmium 108</t>
  </si>
  <si>
    <t>Cadmium 109</t>
  </si>
  <si>
    <t>Cadmium 110</t>
  </si>
  <si>
    <t>Cadmium 111</t>
  </si>
  <si>
    <t>Cadmium 112</t>
  </si>
  <si>
    <t>Cadmium 113</t>
  </si>
  <si>
    <t>Cadmium 116</t>
  </si>
  <si>
    <t xml:space="preserve">4.28%	</t>
  </si>
  <si>
    <t>Tin 113</t>
  </si>
  <si>
    <t>Tin 123</t>
  </si>
  <si>
    <t>Tin 126</t>
  </si>
  <si>
    <t>Antimony 125</t>
  </si>
  <si>
    <t>Iodine 125</t>
  </si>
  <si>
    <t>Caesium 134</t>
  </si>
  <si>
    <t>Barium 133</t>
  </si>
  <si>
    <t>Lanthanum 137</t>
  </si>
  <si>
    <t>Cerium 138</t>
  </si>
  <si>
    <t>Cerium 139</t>
  </si>
  <si>
    <t>Cerium 136</t>
  </si>
  <si>
    <t>Cerium 142</t>
  </si>
  <si>
    <t>Cerium 144</t>
  </si>
  <si>
    <t>Promethium 143</t>
  </si>
  <si>
    <t>Promethium 144</t>
  </si>
  <si>
    <t>Samarium 145</t>
  </si>
  <si>
    <t>Samarium 146</t>
  </si>
  <si>
    <t>Samarium 151</t>
  </si>
  <si>
    <t>Europium 150</t>
  </si>
  <si>
    <t>Europium 148</t>
  </si>
  <si>
    <t>Europium 149</t>
  </si>
  <si>
    <t>Europium 152</t>
  </si>
  <si>
    <t>Europium 154</t>
  </si>
  <si>
    <t>Gadolinium 150</t>
  </si>
  <si>
    <t>Gadolinium 151</t>
  </si>
  <si>
    <t>Gadolinium 148</t>
  </si>
  <si>
    <t>Gadolinium 153</t>
  </si>
  <si>
    <t>Terbium 157</t>
  </si>
  <si>
    <t>Terbium 158</t>
  </si>
  <si>
    <t>Terbium 160</t>
  </si>
  <si>
    <t>Dysprosium 154</t>
  </si>
  <si>
    <t>Dysprosium 159</t>
  </si>
  <si>
    <t>Holmium 163</t>
  </si>
  <si>
    <t>Erbium 164</t>
  </si>
  <si>
    <t>Erbium 162</t>
  </si>
  <si>
    <t>Thulium 168</t>
  </si>
  <si>
    <t>Thulium 170</t>
  </si>
  <si>
    <t>Thulium 171</t>
  </si>
  <si>
    <t>Lutetium 173</t>
  </si>
  <si>
    <t>Lutetium 174</t>
  </si>
  <si>
    <t>Hafnium 172</t>
  </si>
  <si>
    <t>Hafnium 175</t>
  </si>
  <si>
    <t>Tantalum 180m</t>
  </si>
  <si>
    <t>Tantalum 179</t>
  </si>
  <si>
    <t>Tantalum 182</t>
  </si>
  <si>
    <t>Tungsten 188</t>
  </si>
  <si>
    <t xml:space="preserve">30.6%	</t>
  </si>
  <si>
    <t xml:space="preserve">28.4%	</t>
  </si>
  <si>
    <t>Rhenium 183</t>
  </si>
  <si>
    <t>Osmium 185</t>
  </si>
  <si>
    <t>Osmium 194</t>
  </si>
  <si>
    <t>Platinum 190</t>
  </si>
  <si>
    <t>Gold 195</t>
  </si>
  <si>
    <t>Mercury 194</t>
  </si>
  <si>
    <t>Thallium 204</t>
  </si>
  <si>
    <t>Lead 202</t>
  </si>
  <si>
    <t>Lead 205</t>
  </si>
  <si>
    <t>Bismuth 207</t>
  </si>
  <si>
    <t>Bismuth 208</t>
  </si>
  <si>
    <t>Polonium 208</t>
  </si>
  <si>
    <t>Astatine 211</t>
  </si>
  <si>
    <t>Radium 228</t>
  </si>
  <si>
    <t>Thorium 228</t>
  </si>
  <si>
    <t>Thorium 229</t>
  </si>
  <si>
    <t>Uranium 232</t>
  </si>
  <si>
    <t>Uranium 236</t>
  </si>
  <si>
    <t>Neptunium 235</t>
  </si>
  <si>
    <t>Plutonium 236</t>
  </si>
  <si>
    <t>Plutonium 240</t>
  </si>
  <si>
    <t>Plutonium 244</t>
  </si>
  <si>
    <t>Americium 242m</t>
  </si>
  <si>
    <t>Curium 242</t>
  </si>
  <si>
    <t>Curium 244</t>
  </si>
  <si>
    <t>Curium 248</t>
  </si>
  <si>
    <t>Curium 250</t>
  </si>
  <si>
    <t>Berkelium 249</t>
  </si>
  <si>
    <t>Einsteinium 252</t>
  </si>
  <si>
    <t>Einsteinium 254</t>
  </si>
  <si>
    <t>Fermium 257</t>
  </si>
  <si>
    <t>Mendelevium 258</t>
  </si>
  <si>
    <t>List Number</t>
  </si>
  <si>
    <t>Nuclei Mass (MeV)</t>
  </si>
  <si>
    <t>Mass Rounded (MeV)</t>
  </si>
  <si>
    <t>Gold 197</t>
  </si>
  <si>
    <t>Mass defect Calculator</t>
  </si>
  <si>
    <t>Additional Input</t>
  </si>
  <si>
    <t>Additional Output</t>
  </si>
  <si>
    <t>Nuclei</t>
  </si>
  <si>
    <t>Mass defect Calculator and Isotope List</t>
  </si>
  <si>
    <t>Nucleosynthesis Chamber Calculator</t>
  </si>
  <si>
    <t>This calculator helps you calculate the heat and power output for the Nucleosynthesis chamber. Select your input particle (either muons or neutrons) and the input amount, then select your input coolant (either hot mercury or mercury) and the conversion efficiency of your set up (this depends on your turbine setup and efficiencies), finally input the total setup input power to see if you can break even and achieve net power!</t>
  </si>
  <si>
    <t>Accelerator Calculator</t>
  </si>
  <si>
    <t>Platinum 193</t>
  </si>
  <si>
    <t>Platinum 194</t>
  </si>
  <si>
    <t>Mercury 200</t>
  </si>
  <si>
    <t>Mercury 201</t>
  </si>
  <si>
    <t>Mercury 204</t>
  </si>
  <si>
    <t>Californium 248</t>
  </si>
  <si>
    <t>Californium 249</t>
  </si>
  <si>
    <t>Californium 250</t>
  </si>
  <si>
    <t>Californium 251</t>
  </si>
  <si>
    <t>Californium 252</t>
  </si>
  <si>
    <t>Californium 254</t>
  </si>
  <si>
    <t>This calculator helps you calculate the mass defect i.e. difference in mass between the inputs of a reaction and the outputs. This is the energy released in a reaction, if it is negative that means energy was absorbed by the reaction and thus the reaction requires that additional energy in some form most often the input particles' kinetic energy. On the left is a list of all the isotopes with half-lives greater than 50 days the isotopes in Bold are the most common isotope and the ones underlined are ones in nuclearcaft and QMD. QMD recipes generally obey the rule that if the isotope is not specified then for inputs use the most common one and for outputs if the output is any stable or practically stable (&gt; 1 billion years) then just output the most common item/fluid form. For example an iron ingot as an input is assumed to be Fe-56, an iron ingot as an output could represent any stable/practically stable iron isotope (Fe-54,56,57,58).</t>
  </si>
  <si>
    <t>The scaling in this is a bit arbitrary and hand tweaked though it is based of estimating  of real cross sections though don't ask what the source is because I have long forgotten it. A1 and A2 are the atomic masses of the input nuclei, Z1 and Z2 are the amount of protons in the input nuclei. The weak factor is a factor to tweak the cross section, specifically it is used to reduce the cross section of p-p fusion because it has a really low cross section because it uses a weak force interaction. It is also used to debuff the triple alpha process because that requires 3 nuclei to fuse. Ln(σ) is the estimated natural log of the real cross section this is then converted into a intermediate cross section then into the input particle amount. The muon catalyst ratio controls how many reaction each muon can do before decaying and the keV to heat ratio controls the conversion of the energy released by the reaction to usable heat. The energy released is just the mass defect of the reaction and thus was calculated with the mass defect calculator.</t>
  </si>
  <si>
    <t>2. Choose or calculate the energy released. You can choose it to be an arbitrary value but how most QMD recipes are done is by calculating the mass defect of a reaction i.e. the difference in mass between the inputs and outputs and then rounding to 3 significant figures. You can use the Mass Defect Calculator to calculate this.</t>
  </si>
  <si>
    <t>3. Choose a minimum focus value. For most recipes this is 0 but some special recipe require some like making p-doped silicon. Once you have done that you have got all the values you need to add a Target chamber recipe!</t>
  </si>
  <si>
    <t>Electron Neutrino Reactions</t>
  </si>
  <si>
    <t>If you are not using the default values of the configs you can change them here to be the ones you are using.</t>
  </si>
  <si>
    <t>triton</t>
  </si>
  <si>
    <t>calcium 48 ion</t>
  </si>
  <si>
    <t>Higgs boson</t>
  </si>
  <si>
    <t>antitriton</t>
  </si>
  <si>
    <t>Example input box</t>
  </si>
  <si>
    <t>Before you fiddle around with things you should know that the orange cells (example below) are the only one intended to be changed and are for inputs for various things. A lot of input boxes come with a handy drop down menu. You can also sort the tables how you like would like them to without worry of breaking things</t>
  </si>
  <si>
    <t>d+n-&gt;t+γ</t>
  </si>
  <si>
    <t>d̅+n̅-&gt;t̅+γ</t>
  </si>
  <si>
    <t>p+p-&gt;d+e̅+νe</t>
  </si>
  <si>
    <t>p̅+p̅-&gt;d̅+e+ν̅e̅</t>
  </si>
  <si>
    <t>p+d-&gt;h+γ</t>
  </si>
  <si>
    <t>H-3(p,n+h)</t>
  </si>
  <si>
    <t>H-2(p,γ+h)</t>
  </si>
  <si>
    <t>Ca-40(p,p+h)Ar-37(νe)Cl-37</t>
  </si>
  <si>
    <t>O-16(p,h+α)B-10</t>
  </si>
  <si>
    <t>He-4(n,2n+h)</t>
  </si>
  <si>
    <t>Al-27(n,3n+h)Na-22</t>
  </si>
  <si>
    <t>C-12(n,3n+h)Be-7</t>
  </si>
  <si>
    <t>Li-6(γ,t+h)</t>
  </si>
  <si>
    <t>Li-6(h,d)Be-7</t>
  </si>
  <si>
    <t>Co-59(h,2p)Co-60</t>
  </si>
  <si>
    <r>
      <t>C-12(h,2</t>
    </r>
    <r>
      <rPr>
        <sz val="11"/>
        <color theme="1"/>
        <rFont val="Calibri"/>
        <family val="2"/>
      </rPr>
      <t>α</t>
    </r>
    <r>
      <rPr>
        <sz val="11"/>
        <color theme="1"/>
        <rFont val="Calibri"/>
        <family val="2"/>
        <scheme val="minor"/>
      </rPr>
      <t>)Be-7</t>
    </r>
  </si>
  <si>
    <r>
      <t>Be-9(h,n+</t>
    </r>
    <r>
      <rPr>
        <sz val="11"/>
        <color theme="1"/>
        <rFont val="Calibri"/>
        <family val="2"/>
      </rPr>
      <t>α</t>
    </r>
    <r>
      <rPr>
        <sz val="11"/>
        <color theme="1"/>
        <rFont val="Calibri"/>
        <family val="2"/>
        <scheme val="minor"/>
      </rPr>
      <t>)Be-7</t>
    </r>
  </si>
  <si>
    <t>Pb-208(h,n)Po-210</t>
  </si>
  <si>
    <t>Np-237(h,n+p)Pu-238</t>
  </si>
  <si>
    <r>
      <t>Li-6(h,p+2</t>
    </r>
    <r>
      <rPr>
        <sz val="11"/>
        <color theme="1"/>
        <rFont val="Calibri"/>
        <family val="2"/>
      </rPr>
      <t>α</t>
    </r>
    <r>
      <rPr>
        <sz val="11"/>
        <color theme="1"/>
        <rFont val="Calibri"/>
        <family val="2"/>
        <scheme val="minor"/>
      </rPr>
      <t>)</t>
    </r>
  </si>
  <si>
    <r>
      <t>B-10(h,n+p+</t>
    </r>
    <r>
      <rPr>
        <sz val="11"/>
        <color theme="1"/>
        <rFont val="Calibri"/>
        <family val="2"/>
      </rPr>
      <t>α</t>
    </r>
    <r>
      <rPr>
        <sz val="11"/>
        <color theme="1"/>
        <rFont val="Calibri"/>
        <family val="2"/>
        <scheme val="minor"/>
      </rPr>
      <t>)Be-7</t>
    </r>
  </si>
  <si>
    <t>Bi-209(h,n+p)Po-210</t>
  </si>
  <si>
    <t>p̅+d̅-&gt;h̅+γ</t>
  </si>
  <si>
    <t>h+h-&gt;α+p</t>
  </si>
  <si>
    <t>h̅+h̅-&gt;α̅+p̅</t>
  </si>
  <si>
    <t>d+t+-&gt;α+n</t>
  </si>
  <si>
    <t>d̅+t̅+-&gt;α̅+n̅</t>
  </si>
  <si>
    <t>t+t-&gt;α+2n</t>
  </si>
  <si>
    <t>t̅+t̅-&gt;α̅+2n̅</t>
  </si>
  <si>
    <t>d+h-&gt;α+p</t>
  </si>
  <si>
    <t>d̅+h̅-&gt;α̅+p̅</t>
  </si>
  <si>
    <t>h+t-&gt;α+p+n</t>
  </si>
  <si>
    <t>h̅+t̅-&gt;α̅+p̅+n̅</t>
  </si>
  <si>
    <t>d+d-&gt;t+p</t>
  </si>
  <si>
    <t>d̅+d̅-&gt;t̅+p̅</t>
  </si>
  <si>
    <r>
      <t>p+p̅-&gt;4</t>
    </r>
    <r>
      <rPr>
        <sz val="11"/>
        <color theme="1"/>
        <rFont val="Calibri"/>
        <family val="2"/>
        <scheme val="minor"/>
      </rPr>
      <t xml:space="preserve">π⁺+4π⁰+4π⁻ </t>
    </r>
  </si>
  <si>
    <r>
      <t>p+n-&gt;d+</t>
    </r>
    <r>
      <rPr>
        <sz val="11"/>
        <color theme="1"/>
        <rFont val="Calibri"/>
        <family val="2"/>
        <scheme val="minor"/>
      </rPr>
      <t>γ</t>
    </r>
  </si>
  <si>
    <r>
      <t>p̅+n̅-&gt;d̅+</t>
    </r>
    <r>
      <rPr>
        <sz val="11"/>
        <color theme="1"/>
        <rFont val="Calibri"/>
        <family val="2"/>
        <scheme val="minor"/>
      </rPr>
      <t>γ</t>
    </r>
  </si>
  <si>
    <r>
      <t>h+n-&gt;</t>
    </r>
    <r>
      <rPr>
        <sz val="11"/>
        <color theme="1"/>
        <rFont val="Calibri"/>
        <family val="2"/>
        <scheme val="minor"/>
      </rPr>
      <t>α+γ</t>
    </r>
  </si>
  <si>
    <r>
      <t>h̅+n̅-&gt;</t>
    </r>
    <r>
      <rPr>
        <sz val="11"/>
        <color theme="1"/>
        <rFont val="Calibri"/>
        <family val="2"/>
        <scheme val="minor"/>
      </rPr>
      <t>α̅+γ</t>
    </r>
  </si>
  <si>
    <t xml:space="preserve">n+n̅-&gt;4π⁺+4π⁰+4π⁻ </t>
  </si>
  <si>
    <r>
      <t>e+e-&gt;2νe+2</t>
    </r>
    <r>
      <rPr>
        <sz val="11"/>
        <color theme="1"/>
        <rFont val="Calibri"/>
        <family val="2"/>
        <scheme val="minor"/>
      </rPr>
      <t>μ+2ν̅μ̅</t>
    </r>
  </si>
  <si>
    <r>
      <t>p+n̅-&gt;4</t>
    </r>
    <r>
      <rPr>
        <sz val="11"/>
        <color theme="1"/>
        <rFont val="Calibri"/>
        <family val="2"/>
        <scheme val="minor"/>
      </rPr>
      <t xml:space="preserve">π⁺+4π⁰+4π⁻ </t>
    </r>
  </si>
  <si>
    <r>
      <t>p̅+n-&gt;4</t>
    </r>
    <r>
      <rPr>
        <sz val="11"/>
        <color theme="1"/>
        <rFont val="Calibri"/>
        <family val="2"/>
        <scheme val="minor"/>
      </rPr>
      <t xml:space="preserve">π⁺+4π⁰+4π⁻ </t>
    </r>
  </si>
  <si>
    <t>e̅+e̅-&gt;2ν̅e̅+2μ̅+2νμ</t>
  </si>
  <si>
    <t>e+e̅-&gt;μ+μ̅</t>
  </si>
  <si>
    <t xml:space="preserve">p+p-&gt;2p+π⁺+π⁰+π⁻ </t>
  </si>
  <si>
    <t xml:space="preserve">p̅+p̅-&gt;2p̅+π⁺+π⁰+π⁻ </t>
  </si>
  <si>
    <r>
      <t>p+p-&gt;</t>
    </r>
    <r>
      <rPr>
        <sz val="11"/>
        <color theme="1"/>
        <rFont val="Aptos Narrow"/>
        <family val="2"/>
      </rPr>
      <t>Δ</t>
    </r>
    <r>
      <rPr>
        <sz val="11"/>
        <color theme="1"/>
        <rFont val="Calibri"/>
        <family val="2"/>
        <scheme val="minor"/>
      </rPr>
      <t>⁻ +</t>
    </r>
    <r>
      <rPr>
        <sz val="11"/>
        <color theme="1"/>
        <rFont val="Aptos Narrow"/>
        <family val="2"/>
      </rPr>
      <t>Σ</t>
    </r>
    <r>
      <rPr>
        <sz val="11"/>
        <color theme="1"/>
        <rFont val="Calibri"/>
        <family val="2"/>
        <scheme val="minor"/>
      </rPr>
      <t>⁺+K⁺+K⁻</t>
    </r>
  </si>
  <si>
    <r>
      <t>p̅+p̅-&gt;</t>
    </r>
    <r>
      <rPr>
        <sz val="11"/>
        <color theme="1"/>
        <rFont val="Aptos Narrow"/>
        <family val="2"/>
      </rPr>
      <t>Δ̅</t>
    </r>
    <r>
      <rPr>
        <sz val="11"/>
        <color theme="1"/>
        <rFont val="Calibri"/>
        <family val="2"/>
        <scheme val="minor"/>
      </rPr>
      <t>⁻ +</t>
    </r>
    <r>
      <rPr>
        <sz val="11"/>
        <color theme="1"/>
        <rFont val="Aptos Narrow"/>
        <family val="2"/>
      </rPr>
      <t>Σ̅</t>
    </r>
    <r>
      <rPr>
        <sz val="11"/>
        <color theme="1"/>
        <rFont val="Calibri"/>
        <family val="2"/>
        <scheme val="minor"/>
      </rPr>
      <t>⁺+K⁺+K⁻</t>
    </r>
  </si>
  <si>
    <r>
      <t>e+e̅-&gt;</t>
    </r>
    <r>
      <rPr>
        <sz val="11"/>
        <color theme="1"/>
        <rFont val="Aptos Narrow"/>
        <family val="2"/>
      </rPr>
      <t>τ</t>
    </r>
    <r>
      <rPr>
        <sz val="11"/>
        <color theme="1"/>
        <rFont val="Calibri"/>
        <family val="2"/>
        <scheme val="minor"/>
      </rPr>
      <t>+τ̅</t>
    </r>
  </si>
  <si>
    <t>p+p-&gt;n+Δ⁺⁺+Z</t>
  </si>
  <si>
    <t>p̅+p̅-&gt;n̅+Δ̅⁺⁺+Z</t>
  </si>
  <si>
    <r>
      <t>p+p̅-&gt;gb+W⁺+W⁻+</t>
    </r>
    <r>
      <rPr>
        <sz val="11"/>
        <color theme="1"/>
        <rFont val="Aptos Narrow"/>
        <family val="2"/>
      </rPr>
      <t>η</t>
    </r>
    <r>
      <rPr>
        <sz val="11"/>
        <color theme="1"/>
        <rFont val="Calibri"/>
        <family val="2"/>
        <scheme val="minor"/>
      </rPr>
      <t>c</t>
    </r>
  </si>
  <si>
    <t>p+p-&gt;H+Δ⁺⁺+K⁺+Σ⁻</t>
  </si>
  <si>
    <t>p̅+p̅-&gt;H+Δ̅⁺⁺+K⁻+Σ̅⁻</t>
  </si>
  <si>
    <t>Ar-40(π⁺,n+2p)Cl-37</t>
  </si>
  <si>
    <t>Cf-252(p,π⁺+π⁻)Cf-waste</t>
  </si>
  <si>
    <t>Cf-251(p,π⁺+π⁻)Cf-waste</t>
  </si>
  <si>
    <t>Cf-250(p,π⁺+π⁻)Cf-waste</t>
  </si>
  <si>
    <t>Cf-249(p,π⁺+π⁻)Cf-waste</t>
  </si>
  <si>
    <t>Bk-248(p,π⁺+π⁻)Bk-waste</t>
  </si>
  <si>
    <t>Bk-247(p,π⁺+π⁻)Bk-waste</t>
  </si>
  <si>
    <t>Cm-247(p,π⁺+π⁻)Cm-waste</t>
  </si>
  <si>
    <t>Cm-246(p,π⁺+π⁻)Cm-waste</t>
  </si>
  <si>
    <t>Cm-245(p,π⁺+π⁻)Cm-waste</t>
  </si>
  <si>
    <t>Cm-243(p,π⁺+π⁻)Cm-waste</t>
  </si>
  <si>
    <t>Am-243(p,π⁺+π⁻)Am-waste</t>
  </si>
  <si>
    <t>Am-242(p,π⁺+π⁻)Am-waste</t>
  </si>
  <si>
    <t>Am-241(p,π⁺+π⁻)Am-waste</t>
  </si>
  <si>
    <t>Pu-242(p,π⁺+π⁻)Pu-waste</t>
  </si>
  <si>
    <t>Pu-241(p,π⁺+π⁻)Pu-waste</t>
  </si>
  <si>
    <t>Pu-239(p,π⁺+π⁻)Pu-waste</t>
  </si>
  <si>
    <t>Pu-238(p,π⁺+π⁻)Pu-waste</t>
  </si>
  <si>
    <t>Np-237(p,π⁺+π⁻)Np-waste</t>
  </si>
  <si>
    <t>Np-236(p,π⁺+π⁻)Np-waste</t>
  </si>
  <si>
    <t>U-238(p,π⁺+π⁻)U-waste</t>
  </si>
  <si>
    <t>U-235(p,π⁺+π⁻)U-waste</t>
  </si>
  <si>
    <t>U-234(p,π⁺+π⁻)U-waste</t>
  </si>
  <si>
    <t>U-233(p,π⁺+π⁻)U-waste</t>
  </si>
  <si>
    <t>Pa-233(p,π⁺+π⁻)Pa-waste</t>
  </si>
  <si>
    <t>Pa-231(p,π⁺+π⁻)Pa-waste</t>
  </si>
  <si>
    <t>Th-232(p,π⁺+π⁻)Th-waste</t>
  </si>
  <si>
    <t>Ra-226(p,π⁺+π⁻)Ra-waste</t>
  </si>
  <si>
    <t>Po-210(p,π⁺+π⁻)Po-waste</t>
  </si>
  <si>
    <t>Bi-209(p,π⁺+π⁻)Bi-waste</t>
  </si>
  <si>
    <t>Pb-208(p,π⁺+π⁻)Pb-waste</t>
  </si>
  <si>
    <t>Au-197(p,π⁺+π⁻)Au-waste</t>
  </si>
  <si>
    <t>Pt-195(p,π⁺+π⁻)Pt-waste</t>
  </si>
  <si>
    <t>Ir-193(p,π⁺+π⁻)Ir-waste</t>
  </si>
  <si>
    <t>Ir-192(p,π⁺+π⁻)Ir-waste</t>
  </si>
  <si>
    <t>Os-192(p,π⁺+π⁻)Os-waste</t>
  </si>
  <si>
    <t>W-184(p,π⁺+π⁻)W-waste</t>
  </si>
  <si>
    <t>Hf-180(p,π⁺+π⁻)Hf-waste</t>
  </si>
  <si>
    <t>Hg-202(p,π⁺+π⁻)Hg-waste</t>
  </si>
  <si>
    <t>Al-27(π⁻,p+4n)Na-22</t>
  </si>
  <si>
    <t>Cf-252(p̅,π⁺+π⁻+π⁰)Cf-waste</t>
  </si>
  <si>
    <t>Cf-251(p̅,π⁺+π⁻+π⁰)Cf-waste</t>
  </si>
  <si>
    <t>Cf-250(p̅,π⁺+π⁻+π⁰)Cf-waste</t>
  </si>
  <si>
    <t>Cf-249(p̅,π⁺+π⁺+π⁰)Cf-waste</t>
  </si>
  <si>
    <t>Bk-248(p̅,π⁺+π⁻+π⁰)Bk-waste</t>
  </si>
  <si>
    <t>Bk-247(p̅,π⁺+π⁻+π⁰)Bk-waste</t>
  </si>
  <si>
    <t>Cm-247(p̅,π⁺+π⁻+π⁰)Cm-waste</t>
  </si>
  <si>
    <t>Cm-246(p̅,π⁺+π⁻+π⁰)Cm-waste</t>
  </si>
  <si>
    <t>Cm-245(p̅,π⁺+π⁻+π⁰)Cm-waste</t>
  </si>
  <si>
    <t>Cm-243(p̅,π⁺+π⁻+π⁰)Cm-waste</t>
  </si>
  <si>
    <t>Am-243(p̅,π⁺+π⁻+π⁰)Am-waste</t>
  </si>
  <si>
    <t>Am-242(p̅,π⁺+π⁻+π⁰)Am-waste</t>
  </si>
  <si>
    <t>Am-241(p̅,π⁺+π⁻+π⁰)Am-waste</t>
  </si>
  <si>
    <t>Pu-242(p̅,π⁺+π⁻+π⁰)Pu-waste</t>
  </si>
  <si>
    <t>Pu-241(p̅,π⁺+π⁻+π⁰)Pu-waste</t>
  </si>
  <si>
    <t>Pu-239(p̅,π⁺+π⁻+π⁰)Pu-waste</t>
  </si>
  <si>
    <t>Pu-238(p̅,π⁺+π⁻+π⁰)Pu-waste</t>
  </si>
  <si>
    <t>Np-237(p̅,π⁺+π⁻+π⁰)Np-waste</t>
  </si>
  <si>
    <t>Np-236(p̅,π⁺+π⁻+π⁰)Np-waste</t>
  </si>
  <si>
    <t>U-238(p̅,π⁺+π⁻+π⁰)U-waste</t>
  </si>
  <si>
    <t>U-235(p̅,π⁺+π⁻+π⁰)U-waste</t>
  </si>
  <si>
    <t>U-234(p̅,π⁺+π⁻+π⁰)U-waste</t>
  </si>
  <si>
    <t>U-233(p̅,π⁺+π⁻+π⁰)U-waste</t>
  </si>
  <si>
    <t>Pa-233(p̅,π⁺+π⁻+π⁰)Pa-waste</t>
  </si>
  <si>
    <t>Pa-231(p̅,π⁺+π⁻+π⁰)Pa-waste</t>
  </si>
  <si>
    <t>Th-232(p̅,π⁺+π⁻+π⁰)Th-waste</t>
  </si>
  <si>
    <t>Ra-226(p̅,π⁺+π⁻+π⁰)Ra-waste</t>
  </si>
  <si>
    <t>Po-210(p̅,π⁺+π⁻+π⁰)Po-waste</t>
  </si>
  <si>
    <t>Bi-209(p̅,π⁺+π⁻+π⁰)Bi-waste</t>
  </si>
  <si>
    <t>Pb-208(p̅,π⁺+π⁻+π⁰)Pb-waste</t>
  </si>
  <si>
    <t>Au-197(p̅,π⁺+π⁻+π⁰)Au-waste</t>
  </si>
  <si>
    <t>Pt-195(p̅,π⁺+π⁻+π⁰)Pt-waste</t>
  </si>
  <si>
    <t>Ir-193(p̅,π⁺+π⁻+π⁰)Ir-waste</t>
  </si>
  <si>
    <t>Ir-192(p̅,π⁺+π⁻+π⁰)Ir-waste</t>
  </si>
  <si>
    <t>Os-192(p̅,π⁺+π⁻+π⁰)Os-waste</t>
  </si>
  <si>
    <t>W-184(p̅,π⁺+π⁻+π⁰)W-waste</t>
  </si>
  <si>
    <t>Hf-180(p̅,π⁺+π⁻+π⁰)Hf-waste</t>
  </si>
  <si>
    <t>Hg-202(p̅,π⁺+π⁻+π⁰)Hg-waste</t>
  </si>
  <si>
    <t>Cf-252(d̅,4π⁺+4π⁻+4π⁰)Cf-waste</t>
  </si>
  <si>
    <t>Cf-251(d̅,4π⁺+4π⁻+4π⁰)Cf-waste</t>
  </si>
  <si>
    <t>Cf-250(d̅,4π⁺+4π⁻+4π⁰)Cf-waste</t>
  </si>
  <si>
    <t>Cf-249(d̅,4π⁺+4π⁻+4π⁰)Cf-waste</t>
  </si>
  <si>
    <t>Bk-248(d̅,4π⁺+4π⁻+4π⁰)Bk-waste</t>
  </si>
  <si>
    <t>Bk-247(d̅,4π⁺+4π⁻+4π⁰)Bk-waste</t>
  </si>
  <si>
    <t>Cm-247(d̅,4π⁺+4π⁻+4π⁰)Cm-waste</t>
  </si>
  <si>
    <t>Cm-246(d̅,4π⁺+4π⁻+4π⁰)Cm-waste</t>
  </si>
  <si>
    <t>Cm-245(d̅,4π⁺+4π⁻+4π⁰)Cm-waste</t>
  </si>
  <si>
    <t>Cm-243(d̅,4π⁺+4π⁻+4π⁰)Cm-waste</t>
  </si>
  <si>
    <t>Am-243(d̅,4π⁺+4π⁻+4π⁰)Am-waste</t>
  </si>
  <si>
    <t>Am-242(d̅,4π⁺+4π⁻+4π⁰)Am-waste</t>
  </si>
  <si>
    <t>Am-241(d̅,4π⁺+4π⁻+4π⁰)Am-waste</t>
  </si>
  <si>
    <t>Pu-242(d̅,4π⁺+4π⁻+4π⁰)Pu-waste</t>
  </si>
  <si>
    <t>Pu-241(d̅,4π⁺+4π⁻+4π⁰)Pu-waste</t>
  </si>
  <si>
    <t>Pu-239(d̅,4π⁺+4π⁻+4π⁰)Pu-waste</t>
  </si>
  <si>
    <t>Pu-238(d̅,4π⁺+4π⁻+4π⁰)Pu-waste</t>
  </si>
  <si>
    <t>Np-237(d̅,4π⁺+4π⁻+4π⁰)Np-waste</t>
  </si>
  <si>
    <t>Np-236(d̅,4π⁺+4π⁻+4π⁰)Np-waste</t>
  </si>
  <si>
    <t>U-238(d̅,4π⁺+4π⁻+4π⁰)U-waste</t>
  </si>
  <si>
    <t>U-235(d̅,4π⁺+4π⁻+4π⁰)U-waste</t>
  </si>
  <si>
    <t>U-234(d̅,4π⁺+4π⁻+4π⁰)U-waste</t>
  </si>
  <si>
    <t>U-233(d̅,4π⁺+4π⁻+4π⁰)U-waste</t>
  </si>
  <si>
    <t>Pa-233(d̅,4π⁺+4π⁻+4π⁰)Pa-waste</t>
  </si>
  <si>
    <t>Pa-231(d̅,4π⁺+4π⁻+4π⁰)Pa-waste</t>
  </si>
  <si>
    <t>Th-232(d̅,4π⁺+4π⁻+4π⁰)Th-waste</t>
  </si>
  <si>
    <t>Ra-226(d̅,4π⁺+4π⁻+4π⁰)Ra-waste</t>
  </si>
  <si>
    <t>Po-210(d̅,4π⁺+4π⁻+4π⁰)Po-waste</t>
  </si>
  <si>
    <t>Bi-209(d̅,4π⁺+4π⁻+4π⁰)Bi-waste</t>
  </si>
  <si>
    <t>Pb-208(d̅,4π⁺+4π⁻+4π⁰)Pb-waste</t>
  </si>
  <si>
    <t>Au-197(d̅,4π⁺+4π⁻+4π⁰)Au-waste</t>
  </si>
  <si>
    <t>Pt-195(d̅,4π⁺+4π⁻+4π⁰)Pt-waste</t>
  </si>
  <si>
    <t>Ir-193(d̅,4π⁺+4π⁻+4π⁰)Ir-waste</t>
  </si>
  <si>
    <t>Ir-192(d̅,4π⁺+4π⁻+4π⁰)Ir-waste</t>
  </si>
  <si>
    <t>Os-192(d̅,4π⁺+4π⁻+4π⁰)Os-waste</t>
  </si>
  <si>
    <t>W-184(d̅,4π⁺+4π⁻+4π⁰)W-waste</t>
  </si>
  <si>
    <t>Hf-180(d̅,4π⁺+4π⁻+4π⁰)Hf-waste</t>
  </si>
  <si>
    <t>Hg-202(d̅,4π⁺+4π⁻+4π⁰)Hg-waste</t>
  </si>
  <si>
    <t>Collision chamber stats are fairly arbitrary. The energy released is calculated as the reaction mass defect, you can use the mass defect calculator. The minimum and maximum energy are sort of chosen depending on the nature of the reaction e.g. neutron fusing with nuclei have 0 minimum energy because they aren't repelled while protons do have a higher minimum energy. For the high energy collisions that have negative released energy the minimum energy is set to 1.1x the magnitude of the energy released, the maximum energy is then just 1.5x the minimum energy and of course all rounded to 3 significant figures. Really the only thing to be carful of is if you have a negative energy released that the minimum energy is at least the magnitude of the energy released (preferably a little higher) so that you don't get negative particle energy outputs.</t>
  </si>
  <si>
    <t>n-&gt;p+e+ν̅e̅</t>
  </si>
  <si>
    <t>n̅-&gt;p̅+e̅+νe</t>
  </si>
  <si>
    <t>π⁺-&gt;μ̅+νμ</t>
  </si>
  <si>
    <t>π⁰-&gt;2γ</t>
  </si>
  <si>
    <t>π⁻-&gt;μ+ν̅μ̅</t>
  </si>
  <si>
    <t>μ-&gt;e+ν̅e̅+νμ</t>
  </si>
  <si>
    <t>μ̅-&gt;e̅+νe+ν̅μ̅</t>
  </si>
  <si>
    <t>τ-&gt;ντ+π⁰+π⁻</t>
  </si>
  <si>
    <t>τ̅-&gt;ν̅τ̅+π⁰+π⁺</t>
  </si>
  <si>
    <t>K⁺-&gt;μ̅+νμ</t>
  </si>
  <si>
    <t>K⁻-&gt;μ+ν̅μ̅</t>
  </si>
  <si>
    <t>W⁻-&gt;π⁻</t>
  </si>
  <si>
    <t>K̅⁰-&gt;π⁺+π⁻</t>
  </si>
  <si>
    <t>K⁰-&gt;π⁺+π⁻</t>
  </si>
  <si>
    <t>W⁺-&gt;π⁺</t>
  </si>
  <si>
    <t>Z-&gt;νe+ν̅e̅</t>
  </si>
  <si>
    <t>H-&gt;ηb</t>
  </si>
  <si>
    <t>η-&gt;π⁺+π⁰+π⁻</t>
  </si>
  <si>
    <t>η'-&gt;π⁺+η+π⁻</t>
  </si>
  <si>
    <t>ηc-&gt;K⁰+K̅⁰</t>
  </si>
  <si>
    <t>ηb-&gt;τ+τ̅</t>
  </si>
  <si>
    <t>t-&gt;h+e+ν̅e̅</t>
  </si>
  <si>
    <t>t̅-&gt;h̅+e̅+νe</t>
  </si>
  <si>
    <t>gb-&gt;K⁺+K⁻</t>
  </si>
  <si>
    <t>Σ⁺</t>
  </si>
  <si>
    <t>Σ⁺-&gt;p+π⁰</t>
  </si>
  <si>
    <t>Σ̅⁺-&gt;p̅+π⁰</t>
  </si>
  <si>
    <t>Σ⁻</t>
  </si>
  <si>
    <t>Σ⁻-&gt;n+π⁻</t>
  </si>
  <si>
    <t>Σ̅⁻-&gt;n̅+π⁺</t>
  </si>
  <si>
    <t>Δ⁺⁺</t>
  </si>
  <si>
    <t>Δ⁺⁺-&gt;p+π⁺</t>
  </si>
  <si>
    <t>Δ̅⁺⁺-&gt;p̅+π⁻</t>
  </si>
  <si>
    <t>Δ⁻</t>
  </si>
  <si>
    <t>Δ⁻-&gt;n+π⁻</t>
  </si>
  <si>
    <t>Δ̅⁻-&gt;n̅+π⁺</t>
  </si>
  <si>
    <t>γ-&gt;e+e̅</t>
  </si>
  <si>
    <t>γ-&gt;μ+μ̅</t>
  </si>
  <si>
    <t>Most decay chamber stats are actually based of real decay energies and branching ratios. The energy released is just the mass defect of the decay rounded to 3 significat figures, you can use the mass defect calculator for this. The cross section for the most part are the actualy branching ratio of the decay. For most recipes the minm energy is 0 becuse they are spontanus and the maxium is infity (really max long). The only exeption is the photon recipes which are really a process called pair production. Pair production requires the photon to have an energy greater than than the rest mass of the particles it produces (which is just the mass defect) so the for these recipes the minium energy is 1.1x the mass defect. The max energy is just to stop the two recipes having conflicting energy ranges and the cross section is the actal branching ratio of the pair production. Of course you can jsust set the stats of your recipes to whatever just make sure that if the energy released is negitive that the minium energy is atleast the manitue of the minium energy.</t>
  </si>
  <si>
    <t>What is this Document?</t>
  </si>
  <si>
    <t>Particle List</t>
  </si>
  <si>
    <t>Symbol</t>
  </si>
  <si>
    <t>p</t>
  </si>
  <si>
    <t>d</t>
  </si>
  <si>
    <t>t</t>
  </si>
  <si>
    <t>h</t>
  </si>
  <si>
    <t>b</t>
  </si>
  <si>
    <t>c</t>
  </si>
  <si>
    <t>e</t>
  </si>
  <si>
    <t>g</t>
  </si>
  <si>
    <t>H</t>
  </si>
  <si>
    <t>α</t>
  </si>
  <si>
    <t>B-11</t>
  </si>
  <si>
    <t>Ca-48</t>
  </si>
  <si>
    <t>νe</t>
  </si>
  <si>
    <t>μ</t>
  </si>
  <si>
    <t>νμ</t>
  </si>
  <si>
    <t>τ</t>
  </si>
  <si>
    <t>ντ</t>
  </si>
  <si>
    <t>e̅</t>
  </si>
  <si>
    <t>ν̅e̅</t>
  </si>
  <si>
    <t>μ̅</t>
  </si>
  <si>
    <t>ν̅μ̅</t>
  </si>
  <si>
    <t>τ̅</t>
  </si>
  <si>
    <t>ν̅τ̅</t>
  </si>
  <si>
    <t>p̅</t>
  </si>
  <si>
    <t>n̅</t>
  </si>
  <si>
    <t>d̅</t>
  </si>
  <si>
    <t>t̅</t>
  </si>
  <si>
    <t>h̅</t>
  </si>
  <si>
    <t>α̅</t>
  </si>
  <si>
    <t>γ</t>
  </si>
  <si>
    <t>Z</t>
  </si>
  <si>
    <t>gb</t>
  </si>
  <si>
    <t>W⁺</t>
  </si>
  <si>
    <t>W⁻</t>
  </si>
  <si>
    <t>π⁺</t>
  </si>
  <si>
    <t>π⁻</t>
  </si>
  <si>
    <t>π⁰</t>
  </si>
  <si>
    <t>K⁺</t>
  </si>
  <si>
    <t>K⁻</t>
  </si>
  <si>
    <t>K⁰</t>
  </si>
  <si>
    <t>K̅⁰</t>
  </si>
  <si>
    <t>η</t>
  </si>
  <si>
    <t>η'</t>
  </si>
  <si>
    <t>ηc</t>
  </si>
  <si>
    <t>ηb</t>
  </si>
  <si>
    <t>Δ̅⁺⁺</t>
  </si>
  <si>
    <t>Δ̅⁻</t>
  </si>
  <si>
    <t>Σ̅⁺</t>
  </si>
  <si>
    <t>Σ̅⁻</t>
  </si>
  <si>
    <t>u</t>
  </si>
  <si>
    <t>s</t>
  </si>
  <si>
    <t>b̅</t>
  </si>
  <si>
    <t>c̅</t>
  </si>
  <si>
    <t>s̅</t>
  </si>
  <si>
    <t>u̅</t>
  </si>
  <si>
    <t>Also throughout this document there is a lot of notation used. To give a brief rundown, first there are the symbols for the particles they can be seen in the particle table to the right, there is also the element symbols (look them up on a periodic table) with isotope numbers e.g. W-182 is tungsten 182. Note the symbols for deuteron and triton are the same as the symbols of the down and top quarks just note that when used the d and t refer to the deuteron and triton because quarks are basically unused in the QMD. Next there is the reaction notation an example is p+n̅-&gt;4π⁺+4π⁰+4π⁻,  this means that the inputs are a proton and an antineutron and the outputs are 4 pion pluses, 4 pion naughts and 4 pion minuses. Another reaction notation is for target chambers an example is  Al-27(p,α+n+p)Na-22 this means that the item (or fluid) input is aluminium 27 and the item (or fluid) output is sodium 22, the particle input is a proton and the particle outputs are an alpha particle, neutron and proton.</t>
  </si>
  <si>
    <t>Silicon Wafer(B-11,)P-doped silicon</t>
  </si>
  <si>
    <t>O-16(α,n)Ne-19(,e̅ + νe)F-19</t>
  </si>
  <si>
    <t>Al-27(α,n)P-30(,e̅ + νe)Si-30</t>
  </si>
  <si>
    <t>On the right is the mass defect calculator you can use it by selecting the inputs from the nuclei and particle inputs and outputs from the drop down menus, additionally you can add additional input and output masses for particle/isotopes/other not in the drop down menus. The output amounts is just a multiplier to the outputs mass used if the reaction outputs multiple of the same type. The difference mass defect is then calculated in the last column. The top is the unrounded value and the bottom is rounded to 3 significant figures which is what all default qmd recipes use.</t>
  </si>
  <si>
    <t>Electron Mass (MeV)</t>
  </si>
  <si>
    <t>C-12(p,2p)B-11</t>
  </si>
  <si>
    <t>C-12(p,p+d)B-10</t>
  </si>
  <si>
    <t>Zr-90(n,α)Sr-87</t>
  </si>
  <si>
    <t>Ba-137(n,p)Cs-137</t>
  </si>
  <si>
    <t>Pu-239(e,n+ e)Heavy waste</t>
  </si>
  <si>
    <t>Np-237(e,n+ e)Heavy waste</t>
  </si>
  <si>
    <t>U-238(e,n+e)Heavy waste</t>
  </si>
  <si>
    <t>Am-242(e,n+e)Heavy waste</t>
  </si>
  <si>
    <t>Cf-249(d,d+d̅)Cf-waste</t>
  </si>
  <si>
    <r>
      <t>Al-27(h,2</t>
    </r>
    <r>
      <rPr>
        <sz val="11"/>
        <color theme="1"/>
        <rFont val="Calibri"/>
        <family val="2"/>
      </rPr>
      <t>α</t>
    </r>
    <r>
      <rPr>
        <sz val="11"/>
        <color theme="1"/>
        <rFont val="Calibri"/>
        <family val="2"/>
        <scheme val="minor"/>
      </rPr>
      <t>)Na-22</t>
    </r>
  </si>
  <si>
    <t>Na-23(α,p)Mg-26</t>
  </si>
  <si>
    <r>
      <t>U-238(</t>
    </r>
    <r>
      <rPr>
        <sz val="11"/>
        <color theme="1"/>
        <rFont val="Calibri"/>
        <family val="2"/>
      </rPr>
      <t>α,4n)Pu-238</t>
    </r>
  </si>
  <si>
    <r>
      <t>Co-59(</t>
    </r>
    <r>
      <rPr>
        <sz val="11"/>
        <color theme="1"/>
        <rFont val="Calibri"/>
        <family val="2"/>
        <scheme val="minor"/>
      </rPr>
      <t>α,n+2p)Co-60</t>
    </r>
  </si>
  <si>
    <t>Triton Reactions</t>
  </si>
  <si>
    <t>Be-9(t,n)B-11</t>
  </si>
  <si>
    <t>H-3(t,2n+α)</t>
  </si>
  <si>
    <r>
      <t>C-12(t,</t>
    </r>
    <r>
      <rPr>
        <sz val="11"/>
        <color theme="1"/>
        <rFont val="Calibri"/>
        <family val="2"/>
      </rPr>
      <t>α)B-11</t>
    </r>
  </si>
  <si>
    <r>
      <t>Li-6(t,2n</t>
    </r>
    <r>
      <rPr>
        <sz val="11"/>
        <color theme="1"/>
        <rFont val="Calibri"/>
        <family val="2"/>
      </rPr>
      <t>)Be-7</t>
    </r>
  </si>
  <si>
    <t>Target Chamber</t>
  </si>
  <si>
    <t>Default Beam Recipe Time (s)</t>
  </si>
  <si>
    <t>This calculator helps you figure out what target chamber recipes your accelerator can do. On the left is the input particle settings and a list of possible target chamber reactions that input particle can do without going into an accelerator. You can also set the target chambers efficiency here too. On the right is the accelerator settings and a list of the possible reactions the output particle can do in a target chamber. To use, first select the particle type e.g. proton, alpha, etc. Then enter the input amount, input energy and input focus. These depend on where your getting your particles from it could be an existing particle beam from another accelerator or a new particle beam created by the ion source in a linear accelerator. Then after setting the input particle beam settings go over to the accelerator settings. First select the type of accelerator either linear, synchrotron or decelerator. Then enter in the accelerator stats such as length for linear or radius for synchrotron or decelerator. The computer controlled setting switches from using the redstone signal strength to control the output energy or the computer energy setting. Displayed is the Maximum output energy of the accelerator i.e. independent of redstone or computer control and the actual output energy which is dependent on those settings. Also displayed is the output focus and a error message if your input particle energy is to high or low . To the far right is the output energy of the photons from a synchrotron port if applicable and a list of the reactions that beam of photons can do.</t>
  </si>
  <si>
    <t>Efficiency</t>
  </si>
  <si>
    <t>He -&gt; LHe</t>
  </si>
  <si>
    <t>Input amount (mB)</t>
  </si>
  <si>
    <t>Recipe</t>
  </si>
  <si>
    <t>Output amount (mB)</t>
  </si>
  <si>
    <t>Base RF (RF)</t>
  </si>
  <si>
    <t>Base Heat (H)</t>
  </si>
  <si>
    <t>Hot Gas Temperature (K)</t>
  </si>
  <si>
    <t>Ne -&gt; LNe</t>
  </si>
  <si>
    <t>CAir -&gt; LAir</t>
  </si>
  <si>
    <t>Ar -&gt; LAr</t>
  </si>
  <si>
    <t>H2 -&gt; LH2</t>
  </si>
  <si>
    <t>N2 -&gt; LN2</t>
  </si>
  <si>
    <t>O2 -&gt; LO2</t>
  </si>
  <si>
    <t>Input Temperature (K)</t>
  </si>
  <si>
    <t>Output Temperature (K)</t>
  </si>
  <si>
    <t>LHe-&gt;He</t>
  </si>
  <si>
    <t>LN2-&gt;N2</t>
  </si>
  <si>
    <t>LAr-&gt;Ar</t>
  </si>
  <si>
    <t>W-&gt;CW</t>
  </si>
  <si>
    <t>Heat (H)</t>
  </si>
  <si>
    <t>Liquefier Recipes</t>
  </si>
  <si>
    <t>Liquefier Coolant Recipes</t>
  </si>
  <si>
    <t>Inversion Temperature (K)</t>
  </si>
  <si>
    <t>Pressure Coefficient</t>
  </si>
  <si>
    <t>Coolant Recipe</t>
  </si>
  <si>
    <t>Compressor to nozzle Ratio</t>
  </si>
  <si>
    <t>Pressure (Bar)</t>
  </si>
  <si>
    <t>Compressor Heat Efficiency</t>
  </si>
  <si>
    <t>Pressure Efficiency</t>
  </si>
  <si>
    <t>Heat Efficiency</t>
  </si>
  <si>
    <t>Average Energy Efficiency</t>
  </si>
  <si>
    <t>Compressor Energy Efficiency</t>
  </si>
  <si>
    <t>Energy Efficiency</t>
  </si>
  <si>
    <t>Average Heat Efficiency</t>
  </si>
  <si>
    <t>Nozzle Amount</t>
  </si>
  <si>
    <t>Compressor Amount</t>
  </si>
  <si>
    <t>Liquefier Nozzle Speed (recipes/t/bar)</t>
  </si>
  <si>
    <t>Heat Generated (H/t)</t>
  </si>
  <si>
    <t>Power Use (RF/t)</t>
  </si>
  <si>
    <t>Energy Efficiency Inverse</t>
  </si>
  <si>
    <t>Heat Efficiency Inverse</t>
  </si>
  <si>
    <t>Coolant Input (mb/t)</t>
  </si>
  <si>
    <t>Liquid Output (mB/t)</t>
  </si>
  <si>
    <t>Gas Input (mB/t)</t>
  </si>
  <si>
    <t>Coolant Output (mb/t)</t>
  </si>
  <si>
    <t>Average Heat Conductivity (H/t/K)</t>
  </si>
  <si>
    <t>Mean Temperature Difference (K)</t>
  </si>
  <si>
    <t>Coolant Temperature</t>
  </si>
  <si>
    <t>Tubes per Nozzle</t>
  </si>
  <si>
    <t>Compressors</t>
  </si>
  <si>
    <t>Nozzles</t>
  </si>
  <si>
    <t>Max Gas Input (mB/t)</t>
  </si>
  <si>
    <t>Max Liquid Output (mB/t)</t>
  </si>
  <si>
    <t>Max Heat Generated (H/t)</t>
  </si>
  <si>
    <t>Max Power Use (RF/t)</t>
  </si>
  <si>
    <t>Max Coolant Input (mb/t)</t>
  </si>
  <si>
    <t>Max Coolant Output (mb/t)</t>
  </si>
  <si>
    <t>Liquefier Calculator</t>
  </si>
  <si>
    <t>Compressor to Nozzle Ratio</t>
  </si>
  <si>
    <t>Total Tubes</t>
  </si>
  <si>
    <t xml:space="preserve">Minium Tubes per nozzle </t>
  </si>
  <si>
    <t>Minium Tubes Total Tubes for Max Output</t>
  </si>
  <si>
    <t>This excel file has a bunch of tools and calculators that can make using QMD easier. For most users the relevant sheets are the settings if you using non default QMD configs, the accelerator Calculator to help figure out how big an accelerator do you need for a specific recipe, the NSC Calculator to figure out how much heat and power your Nucleosynthesis chamber will make and the Liquefier Calculator to help figure out the size and stats of liquefiers. For users who want to look at the recipes in QMD or to create recipes that are inline with how QMD determines recipe stats then the sheets Mass defect Calculator and all the recipe sheets will be useful.</t>
  </si>
  <si>
    <t>QMD Constants (Don't Touch)</t>
  </si>
  <si>
    <t>This calculator helps you calculate the output, energy and coolant needs of a Liquefier. To use first select the recipe and coolant recipe you want to use. If the coolant you have chosen has a higher input temperature than the inversion temperature of the recipe a warning is given to tell you your coolant is not cold enough for the recipe to work. Next input the average heat end energy efficiency of the compressors used. If you are only using one type of compressor then this is just the stats listed on it but if using multiple types then this would be the weighted average of all the compressors stats. With this information you will get a graph and table on the right showing you how energy and heat efficient a liquefier with different compressor to nozzle ratios is. Next input the amount of nozzle, compressors and heat exchanger tubes per nozzle. Also input the average thermal conductivity of the tubes like the average for the compressors if you only using one tube this is just the tubes stats other wise it the weight average of stats. Now you can read off the liquefier's stats below the first row is general stats the next row is the stats using the amount of tubes you put in and the third row is the stats if the minimum (or more) tubes are used to get the max liquid output.</t>
  </si>
  <si>
    <t>Heat Exchanger Tubes</t>
  </si>
  <si>
    <t>There not a lot to making liquefier recipes and they are pretty self explanatory. The Base RF is the RF used per recipe at 100% efficiency so for lower efficiency more RF is used, same goes for the base heat. The inversion temperature is the maximum temperature the coolant can be to allow the recipe to function e.g. you can't cool He-&gt;LHe with water because 300 K is hotter than 40 K. The joule Thompson inversion temperature is an property of a gas which was looked up for these recipes. The hot Gas temperature determines the temperature difference that the heat exchanger tubes will use i.e. higher gas temperatures allow more heat to be transferred for the same tube length. The pressure coefficient determines how many compressors you need to get high efficiency, the lower the coefficient the more compressors you need. Coolant recipes are also pretty self explanatory and are just like normal heat exchanger recipes.</t>
  </si>
  <si>
    <t>Total Energy Efficiency</t>
  </si>
  <si>
    <t>Total Heat Efficiency</t>
  </si>
  <si>
    <t>Mean Compressor Energy Efficiency</t>
  </si>
  <si>
    <t>Mean Compressor Heat Efficiency</t>
  </si>
  <si>
    <t>LNe-&gt;Ne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</si>
</sst>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_ ;[Red]\-0.00\ "/>
    <numFmt numFmtId="166" formatCode="#,##0.000"/>
    <numFmt numFmtId="167" formatCode="#,##0.00_ ;[Red]\-#,##0.00\ "/>
    <numFmt numFmtId="168" formatCode="0.000%"/>
  </numFmts>
  <fonts count="19" x14ac:knownFonts="1">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sz val="11"/>
      <color theme="1"/>
      <name val="Calibri"/>
      <family val="2"/>
    </font>
    <font>
      <sz val="20"/>
      <color rgb="FF9C5700"/>
      <name val="Calibri"/>
      <family val="2"/>
      <scheme val="minor"/>
    </font>
    <font>
      <sz val="11"/>
      <color rgb="FF9C0006"/>
      <name val="Calibri"/>
      <family val="2"/>
      <scheme val="minor"/>
    </font>
    <font>
      <b/>
      <sz val="11"/>
      <color theme="1"/>
      <name val="Calibri"/>
      <family val="2"/>
      <scheme val="minor"/>
    </font>
    <font>
      <b/>
      <sz val="11"/>
      <color rgb="FF006100"/>
      <name val="Calibri"/>
      <family val="2"/>
      <scheme val="minor"/>
    </font>
    <font>
      <sz val="18"/>
      <color rgb="FF9C5700"/>
      <name val="Calibri"/>
      <family val="2"/>
      <scheme val="minor"/>
    </font>
    <font>
      <b/>
      <sz val="11"/>
      <color rgb="FFFA7D00"/>
      <name val="Calibri"/>
      <family val="2"/>
      <scheme val="minor"/>
    </font>
    <font>
      <sz val="8"/>
      <name val="Calibri"/>
      <family val="2"/>
      <scheme val="minor"/>
    </font>
    <font>
      <b/>
      <u/>
      <sz val="11"/>
      <color theme="1"/>
      <name val="Calibri"/>
      <family val="2"/>
      <scheme val="minor"/>
    </font>
    <font>
      <u/>
      <sz val="11"/>
      <color theme="1"/>
      <name val="Calibri"/>
      <family val="2"/>
      <scheme val="minor"/>
    </font>
    <font>
      <sz val="20"/>
      <color rgb="FF9C0006"/>
      <name val="Calibri"/>
      <family val="2"/>
      <scheme val="minor"/>
    </font>
    <font>
      <sz val="11"/>
      <color theme="1"/>
      <name val="Aptos Narrow"/>
      <family val="2"/>
    </font>
    <font>
      <sz val="22"/>
      <color rgb="FF9C5700"/>
      <name val="Calibri"/>
      <family val="2"/>
      <scheme val="minor"/>
    </font>
  </fonts>
  <fills count="13">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rgb="FFFFC7CE"/>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9" tint="0.59999389629810485"/>
        <bgColor indexed="65"/>
      </patternFill>
    </fill>
    <fill>
      <patternFill patternType="solid">
        <fgColor theme="4" tint="0.59999389629810485"/>
        <bgColor indexed="65"/>
      </patternFill>
    </fill>
    <fill>
      <patternFill patternType="solid">
        <fgColor rgb="FFC6EFCE"/>
        <bgColor indexed="64"/>
      </patternFill>
    </fill>
  </fills>
  <borders count="2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right style="thin">
        <color rgb="FFB2B2B2"/>
      </right>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10">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5" fillId="5" borderId="2" applyNumberFormat="0" applyAlignment="0" applyProtection="0"/>
    <xf numFmtId="0" fontId="1" fillId="6" borderId="3" applyNumberFormat="0" applyFont="0" applyAlignment="0" applyProtection="0"/>
    <xf numFmtId="0" fontId="8" fillId="7" borderId="0" applyNumberFormat="0" applyBorder="0" applyAlignment="0" applyProtection="0"/>
    <xf numFmtId="0" fontId="12" fillId="5" borderId="1" applyNumberFormat="0" applyAlignment="0" applyProtection="0"/>
    <xf numFmtId="0" fontId="1" fillId="10" borderId="18"/>
    <xf numFmtId="0" fontId="1" fillId="11" borderId="18"/>
  </cellStyleXfs>
  <cellXfs count="106">
    <xf numFmtId="0" fontId="0" fillId="0" borderId="0" xfId="0"/>
    <xf numFmtId="0" fontId="2" fillId="2" borderId="0" xfId="1"/>
    <xf numFmtId="0" fontId="4" fillId="4" borderId="1" xfId="3"/>
    <xf numFmtId="0" fontId="2" fillId="2" borderId="0" xfId="1" applyAlignment="1"/>
    <xf numFmtId="11" fontId="4" fillId="4" borderId="1" xfId="3" applyNumberFormat="1"/>
    <xf numFmtId="10" fontId="0" fillId="0" borderId="0" xfId="0" applyNumberFormat="1"/>
    <xf numFmtId="10" fontId="5" fillId="5" borderId="2" xfId="4" applyNumberFormat="1"/>
    <xf numFmtId="164" fontId="0" fillId="0" borderId="0" xfId="0" applyNumberFormat="1"/>
    <xf numFmtId="0" fontId="0" fillId="6" borderId="3" xfId="5" applyFont="1"/>
    <xf numFmtId="1" fontId="0" fillId="0" borderId="0" xfId="0" applyNumberFormat="1"/>
    <xf numFmtId="0" fontId="5" fillId="5" borderId="2" xfId="4"/>
    <xf numFmtId="1" fontId="5" fillId="5" borderId="2" xfId="4" applyNumberFormat="1"/>
    <xf numFmtId="0" fontId="3" fillId="3" borderId="0" xfId="2"/>
    <xf numFmtId="165" fontId="5" fillId="5" borderId="2" xfId="4" applyNumberFormat="1"/>
    <xf numFmtId="3" fontId="5" fillId="5" borderId="2" xfId="4" applyNumberFormat="1"/>
    <xf numFmtId="0" fontId="0" fillId="8" borderId="12" xfId="0" applyFill="1" applyBorder="1"/>
    <xf numFmtId="0" fontId="0" fillId="9" borderId="12" xfId="0" applyFill="1" applyBorder="1"/>
    <xf numFmtId="2" fontId="0" fillId="0" borderId="0" xfId="0" applyNumberFormat="1"/>
    <xf numFmtId="3" fontId="0" fillId="0" borderId="0" xfId="0" applyNumberFormat="1"/>
    <xf numFmtId="12" fontId="0" fillId="5" borderId="2" xfId="4" applyNumberFormat="1" applyFont="1"/>
    <xf numFmtId="0" fontId="0" fillId="5" borderId="2" xfId="4" applyFont="1"/>
    <xf numFmtId="0" fontId="10" fillId="2" borderId="13" xfId="1" applyFont="1" applyBorder="1"/>
    <xf numFmtId="0" fontId="0" fillId="8" borderId="14" xfId="0" applyFill="1" applyBorder="1"/>
    <xf numFmtId="3" fontId="0" fillId="8" borderId="15" xfId="0" applyNumberFormat="1" applyFill="1" applyBorder="1"/>
    <xf numFmtId="0" fontId="0" fillId="8" borderId="15" xfId="0" applyFill="1" applyBorder="1"/>
    <xf numFmtId="164" fontId="0" fillId="8" borderId="15" xfId="0" applyNumberFormat="1" applyFill="1" applyBorder="1"/>
    <xf numFmtId="0" fontId="0" fillId="9" borderId="16" xfId="0" applyFill="1" applyBorder="1"/>
    <xf numFmtId="3" fontId="0" fillId="9" borderId="12" xfId="0" applyNumberFormat="1" applyFill="1" applyBorder="1"/>
    <xf numFmtId="164" fontId="0" fillId="9" borderId="12" xfId="0" applyNumberFormat="1" applyFill="1" applyBorder="1"/>
    <xf numFmtId="0" fontId="0" fillId="8" borderId="16" xfId="0" applyFill="1" applyBorder="1"/>
    <xf numFmtId="3" fontId="0" fillId="8" borderId="12" xfId="0" applyNumberFormat="1" applyFill="1" applyBorder="1"/>
    <xf numFmtId="164" fontId="0" fillId="8" borderId="12" xfId="0" applyNumberFormat="1" applyFill="1" applyBorder="1"/>
    <xf numFmtId="0" fontId="10" fillId="2" borderId="0" xfId="1" applyFont="1" applyBorder="1"/>
    <xf numFmtId="0" fontId="9" fillId="0" borderId="0" xfId="0" applyFont="1"/>
    <xf numFmtId="3" fontId="9" fillId="0" borderId="0" xfId="0" applyNumberFormat="1" applyFont="1"/>
    <xf numFmtId="166" fontId="9" fillId="0" borderId="0" xfId="0" applyNumberFormat="1" applyFont="1"/>
    <xf numFmtId="0" fontId="10" fillId="2" borderId="17" xfId="1" applyFont="1" applyBorder="1"/>
    <xf numFmtId="167" fontId="9" fillId="8" borderId="15" xfId="0" applyNumberFormat="1" applyFont="1" applyFill="1" applyBorder="1"/>
    <xf numFmtId="167" fontId="9" fillId="9" borderId="12" xfId="0" applyNumberFormat="1" applyFont="1" applyFill="1" applyBorder="1"/>
    <xf numFmtId="167" fontId="9" fillId="8" borderId="12" xfId="0" applyNumberFormat="1" applyFont="1" applyFill="1" applyBorder="1"/>
    <xf numFmtId="0" fontId="9" fillId="8" borderId="15" xfId="0" applyFont="1" applyFill="1" applyBorder="1"/>
    <xf numFmtId="0" fontId="9" fillId="9" borderId="12" xfId="0" applyFont="1" applyFill="1" applyBorder="1"/>
    <xf numFmtId="0" fontId="9" fillId="8" borderId="12" xfId="0" applyFont="1" applyFill="1" applyBorder="1"/>
    <xf numFmtId="11" fontId="0" fillId="0" borderId="0" xfId="0" applyNumberFormat="1"/>
    <xf numFmtId="0" fontId="12" fillId="5" borderId="1" xfId="7"/>
    <xf numFmtId="0" fontId="1" fillId="10" borderId="18" xfId="8"/>
    <xf numFmtId="0" fontId="1" fillId="11" borderId="18" xfId="9"/>
    <xf numFmtId="168" fontId="1" fillId="10" borderId="18" xfId="8" applyNumberFormat="1"/>
    <xf numFmtId="168" fontId="1" fillId="11" borderId="18" xfId="9" applyNumberFormat="1"/>
    <xf numFmtId="11" fontId="1" fillId="10" borderId="18" xfId="8" applyNumberFormat="1"/>
    <xf numFmtId="11" fontId="1" fillId="11" borderId="18" xfId="9" applyNumberFormat="1"/>
    <xf numFmtId="0" fontId="8" fillId="7" borderId="19" xfId="6" applyBorder="1"/>
    <xf numFmtId="0" fontId="9" fillId="10" borderId="18" xfId="8" applyFont="1"/>
    <xf numFmtId="0" fontId="14" fillId="10" borderId="18" xfId="8" applyFont="1"/>
    <xf numFmtId="0" fontId="15" fillId="10" borderId="18" xfId="8" applyFont="1"/>
    <xf numFmtId="0" fontId="15" fillId="11" borderId="18" xfId="9" applyFont="1"/>
    <xf numFmtId="0" fontId="9" fillId="11" borderId="18" xfId="9" applyFont="1"/>
    <xf numFmtId="0" fontId="14" fillId="11" borderId="18" xfId="9" applyFont="1"/>
    <xf numFmtId="0" fontId="8" fillId="7" borderId="0" xfId="6"/>
    <xf numFmtId="0" fontId="10" fillId="2" borderId="20" xfId="1" applyFont="1" applyBorder="1"/>
    <xf numFmtId="0" fontId="10" fillId="2" borderId="21" xfId="1" applyFont="1" applyBorder="1"/>
    <xf numFmtId="0" fontId="0" fillId="0" borderId="0" xfId="0" applyAlignment="1">
      <alignment wrapText="1"/>
    </xf>
    <xf numFmtId="0" fontId="10" fillId="12" borderId="0" xfId="1" applyFont="1" applyFill="1"/>
    <xf numFmtId="0" fontId="10" fillId="12" borderId="13" xfId="1" applyFont="1" applyFill="1" applyBorder="1"/>
    <xf numFmtId="0" fontId="10" fillId="12" borderId="0" xfId="1" applyFont="1" applyFill="1" applyBorder="1"/>
    <xf numFmtId="3" fontId="12" fillId="5" borderId="1" xfId="7" applyNumberFormat="1"/>
    <xf numFmtId="0" fontId="10" fillId="2" borderId="22" xfId="1" applyFont="1" applyBorder="1"/>
    <xf numFmtId="10" fontId="4" fillId="4" borderId="1" xfId="3" applyNumberFormat="1"/>
    <xf numFmtId="2" fontId="0" fillId="8" borderId="15" xfId="0" applyNumberFormat="1" applyFill="1" applyBorder="1"/>
    <xf numFmtId="2" fontId="0" fillId="9" borderId="12" xfId="0" applyNumberFormat="1" applyFill="1" applyBorder="1"/>
    <xf numFmtId="2" fontId="0" fillId="8" borderId="12" xfId="0" applyNumberFormat="1" applyFill="1" applyBorder="1"/>
    <xf numFmtId="0" fontId="2" fillId="2" borderId="21" xfId="1" applyBorder="1"/>
    <xf numFmtId="0" fontId="0" fillId="6" borderId="0" xfId="5" applyFont="1" applyBorder="1" applyAlignment="1">
      <alignment wrapText="1"/>
    </xf>
    <xf numFmtId="0" fontId="8" fillId="7" borderId="0" xfId="6" applyAlignment="1">
      <alignment horizontal="center"/>
    </xf>
    <xf numFmtId="0" fontId="11" fillId="3" borderId="0" xfId="2" applyFont="1" applyAlignment="1">
      <alignment horizontal="center"/>
    </xf>
    <xf numFmtId="0" fontId="0" fillId="6" borderId="0" xfId="5" applyFont="1" applyBorder="1" applyAlignment="1">
      <alignment horizontal="left" wrapText="1"/>
    </xf>
    <xf numFmtId="0" fontId="0" fillId="6" borderId="3" xfId="5" applyFont="1" applyAlignment="1">
      <alignment horizontal="left" wrapText="1"/>
    </xf>
    <xf numFmtId="0" fontId="0" fillId="6" borderId="5" xfId="5" applyFont="1" applyBorder="1" applyAlignment="1">
      <alignment horizontal="left" wrapText="1"/>
    </xf>
    <xf numFmtId="0" fontId="0" fillId="6" borderId="6" xfId="5" applyFont="1" applyBorder="1" applyAlignment="1">
      <alignment horizontal="left" wrapText="1"/>
    </xf>
    <xf numFmtId="0" fontId="0" fillId="6" borderId="7" xfId="5" applyFont="1" applyBorder="1" applyAlignment="1">
      <alignment horizontal="left" wrapText="1"/>
    </xf>
    <xf numFmtId="0" fontId="0" fillId="6" borderId="4" xfId="5" applyFont="1" applyBorder="1" applyAlignment="1">
      <alignment horizontal="left" wrapText="1"/>
    </xf>
    <xf numFmtId="0" fontId="0" fillId="6" borderId="8" xfId="5" applyFont="1" applyBorder="1" applyAlignment="1">
      <alignment horizontal="left" wrapText="1"/>
    </xf>
    <xf numFmtId="0" fontId="0" fillId="6" borderId="9" xfId="5" applyFont="1" applyBorder="1" applyAlignment="1">
      <alignment horizontal="left" wrapText="1"/>
    </xf>
    <xf numFmtId="0" fontId="0" fillId="6" borderId="10" xfId="5" applyFont="1" applyBorder="1" applyAlignment="1">
      <alignment horizontal="left" wrapText="1"/>
    </xf>
    <xf numFmtId="0" fontId="0" fillId="6" borderId="11" xfId="5" applyFont="1" applyBorder="1" applyAlignment="1">
      <alignment horizontal="left" wrapText="1"/>
    </xf>
    <xf numFmtId="0" fontId="7" fillId="3" borderId="0" xfId="2" applyFont="1" applyAlignment="1">
      <alignment horizontal="center"/>
    </xf>
    <xf numFmtId="0" fontId="18" fillId="3" borderId="0" xfId="2" applyFont="1" applyAlignment="1">
      <alignment horizontal="center"/>
    </xf>
    <xf numFmtId="0" fontId="7" fillId="3" borderId="10" xfId="2" applyFont="1" applyBorder="1" applyAlignment="1">
      <alignment horizontal="center"/>
    </xf>
    <xf numFmtId="0" fontId="16" fillId="7" borderId="0" xfId="6" applyFont="1" applyAlignment="1">
      <alignment horizontal="center"/>
    </xf>
    <xf numFmtId="0" fontId="0" fillId="0" borderId="0" xfId="0"/>
    <xf numFmtId="0" fontId="0" fillId="6" borderId="4" xfId="5" applyFont="1" applyBorder="1" applyAlignment="1">
      <alignment horizontal="left"/>
    </xf>
    <xf numFmtId="0" fontId="0" fillId="6" borderId="0" xfId="5" applyFont="1" applyBorder="1" applyAlignment="1">
      <alignment horizontal="left"/>
    </xf>
    <xf numFmtId="49" fontId="0" fillId="6" borderId="5" xfId="5" applyNumberFormat="1" applyFont="1" applyBorder="1" applyAlignment="1">
      <alignment horizontal="left" wrapText="1"/>
    </xf>
    <xf numFmtId="49" fontId="0" fillId="6" borderId="6" xfId="5" applyNumberFormat="1" applyFont="1" applyBorder="1" applyAlignment="1">
      <alignment horizontal="left" wrapText="1"/>
    </xf>
    <xf numFmtId="49" fontId="0" fillId="6" borderId="7" xfId="5" applyNumberFormat="1" applyFont="1" applyBorder="1" applyAlignment="1">
      <alignment horizontal="left" wrapText="1"/>
    </xf>
    <xf numFmtId="49" fontId="0" fillId="6" borderId="4" xfId="5" applyNumberFormat="1" applyFont="1" applyBorder="1" applyAlignment="1">
      <alignment horizontal="left" wrapText="1"/>
    </xf>
    <xf numFmtId="49" fontId="0" fillId="6" borderId="0" xfId="5" applyNumberFormat="1" applyFont="1" applyBorder="1" applyAlignment="1">
      <alignment horizontal="left" wrapText="1"/>
    </xf>
    <xf numFmtId="49" fontId="0" fillId="6" borderId="8" xfId="5" applyNumberFormat="1" applyFont="1" applyBorder="1" applyAlignment="1">
      <alignment horizontal="left" wrapText="1"/>
    </xf>
    <xf numFmtId="49" fontId="0" fillId="6" borderId="9" xfId="5" applyNumberFormat="1" applyFont="1" applyBorder="1" applyAlignment="1">
      <alignment horizontal="left" wrapText="1"/>
    </xf>
    <xf numFmtId="49" fontId="0" fillId="6" borderId="10" xfId="5" applyNumberFormat="1" applyFont="1" applyBorder="1" applyAlignment="1">
      <alignment horizontal="left" wrapText="1"/>
    </xf>
    <xf numFmtId="49" fontId="0" fillId="6" borderId="11" xfId="5" applyNumberFormat="1" applyFont="1" applyBorder="1" applyAlignment="1">
      <alignment horizontal="left" wrapText="1"/>
    </xf>
    <xf numFmtId="0" fontId="3" fillId="6" borderId="3" xfId="5" applyFont="1" applyAlignment="1">
      <alignment horizontal="left" wrapText="1"/>
    </xf>
    <xf numFmtId="0" fontId="2" fillId="2" borderId="0" xfId="1" applyAlignment="1">
      <alignment horizontal="center"/>
    </xf>
    <xf numFmtId="0" fontId="2" fillId="2" borderId="10" xfId="1" applyBorder="1" applyAlignment="1">
      <alignment horizontal="center"/>
    </xf>
    <xf numFmtId="0" fontId="0" fillId="6" borderId="6" xfId="5" applyFont="1" applyBorder="1" applyAlignment="1">
      <alignment horizontal="left" vertical="top" wrapText="1"/>
    </xf>
    <xf numFmtId="0" fontId="0" fillId="6" borderId="0" xfId="5" applyFont="1" applyBorder="1" applyAlignment="1">
      <alignment horizontal="left" vertical="top" wrapText="1"/>
    </xf>
  </cellXfs>
  <cellStyles count="10">
    <cellStyle name="Bad" xfId="6" builtinId="27"/>
    <cellStyle name="Blue 1" xfId="9" xr:uid="{ABCC3B38-2CAD-4B91-AFAC-C738FA8A1916}"/>
    <cellStyle name="Calculation" xfId="7" builtinId="22"/>
    <cellStyle name="Good" xfId="1" builtinId="26"/>
    <cellStyle name="Green 1" xfId="8" xr:uid="{A5345644-7376-4E59-A1D6-7187EDE1CEC8}"/>
    <cellStyle name="Input" xfId="3" builtinId="20"/>
    <cellStyle name="Neutral" xfId="2" builtinId="28"/>
    <cellStyle name="Normal" xfId="0" builtinId="0"/>
    <cellStyle name="Note" xfId="5" builtinId="10"/>
    <cellStyle name="Output" xfId="4" builtinId="21"/>
  </cellStyles>
  <dxfs count="112">
    <dxf>
      <border diagonalUp="0" diagonalDown="0" outline="0">
        <left style="thin">
          <color theme="0"/>
        </left>
        <right style="thin">
          <color theme="0"/>
        </right>
        <top/>
        <bottom/>
      </border>
    </dxf>
    <dxf>
      <numFmt numFmtId="3" formatCode="#,##0"/>
    </dxf>
    <dxf>
      <numFmt numFmtId="164" formatCode="0.0%"/>
    </dxf>
    <dxf>
      <border outline="0">
        <bottom style="thick">
          <color theme="0"/>
        </bottom>
      </border>
    </dxf>
    <dxf>
      <font>
        <b/>
        <i val="0"/>
        <strike val="0"/>
        <condense val="0"/>
        <extend val="0"/>
        <outline val="0"/>
        <shadow val="0"/>
        <u val="none"/>
        <vertAlign val="baseline"/>
        <sz val="11"/>
        <color rgb="FF006100"/>
        <name val="Calibri"/>
        <family val="2"/>
        <scheme val="minor"/>
      </font>
      <fill>
        <patternFill patternType="solid">
          <fgColor indexed="64"/>
          <bgColor rgb="FFC6EFCE"/>
        </patternFill>
      </fill>
      <border diagonalUp="0" diagonalDown="0" outline="0">
        <left style="thin">
          <color theme="0"/>
        </left>
        <right style="thin">
          <color theme="0"/>
        </right>
        <top/>
        <bottom/>
      </border>
    </dxf>
    <dxf>
      <numFmt numFmtId="3" formatCode="#,##0"/>
    </dxf>
    <dxf>
      <numFmt numFmtId="14" formatCode="0.00%"/>
    </dxf>
    <dxf>
      <numFmt numFmtId="3" formatCode="#,##0"/>
    </dxf>
    <dxf>
      <numFmt numFmtId="3" formatCode="#,##0"/>
    </dxf>
    <dxf>
      <font>
        <strike val="0"/>
        <outline val="0"/>
        <shadow val="0"/>
        <u val="none"/>
        <vertAlign val="baseline"/>
        <sz val="11"/>
        <color theme="1"/>
        <name val="Calibri"/>
        <family val="2"/>
        <scheme val="minor"/>
      </font>
    </dxf>
    <dxf>
      <border outline="0">
        <bottom style="thick">
          <color theme="0"/>
        </bottom>
      </border>
    </dxf>
    <dxf>
      <font>
        <b/>
        <i val="0"/>
        <strike val="0"/>
        <condense val="0"/>
        <extend val="0"/>
        <outline val="0"/>
        <shadow val="0"/>
        <u val="none"/>
        <vertAlign val="baseline"/>
        <sz val="11"/>
        <color rgb="FF006100"/>
        <name val="Calibri"/>
        <family val="2"/>
        <scheme val="minor"/>
      </font>
      <fill>
        <patternFill patternType="solid">
          <fgColor indexed="64"/>
          <bgColor rgb="FFC6EFCE"/>
        </patternFill>
      </fill>
      <border diagonalUp="0" diagonalDown="0" outline="0">
        <left style="thin">
          <color theme="0"/>
        </left>
        <right style="thin">
          <color theme="0"/>
        </right>
        <top/>
        <bottom/>
      </border>
    </dxf>
    <dxf>
      <font>
        <b/>
      </font>
      <numFmt numFmtId="166" formatCode="#,##0.000"/>
    </dxf>
    <dxf>
      <font>
        <b/>
      </font>
    </dxf>
    <dxf>
      <font>
        <b/>
      </font>
      <numFmt numFmtId="3" formatCode="#,##0"/>
    </dxf>
    <dxf>
      <font>
        <b/>
      </font>
      <numFmt numFmtId="3" formatCode="#,##0"/>
    </dxf>
    <dxf>
      <numFmt numFmtId="14" formatCode="0.00%"/>
    </dxf>
    <dxf>
      <numFmt numFmtId="3" formatCode="#,##0"/>
    </dxf>
    <dxf>
      <font>
        <b/>
      </font>
      <numFmt numFmtId="166" formatCode="#,##0.000"/>
    </dxf>
    <dxf>
      <font>
        <b/>
      </font>
    </dxf>
    <dxf>
      <font>
        <b/>
      </font>
      <numFmt numFmtId="3" formatCode="#,##0"/>
    </dxf>
    <dxf>
      <font>
        <b/>
      </font>
      <numFmt numFmtId="3" formatCode="#,##0"/>
    </dxf>
    <dxf>
      <numFmt numFmtId="2" formatCode="0.00"/>
    </dxf>
    <dxf>
      <numFmt numFmtId="14" formatCode="0.0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font>
        <b/>
        <i val="0"/>
        <strike val="0"/>
        <condense val="0"/>
        <extend val="0"/>
        <outline val="0"/>
        <shadow val="0"/>
        <u val="none"/>
        <vertAlign val="baseline"/>
        <sz val="11"/>
        <color rgb="FF006100"/>
        <name val="Calibri"/>
        <family val="2"/>
        <scheme val="minor"/>
      </font>
      <fill>
        <patternFill patternType="solid">
          <fgColor indexed="64"/>
          <bgColor rgb="FFC6EFCE"/>
        </patternFill>
      </fill>
      <border diagonalUp="0" diagonalDown="0" outline="0">
        <left style="thin">
          <color theme="0"/>
        </left>
        <right style="thin">
          <color theme="0"/>
        </right>
        <top/>
        <bottom/>
      </border>
    </dxf>
    <dxf>
      <numFmt numFmtId="3" formatCode="#,##0"/>
    </dxf>
    <dxf>
      <numFmt numFmtId="164" formatCode="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0" formatCode="General"/>
    </dxf>
    <dxf>
      <border outline="0">
        <left style="thin">
          <color indexed="64"/>
        </left>
      </border>
    </dxf>
    <dxf>
      <numFmt numFmtId="168" formatCode="0.000%"/>
      <border outline="0">
        <left style="thin">
          <color indexed="64"/>
        </left>
      </border>
    </dxf>
    <dxf>
      <numFmt numFmtId="15" formatCode="0.00E+00"/>
      <border outline="0">
        <right style="thin">
          <color indexed="64"/>
        </right>
      </border>
    </dxf>
    <dxf>
      <border outline="0">
        <right style="thin">
          <color indexed="64"/>
        </right>
      </border>
    </dxf>
    <dxf>
      <font>
        <b/>
        <i val="0"/>
        <strike val="0"/>
        <condense val="0"/>
        <extend val="0"/>
        <outline val="0"/>
        <shadow val="0"/>
        <u val="none"/>
        <vertAlign val="baseline"/>
        <sz val="11"/>
        <color rgb="FF006100"/>
        <name val="Calibri"/>
        <family val="2"/>
        <scheme val="minor"/>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'Liquefier Calculator'!$L$28</c:f>
              <c:strCache>
                <c:ptCount val="1"/>
                <c:pt idx="0">
                  <c:v>Mean Compressor Energy Efficiency</c:v>
                </c:pt>
              </c:strCache>
            </c:strRef>
          </c:tx>
          <c:spPr>
            <a:ln w="19050" cap="rnd">
              <a:solidFill>
                <a:schemeClr val="accent1"/>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Calculator'!$L$29:$L$65</c:f>
              <c:numCache>
                <c:formatCode>0.00%</c:formatCode>
                <c:ptCount val="37"/>
                <c:pt idx="0">
                  <c:v>0.85</c:v>
                </c:pt>
                <c:pt idx="1">
                  <c:v>0.81615690099355964</c:v>
                </c:pt>
                <c:pt idx="2">
                  <c:v>0.78366127886989534</c:v>
                </c:pt>
                <c:pt idx="3">
                  <c:v>0.7524594832836512</c:v>
                </c:pt>
                <c:pt idx="4">
                  <c:v>0.72249999999999992</c:v>
                </c:pt>
                <c:pt idx="5">
                  <c:v>0.69373336584452561</c:v>
                </c:pt>
                <c:pt idx="6">
                  <c:v>0.66611208703941105</c:v>
                </c:pt>
                <c:pt idx="7">
                  <c:v>0.63959056079110355</c:v>
                </c:pt>
                <c:pt idx="8">
                  <c:v>0.61412499999999992</c:v>
                </c:pt>
                <c:pt idx="9">
                  <c:v>0.58967336096784684</c:v>
                </c:pt>
                <c:pt idx="10">
                  <c:v>0.56619527398349934</c:v>
                </c:pt>
                <c:pt idx="11">
                  <c:v>0.54365197667243803</c:v>
                </c:pt>
                <c:pt idx="12">
                  <c:v>0.52200624999999989</c:v>
                </c:pt>
                <c:pt idx="13">
                  <c:v>0.50122235682266969</c:v>
                </c:pt>
                <c:pt idx="14">
                  <c:v>0.4812659828859745</c:v>
                </c:pt>
                <c:pt idx="15">
                  <c:v>0.46210418017157223</c:v>
                </c:pt>
                <c:pt idx="16">
                  <c:v>0.44370531249999989</c:v>
                </c:pt>
                <c:pt idx="17">
                  <c:v>0.42603900329926925</c:v>
                </c:pt>
                <c:pt idx="18">
                  <c:v>0.40907608545307833</c:v>
                </c:pt>
                <c:pt idx="19">
                  <c:v>0.39278855314583644</c:v>
                </c:pt>
                <c:pt idx="20">
                  <c:v>0.37714951562499988</c:v>
                </c:pt>
                <c:pt idx="21">
                  <c:v>0.36213315280437886</c:v>
                </c:pt>
                <c:pt idx="22">
                  <c:v>0.34771467263511657</c:v>
                </c:pt>
                <c:pt idx="23">
                  <c:v>0.33387027017396098</c:v>
                </c:pt>
                <c:pt idx="24">
                  <c:v>0.32057708828124987</c:v>
                </c:pt>
                <c:pt idx="25">
                  <c:v>0.30781317988372203</c:v>
                </c:pt>
                <c:pt idx="26">
                  <c:v>0.29555747173984909</c:v>
                </c:pt>
                <c:pt idx="27">
                  <c:v>0.28378972964786681</c:v>
                </c:pt>
                <c:pt idx="28">
                  <c:v>0.2724905250390624</c:v>
                </c:pt>
                <c:pt idx="29">
                  <c:v>0.26164120290116372</c:v>
                </c:pt>
                <c:pt idx="30">
                  <c:v>0.25122385097887168</c:v>
                </c:pt>
                <c:pt idx="31">
                  <c:v>0.24122127020068679</c:v>
                </c:pt>
                <c:pt idx="32">
                  <c:v>0.23161694628320303</c:v>
                </c:pt>
                <c:pt idx="33">
                  <c:v>0.22239502246598916</c:v>
                </c:pt>
                <c:pt idx="34">
                  <c:v>0.21354027333204093</c:v>
                </c:pt>
                <c:pt idx="35">
                  <c:v>0.20503807967058377</c:v>
                </c:pt>
                <c:pt idx="36">
                  <c:v>0.19687440434072256</c:v>
                </c:pt>
              </c:numCache>
            </c:numRef>
          </c:yVal>
          <c:smooth val="1"/>
          <c:extLst>
            <c:ext xmlns:c16="http://schemas.microsoft.com/office/drawing/2014/chart" uri="{C3380CC4-5D6E-409C-BE32-E72D297353CC}">
              <c16:uniqueId val="{00000000-AFE0-4439-899F-A947B2D6A945}"/>
            </c:ext>
          </c:extLst>
        </c:ser>
        <c:ser>
          <c:idx val="1"/>
          <c:order val="1"/>
          <c:tx>
            <c:strRef>
              <c:f>'Liquefier Calculator'!$M$28</c:f>
              <c:strCache>
                <c:ptCount val="1"/>
                <c:pt idx="0">
                  <c:v>Mean Compressor Heat Efficiency</c:v>
                </c:pt>
              </c:strCache>
            </c:strRef>
          </c:tx>
          <c:spPr>
            <a:ln w="19050" cap="rnd">
              <a:solidFill>
                <a:schemeClr val="accent2"/>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Calculator'!$M$29:$M$65</c:f>
              <c:numCache>
                <c:formatCode>0.00%</c:formatCode>
                <c:ptCount val="37"/>
                <c:pt idx="0">
                  <c:v>0.95</c:v>
                </c:pt>
                <c:pt idx="1">
                  <c:v>0.93789561765636209</c:v>
                </c:pt>
                <c:pt idx="2">
                  <c:v>0.92594546275685152</c:v>
                </c:pt>
                <c:pt idx="3">
                  <c:v>0.91414757021941395</c:v>
                </c:pt>
                <c:pt idx="4">
                  <c:v>0.90249999999999997</c:v>
                </c:pt>
                <c:pt idx="5">
                  <c:v>0.89100083677354391</c:v>
                </c:pt>
                <c:pt idx="6">
                  <c:v>0.87964818961900892</c:v>
                </c:pt>
                <c:pt idx="7">
                  <c:v>0.86844019170844322</c:v>
                </c:pt>
                <c:pt idx="8">
                  <c:v>0.85737499999999989</c:v>
                </c:pt>
                <c:pt idx="9">
                  <c:v>0.84645079493486675</c:v>
                </c:pt>
                <c:pt idx="10">
                  <c:v>0.83566578013805837</c:v>
                </c:pt>
                <c:pt idx="11">
                  <c:v>0.82501818212302103</c:v>
                </c:pt>
                <c:pt idx="12">
                  <c:v>0.81450624999999999</c:v>
                </c:pt>
                <c:pt idx="13">
                  <c:v>0.80412825518812336</c:v>
                </c:pt>
                <c:pt idx="14">
                  <c:v>0.7938824911311555</c:v>
                </c:pt>
                <c:pt idx="15">
                  <c:v>0.78376727301686999</c:v>
                </c:pt>
                <c:pt idx="16">
                  <c:v>0.77378093749999999</c:v>
                </c:pt>
                <c:pt idx="17">
                  <c:v>0.76392184242871708</c:v>
                </c:pt>
                <c:pt idx="18">
                  <c:v>0.75418836657459765</c:v>
                </c:pt>
                <c:pt idx="19">
                  <c:v>0.74457890936602644</c:v>
                </c:pt>
                <c:pt idx="20">
                  <c:v>0.73509189062499991</c:v>
                </c:pt>
                <c:pt idx="21">
                  <c:v>0.72572575030728126</c:v>
                </c:pt>
                <c:pt idx="22">
                  <c:v>0.71647894824586777</c:v>
                </c:pt>
                <c:pt idx="23">
                  <c:v>0.70734996389772509</c:v>
                </c:pt>
                <c:pt idx="24">
                  <c:v>0.69833729609374995</c:v>
                </c:pt>
                <c:pt idx="25">
                  <c:v>0.68943946279191715</c:v>
                </c:pt>
                <c:pt idx="26">
                  <c:v>0.68065500083357433</c:v>
                </c:pt>
                <c:pt idx="27">
                  <c:v>0.67198246570283882</c:v>
                </c:pt>
                <c:pt idx="28">
                  <c:v>0.66342043128906247</c:v>
                </c:pt>
                <c:pt idx="29">
                  <c:v>0.65496748965232121</c:v>
                </c:pt>
                <c:pt idx="30">
                  <c:v>0.64662225079189561</c:v>
                </c:pt>
                <c:pt idx="31">
                  <c:v>0.63838334241769679</c:v>
                </c:pt>
                <c:pt idx="32">
                  <c:v>0.6302494097246093</c:v>
                </c:pt>
                <c:pt idx="33">
                  <c:v>0.62221911516970518</c:v>
                </c:pt>
                <c:pt idx="34">
                  <c:v>0.61429113825230075</c:v>
                </c:pt>
                <c:pt idx="35">
                  <c:v>0.60646417529681196</c:v>
                </c:pt>
                <c:pt idx="36">
                  <c:v>0.5987369392383789</c:v>
                </c:pt>
              </c:numCache>
            </c:numRef>
          </c:yVal>
          <c:smooth val="1"/>
          <c:extLst>
            <c:ext xmlns:c16="http://schemas.microsoft.com/office/drawing/2014/chart" uri="{C3380CC4-5D6E-409C-BE32-E72D297353CC}">
              <c16:uniqueId val="{00000001-AFE0-4439-899F-A947B2D6A945}"/>
            </c:ext>
          </c:extLst>
        </c:ser>
        <c:ser>
          <c:idx val="2"/>
          <c:order val="2"/>
          <c:tx>
            <c:strRef>
              <c:f>'Liquefier Calculator'!$N$28</c:f>
              <c:strCache>
                <c:ptCount val="1"/>
                <c:pt idx="0">
                  <c:v>Pressure Efficiency</c:v>
                </c:pt>
              </c:strCache>
            </c:strRef>
          </c:tx>
          <c:spPr>
            <a:ln w="19050" cap="rnd">
              <a:solidFill>
                <a:schemeClr val="accent3"/>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Calculator'!$N$29:$N$65</c:f>
              <c:numCache>
                <c:formatCode>0.00%</c:formatCode>
                <c:ptCount val="37"/>
                <c:pt idx="0">
                  <c:v>0.5</c:v>
                </c:pt>
                <c:pt idx="1">
                  <c:v>0.6097560975609756</c:v>
                </c:pt>
                <c:pt idx="2">
                  <c:v>0.69230769230769229</c:v>
                </c:pt>
                <c:pt idx="3">
                  <c:v>0.75384615384615383</c:v>
                </c:pt>
                <c:pt idx="4">
                  <c:v>0.8</c:v>
                </c:pt>
                <c:pt idx="5">
                  <c:v>0.83505154639175261</c:v>
                </c:pt>
                <c:pt idx="6">
                  <c:v>0.86206896551724133</c:v>
                </c:pt>
                <c:pt idx="7">
                  <c:v>0.88321167883211682</c:v>
                </c:pt>
                <c:pt idx="8">
                  <c:v>0.9</c:v>
                </c:pt>
                <c:pt idx="9">
                  <c:v>0.91351351351351351</c:v>
                </c:pt>
                <c:pt idx="10">
                  <c:v>0.92452830188679247</c:v>
                </c:pt>
                <c:pt idx="11">
                  <c:v>0.93360995850622408</c:v>
                </c:pt>
                <c:pt idx="12">
                  <c:v>0.94117647058823528</c:v>
                </c:pt>
                <c:pt idx="13">
                  <c:v>0.94754098360655736</c:v>
                </c:pt>
                <c:pt idx="14">
                  <c:v>0.95294117647058818</c:v>
                </c:pt>
                <c:pt idx="15">
                  <c:v>0.95755968169761274</c:v>
                </c:pt>
                <c:pt idx="16">
                  <c:v>0.96153846153846156</c:v>
                </c:pt>
                <c:pt idx="17">
                  <c:v>0.96498905908096277</c:v>
                </c:pt>
                <c:pt idx="18">
                  <c:v>0.96799999999999997</c:v>
                </c:pt>
                <c:pt idx="19">
                  <c:v>0.97064220183486238</c:v>
                </c:pt>
                <c:pt idx="20">
                  <c:v>0.97297297297297303</c:v>
                </c:pt>
                <c:pt idx="21">
                  <c:v>0.9750390015600624</c:v>
                </c:pt>
                <c:pt idx="22">
                  <c:v>0.97687861271676302</c:v>
                </c:pt>
                <c:pt idx="23">
                  <c:v>0.97852348993288596</c:v>
                </c:pt>
                <c:pt idx="24">
                  <c:v>0.98</c:v>
                </c:pt>
                <c:pt idx="25">
                  <c:v>0.98133022170361728</c:v>
                </c:pt>
                <c:pt idx="26">
                  <c:v>0.98253275109170302</c:v>
                </c:pt>
                <c:pt idx="27">
                  <c:v>0.98362333674513813</c:v>
                </c:pt>
                <c:pt idx="28">
                  <c:v>0.98461538461538467</c:v>
                </c:pt>
                <c:pt idx="29">
                  <c:v>0.98552036199095028</c:v>
                </c:pt>
                <c:pt idx="30">
                  <c:v>0.98634812286689422</c:v>
                </c:pt>
                <c:pt idx="31">
                  <c:v>0.98710717163577755</c:v>
                </c:pt>
                <c:pt idx="32">
                  <c:v>0.98780487804878048</c:v>
                </c:pt>
                <c:pt idx="33">
                  <c:v>0.98844765342960283</c:v>
                </c:pt>
                <c:pt idx="34">
                  <c:v>0.989041095890411</c:v>
                </c:pt>
                <c:pt idx="35">
                  <c:v>0.98959011060507485</c:v>
                </c:pt>
                <c:pt idx="36">
                  <c:v>0.99009900990099009</c:v>
                </c:pt>
              </c:numCache>
            </c:numRef>
          </c:yVal>
          <c:smooth val="1"/>
          <c:extLst>
            <c:ext xmlns:c16="http://schemas.microsoft.com/office/drawing/2014/chart" uri="{C3380CC4-5D6E-409C-BE32-E72D297353CC}">
              <c16:uniqueId val="{00000002-AFE0-4439-899F-A947B2D6A945}"/>
            </c:ext>
          </c:extLst>
        </c:ser>
        <c:ser>
          <c:idx val="3"/>
          <c:order val="3"/>
          <c:tx>
            <c:strRef>
              <c:f>'Liquefier Calculator'!$O$28</c:f>
              <c:strCache>
                <c:ptCount val="1"/>
                <c:pt idx="0">
                  <c:v>Total Energy Efficiency</c:v>
                </c:pt>
              </c:strCache>
            </c:strRef>
          </c:tx>
          <c:spPr>
            <a:ln w="19050" cap="rnd">
              <a:solidFill>
                <a:schemeClr val="accent4"/>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Calculator'!$O$29:$O$65</c:f>
              <c:numCache>
                <c:formatCode>0.00%</c:formatCode>
                <c:ptCount val="37"/>
                <c:pt idx="0">
                  <c:v>0.42499999999999999</c:v>
                </c:pt>
                <c:pt idx="1">
                  <c:v>0.49765664694729245</c:v>
                </c:pt>
                <c:pt idx="2">
                  <c:v>0.54253473152531217</c:v>
                </c:pt>
                <c:pt idx="3">
                  <c:v>0.56723868739844474</c:v>
                </c:pt>
                <c:pt idx="4">
                  <c:v>0.57799999999999996</c:v>
                </c:pt>
                <c:pt idx="5">
                  <c:v>0.57930311993202654</c:v>
                </c:pt>
                <c:pt idx="6">
                  <c:v>0.57423455779259569</c:v>
                </c:pt>
                <c:pt idx="7">
                  <c:v>0.56489385296148564</c:v>
                </c:pt>
                <c:pt idx="8">
                  <c:v>0.55271249999999994</c:v>
                </c:pt>
                <c:pt idx="9">
                  <c:v>0.5386745838030601</c:v>
                </c:pt>
                <c:pt idx="10">
                  <c:v>0.52346355519229182</c:v>
                </c:pt>
                <c:pt idx="11">
                  <c:v>0.5075588993829816</c:v>
                </c:pt>
                <c:pt idx="12">
                  <c:v>0.4912999999999999</c:v>
                </c:pt>
                <c:pt idx="13">
                  <c:v>0.47492872498934929</c:v>
                </c:pt>
                <c:pt idx="14">
                  <c:v>0.45861817192663451</c:v>
                </c:pt>
                <c:pt idx="15">
                  <c:v>0.44249233167622698</c:v>
                </c:pt>
                <c:pt idx="16">
                  <c:v>0.4266397235576922</c:v>
                </c:pt>
                <c:pt idx="17">
                  <c:v>0.41112297692555305</c:v>
                </c:pt>
                <c:pt idx="18">
                  <c:v>0.39598565071857983</c:v>
                </c:pt>
                <c:pt idx="19">
                  <c:v>0.38125714608100453</c:v>
                </c:pt>
                <c:pt idx="20">
                  <c:v>0.36695628547297288</c:v>
                </c:pt>
                <c:pt idx="21">
                  <c:v>0.35309394774217906</c:v>
                </c:pt>
                <c:pt idx="22">
                  <c:v>0.33967502702505609</c:v>
                </c:pt>
                <c:pt idx="23">
                  <c:v>0.32669990195545984</c:v>
                </c:pt>
                <c:pt idx="24">
                  <c:v>0.31416554651562484</c:v>
                </c:pt>
                <c:pt idx="25">
                  <c:v>0.30206637605858838</c:v>
                </c:pt>
                <c:pt idx="26">
                  <c:v>0.2903948958142622</c:v>
                </c:pt>
                <c:pt idx="27">
                  <c:v>0.27914220081023539</c:v>
                </c:pt>
                <c:pt idx="28">
                  <c:v>0.26829836311538452</c:v>
                </c:pt>
                <c:pt idx="29">
                  <c:v>0.25785273299490252</c:v>
                </c:pt>
                <c:pt idx="30">
                  <c:v>0.24779417383240243</c:v>
                </c:pt>
                <c:pt idx="31">
                  <c:v>0.23811124576618961</c:v>
                </c:pt>
                <c:pt idx="32">
                  <c:v>0.2287923493773103</c:v>
                </c:pt>
                <c:pt idx="33">
                  <c:v>0.21982583809093079</c:v>
                </c:pt>
                <c:pt idx="34">
                  <c:v>0.21120010595305966</c:v>
                </c:pt>
                <c:pt idx="35">
                  <c:v>0.20290365593946513</c:v>
                </c:pt>
                <c:pt idx="36">
                  <c:v>0.19492515281259659</c:v>
                </c:pt>
              </c:numCache>
            </c:numRef>
          </c:yVal>
          <c:smooth val="1"/>
          <c:extLst>
            <c:ext xmlns:c16="http://schemas.microsoft.com/office/drawing/2014/chart" uri="{C3380CC4-5D6E-409C-BE32-E72D297353CC}">
              <c16:uniqueId val="{00000003-AFE0-4439-899F-A947B2D6A945}"/>
            </c:ext>
          </c:extLst>
        </c:ser>
        <c:ser>
          <c:idx val="4"/>
          <c:order val="4"/>
          <c:tx>
            <c:strRef>
              <c:f>'Liquefier Calculator'!$P$28</c:f>
              <c:strCache>
                <c:ptCount val="1"/>
                <c:pt idx="0">
                  <c:v>Total Heat Efficiency</c:v>
                </c:pt>
              </c:strCache>
            </c:strRef>
          </c:tx>
          <c:spPr>
            <a:ln w="19050" cap="rnd">
              <a:solidFill>
                <a:schemeClr val="accent5"/>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Calculator'!$P$29:$P$65</c:f>
              <c:numCache>
                <c:formatCode>0.00%</c:formatCode>
                <c:ptCount val="37"/>
                <c:pt idx="0">
                  <c:v>0.47499999999999998</c:v>
                </c:pt>
                <c:pt idx="1">
                  <c:v>0.57188757174168414</c:v>
                </c:pt>
                <c:pt idx="2">
                  <c:v>0.64103916652397408</c:v>
                </c:pt>
                <c:pt idx="3">
                  <c:v>0.689126629857712</c:v>
                </c:pt>
                <c:pt idx="4">
                  <c:v>0.72199999999999998</c:v>
                </c:pt>
                <c:pt idx="5">
                  <c:v>0.74403162658409339</c:v>
                </c:pt>
                <c:pt idx="6">
                  <c:v>0.75831740484397314</c:v>
                </c:pt>
                <c:pt idx="7">
                  <c:v>0.76701651968409956</c:v>
                </c:pt>
                <c:pt idx="8">
                  <c:v>0.77163749999999987</c:v>
                </c:pt>
                <c:pt idx="9">
                  <c:v>0.77324423969725664</c:v>
                </c:pt>
                <c:pt idx="10">
                  <c:v>0.77259666465594079</c:v>
                </c:pt>
                <c:pt idx="11">
                  <c:v>0.77024519077875409</c:v>
                </c:pt>
                <c:pt idx="12">
                  <c:v>0.76659411764705876</c:v>
                </c:pt>
                <c:pt idx="13">
                  <c:v>0.76194447786677921</c:v>
                </c:pt>
                <c:pt idx="14">
                  <c:v>0.75652331507792459</c:v>
                </c:pt>
                <c:pt idx="15">
                  <c:v>0.75050394047503999</c:v>
                </c:pt>
                <c:pt idx="16">
                  <c:v>0.74402013221153851</c:v>
                </c:pt>
                <c:pt idx="17">
                  <c:v>0.73717621993668325</c:v>
                </c:pt>
                <c:pt idx="18">
                  <c:v>0.73005433884421045</c:v>
                </c:pt>
                <c:pt idx="19">
                  <c:v>0.72271971202684038</c:v>
                </c:pt>
                <c:pt idx="20">
                  <c:v>0.71522454222972964</c:v>
                </c:pt>
                <c:pt idx="21">
                  <c:v>0.70761091098603868</c:v>
                </c:pt>
                <c:pt idx="22">
                  <c:v>0.69991296100318878</c:v>
                </c:pt>
                <c:pt idx="23">
                  <c:v>0.69215855527710279</c:v>
                </c:pt>
                <c:pt idx="24">
                  <c:v>0.68437055017187498</c:v>
                </c:pt>
                <c:pt idx="25">
                  <c:v>0.67656778087281488</c:v>
                </c:pt>
                <c:pt idx="26">
                  <c:v>0.66876583051333716</c:v>
                </c:pt>
                <c:pt idx="27">
                  <c:v>0.66097763514885166</c:v>
                </c:pt>
                <c:pt idx="28">
                  <c:v>0.6532139631153846</c:v>
                </c:pt>
                <c:pt idx="29">
                  <c:v>0.64548379749445961</c:v>
                </c:pt>
                <c:pt idx="30">
                  <c:v>0.63779464327255231</c:v>
                </c:pt>
                <c:pt idx="31">
                  <c:v>0.63015277555332672</c:v>
                </c:pt>
                <c:pt idx="32">
                  <c:v>0.62256344131333352</c:v>
                </c:pt>
                <c:pt idx="33">
                  <c:v>0.61503102430853884</c:v>
                </c:pt>
                <c:pt idx="34">
                  <c:v>0.60755918057282354</c:v>
                </c:pt>
                <c:pt idx="35">
                  <c:v>0.60015095030998766</c:v>
                </c:pt>
                <c:pt idx="36">
                  <c:v>0.59280885073106826</c:v>
                </c:pt>
              </c:numCache>
            </c:numRef>
          </c:yVal>
          <c:smooth val="1"/>
          <c:extLst>
            <c:ext xmlns:c16="http://schemas.microsoft.com/office/drawing/2014/chart" uri="{C3380CC4-5D6E-409C-BE32-E72D297353CC}">
              <c16:uniqueId val="{00000004-AFE0-4439-899F-A947B2D6A945}"/>
            </c:ext>
          </c:extLst>
        </c:ser>
        <c:dLbls>
          <c:showLegendKey val="0"/>
          <c:showVal val="0"/>
          <c:showCatName val="0"/>
          <c:showSerName val="0"/>
          <c:showPercent val="0"/>
          <c:showBubbleSize val="0"/>
        </c:dLbls>
        <c:axId val="733138184"/>
        <c:axId val="733137104"/>
      </c:scatterChart>
      <c:valAx>
        <c:axId val="733138184"/>
        <c:scaling>
          <c:orientation val="minMax"/>
          <c:max val="10"/>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a:t>Compressor</a:t>
                </a:r>
                <a:r>
                  <a:rPr lang="en-AU" sz="1200" baseline="0"/>
                  <a:t> to Nozzle Ratio</a:t>
                </a:r>
                <a:endParaRPr lang="en-AU"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3137104"/>
        <c:crosses val="autoZero"/>
        <c:crossBetween val="midCat"/>
      </c:valAx>
      <c:valAx>
        <c:axId val="73313710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3138184"/>
        <c:crosses val="autoZero"/>
        <c:crossBetween val="midCat"/>
        <c:majorUnit val="0.1"/>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'Liquefier Calculator'!$L$28</c:f>
              <c:strCache>
                <c:ptCount val="1"/>
                <c:pt idx="0">
                  <c:v>Mean Compressor Energy Efficiency</c:v>
                </c:pt>
              </c:strCache>
            </c:strRef>
          </c:tx>
          <c:spPr>
            <a:ln w="19050" cap="rnd">
              <a:solidFill>
                <a:schemeClr val="accent1"/>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Calculator'!$L$29:$L$65</c:f>
              <c:numCache>
                <c:formatCode>0.00%</c:formatCode>
                <c:ptCount val="37"/>
                <c:pt idx="0">
                  <c:v>0.85</c:v>
                </c:pt>
                <c:pt idx="1">
                  <c:v>0.81615690099355964</c:v>
                </c:pt>
                <c:pt idx="2">
                  <c:v>0.78366127886989534</c:v>
                </c:pt>
                <c:pt idx="3">
                  <c:v>0.7524594832836512</c:v>
                </c:pt>
                <c:pt idx="4">
                  <c:v>0.72249999999999992</c:v>
                </c:pt>
                <c:pt idx="5">
                  <c:v>0.69373336584452561</c:v>
                </c:pt>
                <c:pt idx="6">
                  <c:v>0.66611208703941105</c:v>
                </c:pt>
                <c:pt idx="7">
                  <c:v>0.63959056079110355</c:v>
                </c:pt>
                <c:pt idx="8">
                  <c:v>0.61412499999999992</c:v>
                </c:pt>
                <c:pt idx="9">
                  <c:v>0.58967336096784684</c:v>
                </c:pt>
                <c:pt idx="10">
                  <c:v>0.56619527398349934</c:v>
                </c:pt>
                <c:pt idx="11">
                  <c:v>0.54365197667243803</c:v>
                </c:pt>
                <c:pt idx="12">
                  <c:v>0.52200624999999989</c:v>
                </c:pt>
                <c:pt idx="13">
                  <c:v>0.50122235682266969</c:v>
                </c:pt>
                <c:pt idx="14">
                  <c:v>0.4812659828859745</c:v>
                </c:pt>
                <c:pt idx="15">
                  <c:v>0.46210418017157223</c:v>
                </c:pt>
                <c:pt idx="16">
                  <c:v>0.44370531249999989</c:v>
                </c:pt>
                <c:pt idx="17">
                  <c:v>0.42603900329926925</c:v>
                </c:pt>
                <c:pt idx="18">
                  <c:v>0.40907608545307833</c:v>
                </c:pt>
                <c:pt idx="19">
                  <c:v>0.39278855314583644</c:v>
                </c:pt>
                <c:pt idx="20">
                  <c:v>0.37714951562499988</c:v>
                </c:pt>
                <c:pt idx="21">
                  <c:v>0.36213315280437886</c:v>
                </c:pt>
                <c:pt idx="22">
                  <c:v>0.34771467263511657</c:v>
                </c:pt>
                <c:pt idx="23">
                  <c:v>0.33387027017396098</c:v>
                </c:pt>
                <c:pt idx="24">
                  <c:v>0.32057708828124987</c:v>
                </c:pt>
                <c:pt idx="25">
                  <c:v>0.30781317988372203</c:v>
                </c:pt>
                <c:pt idx="26">
                  <c:v>0.29555747173984909</c:v>
                </c:pt>
                <c:pt idx="27">
                  <c:v>0.28378972964786681</c:v>
                </c:pt>
                <c:pt idx="28">
                  <c:v>0.2724905250390624</c:v>
                </c:pt>
                <c:pt idx="29">
                  <c:v>0.26164120290116372</c:v>
                </c:pt>
                <c:pt idx="30">
                  <c:v>0.25122385097887168</c:v>
                </c:pt>
                <c:pt idx="31">
                  <c:v>0.24122127020068679</c:v>
                </c:pt>
                <c:pt idx="32">
                  <c:v>0.23161694628320303</c:v>
                </c:pt>
                <c:pt idx="33">
                  <c:v>0.22239502246598916</c:v>
                </c:pt>
                <c:pt idx="34">
                  <c:v>0.21354027333204093</c:v>
                </c:pt>
                <c:pt idx="35">
                  <c:v>0.20503807967058377</c:v>
                </c:pt>
                <c:pt idx="36">
                  <c:v>0.19687440434072256</c:v>
                </c:pt>
              </c:numCache>
            </c:numRef>
          </c:yVal>
          <c:smooth val="1"/>
          <c:extLst>
            <c:ext xmlns:c16="http://schemas.microsoft.com/office/drawing/2014/chart" uri="{C3380CC4-5D6E-409C-BE32-E72D297353CC}">
              <c16:uniqueId val="{00000000-A95A-40AF-86D6-CBEB6C36A498}"/>
            </c:ext>
          </c:extLst>
        </c:ser>
        <c:ser>
          <c:idx val="2"/>
          <c:order val="1"/>
          <c:tx>
            <c:strRef>
              <c:f>'Liquefier Calculator'!$N$28</c:f>
              <c:strCache>
                <c:ptCount val="1"/>
                <c:pt idx="0">
                  <c:v>Pressure Efficiency</c:v>
                </c:pt>
              </c:strCache>
            </c:strRef>
          </c:tx>
          <c:spPr>
            <a:ln w="19050" cap="rnd">
              <a:solidFill>
                <a:schemeClr val="accent3"/>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Calculator'!$N$29:$N$65</c:f>
              <c:numCache>
                <c:formatCode>0.00%</c:formatCode>
                <c:ptCount val="37"/>
                <c:pt idx="0">
                  <c:v>0.5</c:v>
                </c:pt>
                <c:pt idx="1">
                  <c:v>0.6097560975609756</c:v>
                </c:pt>
                <c:pt idx="2">
                  <c:v>0.69230769230769229</c:v>
                </c:pt>
                <c:pt idx="3">
                  <c:v>0.75384615384615383</c:v>
                </c:pt>
                <c:pt idx="4">
                  <c:v>0.8</c:v>
                </c:pt>
                <c:pt idx="5">
                  <c:v>0.83505154639175261</c:v>
                </c:pt>
                <c:pt idx="6">
                  <c:v>0.86206896551724133</c:v>
                </c:pt>
                <c:pt idx="7">
                  <c:v>0.88321167883211682</c:v>
                </c:pt>
                <c:pt idx="8">
                  <c:v>0.9</c:v>
                </c:pt>
                <c:pt idx="9">
                  <c:v>0.91351351351351351</c:v>
                </c:pt>
                <c:pt idx="10">
                  <c:v>0.92452830188679247</c:v>
                </c:pt>
                <c:pt idx="11">
                  <c:v>0.93360995850622408</c:v>
                </c:pt>
                <c:pt idx="12">
                  <c:v>0.94117647058823528</c:v>
                </c:pt>
                <c:pt idx="13">
                  <c:v>0.94754098360655736</c:v>
                </c:pt>
                <c:pt idx="14">
                  <c:v>0.95294117647058818</c:v>
                </c:pt>
                <c:pt idx="15">
                  <c:v>0.95755968169761274</c:v>
                </c:pt>
                <c:pt idx="16">
                  <c:v>0.96153846153846156</c:v>
                </c:pt>
                <c:pt idx="17">
                  <c:v>0.96498905908096277</c:v>
                </c:pt>
                <c:pt idx="18">
                  <c:v>0.96799999999999997</c:v>
                </c:pt>
                <c:pt idx="19">
                  <c:v>0.97064220183486238</c:v>
                </c:pt>
                <c:pt idx="20">
                  <c:v>0.97297297297297303</c:v>
                </c:pt>
                <c:pt idx="21">
                  <c:v>0.9750390015600624</c:v>
                </c:pt>
                <c:pt idx="22">
                  <c:v>0.97687861271676302</c:v>
                </c:pt>
                <c:pt idx="23">
                  <c:v>0.97852348993288596</c:v>
                </c:pt>
                <c:pt idx="24">
                  <c:v>0.98</c:v>
                </c:pt>
                <c:pt idx="25">
                  <c:v>0.98133022170361728</c:v>
                </c:pt>
                <c:pt idx="26">
                  <c:v>0.98253275109170302</c:v>
                </c:pt>
                <c:pt idx="27">
                  <c:v>0.98362333674513813</c:v>
                </c:pt>
                <c:pt idx="28">
                  <c:v>0.98461538461538467</c:v>
                </c:pt>
                <c:pt idx="29">
                  <c:v>0.98552036199095028</c:v>
                </c:pt>
                <c:pt idx="30">
                  <c:v>0.98634812286689422</c:v>
                </c:pt>
                <c:pt idx="31">
                  <c:v>0.98710717163577755</c:v>
                </c:pt>
                <c:pt idx="32">
                  <c:v>0.98780487804878048</c:v>
                </c:pt>
                <c:pt idx="33">
                  <c:v>0.98844765342960283</c:v>
                </c:pt>
                <c:pt idx="34">
                  <c:v>0.989041095890411</c:v>
                </c:pt>
                <c:pt idx="35">
                  <c:v>0.98959011060507485</c:v>
                </c:pt>
                <c:pt idx="36">
                  <c:v>0.99009900990099009</c:v>
                </c:pt>
              </c:numCache>
            </c:numRef>
          </c:yVal>
          <c:smooth val="1"/>
          <c:extLst>
            <c:ext xmlns:c16="http://schemas.microsoft.com/office/drawing/2014/chart" uri="{C3380CC4-5D6E-409C-BE32-E72D297353CC}">
              <c16:uniqueId val="{00000002-A95A-40AF-86D6-CBEB6C36A498}"/>
            </c:ext>
          </c:extLst>
        </c:ser>
        <c:ser>
          <c:idx val="3"/>
          <c:order val="2"/>
          <c:tx>
            <c:strRef>
              <c:f>'Liquefier Calculator'!$O$28</c:f>
              <c:strCache>
                <c:ptCount val="1"/>
                <c:pt idx="0">
                  <c:v>Total Energy Efficiency</c:v>
                </c:pt>
              </c:strCache>
            </c:strRef>
          </c:tx>
          <c:spPr>
            <a:ln w="19050" cap="rnd">
              <a:solidFill>
                <a:schemeClr val="accent4"/>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Calculator'!$O$29:$O$65</c:f>
              <c:numCache>
                <c:formatCode>0.00%</c:formatCode>
                <c:ptCount val="37"/>
                <c:pt idx="0">
                  <c:v>0.42499999999999999</c:v>
                </c:pt>
                <c:pt idx="1">
                  <c:v>0.49765664694729245</c:v>
                </c:pt>
                <c:pt idx="2">
                  <c:v>0.54253473152531217</c:v>
                </c:pt>
                <c:pt idx="3">
                  <c:v>0.56723868739844474</c:v>
                </c:pt>
                <c:pt idx="4">
                  <c:v>0.57799999999999996</c:v>
                </c:pt>
                <c:pt idx="5">
                  <c:v>0.57930311993202654</c:v>
                </c:pt>
                <c:pt idx="6">
                  <c:v>0.57423455779259569</c:v>
                </c:pt>
                <c:pt idx="7">
                  <c:v>0.56489385296148564</c:v>
                </c:pt>
                <c:pt idx="8">
                  <c:v>0.55271249999999994</c:v>
                </c:pt>
                <c:pt idx="9">
                  <c:v>0.5386745838030601</c:v>
                </c:pt>
                <c:pt idx="10">
                  <c:v>0.52346355519229182</c:v>
                </c:pt>
                <c:pt idx="11">
                  <c:v>0.5075588993829816</c:v>
                </c:pt>
                <c:pt idx="12">
                  <c:v>0.4912999999999999</c:v>
                </c:pt>
                <c:pt idx="13">
                  <c:v>0.47492872498934929</c:v>
                </c:pt>
                <c:pt idx="14">
                  <c:v>0.45861817192663451</c:v>
                </c:pt>
                <c:pt idx="15">
                  <c:v>0.44249233167622698</c:v>
                </c:pt>
                <c:pt idx="16">
                  <c:v>0.4266397235576922</c:v>
                </c:pt>
                <c:pt idx="17">
                  <c:v>0.41112297692555305</c:v>
                </c:pt>
                <c:pt idx="18">
                  <c:v>0.39598565071857983</c:v>
                </c:pt>
                <c:pt idx="19">
                  <c:v>0.38125714608100453</c:v>
                </c:pt>
                <c:pt idx="20">
                  <c:v>0.36695628547297288</c:v>
                </c:pt>
                <c:pt idx="21">
                  <c:v>0.35309394774217906</c:v>
                </c:pt>
                <c:pt idx="22">
                  <c:v>0.33967502702505609</c:v>
                </c:pt>
                <c:pt idx="23">
                  <c:v>0.32669990195545984</c:v>
                </c:pt>
                <c:pt idx="24">
                  <c:v>0.31416554651562484</c:v>
                </c:pt>
                <c:pt idx="25">
                  <c:v>0.30206637605858838</c:v>
                </c:pt>
                <c:pt idx="26">
                  <c:v>0.2903948958142622</c:v>
                </c:pt>
                <c:pt idx="27">
                  <c:v>0.27914220081023539</c:v>
                </c:pt>
                <c:pt idx="28">
                  <c:v>0.26829836311538452</c:v>
                </c:pt>
                <c:pt idx="29">
                  <c:v>0.25785273299490252</c:v>
                </c:pt>
                <c:pt idx="30">
                  <c:v>0.24779417383240243</c:v>
                </c:pt>
                <c:pt idx="31">
                  <c:v>0.23811124576618961</c:v>
                </c:pt>
                <c:pt idx="32">
                  <c:v>0.2287923493773103</c:v>
                </c:pt>
                <c:pt idx="33">
                  <c:v>0.21982583809093079</c:v>
                </c:pt>
                <c:pt idx="34">
                  <c:v>0.21120010595305966</c:v>
                </c:pt>
                <c:pt idx="35">
                  <c:v>0.20290365593946513</c:v>
                </c:pt>
                <c:pt idx="36">
                  <c:v>0.19492515281259659</c:v>
                </c:pt>
              </c:numCache>
            </c:numRef>
          </c:yVal>
          <c:smooth val="1"/>
          <c:extLst>
            <c:ext xmlns:c16="http://schemas.microsoft.com/office/drawing/2014/chart" uri="{C3380CC4-5D6E-409C-BE32-E72D297353CC}">
              <c16:uniqueId val="{00000003-A95A-40AF-86D6-CBEB6C36A498}"/>
            </c:ext>
          </c:extLst>
        </c:ser>
        <c:dLbls>
          <c:showLegendKey val="0"/>
          <c:showVal val="0"/>
          <c:showCatName val="0"/>
          <c:showSerName val="0"/>
          <c:showPercent val="0"/>
          <c:showBubbleSize val="0"/>
        </c:dLbls>
        <c:axId val="733138184"/>
        <c:axId val="733137104"/>
      </c:scatterChart>
      <c:valAx>
        <c:axId val="733138184"/>
        <c:scaling>
          <c:orientation val="minMax"/>
          <c:max val="5"/>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a:t>Compressor</a:t>
                </a:r>
                <a:r>
                  <a:rPr lang="en-AU" sz="1200" baseline="0"/>
                  <a:t> to Nozzle Ratio (C/N)</a:t>
                </a:r>
                <a:endParaRPr lang="en-AU"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3137104"/>
        <c:crosses val="autoZero"/>
        <c:crossBetween val="midCat"/>
      </c:valAx>
      <c:valAx>
        <c:axId val="733137104"/>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3138184"/>
        <c:crosses val="autoZero"/>
        <c:crossBetween val="midCat"/>
        <c:majorUnit val="0.1"/>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16328</xdr:colOff>
      <xdr:row>0</xdr:row>
      <xdr:rowOff>59871</xdr:rowOff>
    </xdr:from>
    <xdr:to>
      <xdr:col>16</xdr:col>
      <xdr:colOff>32658</xdr:colOff>
      <xdr:row>25</xdr:row>
      <xdr:rowOff>119741</xdr:rowOff>
    </xdr:to>
    <xdr:graphicFrame macro="">
      <xdr:nvGraphicFramePr>
        <xdr:cNvPr id="2" name="Chart 1">
          <a:extLst>
            <a:ext uri="{FF2B5EF4-FFF2-40B4-BE49-F238E27FC236}">
              <a16:creationId xmlns:a16="http://schemas.microsoft.com/office/drawing/2014/main" id="{7B7520A5-6D9B-A438-8D19-46D580CC1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60</xdr:row>
      <xdr:rowOff>185056</xdr:rowOff>
    </xdr:from>
    <xdr:to>
      <xdr:col>7</xdr:col>
      <xdr:colOff>130628</xdr:colOff>
      <xdr:row>87</xdr:row>
      <xdr:rowOff>32656</xdr:rowOff>
    </xdr:to>
    <xdr:graphicFrame macro="">
      <xdr:nvGraphicFramePr>
        <xdr:cNvPr id="6" name="Chart 5">
          <a:extLst>
            <a:ext uri="{FF2B5EF4-FFF2-40B4-BE49-F238E27FC236}">
              <a16:creationId xmlns:a16="http://schemas.microsoft.com/office/drawing/2014/main" id="{042FAF7E-B4A8-4377-BD38-BB2F89208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0.70833</cdr:x>
      <cdr:y>0.20787</cdr:y>
    </cdr:from>
    <cdr:to>
      <cdr:x>0.96212</cdr:x>
      <cdr:y>0.49663</cdr:y>
    </cdr:to>
    <mc:AlternateContent xmlns:mc="http://schemas.openxmlformats.org/markup-compatibility/2006" xmlns:a14="http://schemas.microsoft.com/office/drawing/2010/main">
      <mc:Choice Requires="a14">
        <cdr:sp macro="" textlink="">
          <cdr:nvSpPr>
            <cdr:cNvPr id="2" name="TextBox 1">
              <a:extLst xmlns:a="http://schemas.openxmlformats.org/drawingml/2006/main">
                <a:ext uri="{FF2B5EF4-FFF2-40B4-BE49-F238E27FC236}">
                  <a16:creationId xmlns:a16="http://schemas.microsoft.com/office/drawing/2014/main" id="{3970E26F-D584-824B-B09F-2F8A21B1F3C7}"/>
                </a:ext>
              </a:extLst>
            </cdr:cNvPr>
            <cdr:cNvSpPr txBox="1"/>
          </cdr:nvSpPr>
          <cdr:spPr>
            <a:xfrm xmlns:a="http://schemas.openxmlformats.org/drawingml/2006/main">
              <a:off x="6106885" y="1006930"/>
              <a:ext cx="2188029" cy="13988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14:m>
                <m:oMathPara xmlns:m="http://schemas.openxmlformats.org/officeDocument/2006/math">
                  <m:oMathParaPr>
                    <m:jc m:val="centerGroup"/>
                  </m:oMathParaPr>
                  <m:oMath xmlns:m="http://schemas.openxmlformats.org/officeDocument/2006/math">
                    <m:r>
                      <a:rPr lang="en-AU" sz="1100" i="1" kern="1200">
                        <a:latin typeface="Cambria Math" panose="02040503050406030204" pitchFamily="18" charset="0"/>
                        <a:ea typeface="Cambria Math" panose="02040503050406030204" pitchFamily="18" charset="0"/>
                      </a:rPr>
                      <m:t>𝜂</m:t>
                    </m:r>
                    <m:r>
                      <a:rPr lang="en-AU" sz="1100" b="0" i="1" kern="1200">
                        <a:latin typeface="Cambria Math" panose="02040503050406030204" pitchFamily="18" charset="0"/>
                        <a:ea typeface="Cambria Math" panose="02040503050406030204" pitchFamily="18" charset="0"/>
                      </a:rPr>
                      <m:t>=1−</m:t>
                    </m:r>
                    <m:f>
                      <m:fPr>
                        <m:ctrlPr>
                          <a:rPr lang="en-AU" sz="1100" b="0" i="1" kern="1200">
                            <a:latin typeface="Cambria Math" panose="02040503050406030204" pitchFamily="18" charset="0"/>
                            <a:ea typeface="Cambria Math" panose="02040503050406030204" pitchFamily="18" charset="0"/>
                          </a:rPr>
                        </m:ctrlPr>
                      </m:fPr>
                      <m:num>
                        <m:r>
                          <a:rPr lang="en-AU" sz="1100" b="0" i="1" kern="1200">
                            <a:latin typeface="Cambria Math" panose="02040503050406030204" pitchFamily="18" charset="0"/>
                            <a:ea typeface="Cambria Math" panose="02040503050406030204" pitchFamily="18" charset="0"/>
                          </a:rPr>
                          <m:t>1</m:t>
                        </m:r>
                      </m:num>
                      <m:den>
                        <m:r>
                          <a:rPr lang="en-AU" sz="1100" b="0" i="1" kern="1200">
                            <a:latin typeface="Cambria Math" panose="02040503050406030204" pitchFamily="18" charset="0"/>
                            <a:ea typeface="Cambria Math" panose="02040503050406030204" pitchFamily="18" charset="0"/>
                          </a:rPr>
                          <m:t>10</m:t>
                        </m:r>
                        <m:r>
                          <a:rPr lang="en-AU" sz="1100" b="0" i="1" kern="1200">
                            <a:latin typeface="Cambria Math" panose="02040503050406030204" pitchFamily="18" charset="0"/>
                            <a:ea typeface="Cambria Math" panose="02040503050406030204" pitchFamily="18" charset="0"/>
                          </a:rPr>
                          <m:t>𝜇</m:t>
                        </m:r>
                        <m:sSup>
                          <m:sSupPr>
                            <m:ctrlPr>
                              <a:rPr lang="en-AU" sz="1100" b="0" i="1" kern="1200">
                                <a:latin typeface="Cambria Math" panose="02040503050406030204" pitchFamily="18" charset="0"/>
                                <a:ea typeface="Cambria Math" panose="02040503050406030204" pitchFamily="18" charset="0"/>
                              </a:rPr>
                            </m:ctrlPr>
                          </m:sSupPr>
                          <m:e>
                            <m:d>
                              <m:dPr>
                                <m:ctrlPr>
                                  <a:rPr lang="en-AU" sz="1100" b="0" i="1">
                                    <a:effectLst/>
                                    <a:latin typeface="Cambria Math" panose="02040503050406030204" pitchFamily="18" charset="0"/>
                                    <a:ea typeface="+mn-ea"/>
                                    <a:cs typeface="+mn-cs"/>
                                  </a:rPr>
                                </m:ctrlPr>
                              </m:dPr>
                              <m:e>
                                <m:f>
                                  <m:fPr>
                                    <m:ctrlPr>
                                      <a:rPr lang="en-AU" sz="1100" b="0" i="1">
                                        <a:effectLst/>
                                        <a:latin typeface="Cambria Math" panose="02040503050406030204" pitchFamily="18" charset="0"/>
                                        <a:ea typeface="+mn-ea"/>
                                        <a:cs typeface="+mn-cs"/>
                                      </a:rPr>
                                    </m:ctrlPr>
                                  </m:fPr>
                                  <m:num>
                                    <m:r>
                                      <a:rPr lang="en-AU" sz="1100" b="0" i="1">
                                        <a:effectLst/>
                                        <a:latin typeface="Cambria Math" panose="02040503050406030204" pitchFamily="18" charset="0"/>
                                        <a:ea typeface="+mn-ea"/>
                                        <a:cs typeface="+mn-cs"/>
                                      </a:rPr>
                                      <m:t>𝐶</m:t>
                                    </m:r>
                                  </m:num>
                                  <m:den>
                                    <m:r>
                                      <a:rPr lang="en-AU" sz="1100" b="0" i="1">
                                        <a:effectLst/>
                                        <a:latin typeface="Cambria Math" panose="02040503050406030204" pitchFamily="18" charset="0"/>
                                        <a:ea typeface="+mn-ea"/>
                                        <a:cs typeface="+mn-cs"/>
                                      </a:rPr>
                                      <m:t>𝑁</m:t>
                                    </m:r>
                                  </m:den>
                                </m:f>
                              </m:e>
                            </m:d>
                          </m:e>
                          <m:sup>
                            <m:r>
                              <a:rPr lang="en-AU" sz="1100" b="0" i="1" kern="1200">
                                <a:latin typeface="Cambria Math" panose="02040503050406030204" pitchFamily="18" charset="0"/>
                                <a:ea typeface="Cambria Math" panose="02040503050406030204" pitchFamily="18" charset="0"/>
                              </a:rPr>
                              <m:t>2</m:t>
                            </m:r>
                          </m:sup>
                        </m:sSup>
                        <m:r>
                          <a:rPr lang="en-AU" sz="1100" b="0" i="1" kern="1200">
                            <a:latin typeface="Cambria Math" panose="02040503050406030204" pitchFamily="18" charset="0"/>
                            <a:ea typeface="Cambria Math" panose="02040503050406030204" pitchFamily="18" charset="0"/>
                          </a:rPr>
                          <m:t>+1</m:t>
                        </m:r>
                      </m:den>
                    </m:f>
                  </m:oMath>
                </m:oMathPara>
              </a14:m>
              <a:endParaRPr lang="en-AU" sz="1100" kern="1200"/>
            </a:p>
            <a:p xmlns:a="http://schemas.openxmlformats.org/drawingml/2006/main">
              <a:pPr/>
              <a14:m>
                <m:oMathPara xmlns:m="http://schemas.openxmlformats.org/officeDocument/2006/math">
                  <m:oMathParaPr>
                    <m:jc m:val="centerGroup"/>
                  </m:oMathParaPr>
                  <m:oMath xmlns:m="http://schemas.openxmlformats.org/officeDocument/2006/math">
                    <m:r>
                      <a:rPr lang="en-AU" sz="1100" i="1" kern="1200">
                        <a:latin typeface="Cambria Math" panose="02040503050406030204" pitchFamily="18" charset="0"/>
                        <a:ea typeface="Cambria Math" panose="02040503050406030204" pitchFamily="18" charset="0"/>
                      </a:rPr>
                      <m:t>𝜀</m:t>
                    </m:r>
                    <m:r>
                      <a:rPr lang="en-AU" sz="1100" b="0" i="1" kern="1200">
                        <a:latin typeface="Cambria Math" panose="02040503050406030204" pitchFamily="18" charset="0"/>
                        <a:ea typeface="Cambria Math" panose="02040503050406030204" pitchFamily="18" charset="0"/>
                      </a:rPr>
                      <m:t>=</m:t>
                    </m:r>
                  </m:oMath>
                </m:oMathPara>
              </a14:m>
              <a:endParaRPr lang="en-AU" sz="1100" kern="1200"/>
            </a:p>
          </cdr:txBody>
        </cdr:sp>
      </mc:Choice>
      <mc:Fallback xmlns="">
        <cdr:sp macro="" textlink="">
          <cdr:nvSpPr>
            <cdr:cNvPr id="2" name="TextBox 1">
              <a:extLst xmlns:a="http://schemas.openxmlformats.org/drawingml/2006/main">
                <a:ext uri="{FF2B5EF4-FFF2-40B4-BE49-F238E27FC236}">
                  <a16:creationId xmlns:a16="http://schemas.microsoft.com/office/drawing/2014/main" id="{3970E26F-D584-824B-B09F-2F8A21B1F3C7}"/>
                </a:ext>
              </a:extLst>
            </cdr:cNvPr>
            <cdr:cNvSpPr txBox="1"/>
          </cdr:nvSpPr>
          <cdr:spPr>
            <a:xfrm xmlns:a="http://schemas.openxmlformats.org/drawingml/2006/main">
              <a:off x="6106885" y="1006930"/>
              <a:ext cx="2188029" cy="13988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1100" i="0" kern="1200">
                  <a:latin typeface="Cambria Math" panose="02040503050406030204" pitchFamily="18" charset="0"/>
                  <a:ea typeface="Cambria Math" panose="02040503050406030204" pitchFamily="18" charset="0"/>
                </a:rPr>
                <a:t>𝜂</a:t>
              </a:r>
              <a:r>
                <a:rPr lang="en-AU" sz="1100" b="0" i="0" kern="1200">
                  <a:latin typeface="Cambria Math" panose="02040503050406030204" pitchFamily="18" charset="0"/>
                  <a:ea typeface="Cambria Math" panose="02040503050406030204" pitchFamily="18" charset="0"/>
                </a:rPr>
                <a:t>=1−1/(10𝜇</a:t>
              </a:r>
              <a:r>
                <a:rPr lang="en-AU" sz="1100" b="0" i="0" kern="1200">
                  <a:effectLst/>
                  <a:latin typeface="+mn-lt"/>
                  <a:ea typeface="+mn-ea"/>
                  <a:cs typeface="+mn-cs"/>
                </a:rPr>
                <a:t>(</a:t>
              </a:r>
              <a:r>
                <a:rPr lang="en-AU" sz="1100" b="0" i="0">
                  <a:effectLst/>
                  <a:latin typeface="+mn-lt"/>
                  <a:ea typeface="+mn-ea"/>
                  <a:cs typeface="+mn-cs"/>
                </a:rPr>
                <a:t>𝐶/𝑁)</a:t>
              </a:r>
              <a:r>
                <a:rPr lang="en-AU" sz="1100" b="0" i="0" kern="1200">
                  <a:effectLst/>
                  <a:latin typeface="Cambria Math" panose="02040503050406030204" pitchFamily="18" charset="0"/>
                  <a:ea typeface="Cambria Math" panose="02040503050406030204" pitchFamily="18" charset="0"/>
                  <a:cs typeface="+mn-cs"/>
                </a:rPr>
                <a:t>^</a:t>
              </a:r>
              <a:r>
                <a:rPr lang="en-AU" sz="1100" b="0" i="0" kern="1200">
                  <a:latin typeface="Cambria Math" panose="02040503050406030204" pitchFamily="18" charset="0"/>
                  <a:ea typeface="Cambria Math" panose="02040503050406030204" pitchFamily="18" charset="0"/>
                </a:rPr>
                <a:t>2+1)</a:t>
              </a:r>
              <a:endParaRPr lang="en-AU" sz="1100" kern="1200"/>
            </a:p>
            <a:p xmlns:a="http://schemas.openxmlformats.org/drawingml/2006/main">
              <a:r>
                <a:rPr lang="en-AU" sz="1100" i="0" kern="1200">
                  <a:latin typeface="Cambria Math" panose="02040503050406030204" pitchFamily="18" charset="0"/>
                  <a:ea typeface="Cambria Math" panose="02040503050406030204" pitchFamily="18" charset="0"/>
                </a:rPr>
                <a:t>𝜀</a:t>
              </a:r>
              <a:r>
                <a:rPr lang="en-AU" sz="1100" b="0" i="0" kern="1200">
                  <a:latin typeface="Cambria Math" panose="02040503050406030204" pitchFamily="18" charset="0"/>
                  <a:ea typeface="Cambria Math" panose="02040503050406030204" pitchFamily="18" charset="0"/>
                </a:rPr>
                <a:t>=</a:t>
              </a:r>
              <a:endParaRPr lang="en-AU" sz="1100" kern="1200"/>
            </a:p>
          </cdr:txBody>
        </cdr:sp>
      </mc:Fallback>
    </mc:AlternateContent>
  </cdr:relSizeAnchor>
</c:userShape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41133F1-6CFE-435E-A8AA-328E7D833DCB}" name="ParticleTable" displayName="ParticleTable" ref="M3:R68" totalsRowShown="0" headerRowDxfId="111" headerRowCellStyle="Good">
  <autoFilter ref="M3:R68" xr:uid="{141133F1-6CFE-435E-A8AA-328E7D833DCB}"/>
  <tableColumns count="6">
    <tableColumn id="1" xr3:uid="{E297BD20-7B4A-4B04-8C00-38BA276F011D}" name="List Number"/>
    <tableColumn id="2" xr3:uid="{2BB41E0D-6C30-4D54-BF54-A6A07961B50F}" name="Name"/>
    <tableColumn id="3" xr3:uid="{19771AF4-FC12-4D4C-8079-284F4CA28516}" name="Symbol"/>
    <tableColumn id="4" xr3:uid="{32B45F6F-5288-4E2C-A173-2E86993BD6AA}" name="Mass (MeV)"/>
    <tableColumn id="5" xr3:uid="{92F64597-C17D-4542-A022-5E9DC8A193FA}" name="Charge"/>
    <tableColumn id="6" xr3:uid="{073F00EE-E2BE-4831-9B36-AE05669DD8C8}" name="Mass Rounded (MeV)"/>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A06419-A234-474F-9C83-1E49C617007D}" name="IsotopeTable" displayName="IsotopeTable" ref="A19:G477" totalsRowShown="0" headerRowCellStyle="Good">
  <autoFilter ref="A19:G477" xr:uid="{2EA06419-A234-474F-9C83-1E49C617007D}"/>
  <sortState xmlns:xlrd2="http://schemas.microsoft.com/office/spreadsheetml/2017/richdata2" ref="A20:G477">
    <sortCondition ref="A19:A477"/>
  </sortState>
  <tableColumns count="7">
    <tableColumn id="7" xr3:uid="{5AC09A35-92FF-4392-86F1-BA736E5403E8}" name="List Number"/>
    <tableColumn id="1" xr3:uid="{0BFD4D24-702E-456E-9D30-0964D24CFC7F}" name="Isotope"/>
    <tableColumn id="2" xr3:uid="{C20DEFC8-CDE3-44C2-8990-6C58B1494BD0}" name="Atomic Number" dataDxfId="110"/>
    <tableColumn id="3" xr3:uid="{A7B791E5-FD75-4C8D-A4FC-B454EA2F1226}" name="Half Life (Years)" dataDxfId="109"/>
    <tableColumn id="4" xr3:uid="{A984E2D6-4EEF-4B3C-8A97-8D11155B93A2}" name="Abundance" dataDxfId="108"/>
    <tableColumn id="5" xr3:uid="{55F33E4E-D03F-4AE7-9165-60D7C7CCB38F}" name="Atom Mass (amu)" dataDxfId="107"/>
    <tableColumn id="6" xr3:uid="{37BC98BE-60A2-405F-A7FD-9372852C40FC}" name="Nuclei Mass (MeV)" dataDxfId="106">
      <calculatedColumnFormula>F20*amu-C20*m_e</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A288CE-31B2-4DDD-BD3C-C1E2C8EA8FF6}" name="ProtonReactions" displayName="ProtonReactions" ref="A5:H144" totalsRowShown="0" headerRowCellStyle="Good">
  <autoFilter ref="A5:H144" xr:uid="{40A288CE-31B2-4DDD-BD3C-C1E2C8EA8FF6}"/>
  <sortState xmlns:xlrd2="http://schemas.microsoft.com/office/spreadsheetml/2017/richdata2" ref="A6:H144">
    <sortCondition ref="D5:D144"/>
  </sortState>
  <tableColumns count="8">
    <tableColumn id="1" xr3:uid="{F2C68E51-2003-47C4-AB08-DBFFC0FA326A}" name="Reaction"/>
    <tableColumn id="2" xr3:uid="{0EA74A3A-CC0E-4FA0-BF20-910C6943E2F1}" name="Amount (pu)" dataDxfId="105">
      <calculatedColumnFormula>mole/F6*(sf_TC/100)</calculatedColumnFormula>
    </tableColumn>
    <tableColumn id="3" xr3:uid="{AEEED031-C93E-4721-8691-58D2FBC75043}" name="Min Focus"/>
    <tableColumn id="4" xr3:uid="{8C447A15-E3D5-4E9F-ABE8-4BAB194FE91E}" name="Min Energy (keV)" dataDxfId="104"/>
    <tableColumn id="5" xr3:uid="{7DE7F4E1-C883-42DB-812F-662779440D32}" name="Max energy (keV)" dataDxfId="103"/>
    <tableColumn id="6" xr3:uid="{1B3F9411-9E1D-4671-8A08-EAA1CB90F62F}" name="Cross Section" dataDxfId="102"/>
    <tableColumn id="7" xr3:uid="{B3471971-E3AF-4AC7-AE4A-AE8598EFF0F5}" name="Energy Released (keV)" dataDxfId="101"/>
    <tableColumn id="8" xr3:uid="{201305EF-A5DB-4BBF-B73F-D6BF05A8C7B6}" name="Default Beam Time (s)">
      <calculatedColumnFormula>B6/(I_b*20)</calculatedColumnFormula>
    </tableColumn>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5406B1-F089-4332-93E7-AA28A1C92B3C}" name="NeutronReactions" displayName="NeutronReactions" ref="A147:H210" totalsRowShown="0" headerRowCellStyle="Good">
  <autoFilter ref="A147:H210" xr:uid="{315406B1-F089-4332-93E7-AA28A1C92B3C}"/>
  <tableColumns count="8">
    <tableColumn id="1" xr3:uid="{53198D46-8F40-4478-8FFB-EB020C2B5033}" name="Reaction"/>
    <tableColumn id="2" xr3:uid="{372F582C-107D-4213-B006-C80C0E9C016C}" name="Amount (pu)" dataDxfId="100">
      <calculatedColumnFormula>mole/F148*(sf_TC/100)</calculatedColumnFormula>
    </tableColumn>
    <tableColumn id="3" xr3:uid="{65CEB329-9788-447F-8D31-9F5435BB219C}" name="Min Focus"/>
    <tableColumn id="4" xr3:uid="{C2F7582F-A6ED-4535-A02D-13C324A33A2C}" name="Min Energy (keV)" dataDxfId="99"/>
    <tableColumn id="5" xr3:uid="{30CA696A-8611-41B6-8748-903EB2E68857}" name="Max energy (keV)" dataDxfId="98"/>
    <tableColumn id="6" xr3:uid="{C6AC5234-6636-4CFC-9B71-92A27BC25CA1}" name="Cross Section" dataDxfId="97"/>
    <tableColumn id="7" xr3:uid="{0476B8AE-B901-4F67-8AFF-32694B63CBE2}" name="Energy Released (keV)" dataDxfId="96"/>
    <tableColumn id="8" xr3:uid="{6262F0CD-83AB-4BAF-B5B7-2B90995581FD}" name="Default Beam Time (s)">
      <calculatedColumnFormula>B148/(I_b*20)</calculatedColumnFormula>
    </tableColumn>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BC31B9-DA54-48DE-B86B-701F5AB096B6}" name="PhotonReactions" displayName="PhotonReactions" ref="A214:H241" totalsRowShown="0" headerRowCellStyle="Good">
  <autoFilter ref="A214:H241" xr:uid="{75BC31B9-DA54-48DE-B86B-701F5AB096B6}"/>
  <tableColumns count="8">
    <tableColumn id="1" xr3:uid="{0DE02DE3-BACC-474A-9912-100ACFC8B690}" name="Reaction"/>
    <tableColumn id="2" xr3:uid="{ACC0E3A8-D4B3-43A7-A916-0B7AF35B1A9C}" name="Amount (pu)" dataDxfId="95">
      <calculatedColumnFormula>mole/F215*(sf_TC/100)</calculatedColumnFormula>
    </tableColumn>
    <tableColumn id="3" xr3:uid="{49374C43-AD46-4997-9BAD-1CD0EAF95526}" name="Min Focus"/>
    <tableColumn id="4" xr3:uid="{62700F59-E8AD-4E2E-8AA7-228E8260BDD9}" name="Min Energy (keV)" dataDxfId="94"/>
    <tableColumn id="5" xr3:uid="{A81B9B1A-4259-47C8-899D-04B8FE8508AC}" name="Max energy (keV)" dataDxfId="93"/>
    <tableColumn id="6" xr3:uid="{A62660BD-FE99-4811-9B56-E09F144B794C}" name="Cross Section" dataDxfId="92"/>
    <tableColumn id="7" xr3:uid="{161BD74D-9A95-4216-8F83-7A558179B2F3}" name="Energy Released (keV)" dataDxfId="91"/>
    <tableColumn id="8" xr3:uid="{F735A879-6F8C-4054-A33E-AF176B220209}" name="Default Beam Time (s)">
      <calculatedColumnFormula>B215/(I_b*20)</calculatedColumnFormula>
    </tableColumn>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6775E9-C26B-486A-AAAB-EE881C68F143}" name="ElectronReactions" displayName="ElectronReactions" ref="A245:H256" totalsRowShown="0" headerRowCellStyle="Good">
  <autoFilter ref="A245:H256" xr:uid="{116775E9-C26B-486A-AAAB-EE881C68F143}"/>
  <tableColumns count="8">
    <tableColumn id="1" xr3:uid="{312E5A03-1449-448C-8D31-5E537D9EB8B9}" name="Reaction"/>
    <tableColumn id="2" xr3:uid="{99FBD1C6-3DB9-47B8-A10C-0DDB7C1AA4C3}" name="Amount (pu)" dataDxfId="90">
      <calculatedColumnFormula>mole/F246*(sf_TC/100)</calculatedColumnFormula>
    </tableColumn>
    <tableColumn id="3" xr3:uid="{2BC0A62F-4646-4E0C-94A3-E3335B17BB62}" name="Min Focus"/>
    <tableColumn id="4" xr3:uid="{1089ECC9-5002-449E-BE50-86582562F028}" name="Min Energy (keV)" dataDxfId="89"/>
    <tableColumn id="5" xr3:uid="{A6A4E943-E002-466D-AC2F-0A57D44C4A5A}" name="Max energy (keV)" dataDxfId="88"/>
    <tableColumn id="6" xr3:uid="{49D52EBC-263E-4D96-AB56-A22189F2E990}" name="Cross Section" dataDxfId="87"/>
    <tableColumn id="7" xr3:uid="{0CEB8898-C5CB-4505-9FA8-0380CF879765}" name="Energy Released (keV)" dataDxfId="86"/>
    <tableColumn id="8" xr3:uid="{4CAC2E5B-EE02-40FD-AA74-75997A96237A}" name="Default Beam Time (s)">
      <calculatedColumnFormula>B246/(I_b*20)</calculatedColumnFormula>
    </tableColumn>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98CD1C-511A-47E2-B6E2-A049ED7C4F75}" name="HelionReactions" displayName="HelionReactions" ref="A336:H346" totalsRowShown="0" headerRowCellStyle="Good">
  <autoFilter ref="A336:H346" xr:uid="{2998CD1C-511A-47E2-B6E2-A049ED7C4F75}"/>
  <tableColumns count="8">
    <tableColumn id="1" xr3:uid="{84689E1D-1D02-464A-880B-99C41B23DB80}" name="Reaction"/>
    <tableColumn id="2" xr3:uid="{05726872-45A2-4184-B0B8-380FB1ABE83D}" name="Amount (pu)" dataDxfId="85">
      <calculatedColumnFormula>mole/F337*(sf_TC/100)</calculatedColumnFormula>
    </tableColumn>
    <tableColumn id="3" xr3:uid="{F1B6931C-1894-4530-B2AA-2052D7D7DE42}" name="Min Focus"/>
    <tableColumn id="4" xr3:uid="{FF9EF5DE-3919-4734-BC65-4B257638628A}" name="Min Energy (keV)" dataDxfId="84"/>
    <tableColumn id="5" xr3:uid="{A0359D7F-1E1B-4A85-8A83-3CBBEAC4332D}" name="Max energy (keV)" dataDxfId="83"/>
    <tableColumn id="6" xr3:uid="{F137013F-8EDF-40E7-822A-D6E5F9EC439F}" name="Cross Section" dataDxfId="82"/>
    <tableColumn id="7" xr3:uid="{FB4C3E19-A2CC-4DAD-AA12-1DC5DF989ED6}" name="Energy Released (keV)" dataDxfId="81"/>
    <tableColumn id="8" xr3:uid="{5E332C56-6DF6-4C34-BD69-B9DBE5A1EF56}" name="Default Beam Time (s)">
      <calculatedColumnFormula>B337/(I_b*20)</calculatedColumnFormula>
    </tableColumn>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45DAD4-FB55-4244-AB39-4C717B001416}" name="AlphaReactions" displayName="AlphaReactions" ref="A350:H375" totalsRowShown="0" headerRowCellStyle="Good">
  <autoFilter ref="A350:H375" xr:uid="{5445DAD4-FB55-4244-AB39-4C717B001416}"/>
  <tableColumns count="8">
    <tableColumn id="1" xr3:uid="{73A3ADC5-AB0B-438D-AEB1-731A49403AFB}" name="Reaction"/>
    <tableColumn id="2" xr3:uid="{C1B6206B-09C0-4473-B733-FD77176E4D8F}" name="Amount (pu)" dataDxfId="80">
      <calculatedColumnFormula>mole/F351*(sf_TC/100)</calculatedColumnFormula>
    </tableColumn>
    <tableColumn id="3" xr3:uid="{8403B9BA-5A47-42CD-9CEF-247B023977AB}" name="Min Focus"/>
    <tableColumn id="4" xr3:uid="{B09A77D1-0E02-44DC-973A-0958CE8E9D21}" name="Min Energy (keV)" dataDxfId="79"/>
    <tableColumn id="5" xr3:uid="{BF9F96C3-443C-4322-B578-72997DA45272}" name="Max energy (keV)" dataDxfId="78"/>
    <tableColumn id="6" xr3:uid="{0A96112E-DBF3-4967-BE9B-BCCC088F56E1}" name="Cross Section" dataDxfId="77"/>
    <tableColumn id="7" xr3:uid="{2C121948-F277-4B53-9585-F497B3E2B523}" name="Energy Released (keV)" dataDxfId="76"/>
    <tableColumn id="8" xr3:uid="{8D7F5D98-1B75-4359-AADE-521D5BB3A7D9}" name="Default Beam Time (s)">
      <calculatedColumnFormula>B351/(I_b*20)</calculatedColumnFormula>
    </tableColumn>
  </tableColumns>
  <tableStyleInfo name="TableStyleMedium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F8F5EAD-6DF9-48E8-8030-C418E2BF91CE}" name="BoronReactions" displayName="BoronReactions" ref="A379:H381" totalsRowShown="0" headerRowCellStyle="Good">
  <autoFilter ref="A379:H381" xr:uid="{FF8F5EAD-6DF9-48E8-8030-C418E2BF91CE}"/>
  <tableColumns count="8">
    <tableColumn id="1" xr3:uid="{A49B05C5-BDB1-4F49-B4F3-F3E749E1A1BD}" name="Reaction"/>
    <tableColumn id="2" xr3:uid="{32B39D45-E613-4B97-931E-A552BF34CC6F}" name="Amount (pu)" dataDxfId="75">
      <calculatedColumnFormula>mole/F380*(sf_TC/100)</calculatedColumnFormula>
    </tableColumn>
    <tableColumn id="3" xr3:uid="{9366F031-47B6-4C17-AB78-13A5164671ED}" name="Min Focus"/>
    <tableColumn id="4" xr3:uid="{6F52C089-0B77-4D59-A5C0-61888CB6D012}" name="Min Energy (keV)" dataDxfId="74"/>
    <tableColumn id="5" xr3:uid="{9988FF3D-7258-44D7-B5A5-BA39542DB899}" name="Max energy (keV)" dataDxfId="73"/>
    <tableColumn id="6" xr3:uid="{9DECA056-AF9B-4E78-AB3F-7C3E1DC7AEDA}" name="Cross Section" dataDxfId="72"/>
    <tableColumn id="7" xr3:uid="{AFA041F7-CD85-492D-B539-56C7DBEB5406}" name="Energy Released (keV)" dataDxfId="71"/>
    <tableColumn id="8" xr3:uid="{5140993F-DDAB-4682-A549-9633ADAE97E3}" name="Default Beam Time (s)">
      <calculatedColumnFormula>B380/(I_b*20)</calculatedColumnFormula>
    </tableColumn>
  </tableColumns>
  <tableStyleInfo name="TableStyleMedium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296418A-208F-43E5-843B-65148812BC2C}" name="Calcium48Reactions" displayName="Calcium48Reactions" ref="A385:H386" totalsRowShown="0" headerRowCellStyle="Good">
  <autoFilter ref="A385:H386" xr:uid="{2296418A-208F-43E5-843B-65148812BC2C}"/>
  <tableColumns count="8">
    <tableColumn id="1" xr3:uid="{24441DD6-74E8-4AAA-9720-9F0B4E9B9027}" name="Reaction"/>
    <tableColumn id="2" xr3:uid="{25CDB86C-3A15-4A11-BFE0-D823E2A36063}" name="Amount (pu)" dataDxfId="70">
      <calculatedColumnFormula>mole/F386*(sf_TC/100)</calculatedColumnFormula>
    </tableColumn>
    <tableColumn id="3" xr3:uid="{CF837310-3190-47E9-9536-9845E57D9B90}" name="Min Focus"/>
    <tableColumn id="4" xr3:uid="{1944CE97-5327-42EC-8691-82E4669B64FF}" name="Min Energy (keV)" dataDxfId="69"/>
    <tableColumn id="5" xr3:uid="{17C5B950-E218-486E-89AF-D5512455B355}" name="Max energy (keV)" dataDxfId="68"/>
    <tableColumn id="6" xr3:uid="{E1ABCC4C-A33C-4FE7-A641-91CC480D1558}" name="Cross Section" dataDxfId="67"/>
    <tableColumn id="7" xr3:uid="{856B96D8-1179-4B0E-B787-8A2B315DA8BF}" name="Energy Released (keV)" dataDxfId="66"/>
    <tableColumn id="8" xr3:uid="{A2B2C15D-A2A3-49D6-B93B-F3A37B9F5744}" name="Default Beam Time (s)">
      <calculatedColumnFormula>B386/(I_b*20)</calculatedColumnFormula>
    </tableColumn>
  </tableColumns>
  <tableStyleInfo name="TableStyleMedium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E87E38-9695-42DA-A9EA-DC46DAE3BBA8}" name="ElectronAntineutrinoReactions" displayName="ElectronAntineutrinoReactions" ref="A390:H395" totalsRowShown="0" headerRowCellStyle="Good">
  <autoFilter ref="A390:H395" xr:uid="{1CE87E38-9695-42DA-A9EA-DC46DAE3BBA8}"/>
  <sortState xmlns:xlrd2="http://schemas.microsoft.com/office/spreadsheetml/2017/richdata2" ref="A391:H395">
    <sortCondition ref="D390:D395"/>
  </sortState>
  <tableColumns count="8">
    <tableColumn id="1" xr3:uid="{056BC917-3723-4D06-89B8-C8F01E6F391A}" name="Reaction"/>
    <tableColumn id="2" xr3:uid="{DE25F692-EAC2-41AF-B559-BCA2F46C0FB4}" name="Amount (pu)" dataDxfId="65">
      <calculatedColumnFormula>mole/F391*(sf_TC/100)</calculatedColumnFormula>
    </tableColumn>
    <tableColumn id="3" xr3:uid="{0BC297F9-BDF2-452F-BB0D-838D9CA54430}" name="Min Focus"/>
    <tableColumn id="4" xr3:uid="{C0DCA9E4-5D50-4459-B17C-DF4F7943E781}" name="Min Energy (keV)" dataDxfId="64"/>
    <tableColumn id="5" xr3:uid="{5D0116B8-94E1-4A11-8611-EA8357D87825}" name="Max energy (keV)" dataDxfId="63"/>
    <tableColumn id="6" xr3:uid="{DCCFBBBF-2084-4990-96F2-ACE86E3F3B0E}" name="Cross Section" dataDxfId="62"/>
    <tableColumn id="7" xr3:uid="{4BF74AD6-B725-4B0B-A126-6C59295192B8}" name="Energy Released (keV)" dataDxfId="61"/>
    <tableColumn id="8" xr3:uid="{9D09E3F0-E0ED-4758-9487-56FA6D1D0F5F}" name="Default Beam Time (s)">
      <calculatedColumnFormula>B391/(I_b*20)</calculatedColumnFormula>
    </tableColumn>
  </tableColumns>
  <tableStyleInfo name="TableStyleMedium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506243B-FB9D-46A7-9D31-BFCF7EF5D638}" name="ElectronNeutrinoReactions" displayName="ElectronNeutrinoReactions" ref="A399:H403" totalsRowShown="0" headerRowCellStyle="Good">
  <autoFilter ref="A399:H403" xr:uid="{E506243B-FB9D-46A7-9D31-BFCF7EF5D638}"/>
  <tableColumns count="8">
    <tableColumn id="1" xr3:uid="{58AB66F9-CC5F-46F1-952A-3D51B27A29BE}" name="Reaction"/>
    <tableColumn id="2" xr3:uid="{7ACF837F-446A-43A8-8CE6-4FB03398640F}" name="Amount (pu)" dataDxfId="60">
      <calculatedColumnFormula>mole/F400*(sf_TC/100)</calculatedColumnFormula>
    </tableColumn>
    <tableColumn id="3" xr3:uid="{DDFE8FA5-D382-460B-BE9E-49DD6C2D45BA}" name="Min Focus"/>
    <tableColumn id="4" xr3:uid="{3A604D44-72DF-43C5-B938-11406435D410}" name="Min Energy (keV)" dataDxfId="59"/>
    <tableColumn id="5" xr3:uid="{57080618-3B95-4A92-A81D-EBA6C47D0D2F}" name="Max energy (keV)" dataDxfId="58"/>
    <tableColumn id="6" xr3:uid="{31C47DBC-F245-4677-9E75-93F146C983CF}" name="Cross Section" dataDxfId="57"/>
    <tableColumn id="7" xr3:uid="{69E8627C-AA80-4F9E-A520-E5C4D7D15529}" name="Energy Released (keV)" dataDxfId="56"/>
    <tableColumn id="8" xr3:uid="{DD0932B2-C7FC-4884-BCAB-2361E7EAC69D}" name="Default Beam Time (s)">
      <calculatedColumnFormula>B400/(I_b*20)</calculatedColumnFormula>
    </tableColumn>
  </tableColumns>
  <tableStyleInfo name="TableStyleMedium1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3D0D32B-3AC6-4D52-8AE6-8863A6C6992A}" name="PionMinusReactions" displayName="PionMinusReactions" ref="A412:H413" totalsRowShown="0" headerRowCellStyle="Good">
  <autoFilter ref="A412:H413" xr:uid="{B3D0D32B-3AC6-4D52-8AE6-8863A6C6992A}"/>
  <tableColumns count="8">
    <tableColumn id="1" xr3:uid="{2A9B4CDC-A3DC-4629-9AF0-236B52585C68}" name="Reaction"/>
    <tableColumn id="2" xr3:uid="{BE4FD7FE-AE6F-4CCA-9552-08A6ABA679CD}" name="Amount (pu)" dataDxfId="55">
      <calculatedColumnFormula>mole/F413*(sf_TC/100)</calculatedColumnFormula>
    </tableColumn>
    <tableColumn id="3" xr3:uid="{46ECF4DF-44CD-47A6-B4D0-87DFFF485240}" name="Min Focus"/>
    <tableColumn id="4" xr3:uid="{D93308D4-6175-4DF1-A436-5F280D8D12F1}" name="Min Energy (keV)" dataDxfId="54"/>
    <tableColumn id="5" xr3:uid="{B60A7213-7A60-4878-BFD8-822CD56EC5A7}" name="Max energy (keV)" dataDxfId="53"/>
    <tableColumn id="6" xr3:uid="{7FB8CD99-72B5-4273-BA43-7D765C3125CE}" name="Cross Section" dataDxfId="52"/>
    <tableColumn id="7" xr3:uid="{5B4A7F6E-01FA-4040-AE13-87D9E9EB6FC5}" name="Energy Released (keV)" dataDxfId="51"/>
    <tableColumn id="8" xr3:uid="{99F718C2-8CAA-4335-8F38-94D032230AB1}" name="Default Beam Time (s)">
      <calculatedColumnFormula>B413/(I_b*20)</calculatedColumnFormula>
    </tableColumn>
  </tableColumns>
  <tableStyleInfo name="TableStyleMedium1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56FECC-50C4-4A5F-85B2-4C214E42FFB0}" name="AntiprotonReactions" displayName="AntiprotonReactions" ref="A417:H455" totalsRowShown="0" headerRowCellStyle="Good">
  <autoFilter ref="A417:H455" xr:uid="{4A56FECC-50C4-4A5F-85B2-4C214E42FFB0}"/>
  <tableColumns count="8">
    <tableColumn id="1" xr3:uid="{51F2016A-8F44-47B0-A703-0798F7957D97}" name="Reaction"/>
    <tableColumn id="2" xr3:uid="{51746F09-E701-45E3-B252-250BEBCB06E2}" name="Amount (pu)" dataDxfId="50">
      <calculatedColumnFormula>mole/F418*(sf_TC/100)</calculatedColumnFormula>
    </tableColumn>
    <tableColumn id="3" xr3:uid="{9F2CCB28-037F-44B5-BA3D-F483FE3A75F6}" name="Min Focus"/>
    <tableColumn id="4" xr3:uid="{3F53A4EB-5B8F-4989-AC17-3D2C1288ABC7}" name="Min Energy (keV)" dataDxfId="49"/>
    <tableColumn id="5" xr3:uid="{57C09D6F-9911-41B9-9AF4-93DD9D7C0056}" name="Max energy (keV)" dataDxfId="48"/>
    <tableColumn id="6" xr3:uid="{AF415C89-7C07-4B1A-8813-449442BF1C46}" name="Cross Section" dataDxfId="47"/>
    <tableColumn id="7" xr3:uid="{41F82EBB-60BE-4755-9649-88C7DB5855E7}" name="Energy Released (keV)" dataDxfId="46"/>
    <tableColumn id="8" xr3:uid="{5FC25D21-4D80-45D0-8C32-7D8536DFE646}" name="Default Beam Time (s)">
      <calculatedColumnFormula>B418/(I_b*20)</calculatedColumnFormula>
    </tableColumn>
  </tableColumns>
  <tableStyleInfo name="TableStyleMedium1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B9EA26-DAD4-4688-8B8A-9AFAF0F76773}" name="PionPlusReactions" displayName="PionPlusReactions" ref="A407:H408" totalsRowShown="0" headerRowCellStyle="Good" dataCellStyle="Normal">
  <autoFilter ref="A407:H408" xr:uid="{6BB9EA26-DAD4-4688-8B8A-9AFAF0F76773}"/>
  <tableColumns count="8">
    <tableColumn id="1" xr3:uid="{56FE44E4-EDC9-4099-A30D-E1F3DFA896F9}" name="Reaction" dataCellStyle="Normal"/>
    <tableColumn id="2" xr3:uid="{53D799A7-C5E5-41DE-9568-8F13426E09F0}" name="Amount (pu)" dataDxfId="45" dataCellStyle="Normal">
      <calculatedColumnFormula>mole/F408*(sf_TC/100)</calculatedColumnFormula>
    </tableColumn>
    <tableColumn id="3" xr3:uid="{EE5F7656-F61E-4E2A-939A-7F6FAD098FFD}" name="Min Focus" dataCellStyle="Normal"/>
    <tableColumn id="4" xr3:uid="{AF9065F9-CC54-4B22-A5DA-8F505A3C7633}" name="Min Energy (keV)" dataDxfId="44" dataCellStyle="Normal"/>
    <tableColumn id="5" xr3:uid="{3D683B7F-72A9-433E-A412-6BA9C9148828}" name="Max energy (keV)" dataDxfId="43" dataCellStyle="Normal"/>
    <tableColumn id="6" xr3:uid="{E5FB316D-E999-4C42-9541-98F745FC18D5}" name="Cross Section" dataDxfId="42" dataCellStyle="Normal"/>
    <tableColumn id="7" xr3:uid="{6630AB4C-CD50-4CAD-9FAF-FFBCA8D10317}" name="Energy Released (keV)" dataDxfId="41" dataCellStyle="Normal"/>
    <tableColumn id="8" xr3:uid="{5F630B27-249F-4B44-99D1-CAA095D946AA}" name="Default Beam Time (s)" dataCellStyle="Normal">
      <calculatedColumnFormula>B408/(I_b*20)</calculatedColumnFormula>
    </tableColumn>
  </tableColumns>
  <tableStyleInfo name="TableStyleMedium1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935050-C488-42FF-8D4E-F321FB8FD962}" name="AntideuteronReactions" displayName="AntideuteronReactions" ref="A459:H497" totalsRowShown="0" headerRowCellStyle="Good">
  <autoFilter ref="A459:H497" xr:uid="{F9935050-C488-42FF-8D4E-F321FB8FD962}"/>
  <tableColumns count="8">
    <tableColumn id="1" xr3:uid="{D8E761B0-A597-468F-A3B6-F0E967311421}" name="Reaction"/>
    <tableColumn id="2" xr3:uid="{F5589335-D2A2-4E1A-8763-3E4B8E53D7FC}" name="Amount (pu)" dataDxfId="40">
      <calculatedColumnFormula>mole/F460*(sf_TC/100)</calculatedColumnFormula>
    </tableColumn>
    <tableColumn id="3" xr3:uid="{A3E18F29-925F-4A82-84A1-3C01356250A5}" name="Min Focus"/>
    <tableColumn id="4" xr3:uid="{DDCA3172-8F1C-41DB-A117-12F96C41879E}" name="Min Energy (keV)" dataDxfId="39"/>
    <tableColumn id="5" xr3:uid="{B7CB3436-1FF9-4C0F-8694-C5832EC76D58}" name="Max energy (keV)" dataDxfId="38"/>
    <tableColumn id="6" xr3:uid="{E2038B3F-9F1C-480E-9DFF-96738FB52839}" name="Cross Section" dataDxfId="37"/>
    <tableColumn id="7" xr3:uid="{6C130A5A-7D92-4B1E-A4E0-2FC303DC1593}" name="Energy Released (keV)" dataDxfId="36"/>
    <tableColumn id="8" xr3:uid="{C205FE10-E4E7-4D97-BFCD-C237715E570E}" name="Default Beam Time (s)">
      <calculatedColumnFormula>B460/(I_b*20)</calculatedColumnFormula>
    </tableColumn>
  </tableColumns>
  <tableStyleInfo name="TableStyleMedium1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E14B330-AC90-409C-8CDE-07344EE3845E}" name="DeuteronReactions" displayName="DeuteronReactions" ref="A260:H324" totalsRowShown="0" headerRowDxfId="35" headerRowCellStyle="Good">
  <autoFilter ref="A260:H324" xr:uid="{FE14B330-AC90-409C-8CDE-07344EE3845E}"/>
  <tableColumns count="8">
    <tableColumn id="1" xr3:uid="{E9575CF0-16D0-4CC0-B3E4-F6DB74790AA1}" name="Reaction"/>
    <tableColumn id="2" xr3:uid="{BCF91881-56C3-484A-B237-7D1F096DF8CB}" name="Amount (pu)" dataDxfId="34">
      <calculatedColumnFormula>mole/F261*(sf_TC/100)</calculatedColumnFormula>
    </tableColumn>
    <tableColumn id="3" xr3:uid="{7A724ADC-A55E-4758-8FF2-7E2DA4036C80}" name="Min Focus"/>
    <tableColumn id="4" xr3:uid="{81CF0ACC-F8FF-4C89-897E-AD21C4B7F233}" name="Min Energy (keV)" dataDxfId="33"/>
    <tableColumn id="5" xr3:uid="{89C1F2BD-7846-461D-88ED-4958CE39813A}" name="Max energy (keV)" dataDxfId="32"/>
    <tableColumn id="6" xr3:uid="{2EEE6675-A9C0-4D41-A2B1-4BC87424797B}" name="Cross Section" dataDxfId="31"/>
    <tableColumn id="7" xr3:uid="{7E170A40-F73E-43D0-A7DF-3569C01A6B90}" name="Energy Released (keV)" dataDxfId="30"/>
    <tableColumn id="8" xr3:uid="{EA82F167-FB37-45A4-BC44-A278E1E788F9}" name="Default Beam Time (s)">
      <calculatedColumnFormula>B261/(I_b*20)</calculatedColumnFormula>
    </tableColumn>
  </tableColumns>
  <tableStyleInfo name="TableStyleMedium1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09D4E97-C210-4790-82F4-D90C83BC6248}" name="TritonReactions" displayName="TritonReactions" ref="A328:H332" totalsRowShown="0" headerRowCellStyle="Good">
  <autoFilter ref="A328:H332" xr:uid="{B09D4E97-C210-4790-82F4-D90C83BC6248}"/>
  <tableColumns count="8">
    <tableColumn id="1" xr3:uid="{D6E99861-BBB1-4FEB-8521-216C390497D4}" name="Reaction"/>
    <tableColumn id="2" xr3:uid="{07335A67-CB74-448E-9342-5CF95C93F83C}" name="Amount (pu)" dataDxfId="29">
      <calculatedColumnFormula>mole/F329*(sf_TC/100)</calculatedColumnFormula>
    </tableColumn>
    <tableColumn id="3" xr3:uid="{86F5D763-B643-4AC4-80FB-23B9D6B26E3F}" name="Min Focus"/>
    <tableColumn id="4" xr3:uid="{56B7CEE6-D1CC-488C-97E5-CA8FCC236B42}" name="Min Energy (keV)" dataDxfId="28"/>
    <tableColumn id="5" xr3:uid="{F9F2AC46-2C44-43C9-84BD-8CD6815E7D1D}" name="Max energy (keV)" dataDxfId="27"/>
    <tableColumn id="6" xr3:uid="{7F55880F-0D02-4957-B626-4E29980046CC}" name="Cross Section" dataDxfId="26"/>
    <tableColumn id="7" xr3:uid="{F5D681D3-190C-470E-AB40-78C4ACBEF9F2}" name="Energy Released (keV)" dataDxfId="25"/>
    <tableColumn id="8" xr3:uid="{B3E001A5-FA8F-4951-AFB9-8CC9C028FEFA}" name="Default Beam Time (s)">
      <calculatedColumnFormula>B329/(I_b*20)</calculatedColumnFormula>
    </tableColumn>
  </tableColumns>
  <tableStyleInfo name="TableStyleMedium1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E36B208-4E61-4068-97EF-0B6725CE758C}" name="FusionReactions" displayName="FusionReactions" ref="A12:N41" totalsRowShown="0" headerRowCellStyle="Good" dataCellStyle="Output">
  <autoFilter ref="A12:N41" xr:uid="{5E36B208-4E61-4068-97EF-0B6725CE758C}"/>
  <tableColumns count="14">
    <tableColumn id="1" xr3:uid="{3E4F2804-391E-47D3-A055-D6C304BF699F}" name="Reaction"/>
    <tableColumn id="2" xr3:uid="{38305EF9-6888-437C-9C8F-964821581839}" name="Energy Released (keV)" dataDxfId="24"/>
    <tableColumn id="3" xr3:uid="{63847800-CAC2-40D4-A8DC-3305DD60979F}" name="A1"/>
    <tableColumn id="4" xr3:uid="{77277087-AB45-42E1-BCA7-B715754C9CA2}" name="A2"/>
    <tableColumn id="5" xr3:uid="{233D32E8-7622-4B2A-868D-7B6FFB7581F5}" name="Z1"/>
    <tableColumn id="6" xr3:uid="{C556FAEF-EF73-47E4-89A2-B813AA869C44}" name="Z2"/>
    <tableColumn id="7" xr3:uid="{861784FE-1F08-484F-9A68-61D6228B14E3}" name="Weak Factor"/>
    <tableColumn id="8" xr3:uid="{094E4603-4509-46FF-AD7E-233B1F1EA8C9}" name="Ln(σ)">
      <calculatedColumnFormula>-E13*F13*SQRT(C13*D13/(C13+D13))-G13</calculatedColumnFormula>
    </tableColumn>
    <tableColumn id="9" xr3:uid="{254092D4-02B7-42DA-BC54-B058CF25C832}" name="Cross Section" dataDxfId="23">
      <calculatedColumnFormula>1/((ABS(H13)+1)^(0.6))</calculatedColumnFormula>
    </tableColumn>
    <tableColumn id="10" xr3:uid="{BEC21A5B-4C36-4E28-A90A-7104EAE4D8CE}" name="pu" dataDxfId="22">
      <calculatedColumnFormula>(mole/muon_ratio)/I13</calculatedColumnFormula>
    </tableColumn>
    <tableColumn id="11" xr3:uid="{8799DC79-19AD-4E0B-A45C-F84C75EC84E4}" name="Heat Released (H)" dataDxfId="21" dataCellStyle="Normal">
      <calculatedColumnFormula>B13*keV_to_H</calculatedColumnFormula>
    </tableColumn>
    <tableColumn id="12" xr3:uid="{388EEDF4-ED7C-4988-BC58-90D490EE6514}" name="Amount (pu)" dataDxfId="20" dataCellStyle="Normal">
      <calculatedColumnFormula>ROUND(J13,4-(1+INT(LOG10(ABS(J13)))))*(sf_NSC/100)</calculatedColumnFormula>
    </tableColumn>
    <tableColumn id="13" xr3:uid="{9E381C5C-A633-46F7-97AD-3E525E5801D7}" name="Default Beam Time (t)" dataDxfId="19" dataCellStyle="Normal">
      <calculatedColumnFormula>L13/I_b</calculatedColumnFormula>
    </tableColumn>
    <tableColumn id="14" xr3:uid="{0414CE90-9695-407A-B88D-0C08DCBDE777}" name="Default Beam Heat (H/t)" dataDxfId="18" dataCellStyle="Normal">
      <calculatedColumnFormula>K13/M13</calculatedColumnFormula>
    </tableColumn>
  </tableColumns>
  <tableStyleInfo name="TableStyleMedium1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A1B4561-4CB3-41C1-8AA0-825D28B324F8}" name="RProcessReactions" displayName="RProcessReactions" ref="A51:K86" totalsRowShown="0" headerRowCellStyle="Good">
  <autoFilter ref="A51:K86" xr:uid="{4A1B4561-4CB3-41C1-8AA0-825D28B324F8}"/>
  <tableColumns count="11">
    <tableColumn id="1" xr3:uid="{FE520E24-BC5B-4F84-A2CA-D733ED8FA93A}" name="Reaction"/>
    <tableColumn id="2" xr3:uid="{C96DA014-2848-4522-82F7-9E00B9F2E0A9}" name="Energy Released (keV)" dataDxfId="17"/>
    <tableColumn id="3" xr3:uid="{E13CECD4-0F52-4DF9-BB50-510DFB21E39C}" name="n"/>
    <tableColumn id="4" xr3:uid="{42AFA52B-CD55-471D-91AB-45A7E07473A2}" name="A"/>
    <tableColumn id="5" xr3:uid="{38438A90-3A4A-4DEC-B8B3-F9612B05B5E1}" name="Some Factor">
      <calculatedColumnFormula>LN(1+D52)^2</calculatedColumnFormula>
    </tableColumn>
    <tableColumn id="6" xr3:uid="{5EBB91E9-6F68-4A67-8393-161EF46E80A1}" name="Cross Section" dataDxfId="16">
      <calculatedColumnFormula>10/(E52)</calculatedColumnFormula>
    </tableColumn>
    <tableColumn id="7" xr3:uid="{5F8C271E-C70C-4E84-8481-31595AEAE7C0}" name="pu">
      <calculatedColumnFormula>C52*mole/F52</calculatedColumnFormula>
    </tableColumn>
    <tableColumn id="8" xr3:uid="{7A590AAC-F93B-4CF1-BFBA-433E6CB5445F}" name="Heat Released (H)" dataDxfId="15">
      <calculatedColumnFormula>B52*keV_to_H/r_debuff</calculatedColumnFormula>
    </tableColumn>
    <tableColumn id="9" xr3:uid="{73C8FA4D-9E40-4DD0-9B9D-049BCD7F492F}" name="Amount (pu)" dataDxfId="14">
      <calculatedColumnFormula>ROUND(G52,4-(1+INT(LOG10(ABS(G52)))))</calculatedColumnFormula>
    </tableColumn>
    <tableColumn id="10" xr3:uid="{DE8792AC-003E-4F2A-B8A9-44E4F4E93EC0}" name="Default Beam Time (t)" dataDxfId="13">
      <calculatedColumnFormula>I52/I_b</calculatedColumnFormula>
    </tableColumn>
    <tableColumn id="11" xr3:uid="{817C5721-7FC3-4901-BD0A-AD06C0C5F540}" name="Default Beam Heat (H/t)" dataDxfId="12">
      <calculatedColumnFormula>H52/J52</calculatedColumnFormula>
    </tableColumn>
  </tableColumns>
  <tableStyleInfo name="TableStyleMedium1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92A6BC3-C1AE-4A31-BEE7-E61BCC6A2777}" name="CollisionRecipes" displayName="CollisionRecipes" ref="A12:F51" totalsRowShown="0" headerRowDxfId="11" headerRowBorderDxfId="10" headerRowCellStyle="Good">
  <autoFilter ref="A12:F51" xr:uid="{692A6BC3-C1AE-4A31-BEE7-E61BCC6A2777}"/>
  <tableColumns count="6">
    <tableColumn id="1" xr3:uid="{1DED891C-3682-4772-A136-EB5E29C0C7CB}" name="Reaction" dataDxfId="9"/>
    <tableColumn id="2" xr3:uid="{4ECFE731-AF9A-4A54-BE40-EAEC74829B26}" name="Min Focus"/>
    <tableColumn id="3" xr3:uid="{0EF5F372-C81B-4E1C-8A57-15E45DB05EC4}" name="Min Energy (keV)" dataDxfId="8"/>
    <tableColumn id="4" xr3:uid="{8DA6A647-4FFE-432C-9036-42C098FCC3D2}" name="Max energy (keV)" dataDxfId="7"/>
    <tableColumn id="5" xr3:uid="{C6F99542-A7AA-43E2-B63A-345BECAB6C1D}" name="Cross Section" dataDxfId="6"/>
    <tableColumn id="6" xr3:uid="{1502E968-B14C-4EBD-B45E-5012CCA96AA6}" name="Energy Released (keV)" dataDxfId="5"/>
  </tableColumns>
  <tableStyleInfo name="TableStyleMedium1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52BA8EB-742F-4F73-AE98-D58B1127C531}" name="DecayRecipes" displayName="DecayRecipes" ref="A15:F49" totalsRowShown="0" headerRowDxfId="4" headerRowBorderDxfId="3" headerRowCellStyle="Good">
  <autoFilter ref="A15:F49" xr:uid="{B52BA8EB-742F-4F73-AE98-D58B1127C531}"/>
  <tableColumns count="6">
    <tableColumn id="1" xr3:uid="{CD3066D4-A592-40C9-A9AC-C5EEC6F35FA1}" name="Reaction"/>
    <tableColumn id="2" xr3:uid="{32FCED77-1DF9-4182-94DA-B059148B955E}" name="Min Focus"/>
    <tableColumn id="3" xr3:uid="{AA194BFF-AC14-4404-997D-89896C5AB95C}" name="Min Energy (keV)"/>
    <tableColumn id="4" xr3:uid="{B6122DB3-A8C2-4DDE-80CB-B003B11A43E1}" name="Max energy (keV)"/>
    <tableColumn id="5" xr3:uid="{62341072-6323-400B-800F-E16A1967E6F8}" name="Cross Section" dataDxfId="2"/>
    <tableColumn id="6" xr3:uid="{4EE3517B-B3A0-4D71-9D6D-26931195FE47}" name="Energy Released (keV)" dataDxfId="1"/>
  </tableColumns>
  <tableStyleInfo name="TableStyleMedium14"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CAAC8BB-EB28-4086-A33E-676890735B02}" name="LiquefierRecipes" displayName="LiquefierRecipes" ref="A11:H18" totalsRowShown="0" headerRowCellStyle="Good">
  <autoFilter ref="A11:H18" xr:uid="{BCAAC8BB-EB28-4086-A33E-676890735B02}"/>
  <tableColumns count="8">
    <tableColumn id="1" xr3:uid="{C3454419-8964-40C0-889F-06FD6A85905C}" name="Recipe"/>
    <tableColumn id="2" xr3:uid="{BF0560EA-D8BB-4C44-86D2-F433E06FF01E}" name="Input amount (mB)"/>
    <tableColumn id="3" xr3:uid="{18D8E340-071A-419D-81BE-99408A904F46}" name="Output amount (mB)"/>
    <tableColumn id="4" xr3:uid="{7066B744-8EA1-4E5C-93DA-ED49727EABB8}" name="Base RF (RF)"/>
    <tableColumn id="5" xr3:uid="{8BE749F1-F0B2-4041-A166-941EEF1B0EEB}" name="Base Heat (H)"/>
    <tableColumn id="6" xr3:uid="{556286BA-0850-4CBD-8DCF-1BC3F33F407B}" name="Inversion Temperature (K)"/>
    <tableColumn id="7" xr3:uid="{5B4A19C4-B9FB-4195-A574-B7E7DF388528}" name="Hot Gas Temperature (K)"/>
    <tableColumn id="8" xr3:uid="{C7E75303-4BC5-451D-A2C6-E4768549054F}" name="Pressure Coefficient"/>
  </tableColumns>
  <tableStyleInfo name="TableStyleMedium14"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48FCEDE-C23A-4019-AE31-1EF266DEB33D}" name="LiquefierCoolantRecipes" displayName="LiquefierCoolantRecipes" ref="A22:F27" totalsRowShown="0" headerRowDxfId="0" headerRowCellStyle="Good">
  <autoFilter ref="A22:F27" xr:uid="{648FCEDE-C23A-4019-AE31-1EF266DEB33D}"/>
  <tableColumns count="6">
    <tableColumn id="1" xr3:uid="{E3586C1E-F32D-49CD-8E2A-7450B1CFC0BC}" name="Recipe"/>
    <tableColumn id="2" xr3:uid="{4E92DE6F-50D7-45F6-95FA-9D126BE76BFA}" name="Input amount (mB)"/>
    <tableColumn id="3" xr3:uid="{37B76284-0162-4FC1-9BF7-6A73091B0CF8}" name="Output amount (mB)"/>
    <tableColumn id="4" xr3:uid="{D5F68CC6-5516-4A36-B082-C6CF89279E8D}" name="Heat (H)"/>
    <tableColumn id="5" xr3:uid="{ADA520B3-4235-4FB1-A6FB-3B5CD9EC50C5}" name="Input Temperature (K)"/>
    <tableColumn id="6" xr3:uid="{BA3EDF62-8F2B-4CDB-B671-D35147018993}" name="Output Temperature (K)"/>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2.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A849-D9D2-44B0-BEDD-C52A8AF8C6AD}">
  <dimension ref="A1:R68"/>
  <sheetViews>
    <sheetView tabSelected="1" workbookViewId="0">
      <selection activeCell="A10" sqref="A10:J12"/>
    </sheetView>
  </sheetViews>
  <sheetFormatPr defaultRowHeight="14.6" x14ac:dyDescent="0.4"/>
  <cols>
    <col min="1" max="1" width="16.69140625" bestFit="1" customWidth="1"/>
    <col min="13" max="13" width="13.07421875" bestFit="1" customWidth="1"/>
    <col min="14" max="14" width="18.61328125" bestFit="1" customWidth="1"/>
    <col min="15" max="15" width="13" bestFit="1" customWidth="1"/>
    <col min="16" max="16" width="12.4609375" bestFit="1" customWidth="1"/>
    <col min="17" max="18" width="21.15234375" bestFit="1" customWidth="1"/>
    <col min="20" max="20" width="21.15234375" bestFit="1" customWidth="1"/>
  </cols>
  <sheetData>
    <row r="1" spans="1:18" ht="14.6" customHeight="1" x14ac:dyDescent="0.4">
      <c r="A1" s="85" t="s">
        <v>1227</v>
      </c>
      <c r="B1" s="85"/>
      <c r="C1" s="85"/>
      <c r="D1" s="85"/>
      <c r="E1" s="85"/>
      <c r="F1" s="85"/>
      <c r="G1" s="85"/>
      <c r="H1" s="85"/>
      <c r="I1" s="85"/>
      <c r="J1" s="85"/>
      <c r="M1" s="86" t="s">
        <v>1228</v>
      </c>
      <c r="N1" s="86"/>
      <c r="O1" s="86"/>
      <c r="P1" s="86"/>
      <c r="Q1" s="86"/>
      <c r="R1" s="86"/>
    </row>
    <row r="2" spans="1:18" ht="14.6" customHeight="1" x14ac:dyDescent="0.4">
      <c r="A2" s="85"/>
      <c r="B2" s="85"/>
      <c r="C2" s="85"/>
      <c r="D2" s="85"/>
      <c r="E2" s="85"/>
      <c r="F2" s="85"/>
      <c r="G2" s="85"/>
      <c r="H2" s="85"/>
      <c r="I2" s="85"/>
      <c r="J2" s="85"/>
      <c r="M2" s="86"/>
      <c r="N2" s="86"/>
      <c r="O2" s="86"/>
      <c r="P2" s="86"/>
      <c r="Q2" s="86"/>
      <c r="R2" s="86"/>
    </row>
    <row r="3" spans="1:18" ht="14.6" customHeight="1" x14ac:dyDescent="0.4">
      <c r="A3" s="78" t="s">
        <v>1375</v>
      </c>
      <c r="B3" s="78"/>
      <c r="C3" s="78"/>
      <c r="D3" s="78"/>
      <c r="E3" s="78"/>
      <c r="F3" s="78"/>
      <c r="G3" s="78"/>
      <c r="H3" s="78"/>
      <c r="I3" s="78"/>
      <c r="J3" s="78"/>
      <c r="M3" s="32" t="s">
        <v>980</v>
      </c>
      <c r="N3" s="32" t="s">
        <v>306</v>
      </c>
      <c r="O3" s="62" t="s">
        <v>1229</v>
      </c>
      <c r="P3" s="63" t="s">
        <v>320</v>
      </c>
      <c r="Q3" s="63" t="s">
        <v>307</v>
      </c>
      <c r="R3" s="64" t="s">
        <v>982</v>
      </c>
    </row>
    <row r="4" spans="1:18" x14ac:dyDescent="0.4">
      <c r="A4" s="75"/>
      <c r="B4" s="75"/>
      <c r="C4" s="75"/>
      <c r="D4" s="75"/>
      <c r="E4" s="75"/>
      <c r="F4" s="75"/>
      <c r="G4" s="75"/>
      <c r="H4" s="75"/>
      <c r="I4" s="75"/>
      <c r="J4" s="75"/>
      <c r="M4">
        <v>0</v>
      </c>
      <c r="N4" t="s">
        <v>832</v>
      </c>
      <c r="P4">
        <v>0</v>
      </c>
      <c r="Q4">
        <v>0</v>
      </c>
      <c r="R4">
        <v>0</v>
      </c>
    </row>
    <row r="5" spans="1:18" x14ac:dyDescent="0.4">
      <c r="A5" s="75"/>
      <c r="B5" s="75"/>
      <c r="C5" s="75"/>
      <c r="D5" s="75"/>
      <c r="E5" s="75"/>
      <c r="F5" s="75"/>
      <c r="G5" s="75"/>
      <c r="H5" s="75"/>
      <c r="I5" s="75"/>
      <c r="J5" s="75"/>
      <c r="M5">
        <v>1</v>
      </c>
      <c r="N5" t="s">
        <v>345</v>
      </c>
      <c r="O5" t="s">
        <v>1230</v>
      </c>
      <c r="P5">
        <v>938.27208943000005</v>
      </c>
      <c r="Q5">
        <v>1</v>
      </c>
      <c r="R5">
        <f t="shared" ref="R5:R30" si="0">ROUND(P5,3-(1+INT(LOG10(ABS(P5)))))</f>
        <v>938</v>
      </c>
    </row>
    <row r="6" spans="1:18" x14ac:dyDescent="0.4">
      <c r="A6" s="75"/>
      <c r="B6" s="75"/>
      <c r="C6" s="75"/>
      <c r="D6" s="75"/>
      <c r="E6" s="75"/>
      <c r="F6" s="75"/>
      <c r="G6" s="75"/>
      <c r="H6" s="75"/>
      <c r="I6" s="75"/>
      <c r="J6" s="75"/>
      <c r="M6">
        <v>2</v>
      </c>
      <c r="N6" t="s">
        <v>347</v>
      </c>
      <c r="O6" t="s">
        <v>255</v>
      </c>
      <c r="P6">
        <v>939.56541330000005</v>
      </c>
      <c r="Q6">
        <v>0</v>
      </c>
      <c r="R6">
        <f t="shared" si="0"/>
        <v>940</v>
      </c>
    </row>
    <row r="7" spans="1:18" x14ac:dyDescent="0.4">
      <c r="A7" s="75"/>
      <c r="B7" s="75"/>
      <c r="C7" s="75"/>
      <c r="D7" s="75"/>
      <c r="E7" s="75"/>
      <c r="F7" s="75"/>
      <c r="G7" s="75"/>
      <c r="H7" s="75"/>
      <c r="I7" s="75"/>
      <c r="J7" s="75"/>
      <c r="M7">
        <v>3</v>
      </c>
      <c r="N7" t="s">
        <v>338</v>
      </c>
      <c r="O7" t="s">
        <v>1231</v>
      </c>
      <c r="P7">
        <v>1875.6129450000001</v>
      </c>
      <c r="Q7">
        <v>1</v>
      </c>
      <c r="R7">
        <f t="shared" si="0"/>
        <v>1880</v>
      </c>
    </row>
    <row r="8" spans="1:18" x14ac:dyDescent="0.4">
      <c r="A8" s="75"/>
      <c r="B8" s="75"/>
      <c r="C8" s="75"/>
      <c r="D8" s="75"/>
      <c r="E8" s="75"/>
      <c r="F8" s="75"/>
      <c r="G8" s="75"/>
      <c r="H8" s="75"/>
      <c r="I8" s="75"/>
      <c r="J8" s="75"/>
      <c r="M8">
        <v>4</v>
      </c>
      <c r="N8" t="s">
        <v>1009</v>
      </c>
      <c r="O8" t="s">
        <v>1232</v>
      </c>
      <c r="P8">
        <v>2808.9207345548002</v>
      </c>
      <c r="Q8">
        <v>1</v>
      </c>
      <c r="R8">
        <f t="shared" si="0"/>
        <v>2810</v>
      </c>
    </row>
    <row r="9" spans="1:18" x14ac:dyDescent="0.4">
      <c r="M9">
        <v>5</v>
      </c>
      <c r="N9" t="s">
        <v>340</v>
      </c>
      <c r="O9" t="s">
        <v>1233</v>
      </c>
      <c r="P9">
        <v>2808.3912199725401</v>
      </c>
      <c r="Q9">
        <v>2</v>
      </c>
      <c r="R9">
        <f t="shared" si="0"/>
        <v>2810</v>
      </c>
    </row>
    <row r="10" spans="1:18" ht="14.6" customHeight="1" x14ac:dyDescent="0.4">
      <c r="A10" s="77" t="s">
        <v>1014</v>
      </c>
      <c r="B10" s="78"/>
      <c r="C10" s="78"/>
      <c r="D10" s="78"/>
      <c r="E10" s="78"/>
      <c r="F10" s="78"/>
      <c r="G10" s="78"/>
      <c r="H10" s="78"/>
      <c r="I10" s="78"/>
      <c r="J10" s="79"/>
      <c r="M10">
        <v>6</v>
      </c>
      <c r="N10" t="s">
        <v>342</v>
      </c>
      <c r="O10" t="s">
        <v>1239</v>
      </c>
      <c r="P10">
        <v>3727.3794118000001</v>
      </c>
      <c r="Q10">
        <v>2</v>
      </c>
      <c r="R10">
        <f t="shared" si="0"/>
        <v>3730</v>
      </c>
    </row>
    <row r="11" spans="1:18" x14ac:dyDescent="0.4">
      <c r="A11" s="80"/>
      <c r="B11" s="75"/>
      <c r="C11" s="75"/>
      <c r="D11" s="75"/>
      <c r="E11" s="75"/>
      <c r="F11" s="75"/>
      <c r="G11" s="75"/>
      <c r="H11" s="75"/>
      <c r="I11" s="75"/>
      <c r="J11" s="81"/>
      <c r="M11">
        <v>7</v>
      </c>
      <c r="N11" t="s">
        <v>344</v>
      </c>
      <c r="O11" t="s">
        <v>1240</v>
      </c>
      <c r="P11">
        <v>10252.5467124795</v>
      </c>
      <c r="Q11">
        <v>1</v>
      </c>
      <c r="R11">
        <f t="shared" si="0"/>
        <v>10300</v>
      </c>
    </row>
    <row r="12" spans="1:18" x14ac:dyDescent="0.4">
      <c r="A12" s="82"/>
      <c r="B12" s="83"/>
      <c r="C12" s="83"/>
      <c r="D12" s="83"/>
      <c r="E12" s="83"/>
      <c r="F12" s="83"/>
      <c r="G12" s="83"/>
      <c r="H12" s="83"/>
      <c r="I12" s="83"/>
      <c r="J12" s="84"/>
      <c r="M12">
        <v>8</v>
      </c>
      <c r="N12" t="s">
        <v>1010</v>
      </c>
      <c r="O12" t="s">
        <v>1241</v>
      </c>
      <c r="P12">
        <v>44657.267387212596</v>
      </c>
      <c r="Q12">
        <v>1</v>
      </c>
      <c r="R12">
        <f t="shared" si="0"/>
        <v>44700</v>
      </c>
    </row>
    <row r="13" spans="1:18" x14ac:dyDescent="0.4">
      <c r="M13">
        <v>9</v>
      </c>
      <c r="N13" t="s">
        <v>321</v>
      </c>
      <c r="O13" t="s">
        <v>1236</v>
      </c>
      <c r="P13">
        <v>0.51099895069000001</v>
      </c>
      <c r="Q13">
        <v>-1</v>
      </c>
      <c r="R13">
        <f t="shared" si="0"/>
        <v>0.51100000000000001</v>
      </c>
    </row>
    <row r="14" spans="1:18" x14ac:dyDescent="0.4">
      <c r="A14" s="2" t="s">
        <v>1013</v>
      </c>
      <c r="M14">
        <v>10</v>
      </c>
      <c r="N14" t="s">
        <v>323</v>
      </c>
      <c r="O14" t="s">
        <v>1242</v>
      </c>
      <c r="P14">
        <v>1.1999999999999999E-7</v>
      </c>
      <c r="Q14">
        <v>0</v>
      </c>
      <c r="R14">
        <f t="shared" si="0"/>
        <v>1.1999999999999999E-7</v>
      </c>
    </row>
    <row r="15" spans="1:18" ht="14.6" customHeight="1" x14ac:dyDescent="0.4">
      <c r="M15">
        <v>11</v>
      </c>
      <c r="N15" t="s">
        <v>325</v>
      </c>
      <c r="O15" t="s">
        <v>1243</v>
      </c>
      <c r="P15">
        <v>105.65837550000001</v>
      </c>
      <c r="Q15">
        <v>-1</v>
      </c>
      <c r="R15">
        <f t="shared" si="0"/>
        <v>106</v>
      </c>
    </row>
    <row r="16" spans="1:18" x14ac:dyDescent="0.4">
      <c r="A16" s="76" t="s">
        <v>1285</v>
      </c>
      <c r="B16" s="76"/>
      <c r="C16" s="76"/>
      <c r="D16" s="76"/>
      <c r="E16" s="76"/>
      <c r="F16" s="76"/>
      <c r="G16" s="76"/>
      <c r="H16" s="76"/>
      <c r="I16" s="76"/>
      <c r="J16" s="76"/>
      <c r="M16">
        <v>12</v>
      </c>
      <c r="N16" t="s">
        <v>327</v>
      </c>
      <c r="O16" t="s">
        <v>1244</v>
      </c>
      <c r="P16">
        <v>1.1999999999999999E-7</v>
      </c>
      <c r="Q16">
        <v>0</v>
      </c>
      <c r="R16">
        <f t="shared" si="0"/>
        <v>1.1999999999999999E-7</v>
      </c>
    </row>
    <row r="17" spans="1:18" x14ac:dyDescent="0.4">
      <c r="A17" s="76"/>
      <c r="B17" s="76"/>
      <c r="C17" s="76"/>
      <c r="D17" s="76"/>
      <c r="E17" s="76"/>
      <c r="F17" s="76"/>
      <c r="G17" s="76"/>
      <c r="H17" s="76"/>
      <c r="I17" s="76"/>
      <c r="J17" s="76"/>
      <c r="M17">
        <v>13</v>
      </c>
      <c r="N17" t="s">
        <v>329</v>
      </c>
      <c r="O17" t="s">
        <v>1245</v>
      </c>
      <c r="P17">
        <v>1776.86</v>
      </c>
      <c r="Q17">
        <v>-1</v>
      </c>
      <c r="R17">
        <f t="shared" si="0"/>
        <v>1780</v>
      </c>
    </row>
    <row r="18" spans="1:18" x14ac:dyDescent="0.4">
      <c r="A18" s="76"/>
      <c r="B18" s="76"/>
      <c r="C18" s="76"/>
      <c r="D18" s="76"/>
      <c r="E18" s="76"/>
      <c r="F18" s="76"/>
      <c r="G18" s="76"/>
      <c r="H18" s="76"/>
      <c r="I18" s="76"/>
      <c r="J18" s="76"/>
      <c r="M18">
        <v>14</v>
      </c>
      <c r="N18" t="s">
        <v>331</v>
      </c>
      <c r="O18" t="s">
        <v>1246</v>
      </c>
      <c r="P18">
        <v>1.1999999999999999E-7</v>
      </c>
      <c r="Q18">
        <v>0</v>
      </c>
      <c r="R18">
        <f t="shared" si="0"/>
        <v>1.1999999999999999E-7</v>
      </c>
    </row>
    <row r="19" spans="1:18" x14ac:dyDescent="0.4">
      <c r="A19" s="76"/>
      <c r="B19" s="76"/>
      <c r="C19" s="76"/>
      <c r="D19" s="76"/>
      <c r="E19" s="76"/>
      <c r="F19" s="76"/>
      <c r="G19" s="76"/>
      <c r="H19" s="76"/>
      <c r="I19" s="76"/>
      <c r="J19" s="76"/>
      <c r="M19">
        <v>15</v>
      </c>
      <c r="N19" t="s">
        <v>322</v>
      </c>
      <c r="O19" t="s">
        <v>1247</v>
      </c>
      <c r="P19">
        <v>0.51099895069000001</v>
      </c>
      <c r="Q19">
        <v>1</v>
      </c>
      <c r="R19">
        <f t="shared" si="0"/>
        <v>0.51100000000000001</v>
      </c>
    </row>
    <row r="20" spans="1:18" x14ac:dyDescent="0.4">
      <c r="A20" s="76"/>
      <c r="B20" s="76"/>
      <c r="C20" s="76"/>
      <c r="D20" s="76"/>
      <c r="E20" s="76"/>
      <c r="F20" s="76"/>
      <c r="G20" s="76"/>
      <c r="H20" s="76"/>
      <c r="I20" s="76"/>
      <c r="J20" s="76"/>
      <c r="M20">
        <v>16</v>
      </c>
      <c r="N20" t="s">
        <v>324</v>
      </c>
      <c r="O20" t="s">
        <v>1248</v>
      </c>
      <c r="P20">
        <v>1.1999999999999999E-7</v>
      </c>
      <c r="Q20">
        <v>0</v>
      </c>
      <c r="R20">
        <f t="shared" si="0"/>
        <v>1.1999999999999999E-7</v>
      </c>
    </row>
    <row r="21" spans="1:18" x14ac:dyDescent="0.4">
      <c r="A21" s="76"/>
      <c r="B21" s="76"/>
      <c r="C21" s="76"/>
      <c r="D21" s="76"/>
      <c r="E21" s="76"/>
      <c r="F21" s="76"/>
      <c r="G21" s="76"/>
      <c r="H21" s="76"/>
      <c r="I21" s="76"/>
      <c r="J21" s="76"/>
      <c r="M21">
        <v>17</v>
      </c>
      <c r="N21" t="s">
        <v>326</v>
      </c>
      <c r="O21" t="s">
        <v>1249</v>
      </c>
      <c r="P21">
        <v>105.65837550000001</v>
      </c>
      <c r="Q21">
        <v>1</v>
      </c>
      <c r="R21">
        <f t="shared" si="0"/>
        <v>106</v>
      </c>
    </row>
    <row r="22" spans="1:18" x14ac:dyDescent="0.4">
      <c r="A22" s="76"/>
      <c r="B22" s="76"/>
      <c r="C22" s="76"/>
      <c r="D22" s="76"/>
      <c r="E22" s="76"/>
      <c r="F22" s="76"/>
      <c r="G22" s="76"/>
      <c r="H22" s="76"/>
      <c r="I22" s="76"/>
      <c r="J22" s="76"/>
      <c r="M22">
        <v>18</v>
      </c>
      <c r="N22" t="s">
        <v>328</v>
      </c>
      <c r="O22" t="s">
        <v>1250</v>
      </c>
      <c r="P22">
        <v>1.1999999999999999E-7</v>
      </c>
      <c r="Q22">
        <v>0</v>
      </c>
      <c r="R22">
        <f t="shared" si="0"/>
        <v>1.1999999999999999E-7</v>
      </c>
    </row>
    <row r="23" spans="1:18" x14ac:dyDescent="0.4">
      <c r="A23" s="76"/>
      <c r="B23" s="76"/>
      <c r="C23" s="76"/>
      <c r="D23" s="76"/>
      <c r="E23" s="76"/>
      <c r="F23" s="76"/>
      <c r="G23" s="76"/>
      <c r="H23" s="76"/>
      <c r="I23" s="76"/>
      <c r="J23" s="76"/>
      <c r="M23">
        <v>19</v>
      </c>
      <c r="N23" t="s">
        <v>330</v>
      </c>
      <c r="O23" t="s">
        <v>1251</v>
      </c>
      <c r="P23">
        <v>1776.86</v>
      </c>
      <c r="Q23">
        <v>1</v>
      </c>
      <c r="R23">
        <f t="shared" si="0"/>
        <v>1780</v>
      </c>
    </row>
    <row r="24" spans="1:18" x14ac:dyDescent="0.4">
      <c r="A24" s="76"/>
      <c r="B24" s="76"/>
      <c r="C24" s="76"/>
      <c r="D24" s="76"/>
      <c r="E24" s="76"/>
      <c r="F24" s="76"/>
      <c r="G24" s="76"/>
      <c r="H24" s="76"/>
      <c r="I24" s="76"/>
      <c r="J24" s="76"/>
      <c r="M24">
        <v>20</v>
      </c>
      <c r="N24" t="s">
        <v>332</v>
      </c>
      <c r="O24" t="s">
        <v>1252</v>
      </c>
      <c r="P24">
        <v>1.1999999999999999E-7</v>
      </c>
      <c r="Q24">
        <v>0</v>
      </c>
      <c r="R24">
        <f t="shared" si="0"/>
        <v>1.1999999999999999E-7</v>
      </c>
    </row>
    <row r="25" spans="1:18" x14ac:dyDescent="0.4">
      <c r="A25" s="61"/>
      <c r="B25" s="61"/>
      <c r="C25" s="61"/>
      <c r="D25" s="61"/>
      <c r="E25" s="61"/>
      <c r="F25" s="61"/>
      <c r="G25" s="61"/>
      <c r="H25" s="61"/>
      <c r="I25" s="61"/>
      <c r="J25" s="61"/>
      <c r="M25">
        <v>21</v>
      </c>
      <c r="N25" t="s">
        <v>346</v>
      </c>
      <c r="O25" t="s">
        <v>1253</v>
      </c>
      <c r="P25">
        <v>938.27208943000005</v>
      </c>
      <c r="Q25">
        <v>-1</v>
      </c>
      <c r="R25">
        <f t="shared" si="0"/>
        <v>938</v>
      </c>
    </row>
    <row r="26" spans="1:18" x14ac:dyDescent="0.4">
      <c r="M26">
        <v>22</v>
      </c>
      <c r="N26" t="s">
        <v>348</v>
      </c>
      <c r="O26" t="s">
        <v>1254</v>
      </c>
      <c r="P26">
        <v>939.56541330000005</v>
      </c>
      <c r="Q26">
        <v>0</v>
      </c>
      <c r="R26">
        <f t="shared" si="0"/>
        <v>940</v>
      </c>
    </row>
    <row r="27" spans="1:18" x14ac:dyDescent="0.4">
      <c r="M27">
        <v>23</v>
      </c>
      <c r="N27" t="s">
        <v>339</v>
      </c>
      <c r="O27" t="s">
        <v>1255</v>
      </c>
      <c r="P27">
        <v>1875.6129450000001</v>
      </c>
      <c r="Q27">
        <v>-1</v>
      </c>
      <c r="R27">
        <f t="shared" si="0"/>
        <v>1880</v>
      </c>
    </row>
    <row r="28" spans="1:18" x14ac:dyDescent="0.4">
      <c r="M28">
        <v>24</v>
      </c>
      <c r="N28" t="s">
        <v>1012</v>
      </c>
      <c r="O28" t="s">
        <v>1256</v>
      </c>
      <c r="P28">
        <v>2808.9207345548002</v>
      </c>
      <c r="Q28">
        <v>-1</v>
      </c>
      <c r="R28">
        <f t="shared" si="0"/>
        <v>2810</v>
      </c>
    </row>
    <row r="29" spans="1:18" x14ac:dyDescent="0.4">
      <c r="M29">
        <v>25</v>
      </c>
      <c r="N29" t="s">
        <v>341</v>
      </c>
      <c r="O29" t="s">
        <v>1257</v>
      </c>
      <c r="P29">
        <v>2808.3912199725401</v>
      </c>
      <c r="Q29">
        <v>-2</v>
      </c>
      <c r="R29">
        <f t="shared" si="0"/>
        <v>2810</v>
      </c>
    </row>
    <row r="30" spans="1:18" x14ac:dyDescent="0.4">
      <c r="M30">
        <v>26</v>
      </c>
      <c r="N30" t="s">
        <v>343</v>
      </c>
      <c r="O30" t="s">
        <v>1258</v>
      </c>
      <c r="P30">
        <v>3727.3794118000001</v>
      </c>
      <c r="Q30">
        <v>-2</v>
      </c>
      <c r="R30">
        <f t="shared" si="0"/>
        <v>3730</v>
      </c>
    </row>
    <row r="31" spans="1:18" x14ac:dyDescent="0.4">
      <c r="M31">
        <v>27</v>
      </c>
      <c r="N31" t="s">
        <v>333</v>
      </c>
      <c r="O31" t="s">
        <v>1259</v>
      </c>
      <c r="P31">
        <v>0</v>
      </c>
      <c r="Q31">
        <v>0</v>
      </c>
      <c r="R31">
        <v>0</v>
      </c>
    </row>
    <row r="32" spans="1:18" x14ac:dyDescent="0.4">
      <c r="M32">
        <v>28</v>
      </c>
      <c r="N32" t="s">
        <v>335</v>
      </c>
      <c r="O32" t="s">
        <v>1262</v>
      </c>
      <c r="P32">
        <v>80385</v>
      </c>
      <c r="Q32">
        <v>1</v>
      </c>
      <c r="R32">
        <f>ROUND(P32,3-(1+INT(LOG10(ABS(P32)))))</f>
        <v>80400</v>
      </c>
    </row>
    <row r="33" spans="13:18" x14ac:dyDescent="0.4">
      <c r="M33">
        <v>29</v>
      </c>
      <c r="N33" t="s">
        <v>336</v>
      </c>
      <c r="O33" t="s">
        <v>1263</v>
      </c>
      <c r="P33">
        <v>80385</v>
      </c>
      <c r="Q33">
        <v>-1</v>
      </c>
      <c r="R33">
        <f>ROUND(P33,3-(1+INT(LOG10(ABS(P33)))))</f>
        <v>80400</v>
      </c>
    </row>
    <row r="34" spans="13:18" x14ac:dyDescent="0.4">
      <c r="M34">
        <v>30</v>
      </c>
      <c r="N34" t="s">
        <v>337</v>
      </c>
      <c r="O34" t="s">
        <v>1260</v>
      </c>
      <c r="P34">
        <v>91187.5</v>
      </c>
      <c r="Q34">
        <v>0</v>
      </c>
      <c r="R34">
        <f>ROUND(P34,3-(1+INT(LOG10(ABS(P34)))))</f>
        <v>91200</v>
      </c>
    </row>
    <row r="35" spans="13:18" x14ac:dyDescent="0.4">
      <c r="M35">
        <v>31</v>
      </c>
      <c r="N35" t="s">
        <v>334</v>
      </c>
      <c r="O35" t="s">
        <v>1237</v>
      </c>
      <c r="P35">
        <v>0</v>
      </c>
      <c r="Q35">
        <v>0</v>
      </c>
      <c r="R35">
        <v>0</v>
      </c>
    </row>
    <row r="36" spans="13:18" x14ac:dyDescent="0.4">
      <c r="M36">
        <v>32</v>
      </c>
      <c r="N36" t="s">
        <v>366</v>
      </c>
      <c r="O36" t="s">
        <v>1261</v>
      </c>
      <c r="P36">
        <v>1730</v>
      </c>
      <c r="Q36">
        <v>0</v>
      </c>
      <c r="R36">
        <f t="shared" ref="R36:R68" si="1">ROUND(P36,3-(1+INT(LOG10(ABS(P36)))))</f>
        <v>1730</v>
      </c>
    </row>
    <row r="37" spans="13:18" x14ac:dyDescent="0.4">
      <c r="M37">
        <v>33</v>
      </c>
      <c r="N37" t="s">
        <v>1011</v>
      </c>
      <c r="O37" t="s">
        <v>1238</v>
      </c>
      <c r="P37">
        <v>125090</v>
      </c>
      <c r="Q37">
        <v>0</v>
      </c>
      <c r="R37">
        <f t="shared" si="1"/>
        <v>125000</v>
      </c>
    </row>
    <row r="38" spans="13:18" x14ac:dyDescent="0.4">
      <c r="M38">
        <v>34</v>
      </c>
      <c r="N38" t="s">
        <v>355</v>
      </c>
      <c r="O38" t="s">
        <v>1264</v>
      </c>
      <c r="P38">
        <v>139.57017999999999</v>
      </c>
      <c r="Q38">
        <v>1</v>
      </c>
      <c r="R38">
        <f t="shared" si="1"/>
        <v>140</v>
      </c>
    </row>
    <row r="39" spans="13:18" x14ac:dyDescent="0.4">
      <c r="M39">
        <v>35</v>
      </c>
      <c r="N39" t="s">
        <v>356</v>
      </c>
      <c r="O39" t="s">
        <v>1265</v>
      </c>
      <c r="P39">
        <v>139.57017999999999</v>
      </c>
      <c r="Q39">
        <v>-1</v>
      </c>
      <c r="R39">
        <f t="shared" si="1"/>
        <v>140</v>
      </c>
    </row>
    <row r="40" spans="13:18" x14ac:dyDescent="0.4">
      <c r="M40">
        <v>36</v>
      </c>
      <c r="N40" t="s">
        <v>357</v>
      </c>
      <c r="O40" t="s">
        <v>1266</v>
      </c>
      <c r="P40">
        <v>134.97659999999999</v>
      </c>
      <c r="Q40">
        <v>0</v>
      </c>
      <c r="R40">
        <f t="shared" si="1"/>
        <v>135</v>
      </c>
    </row>
    <row r="41" spans="13:18" x14ac:dyDescent="0.4">
      <c r="M41">
        <v>37</v>
      </c>
      <c r="N41" t="s">
        <v>358</v>
      </c>
      <c r="O41" t="s">
        <v>1267</v>
      </c>
      <c r="P41">
        <v>493.67700000000002</v>
      </c>
      <c r="Q41">
        <v>1</v>
      </c>
      <c r="R41">
        <f t="shared" si="1"/>
        <v>494</v>
      </c>
    </row>
    <row r="42" spans="13:18" x14ac:dyDescent="0.4">
      <c r="M42">
        <v>38</v>
      </c>
      <c r="N42" t="s">
        <v>359</v>
      </c>
      <c r="O42" t="s">
        <v>1268</v>
      </c>
      <c r="P42">
        <v>493.67700000000002</v>
      </c>
      <c r="Q42">
        <v>-1</v>
      </c>
      <c r="R42">
        <f t="shared" si="1"/>
        <v>494</v>
      </c>
    </row>
    <row r="43" spans="13:18" x14ac:dyDescent="0.4">
      <c r="M43">
        <v>39</v>
      </c>
      <c r="N43" t="s">
        <v>360</v>
      </c>
      <c r="O43" t="s">
        <v>1269</v>
      </c>
      <c r="P43">
        <v>497.61399999999998</v>
      </c>
      <c r="Q43">
        <v>0</v>
      </c>
      <c r="R43">
        <f t="shared" si="1"/>
        <v>498</v>
      </c>
    </row>
    <row r="44" spans="13:18" x14ac:dyDescent="0.4">
      <c r="M44">
        <v>40</v>
      </c>
      <c r="N44" t="s">
        <v>361</v>
      </c>
      <c r="O44" t="s">
        <v>1270</v>
      </c>
      <c r="P44">
        <v>497.61399999999998</v>
      </c>
      <c r="Q44">
        <v>0</v>
      </c>
      <c r="R44">
        <f t="shared" si="1"/>
        <v>498</v>
      </c>
    </row>
    <row r="45" spans="13:18" x14ac:dyDescent="0.4">
      <c r="M45">
        <v>41</v>
      </c>
      <c r="N45" t="s">
        <v>362</v>
      </c>
      <c r="O45" t="s">
        <v>1271</v>
      </c>
      <c r="P45">
        <v>547.86199999999997</v>
      </c>
      <c r="Q45">
        <v>0</v>
      </c>
      <c r="R45">
        <f t="shared" si="1"/>
        <v>548</v>
      </c>
    </row>
    <row r="46" spans="13:18" x14ac:dyDescent="0.4">
      <c r="M46">
        <v>42</v>
      </c>
      <c r="N46" t="s">
        <v>363</v>
      </c>
      <c r="O46" t="s">
        <v>1272</v>
      </c>
      <c r="P46">
        <v>957.78</v>
      </c>
      <c r="Q46">
        <v>0</v>
      </c>
      <c r="R46">
        <f t="shared" si="1"/>
        <v>958</v>
      </c>
    </row>
    <row r="47" spans="13:18" x14ac:dyDescent="0.4">
      <c r="M47">
        <v>43</v>
      </c>
      <c r="N47" t="s">
        <v>364</v>
      </c>
      <c r="O47" t="s">
        <v>1273</v>
      </c>
      <c r="P47">
        <v>2983.6</v>
      </c>
      <c r="Q47">
        <v>0</v>
      </c>
      <c r="R47">
        <f t="shared" si="1"/>
        <v>2980</v>
      </c>
    </row>
    <row r="48" spans="13:18" x14ac:dyDescent="0.4">
      <c r="M48">
        <v>44</v>
      </c>
      <c r="N48" t="s">
        <v>365</v>
      </c>
      <c r="O48" t="s">
        <v>1274</v>
      </c>
      <c r="P48">
        <v>9398</v>
      </c>
      <c r="Q48">
        <v>0</v>
      </c>
      <c r="R48">
        <f t="shared" si="1"/>
        <v>9400</v>
      </c>
    </row>
    <row r="49" spans="13:18" x14ac:dyDescent="0.4">
      <c r="M49">
        <v>45</v>
      </c>
      <c r="N49" t="s">
        <v>353</v>
      </c>
      <c r="O49" t="s">
        <v>1218</v>
      </c>
      <c r="P49">
        <v>1232</v>
      </c>
      <c r="Q49">
        <v>2</v>
      </c>
      <c r="R49">
        <f t="shared" si="1"/>
        <v>1230</v>
      </c>
    </row>
    <row r="50" spans="13:18" x14ac:dyDescent="0.4">
      <c r="M50">
        <v>46</v>
      </c>
      <c r="N50" t="s">
        <v>354</v>
      </c>
      <c r="O50" t="s">
        <v>1221</v>
      </c>
      <c r="P50">
        <v>1232</v>
      </c>
      <c r="Q50">
        <v>-1</v>
      </c>
      <c r="R50">
        <f t="shared" si="1"/>
        <v>1230</v>
      </c>
    </row>
    <row r="51" spans="13:18" x14ac:dyDescent="0.4">
      <c r="M51">
        <v>47</v>
      </c>
      <c r="N51" t="s">
        <v>349</v>
      </c>
      <c r="O51" t="s">
        <v>1212</v>
      </c>
      <c r="P51">
        <v>1189.3699999999999</v>
      </c>
      <c r="Q51">
        <v>1</v>
      </c>
      <c r="R51">
        <f t="shared" si="1"/>
        <v>1190</v>
      </c>
    </row>
    <row r="52" spans="13:18" x14ac:dyDescent="0.4">
      <c r="M52">
        <v>48</v>
      </c>
      <c r="N52" t="s">
        <v>351</v>
      </c>
      <c r="O52" t="s">
        <v>1215</v>
      </c>
      <c r="P52">
        <v>1197.4490000000001</v>
      </c>
      <c r="Q52">
        <v>-1</v>
      </c>
      <c r="R52">
        <f t="shared" si="1"/>
        <v>1200</v>
      </c>
    </row>
    <row r="53" spans="13:18" x14ac:dyDescent="0.4">
      <c r="M53">
        <v>49</v>
      </c>
      <c r="N53" t="s">
        <v>402</v>
      </c>
      <c r="O53" t="s">
        <v>1275</v>
      </c>
      <c r="P53">
        <v>1232</v>
      </c>
      <c r="Q53">
        <v>-2</v>
      </c>
      <c r="R53">
        <f t="shared" si="1"/>
        <v>1230</v>
      </c>
    </row>
    <row r="54" spans="13:18" x14ac:dyDescent="0.4">
      <c r="M54">
        <v>50</v>
      </c>
      <c r="N54" t="s">
        <v>401</v>
      </c>
      <c r="O54" t="s">
        <v>1276</v>
      </c>
      <c r="P54">
        <v>1232</v>
      </c>
      <c r="Q54">
        <v>1</v>
      </c>
      <c r="R54">
        <f t="shared" si="1"/>
        <v>1230</v>
      </c>
    </row>
    <row r="55" spans="13:18" x14ac:dyDescent="0.4">
      <c r="M55">
        <v>51</v>
      </c>
      <c r="N55" t="s">
        <v>350</v>
      </c>
      <c r="O55" t="s">
        <v>1277</v>
      </c>
      <c r="P55">
        <v>1189.3699999999999</v>
      </c>
      <c r="Q55">
        <v>-1</v>
      </c>
      <c r="R55">
        <f t="shared" si="1"/>
        <v>1190</v>
      </c>
    </row>
    <row r="56" spans="13:18" x14ac:dyDescent="0.4">
      <c r="M56">
        <v>52</v>
      </c>
      <c r="N56" t="s">
        <v>352</v>
      </c>
      <c r="O56" t="s">
        <v>1278</v>
      </c>
      <c r="P56">
        <v>1197.4490000000001</v>
      </c>
      <c r="Q56">
        <v>1</v>
      </c>
      <c r="R56">
        <f t="shared" si="1"/>
        <v>1200</v>
      </c>
    </row>
    <row r="57" spans="13:18" x14ac:dyDescent="0.4">
      <c r="M57">
        <v>53</v>
      </c>
      <c r="N57" t="s">
        <v>308</v>
      </c>
      <c r="O57" t="s">
        <v>1279</v>
      </c>
      <c r="P57">
        <v>2.16</v>
      </c>
      <c r="Q57">
        <v>0.66666666666666663</v>
      </c>
      <c r="R57">
        <f t="shared" si="1"/>
        <v>2.16</v>
      </c>
    </row>
    <row r="58" spans="13:18" x14ac:dyDescent="0.4">
      <c r="M58">
        <v>54</v>
      </c>
      <c r="N58" t="s">
        <v>310</v>
      </c>
      <c r="O58" t="s">
        <v>1231</v>
      </c>
      <c r="P58">
        <v>4.7</v>
      </c>
      <c r="Q58">
        <f>-1/3</f>
        <v>-0.33333333333333331</v>
      </c>
      <c r="R58">
        <f t="shared" si="1"/>
        <v>4.7</v>
      </c>
    </row>
    <row r="59" spans="13:18" x14ac:dyDescent="0.4">
      <c r="M59">
        <v>55</v>
      </c>
      <c r="N59" t="s">
        <v>312</v>
      </c>
      <c r="O59" t="s">
        <v>1235</v>
      </c>
      <c r="P59">
        <v>1273</v>
      </c>
      <c r="Q59">
        <v>0.66666666666666663</v>
      </c>
      <c r="R59">
        <f t="shared" si="1"/>
        <v>1270</v>
      </c>
    </row>
    <row r="60" spans="13:18" x14ac:dyDescent="0.4">
      <c r="M60">
        <v>56</v>
      </c>
      <c r="N60" t="s">
        <v>314</v>
      </c>
      <c r="O60" t="s">
        <v>1280</v>
      </c>
      <c r="P60">
        <v>93.5</v>
      </c>
      <c r="Q60">
        <f>-1/3</f>
        <v>-0.33333333333333331</v>
      </c>
      <c r="R60">
        <f t="shared" si="1"/>
        <v>93.5</v>
      </c>
    </row>
    <row r="61" spans="13:18" x14ac:dyDescent="0.4">
      <c r="M61">
        <v>57</v>
      </c>
      <c r="N61" t="s">
        <v>316</v>
      </c>
      <c r="O61" t="s">
        <v>1232</v>
      </c>
      <c r="P61">
        <v>172570</v>
      </c>
      <c r="Q61">
        <v>0.66666666666666663</v>
      </c>
      <c r="R61">
        <f t="shared" si="1"/>
        <v>173000</v>
      </c>
    </row>
    <row r="62" spans="13:18" x14ac:dyDescent="0.4">
      <c r="M62">
        <v>58</v>
      </c>
      <c r="N62" t="s">
        <v>318</v>
      </c>
      <c r="O62" t="s">
        <v>1234</v>
      </c>
      <c r="P62">
        <v>4183</v>
      </c>
      <c r="Q62">
        <f>-1/3</f>
        <v>-0.33333333333333331</v>
      </c>
      <c r="R62">
        <f t="shared" si="1"/>
        <v>4180</v>
      </c>
    </row>
    <row r="63" spans="13:18" x14ac:dyDescent="0.4">
      <c r="M63">
        <v>59</v>
      </c>
      <c r="N63" t="s">
        <v>309</v>
      </c>
      <c r="O63" t="s">
        <v>1284</v>
      </c>
      <c r="P63">
        <v>2.16</v>
      </c>
      <c r="Q63">
        <f>-2/3</f>
        <v>-0.66666666666666663</v>
      </c>
      <c r="R63">
        <f t="shared" si="1"/>
        <v>2.16</v>
      </c>
    </row>
    <row r="64" spans="13:18" x14ac:dyDescent="0.4">
      <c r="M64">
        <v>60</v>
      </c>
      <c r="N64" t="s">
        <v>311</v>
      </c>
      <c r="O64" t="s">
        <v>1255</v>
      </c>
      <c r="P64">
        <v>4.7</v>
      </c>
      <c r="Q64">
        <f>1/3</f>
        <v>0.33333333333333331</v>
      </c>
      <c r="R64">
        <f t="shared" si="1"/>
        <v>4.7</v>
      </c>
    </row>
    <row r="65" spans="13:18" x14ac:dyDescent="0.4">
      <c r="M65">
        <v>61</v>
      </c>
      <c r="N65" t="s">
        <v>313</v>
      </c>
      <c r="O65" t="s">
        <v>1282</v>
      </c>
      <c r="P65">
        <v>1273</v>
      </c>
      <c r="Q65">
        <f>-2/3</f>
        <v>-0.66666666666666663</v>
      </c>
      <c r="R65">
        <f t="shared" si="1"/>
        <v>1270</v>
      </c>
    </row>
    <row r="66" spans="13:18" x14ac:dyDescent="0.4">
      <c r="M66">
        <v>62</v>
      </c>
      <c r="N66" t="s">
        <v>315</v>
      </c>
      <c r="O66" t="s">
        <v>1283</v>
      </c>
      <c r="P66">
        <v>93.5</v>
      </c>
      <c r="Q66">
        <f>1/3</f>
        <v>0.33333333333333331</v>
      </c>
      <c r="R66">
        <f t="shared" si="1"/>
        <v>93.5</v>
      </c>
    </row>
    <row r="67" spans="13:18" x14ac:dyDescent="0.4">
      <c r="M67">
        <v>63</v>
      </c>
      <c r="N67" t="s">
        <v>317</v>
      </c>
      <c r="O67" t="s">
        <v>1256</v>
      </c>
      <c r="P67">
        <v>172570</v>
      </c>
      <c r="Q67">
        <f>-2/3</f>
        <v>-0.66666666666666663</v>
      </c>
      <c r="R67">
        <f t="shared" si="1"/>
        <v>173000</v>
      </c>
    </row>
    <row r="68" spans="13:18" x14ac:dyDescent="0.4">
      <c r="M68">
        <v>64</v>
      </c>
      <c r="N68" t="s">
        <v>319</v>
      </c>
      <c r="O68" t="s">
        <v>1281</v>
      </c>
      <c r="P68">
        <v>4183</v>
      </c>
      <c r="Q68">
        <f>-1/3</f>
        <v>-0.33333333333333331</v>
      </c>
      <c r="R68">
        <f t="shared" si="1"/>
        <v>4180</v>
      </c>
    </row>
  </sheetData>
  <mergeCells count="5">
    <mergeCell ref="A16:J24"/>
    <mergeCell ref="A10:J12"/>
    <mergeCell ref="A1:J2"/>
    <mergeCell ref="M1:R2"/>
    <mergeCell ref="A3:J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workbookViewId="0">
      <selection activeCell="C37" sqref="C37"/>
    </sheetView>
  </sheetViews>
  <sheetFormatPr defaultRowHeight="14.6" x14ac:dyDescent="0.4"/>
  <cols>
    <col min="1" max="1" width="35.69140625" bestFit="1" customWidth="1"/>
    <col min="2" max="2" width="30.3046875" customWidth="1"/>
    <col min="3" max="3" width="15.69140625" bestFit="1" customWidth="1"/>
    <col min="4" max="4" width="14.3828125" bestFit="1" customWidth="1"/>
    <col min="5" max="5" width="12.69140625" customWidth="1"/>
    <col min="6" max="6" width="18.61328125" bestFit="1" customWidth="1"/>
    <col min="7" max="7" width="12.61328125" customWidth="1"/>
    <col min="8" max="8" width="12.4609375" bestFit="1" customWidth="1"/>
    <col min="9" max="9" width="20.61328125" customWidth="1"/>
  </cols>
  <sheetData>
    <row r="1" spans="1:3" ht="14.6" customHeight="1" x14ac:dyDescent="0.4">
      <c r="A1" s="85" t="s">
        <v>303</v>
      </c>
      <c r="B1" s="85"/>
      <c r="C1" s="85"/>
    </row>
    <row r="2" spans="1:3" ht="14.6" customHeight="1" x14ac:dyDescent="0.4">
      <c r="A2" s="87"/>
      <c r="B2" s="87"/>
      <c r="C2" s="87"/>
    </row>
    <row r="3" spans="1:3" ht="14.6" customHeight="1" x14ac:dyDescent="0.4">
      <c r="A3" s="77" t="s">
        <v>1008</v>
      </c>
      <c r="B3" s="78"/>
      <c r="C3" s="79"/>
    </row>
    <row r="4" spans="1:3" x14ac:dyDescent="0.4">
      <c r="A4" s="82"/>
      <c r="B4" s="83"/>
      <c r="C4" s="84"/>
    </row>
    <row r="6" spans="1:3" x14ac:dyDescent="0.4">
      <c r="A6" s="1" t="s">
        <v>304</v>
      </c>
    </row>
    <row r="7" spans="1:3" x14ac:dyDescent="0.4">
      <c r="A7" s="2">
        <v>10000</v>
      </c>
    </row>
    <row r="9" spans="1:3" x14ac:dyDescent="0.4">
      <c r="A9" s="1" t="s">
        <v>302</v>
      </c>
    </row>
    <row r="10" spans="1:3" x14ac:dyDescent="0.4">
      <c r="A10" s="2">
        <v>10000</v>
      </c>
    </row>
    <row r="12" spans="1:3" x14ac:dyDescent="0.4">
      <c r="A12" s="1" t="s">
        <v>301</v>
      </c>
    </row>
    <row r="13" spans="1:3" x14ac:dyDescent="0.4">
      <c r="A13" s="2">
        <v>100</v>
      </c>
    </row>
    <row r="15" spans="1:3" x14ac:dyDescent="0.4">
      <c r="A15" s="1" t="s">
        <v>300</v>
      </c>
    </row>
    <row r="16" spans="1:3" x14ac:dyDescent="0.4">
      <c r="A16" s="2">
        <v>100</v>
      </c>
    </row>
    <row r="18" spans="1:3" x14ac:dyDescent="0.4">
      <c r="A18" s="1" t="s">
        <v>379</v>
      </c>
    </row>
    <row r="19" spans="1:3" x14ac:dyDescent="0.4">
      <c r="A19" s="2">
        <v>0.02</v>
      </c>
    </row>
    <row r="21" spans="1:3" x14ac:dyDescent="0.4">
      <c r="A21" s="1" t="s">
        <v>394</v>
      </c>
    </row>
    <row r="22" spans="1:3" x14ac:dyDescent="0.4">
      <c r="A22" s="2">
        <v>5000</v>
      </c>
    </row>
    <row r="23" spans="1:3" ht="14.6" customHeight="1" x14ac:dyDescent="0.4"/>
    <row r="24" spans="1:3" ht="14.6" customHeight="1" x14ac:dyDescent="0.4">
      <c r="A24" s="1" t="s">
        <v>1349</v>
      </c>
    </row>
    <row r="25" spans="1:3" x14ac:dyDescent="0.4">
      <c r="A25" s="2">
        <v>0.4</v>
      </c>
    </row>
    <row r="32" spans="1:3" ht="14.6" customHeight="1" x14ac:dyDescent="0.4">
      <c r="A32" s="85" t="s">
        <v>1376</v>
      </c>
      <c r="B32" s="85"/>
      <c r="C32" s="85"/>
    </row>
    <row r="33" spans="1:3" ht="14.6" customHeight="1" x14ac:dyDescent="0.4">
      <c r="A33" s="87"/>
      <c r="B33" s="87"/>
      <c r="C33" s="87"/>
    </row>
    <row r="36" spans="1:3" x14ac:dyDescent="0.4">
      <c r="A36" s="1" t="s">
        <v>305</v>
      </c>
    </row>
    <row r="37" spans="1:3" x14ac:dyDescent="0.4">
      <c r="A37" s="12">
        <v>1000000</v>
      </c>
    </row>
    <row r="39" spans="1:3" x14ac:dyDescent="0.4">
      <c r="A39" s="1" t="s">
        <v>373</v>
      </c>
      <c r="B39" s="1" t="s">
        <v>383</v>
      </c>
    </row>
    <row r="40" spans="1:3" x14ac:dyDescent="0.4">
      <c r="A40" s="12" t="s">
        <v>374</v>
      </c>
      <c r="B40" s="12" t="b">
        <v>1</v>
      </c>
    </row>
    <row r="41" spans="1:3" x14ac:dyDescent="0.4">
      <c r="A41" s="12" t="s">
        <v>375</v>
      </c>
      <c r="B41" s="12" t="b">
        <v>0</v>
      </c>
    </row>
    <row r="42" spans="1:3" x14ac:dyDescent="0.4">
      <c r="A42" s="12" t="s">
        <v>376</v>
      </c>
    </row>
    <row r="45" spans="1:3" x14ac:dyDescent="0.4">
      <c r="A45" s="1" t="s">
        <v>408</v>
      </c>
      <c r="B45" s="1" t="s">
        <v>411</v>
      </c>
    </row>
    <row r="46" spans="1:3" x14ac:dyDescent="0.4">
      <c r="A46" s="12" t="s">
        <v>325</v>
      </c>
      <c r="B46" s="12" t="s">
        <v>412</v>
      </c>
    </row>
    <row r="47" spans="1:3" x14ac:dyDescent="0.4">
      <c r="A47" s="12" t="s">
        <v>347</v>
      </c>
      <c r="B47" s="12" t="s">
        <v>413</v>
      </c>
    </row>
    <row r="54" ht="26.15" customHeight="1" x14ac:dyDescent="0.4"/>
    <row r="55" ht="14.6" customHeight="1" x14ac:dyDescent="0.4"/>
    <row r="56" ht="14.6" customHeight="1" x14ac:dyDescent="0.4"/>
  </sheetData>
  <mergeCells count="3">
    <mergeCell ref="A32:C33"/>
    <mergeCell ref="A1:C2"/>
    <mergeCell ref="A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37B8-17D4-4C02-BEF2-EA7C4FC2F1F0}">
  <dimension ref="A1:AF56"/>
  <sheetViews>
    <sheetView workbookViewId="0">
      <selection activeCell="C21" sqref="C21"/>
    </sheetView>
  </sheetViews>
  <sheetFormatPr defaultRowHeight="14.6" x14ac:dyDescent="0.4"/>
  <cols>
    <col min="1" max="1" width="27.921875" bestFit="1" customWidth="1"/>
    <col min="2" max="2" width="13.3046875" customWidth="1"/>
    <col min="3" max="3" width="11.15234375" customWidth="1"/>
    <col min="4" max="4" width="17.69140625" bestFit="1" customWidth="1"/>
    <col min="5" max="5" width="17.23046875" customWidth="1"/>
    <col min="6" max="6" width="13.61328125" customWidth="1"/>
    <col min="7" max="7" width="21" customWidth="1"/>
    <col min="8" max="8" width="25.4609375" bestFit="1" customWidth="1"/>
    <col min="9" max="9" width="14.3828125" customWidth="1"/>
    <col min="10" max="10" width="14.4609375" customWidth="1"/>
    <col min="12" max="12" width="27.921875" bestFit="1" customWidth="1"/>
    <col min="13" max="13" width="19.61328125" bestFit="1" customWidth="1"/>
    <col min="14" max="14" width="18.921875" bestFit="1" customWidth="1"/>
    <col min="15" max="15" width="31.84375" bestFit="1" customWidth="1"/>
    <col min="16" max="16" width="17.23046875" customWidth="1"/>
    <col min="17" max="17" width="21.61328125" bestFit="1" customWidth="1"/>
    <col min="18" max="18" width="21" customWidth="1"/>
    <col min="19" max="19" width="25.4609375" bestFit="1" customWidth="1"/>
    <col min="20" max="20" width="14.3828125" customWidth="1"/>
    <col min="21" max="21" width="14.4609375" customWidth="1"/>
    <col min="23" max="23" width="31.84375" bestFit="1" customWidth="1"/>
    <col min="24" max="24" width="11.4609375" bestFit="1" customWidth="1"/>
    <col min="25" max="25" width="9.3046875" bestFit="1" customWidth="1"/>
    <col min="26" max="26" width="15.07421875" bestFit="1" customWidth="1"/>
    <col min="27" max="27" width="15.4609375" bestFit="1" customWidth="1"/>
    <col min="28" max="28" width="11.765625" bestFit="1" customWidth="1"/>
    <col min="29" max="29" width="19.3046875" bestFit="1" customWidth="1"/>
    <col min="30" max="30" width="25.4609375" bestFit="1" customWidth="1"/>
    <col min="31" max="31" width="13.3828125" bestFit="1" customWidth="1"/>
    <col min="32" max="32" width="13.4609375" bestFit="1" customWidth="1"/>
  </cols>
  <sheetData>
    <row r="1" spans="1:32" ht="14.6" customHeight="1" x14ac:dyDescent="0.4">
      <c r="A1" s="74" t="s">
        <v>991</v>
      </c>
      <c r="B1" s="74"/>
      <c r="C1" s="74"/>
      <c r="D1" s="74"/>
      <c r="E1" s="74"/>
      <c r="F1" s="74"/>
      <c r="G1" s="74"/>
      <c r="H1" s="74"/>
      <c r="I1" s="74"/>
      <c r="J1" s="74"/>
      <c r="K1" s="74"/>
      <c r="L1" s="74"/>
      <c r="M1" s="74"/>
      <c r="N1" s="74"/>
      <c r="O1" s="74"/>
      <c r="P1" s="74"/>
      <c r="Q1" s="74"/>
      <c r="R1" s="74"/>
      <c r="S1" s="74"/>
      <c r="T1" s="74"/>
      <c r="U1" s="74"/>
    </row>
    <row r="2" spans="1:32" ht="14.6" customHeight="1" x14ac:dyDescent="0.4">
      <c r="A2" s="74"/>
      <c r="B2" s="74"/>
      <c r="C2" s="74"/>
      <c r="D2" s="74"/>
      <c r="E2" s="74"/>
      <c r="F2" s="74"/>
      <c r="G2" s="74"/>
      <c r="H2" s="74"/>
      <c r="I2" s="74"/>
      <c r="J2" s="74"/>
      <c r="K2" s="74"/>
      <c r="L2" s="74"/>
      <c r="M2" s="74"/>
      <c r="N2" s="74"/>
      <c r="O2" s="74"/>
      <c r="P2" s="74"/>
      <c r="Q2" s="74"/>
      <c r="R2" s="74"/>
      <c r="S2" s="74"/>
      <c r="T2" s="74"/>
      <c r="U2" s="74"/>
    </row>
    <row r="3" spans="1:32" ht="14.6" customHeight="1" x14ac:dyDescent="0.4">
      <c r="A3" s="78" t="s">
        <v>1311</v>
      </c>
      <c r="B3" s="78"/>
      <c r="C3" s="78"/>
      <c r="D3" s="78"/>
      <c r="E3" s="78"/>
      <c r="F3" s="78"/>
      <c r="G3" s="78"/>
      <c r="H3" s="78"/>
      <c r="I3" s="78"/>
      <c r="J3" s="78"/>
    </row>
    <row r="4" spans="1:32" ht="14.6" customHeight="1" x14ac:dyDescent="0.4">
      <c r="A4" s="75"/>
      <c r="B4" s="75"/>
      <c r="C4" s="75"/>
      <c r="D4" s="75"/>
      <c r="E4" s="75"/>
      <c r="F4" s="75"/>
      <c r="G4" s="75"/>
      <c r="H4" s="75"/>
      <c r="I4" s="75"/>
      <c r="J4" s="75"/>
    </row>
    <row r="5" spans="1:32" x14ac:dyDescent="0.4">
      <c r="A5" s="75"/>
      <c r="B5" s="75"/>
      <c r="C5" s="75"/>
      <c r="D5" s="75"/>
      <c r="E5" s="75"/>
      <c r="F5" s="75"/>
      <c r="G5" s="75"/>
      <c r="H5" s="75"/>
      <c r="I5" s="75"/>
      <c r="J5" s="75"/>
    </row>
    <row r="6" spans="1:32" x14ac:dyDescent="0.4">
      <c r="A6" s="75"/>
      <c r="B6" s="75"/>
      <c r="C6" s="75"/>
      <c r="D6" s="75"/>
      <c r="E6" s="75"/>
      <c r="F6" s="75"/>
      <c r="G6" s="75"/>
      <c r="H6" s="75"/>
      <c r="I6" s="75"/>
      <c r="J6" s="75"/>
    </row>
    <row r="7" spans="1:32" x14ac:dyDescent="0.4">
      <c r="A7" s="75"/>
      <c r="B7" s="75"/>
      <c r="C7" s="75"/>
      <c r="D7" s="75"/>
      <c r="E7" s="75"/>
      <c r="F7" s="75"/>
      <c r="G7" s="75"/>
      <c r="H7" s="75"/>
      <c r="I7" s="75"/>
      <c r="J7" s="75"/>
    </row>
    <row r="8" spans="1:32" x14ac:dyDescent="0.4">
      <c r="A8" s="75"/>
      <c r="B8" s="75"/>
      <c r="C8" s="75"/>
      <c r="D8" s="75"/>
      <c r="E8" s="75"/>
      <c r="F8" s="75"/>
      <c r="G8" s="75"/>
      <c r="H8" s="75"/>
      <c r="I8" s="75"/>
      <c r="J8" s="75"/>
      <c r="L8" s="73" t="s">
        <v>368</v>
      </c>
      <c r="M8" s="73"/>
      <c r="N8" s="73"/>
      <c r="O8" s="73"/>
      <c r="P8" s="73"/>
      <c r="Q8" s="73"/>
      <c r="R8" s="73"/>
      <c r="S8" s="73"/>
      <c r="T8" s="73"/>
      <c r="U8" s="73"/>
      <c r="W8" s="73" t="s">
        <v>406</v>
      </c>
      <c r="X8" s="73"/>
      <c r="Y8" s="73"/>
      <c r="Z8" s="73"/>
      <c r="AA8" s="73"/>
      <c r="AB8" s="73"/>
      <c r="AC8" s="73"/>
      <c r="AD8" s="73"/>
      <c r="AE8" s="73"/>
      <c r="AF8" s="73"/>
    </row>
    <row r="9" spans="1:32" x14ac:dyDescent="0.4">
      <c r="A9" s="75"/>
      <c r="B9" s="75"/>
      <c r="C9" s="75"/>
      <c r="D9" s="75"/>
      <c r="E9" s="75"/>
      <c r="F9" s="75"/>
      <c r="G9" s="75"/>
      <c r="H9" s="75"/>
      <c r="I9" s="75"/>
      <c r="J9" s="75"/>
      <c r="L9" s="1" t="s">
        <v>373</v>
      </c>
      <c r="M9" s="1" t="s">
        <v>369</v>
      </c>
      <c r="N9" s="1" t="s">
        <v>370</v>
      </c>
      <c r="O9" s="1" t="s">
        <v>388</v>
      </c>
      <c r="P9" s="1" t="s">
        <v>371</v>
      </c>
      <c r="Q9" s="1" t="s">
        <v>372</v>
      </c>
      <c r="R9" s="1" t="s">
        <v>383</v>
      </c>
      <c r="S9" s="1" t="s">
        <v>382</v>
      </c>
    </row>
    <row r="10" spans="1:32" x14ac:dyDescent="0.4">
      <c r="A10" s="75"/>
      <c r="B10" s="75"/>
      <c r="C10" s="75"/>
      <c r="D10" s="75"/>
      <c r="E10" s="75"/>
      <c r="F10" s="75"/>
      <c r="G10" s="75"/>
      <c r="H10" s="75"/>
      <c r="I10" s="75"/>
      <c r="J10" s="75"/>
      <c r="L10" s="2" t="s">
        <v>375</v>
      </c>
      <c r="M10" s="2">
        <v>10</v>
      </c>
      <c r="N10" s="2">
        <v>1000</v>
      </c>
      <c r="O10" s="2">
        <v>2</v>
      </c>
      <c r="P10" s="2">
        <v>15</v>
      </c>
      <c r="Q10" s="2">
        <v>15</v>
      </c>
      <c r="R10" s="2" t="b">
        <v>0</v>
      </c>
      <c r="S10" s="2">
        <v>55</v>
      </c>
    </row>
    <row r="12" spans="1:32" x14ac:dyDescent="0.4">
      <c r="A12" s="73" t="s">
        <v>384</v>
      </c>
      <c r="B12" s="73"/>
      <c r="C12" s="73"/>
      <c r="D12" s="73"/>
      <c r="E12" s="73"/>
      <c r="F12" s="73"/>
      <c r="H12" s="58" t="s">
        <v>1309</v>
      </c>
      <c r="L12" s="1" t="s">
        <v>387</v>
      </c>
    </row>
    <row r="13" spans="1:32" x14ac:dyDescent="0.4">
      <c r="A13" s="1" t="s">
        <v>367</v>
      </c>
      <c r="B13" s="1" t="s">
        <v>320</v>
      </c>
      <c r="C13" s="1" t="s">
        <v>307</v>
      </c>
      <c r="D13" s="1" t="s">
        <v>381</v>
      </c>
      <c r="E13" s="1" t="s">
        <v>385</v>
      </c>
      <c r="F13" s="1" t="s">
        <v>380</v>
      </c>
      <c r="H13" s="1" t="s">
        <v>1312</v>
      </c>
      <c r="L13" s="14">
        <f>ROUND(IF(L10="Linear",E14+N10*ABS(C14),IF(L10="Synchrotron",MIN(1000000*(C14*P10*M10)^2/(2*B14),1000000*B14*POWER(3*N10*M10/ABS(C14),0.25)),1000000*(C14*P10*M10)^2/(2*B14))),0)</f>
        <v>11993603</v>
      </c>
    </row>
    <row r="14" spans="1:32" x14ac:dyDescent="0.4">
      <c r="A14" s="2" t="s">
        <v>345</v>
      </c>
      <c r="B14" s="20">
        <f>INDEX(ParticleTable[Mass Rounded (MeV)],MATCH('Accelerator Calculator'!A14,ParticleTable[Name],0))</f>
        <v>938</v>
      </c>
      <c r="C14" s="19">
        <f>INDEX(ParticleTable[Charge],MATCH(A14,ParticleTable[Name],0))</f>
        <v>1</v>
      </c>
      <c r="D14" s="2">
        <v>15000</v>
      </c>
      <c r="E14" s="2">
        <v>5000</v>
      </c>
      <c r="F14" s="2">
        <v>0.4</v>
      </c>
      <c r="H14" s="67">
        <v>1</v>
      </c>
      <c r="L14" s="1" t="s">
        <v>378</v>
      </c>
      <c r="M14" s="1" t="s">
        <v>377</v>
      </c>
      <c r="N14" s="1" t="s">
        <v>386</v>
      </c>
      <c r="W14" s="1" t="s">
        <v>407</v>
      </c>
    </row>
    <row r="15" spans="1:32" x14ac:dyDescent="0.4">
      <c r="L15" s="14">
        <f>L13*IF(L10="Decelerator",IF(R10,1-S10/100,1-Q10/15),IF(R10,S10/100,Q10/15))</f>
        <v>11993603</v>
      </c>
      <c r="M15" s="13">
        <f>F14-beam_atten*(1+ABS(C14)*SQRT(D14/sf_beam))*IF(L10="Linear",M10,M10*8)+ABS(C14)*O10</f>
        <v>-1.1595917942265426</v>
      </c>
      <c r="N15" s="10" t="str">
        <f>IF(AND(E14&lt;E_smin,L10="Synchrotron"),"Input Energy to Low!",IF(AND(E14&gt;L13,OR(L10="Synchrotron",L10="Decelerator")),"Input Energy to High","No Error"))</f>
        <v>No Error</v>
      </c>
      <c r="W15" s="14">
        <f>IF(L10="Synchrotron",(L15/(1000*B14))^3/(2*PI()*M10*1000000),"N/A")</f>
        <v>3.3270599312534988E-5</v>
      </c>
    </row>
    <row r="16" spans="1:32" x14ac:dyDescent="0.4">
      <c r="A16" s="73" t="s">
        <v>403</v>
      </c>
      <c r="B16" s="73"/>
      <c r="C16" s="73"/>
      <c r="D16" s="73"/>
      <c r="E16" s="73"/>
      <c r="F16" s="73"/>
      <c r="G16" s="73"/>
      <c r="H16" s="73"/>
      <c r="I16" s="73"/>
      <c r="J16" s="73"/>
      <c r="L16" s="73" t="s">
        <v>404</v>
      </c>
      <c r="M16" s="73"/>
      <c r="N16" s="73"/>
      <c r="O16" s="73"/>
      <c r="P16" s="73"/>
      <c r="Q16" s="73"/>
      <c r="R16" s="73"/>
      <c r="S16" s="73"/>
      <c r="T16" s="73"/>
      <c r="U16" s="73"/>
      <c r="W16" s="73" t="s">
        <v>405</v>
      </c>
      <c r="X16" s="73"/>
      <c r="Y16" s="73"/>
      <c r="Z16" s="73"/>
      <c r="AA16" s="73"/>
      <c r="AB16" s="73"/>
      <c r="AC16" s="73"/>
      <c r="AD16" s="73"/>
      <c r="AE16" s="73"/>
      <c r="AF16" s="73"/>
    </row>
    <row r="17" spans="1:32" ht="15" thickBot="1" x14ac:dyDescent="0.45">
      <c r="A17" s="32" t="s">
        <v>1</v>
      </c>
      <c r="B17" s="21" t="s">
        <v>2</v>
      </c>
      <c r="C17" s="21" t="s">
        <v>3</v>
      </c>
      <c r="D17" s="21" t="s">
        <v>4</v>
      </c>
      <c r="E17" s="21" t="s">
        <v>5</v>
      </c>
      <c r="F17" s="21" t="s">
        <v>6</v>
      </c>
      <c r="G17" s="21" t="s">
        <v>7</v>
      </c>
      <c r="H17" s="21" t="s">
        <v>1310</v>
      </c>
      <c r="I17" s="21" t="s">
        <v>409</v>
      </c>
      <c r="J17" s="21" t="s">
        <v>410</v>
      </c>
      <c r="L17" s="32" t="s">
        <v>1</v>
      </c>
      <c r="M17" s="21" t="s">
        <v>2</v>
      </c>
      <c r="N17" s="21" t="s">
        <v>3</v>
      </c>
      <c r="O17" s="21" t="s">
        <v>4</v>
      </c>
      <c r="P17" s="21" t="s">
        <v>5</v>
      </c>
      <c r="Q17" s="21" t="s">
        <v>6</v>
      </c>
      <c r="R17" s="21" t="s">
        <v>7</v>
      </c>
      <c r="S17" s="21" t="s">
        <v>1310</v>
      </c>
      <c r="T17" s="21" t="s">
        <v>409</v>
      </c>
      <c r="U17" s="21" t="s">
        <v>410</v>
      </c>
      <c r="W17" s="32" t="s">
        <v>1</v>
      </c>
      <c r="X17" s="21" t="s">
        <v>2</v>
      </c>
      <c r="Y17" s="21" t="s">
        <v>3</v>
      </c>
      <c r="Z17" s="21" t="s">
        <v>4</v>
      </c>
      <c r="AA17" s="21" t="s">
        <v>5</v>
      </c>
      <c r="AB17" s="21" t="s">
        <v>6</v>
      </c>
      <c r="AC17" s="21" t="s">
        <v>7</v>
      </c>
      <c r="AD17" s="21" t="s">
        <v>1310</v>
      </c>
      <c r="AE17" s="21" t="s">
        <v>409</v>
      </c>
      <c r="AF17" s="21" t="s">
        <v>410</v>
      </c>
    </row>
    <row r="18" spans="1:32" ht="15" thickTop="1" x14ac:dyDescent="0.4">
      <c r="A18" s="22" t="str" cm="1">
        <f t="array" ref="A18:H22">_xlfn.SWITCH(A14,"proton",_xlfn._xlws.FILTER(ProtonReactions[],(ProtonReactions[Min Energy (keV)]&lt;=E14)*(ProtonReactions[Max energy (keV)]&gt;=E14),""),"neutron",_xlfn._xlws.FILTER(NeutronReactions[],(NeutronReactions[Min Energy (keV)]&lt;=E14)*(NeutronReactions[Max energy (keV)]&gt;=E14),""),"photon",_xlfn._xlws.FILTER(PhotonReactions[],(PhotonReactions[Min Energy (keV)]&lt;=E14)*(PhotonReactions[Max energy (keV)]&gt;=E14),""),"electron",_xlfn._xlws.FILTER(ElectronReactions[],(ElectronReactions[Min Energy (keV)]&lt;=E14)*(ElectronReactions[Max energy (keV)]&gt;=E14),""),"deuteron",_xlfn._xlws.FILTER('Target Chamber Recipes'!$A$261:$H$334,('Target Chamber Recipes'!$D$261:$D$334&lt;=E14)*('Target Chamber Recipes'!$E$261:$E$334&gt;=E14),""),"triton",_xlfn._xlws.FILTER(TritonReactions[],(TritonReactions[Min Energy (keV)]&lt;=E14)*(TritonReactions[Max energy (keV)]&gt;=E14),""),"helion",_xlfn._xlws.FILTER(HelionReactions[],(HelionReactions[Min Energy (keV)]&lt;=E14)*(HelionReactions[Max energy (keV)]&gt;=E14),""),"alpha",_xlfn._xlws.FILTER(AlphaReactions[],(AlphaReactions[Min Energy (keV)]&lt;=E14)*(AlphaReactions[Max energy (keV)]&gt;=E14),""),"boron ion",_xlfn._xlws.FILTER(BoronReactions[],(BoronReactions[Min Energy (keV)]&lt;=E14)*(BoronReactions[Max energy (keV)]&gt;=E14),""),"calcium 48 ion",_xlfn._xlws.FILTER(Calcium48Reactions[],(Calcium48Reactions[Min Energy (keV)]&lt;=E14)*(Calcium48Reactions[Max energy (keV)]&gt;=E14),""),"electron neutrino",_xlfn._xlws.FILTER(ElectronNeutrinoReactions[],(ElectronNeutrinoReactions[Min Energy (keV)]&lt;=E14)*(ElectronNeutrinoReactions[Max energy (keV)]&gt;=E14),""),"electron antineutrino",_xlfn._xlws.FILTER(ElectronAntineutrinoReactions[],(ElectronAntineutrinoReactions[Min Energy (keV)]&lt;=E14)*(ElectronAntineutrinoReactions[Max energy (keV)]&gt;=E14),""),"pion plus",_xlfn._xlws.FILTER(PionPlusReactions[],(PionPlusReactions[Min Energy (keV)]&lt;=E14)*(PionPlusReactions[Max energy (keV)]&gt;=E14),""),"pion minus",_xlfn._xlws.FILTER(PionMinusReactions[],(PionMinusReactions[Min Energy (keV)]&lt;=E14)*(PionMinusReactions[Max energy (keV)]&gt;=E14),""),"antiproton",_xlfn._xlws.FILTER(AntiprotonReactions[],(AntiprotonReactions[Min Energy (keV)]&lt;=E14)*(AntiprotonReactions[Max energy (keV)]&gt;=E14),""),"antideuteron",_xlfn._xlws.FILTER(AntideuteronReactions[],(AntideuteronReactions[Min Energy (keV)]&lt;=E14)*(AntideuteronReactions[Max energy (keV)]&gt;=E14),""))</f>
        <v>Be-9(p,α)Li-6</v>
      </c>
      <c r="B18" s="23">
        <v>1600000</v>
      </c>
      <c r="C18" s="24">
        <v>0</v>
      </c>
      <c r="D18" s="23">
        <v>1000</v>
      </c>
      <c r="E18" s="23">
        <v>7500</v>
      </c>
      <c r="F18" s="25">
        <v>0.625</v>
      </c>
      <c r="G18" s="23">
        <v>2130</v>
      </c>
      <c r="H18" s="24">
        <v>8</v>
      </c>
      <c r="I18" s="68">
        <f>MAX(B18*F18,B18/$H$14)/$D$14</f>
        <v>106.66666666666667</v>
      </c>
      <c r="J18" s="68">
        <f t="shared" ref="J18:J55" si="0">I18/20</f>
        <v>5.3333333333333339</v>
      </c>
      <c r="L18" s="22" t="str" cm="1">
        <f t="array" ref="L18:S55">_xlfn.SWITCH(A14,"proton",_xlfn._xlws.FILTER(ProtonReactions[],(ProtonReactions[Min Energy (keV)]&lt;=L15)*(ProtonReactions[Max energy (keV)]&gt;=L15),""),"neutron",_xlfn._xlws.FILTER(NeutronReactions[],(NeutronReactions[Min Energy (keV)]&lt;=L15)*(NeutronReactions[Max energy (keV)]&gt;=L15),""),"photon",_xlfn._xlws.FILTER(PhotonReactions[],(PhotonReactions[Min Energy (keV)]&lt;=L15)*(PhotonReactions[Max energy (keV)]&gt;=L15),""),"electron",_xlfn._xlws.FILTER(ElectronReactions[],(ElectronReactions[Min Energy (keV)]&lt;=L15)*(ElectronReactions[Max energy (keV)]&gt;=L15),""),"deuteron",_xlfn._xlws.FILTER('Target Chamber Recipes'!$A$261:$H$334,('Target Chamber Recipes'!$D$261:$D$334&lt;=L15)*('Target Chamber Recipes'!$E$261:$E$334&gt;=L15),""),"triton",_xlfn._xlws.FILTER(TritonReactions[],(TritonReactions[Min Energy (keV)]&lt;=L15)*(TritonReactions[Max energy (keV)]&gt;=L15),""),"helion",_xlfn._xlws.FILTER(HelionReactions[],(HelionReactions[Min Energy (keV)]&lt;=L15)*(HelionReactions[Max energy (keV)]&gt;=L15),""),"alpha",_xlfn._xlws.FILTER(AlphaReactions[],(AlphaReactions[Min Energy (keV)]&lt;=L15)*(AlphaReactions[Max energy (keV)]&gt;=L15),""),"boron ion",_xlfn._xlws.FILTER(BoronReactions[],(BoronReactions[Min Energy (keV)]&lt;=L15)*(BoronReactions[Max energy (keV)]&gt;=L15),""),"calcium 48 ion",_xlfn._xlws.FILTER(Calcium48Reactions[],(Calcium48Reactions[Min Energy (keV)]&lt;=L15)*(Calcium48Reactions[Max energy (keV)]&gt;=L15),""),"electron neutrino",_xlfn._xlws.FILTER(ElectronNeutrinoReactions[],(ElectronNeutrinoReactions[Min Energy (keV)]&lt;=L15)*(ElectronNeutrinoReactions[Max energy (keV)]&gt;=L15),""),"electron antineutrino",_xlfn._xlws.FILTER(ElectronAntineutrinoReactions[],(ElectronAntineutrinoReactions[Min Energy (keV)]&lt;=L15)*(ElectronAntineutrinoReactions[Max energy (keV)]&gt;=L15),""),"pion plus",_xlfn._xlws.FILTER(PionPlusReactions[],(PionPlusReactions[Min Energy (keV)]&lt;=L15)*(PionPlusReactions[Max energy (keV)]&gt;=L15),""),"pion minus",_xlfn._xlws.FILTER(PionMinusReactions[],(PionMinusReactions[Min Energy (keV)]&lt;=L15)*(PionMinusReactions[Max energy (keV)]&gt;=L15),""),"antiproton",_xlfn._xlws.FILTER(AntiprotonReactions[],(AntiprotonReactions[Min Energy (keV)]&lt;=L15)*(AntiprotonReactions[Max energy (keV)]&gt;=L15),""),"antideuteron",_xlfn._xlws.FILTER(AntideuteronReactions[],(AntideuteronReactions[Min Energy (keV)]&lt;=L15)*(AntideuteronReactions[Max energy (keV)]&gt;=L15),""))</f>
        <v>Cf-252(p,p+p̅)Cf-waste</v>
      </c>
      <c r="M18" s="23">
        <v>5000000</v>
      </c>
      <c r="N18" s="24">
        <v>0</v>
      </c>
      <c r="O18" s="23">
        <v>5630000</v>
      </c>
      <c r="P18" s="23">
        <v>20000000</v>
      </c>
      <c r="Q18" s="25">
        <v>0.2</v>
      </c>
      <c r="R18" s="23">
        <v>-1880000</v>
      </c>
      <c r="S18" s="24">
        <v>25</v>
      </c>
      <c r="T18" s="68">
        <f>MAX(M18*Q18,M18/$H$14)/$D$14</f>
        <v>333.33333333333331</v>
      </c>
      <c r="U18" s="68">
        <f>T18/20</f>
        <v>16.666666666666664</v>
      </c>
      <c r="W18" s="22" t="str" cm="1">
        <f t="array" ref="W18">_xlfn._xlws.FILTER(PhotonReactions[],(PhotonReactions[Min Energy (keV)]&lt;=W15)*(PhotonReactions[Max energy (keV)]&gt;=W15),"")</f>
        <v/>
      </c>
      <c r="X18" s="23"/>
      <c r="Y18" s="24"/>
      <c r="Z18" s="23"/>
      <c r="AA18" s="23"/>
      <c r="AB18" s="25"/>
      <c r="AC18" s="23"/>
      <c r="AD18" s="24"/>
      <c r="AE18" s="68">
        <f>MAX(X18*AB18,X18/$H$14)/$D$14</f>
        <v>0</v>
      </c>
      <c r="AF18" s="68">
        <f>AE18/20</f>
        <v>0</v>
      </c>
    </row>
    <row r="19" spans="1:32" x14ac:dyDescent="0.4">
      <c r="A19" s="26" t="str">
        <v>F-19(p,α)O-16</v>
      </c>
      <c r="B19" s="27">
        <v>2000000</v>
      </c>
      <c r="C19" s="16">
        <v>0</v>
      </c>
      <c r="D19" s="27">
        <v>4000</v>
      </c>
      <c r="E19" s="27">
        <v>11000</v>
      </c>
      <c r="F19" s="28">
        <v>0.5</v>
      </c>
      <c r="G19" s="27">
        <v>8110</v>
      </c>
      <c r="H19" s="16">
        <v>10</v>
      </c>
      <c r="I19" s="69">
        <f t="shared" ref="I19:I55" si="1">MAX(B19*F19,B19/$H$14)/$D$14</f>
        <v>133.33333333333334</v>
      </c>
      <c r="J19" s="69">
        <f t="shared" si="0"/>
        <v>6.666666666666667</v>
      </c>
      <c r="L19" s="26" t="str">
        <v>Cf-251(p,p+p̅)Cf-waste</v>
      </c>
      <c r="M19" s="27">
        <v>5000000</v>
      </c>
      <c r="N19" s="16">
        <v>0</v>
      </c>
      <c r="O19" s="27">
        <v>5630000</v>
      </c>
      <c r="P19" s="27">
        <v>20000000</v>
      </c>
      <c r="Q19" s="28">
        <v>0.2</v>
      </c>
      <c r="R19" s="27">
        <v>-1880000</v>
      </c>
      <c r="S19" s="16">
        <v>25</v>
      </c>
      <c r="T19" s="69">
        <f t="shared" ref="T19:T55" si="2">MAX(M19*Q19,M19/$H$14)/$D$14</f>
        <v>333.33333333333331</v>
      </c>
      <c r="U19" s="69">
        <f t="shared" ref="U19:U55" si="3">T19/20</f>
        <v>16.666666666666664</v>
      </c>
      <c r="W19" s="26"/>
      <c r="X19" s="27"/>
      <c r="Y19" s="16"/>
      <c r="Z19" s="27"/>
      <c r="AA19" s="27"/>
      <c r="AB19" s="28"/>
      <c r="AC19" s="27"/>
      <c r="AD19" s="16"/>
      <c r="AE19" s="69">
        <f t="shared" ref="AE19:AE55" si="4">MAX(X19*AB19,X19/$H$14)/$D$14</f>
        <v>0</v>
      </c>
      <c r="AF19" s="69">
        <f t="shared" ref="AF19:AF55" si="5">AE19/20</f>
        <v>0</v>
      </c>
    </row>
    <row r="20" spans="1:32" x14ac:dyDescent="0.4">
      <c r="A20" s="29" t="str">
        <v>B-10(p,α)Be-7</v>
      </c>
      <c r="B20" s="30">
        <v>1250000</v>
      </c>
      <c r="C20" s="15">
        <v>0</v>
      </c>
      <c r="D20" s="30">
        <v>4000</v>
      </c>
      <c r="E20" s="30">
        <v>6000</v>
      </c>
      <c r="F20" s="31">
        <v>0.8</v>
      </c>
      <c r="G20" s="30">
        <v>1150</v>
      </c>
      <c r="H20" s="15">
        <v>6.25</v>
      </c>
      <c r="I20" s="70">
        <f t="shared" si="1"/>
        <v>83.333333333333329</v>
      </c>
      <c r="J20" s="70">
        <f t="shared" si="0"/>
        <v>4.1666666666666661</v>
      </c>
      <c r="L20" s="29" t="str">
        <v>Cf-250(p,p+p̅)Cf-waste</v>
      </c>
      <c r="M20" s="30">
        <v>5000000</v>
      </c>
      <c r="N20" s="15">
        <v>0</v>
      </c>
      <c r="O20" s="30">
        <v>5630000</v>
      </c>
      <c r="P20" s="30">
        <v>20000000</v>
      </c>
      <c r="Q20" s="31">
        <v>0.2</v>
      </c>
      <c r="R20" s="30">
        <v>-1880000</v>
      </c>
      <c r="S20" s="15">
        <v>25</v>
      </c>
      <c r="T20" s="70">
        <f t="shared" si="2"/>
        <v>333.33333333333331</v>
      </c>
      <c r="U20" s="70">
        <f t="shared" si="3"/>
        <v>16.666666666666664</v>
      </c>
      <c r="W20" s="29"/>
      <c r="X20" s="30"/>
      <c r="Y20" s="15"/>
      <c r="Z20" s="30"/>
      <c r="AA20" s="30"/>
      <c r="AB20" s="31"/>
      <c r="AC20" s="30"/>
      <c r="AD20" s="15"/>
      <c r="AE20" s="70">
        <f t="shared" si="4"/>
        <v>0</v>
      </c>
      <c r="AF20" s="70">
        <f t="shared" si="5"/>
        <v>0</v>
      </c>
    </row>
    <row r="21" spans="1:32" x14ac:dyDescent="0.4">
      <c r="A21" s="26" t="str">
        <v>Cu-63(p,γ)Zn-64</v>
      </c>
      <c r="B21" s="27">
        <v>25000000</v>
      </c>
      <c r="C21" s="16">
        <v>0</v>
      </c>
      <c r="D21" s="27">
        <v>4500</v>
      </c>
      <c r="E21" s="27">
        <v>5900</v>
      </c>
      <c r="F21" s="28">
        <v>0.04</v>
      </c>
      <c r="G21" s="27">
        <v>7710</v>
      </c>
      <c r="H21" s="16">
        <v>125</v>
      </c>
      <c r="I21" s="69">
        <f t="shared" si="1"/>
        <v>1666.6666666666667</v>
      </c>
      <c r="J21" s="69">
        <f t="shared" si="0"/>
        <v>83.333333333333343</v>
      </c>
      <c r="L21" s="26" t="str">
        <v>Cf-249(p,p,p+p̅)Cf-waste</v>
      </c>
      <c r="M21" s="27">
        <v>5000000</v>
      </c>
      <c r="N21" s="16">
        <v>0</v>
      </c>
      <c r="O21" s="27">
        <v>5630000</v>
      </c>
      <c r="P21" s="27">
        <v>20000000</v>
      </c>
      <c r="Q21" s="28">
        <v>0.2</v>
      </c>
      <c r="R21" s="27">
        <v>-1880000</v>
      </c>
      <c r="S21" s="16">
        <v>25</v>
      </c>
      <c r="T21" s="69">
        <f t="shared" si="2"/>
        <v>333.33333333333331</v>
      </c>
      <c r="U21" s="69">
        <f t="shared" si="3"/>
        <v>16.666666666666664</v>
      </c>
      <c r="W21" s="26"/>
      <c r="X21" s="27"/>
      <c r="Y21" s="16"/>
      <c r="Z21" s="27"/>
      <c r="AA21" s="27"/>
      <c r="AB21" s="28"/>
      <c r="AC21" s="27"/>
      <c r="AD21" s="16"/>
      <c r="AE21" s="69">
        <f t="shared" si="4"/>
        <v>0</v>
      </c>
      <c r="AF21" s="69">
        <f t="shared" si="5"/>
        <v>0</v>
      </c>
    </row>
    <row r="22" spans="1:32" x14ac:dyDescent="0.4">
      <c r="A22" s="29" t="str">
        <v>Co-59(p,γ)Ni-60</v>
      </c>
      <c r="B22" s="30">
        <v>5000000</v>
      </c>
      <c r="C22" s="15">
        <v>0</v>
      </c>
      <c r="D22" s="30">
        <v>4600</v>
      </c>
      <c r="E22" s="30">
        <v>5600</v>
      </c>
      <c r="F22" s="31">
        <v>0.2</v>
      </c>
      <c r="G22" s="30">
        <v>9530</v>
      </c>
      <c r="H22" s="15">
        <v>25</v>
      </c>
      <c r="I22" s="70">
        <f t="shared" si="1"/>
        <v>333.33333333333331</v>
      </c>
      <c r="J22" s="70">
        <f t="shared" si="0"/>
        <v>16.666666666666664</v>
      </c>
      <c r="L22" s="29" t="str">
        <v>Bk-248(p,p+p̅)Bk-waste</v>
      </c>
      <c r="M22" s="30">
        <v>5000000</v>
      </c>
      <c r="N22" s="15">
        <v>0</v>
      </c>
      <c r="O22" s="30">
        <v>5630000</v>
      </c>
      <c r="P22" s="30">
        <v>20000000</v>
      </c>
      <c r="Q22" s="31">
        <v>0.2</v>
      </c>
      <c r="R22" s="30">
        <v>-1880000</v>
      </c>
      <c r="S22" s="15">
        <v>25</v>
      </c>
      <c r="T22" s="70">
        <f t="shared" si="2"/>
        <v>333.33333333333331</v>
      </c>
      <c r="U22" s="70">
        <f t="shared" si="3"/>
        <v>16.666666666666664</v>
      </c>
      <c r="W22" s="29"/>
      <c r="X22" s="30"/>
      <c r="Y22" s="15"/>
      <c r="Z22" s="30"/>
      <c r="AA22" s="30"/>
      <c r="AB22" s="31"/>
      <c r="AC22" s="30"/>
      <c r="AD22" s="15"/>
      <c r="AE22" s="70">
        <f t="shared" si="4"/>
        <v>0</v>
      </c>
      <c r="AF22" s="70">
        <f t="shared" si="5"/>
        <v>0</v>
      </c>
    </row>
    <row r="23" spans="1:32" x14ac:dyDescent="0.4">
      <c r="A23" s="26"/>
      <c r="B23" s="27"/>
      <c r="C23" s="16"/>
      <c r="D23" s="27"/>
      <c r="E23" s="27"/>
      <c r="F23" s="28"/>
      <c r="G23" s="27"/>
      <c r="H23" s="16"/>
      <c r="I23" s="69">
        <f t="shared" si="1"/>
        <v>0</v>
      </c>
      <c r="J23" s="69">
        <f t="shared" si="0"/>
        <v>0</v>
      </c>
      <c r="L23" s="26" t="str">
        <v>Bk-247(p,p+p̅)Bk-waste</v>
      </c>
      <c r="M23" s="27">
        <v>5000000</v>
      </c>
      <c r="N23" s="16">
        <v>0</v>
      </c>
      <c r="O23" s="27">
        <v>5630000</v>
      </c>
      <c r="P23" s="27">
        <v>20000000</v>
      </c>
      <c r="Q23" s="28">
        <v>0.2</v>
      </c>
      <c r="R23" s="27">
        <v>-1880000</v>
      </c>
      <c r="S23" s="16">
        <v>25</v>
      </c>
      <c r="T23" s="69">
        <f t="shared" si="2"/>
        <v>333.33333333333331</v>
      </c>
      <c r="U23" s="69">
        <f t="shared" si="3"/>
        <v>16.666666666666664</v>
      </c>
      <c r="W23" s="26"/>
      <c r="X23" s="27"/>
      <c r="Y23" s="16"/>
      <c r="Z23" s="27"/>
      <c r="AA23" s="27"/>
      <c r="AB23" s="28"/>
      <c r="AC23" s="27"/>
      <c r="AD23" s="16"/>
      <c r="AE23" s="69">
        <f t="shared" si="4"/>
        <v>0</v>
      </c>
      <c r="AF23" s="69">
        <f t="shared" si="5"/>
        <v>0</v>
      </c>
    </row>
    <row r="24" spans="1:32" x14ac:dyDescent="0.4">
      <c r="A24" s="29"/>
      <c r="B24" s="30"/>
      <c r="C24" s="15"/>
      <c r="D24" s="30"/>
      <c r="E24" s="30"/>
      <c r="F24" s="31"/>
      <c r="G24" s="30"/>
      <c r="H24" s="15"/>
      <c r="I24" s="70">
        <f t="shared" si="1"/>
        <v>0</v>
      </c>
      <c r="J24" s="70">
        <f t="shared" si="0"/>
        <v>0</v>
      </c>
      <c r="L24" s="29" t="str">
        <v>Cm-247(p,p+p̅)Cm-waste</v>
      </c>
      <c r="M24" s="30">
        <v>5000000</v>
      </c>
      <c r="N24" s="15">
        <v>0</v>
      </c>
      <c r="O24" s="30">
        <v>5630000</v>
      </c>
      <c r="P24" s="30">
        <v>20000000</v>
      </c>
      <c r="Q24" s="31">
        <v>0.2</v>
      </c>
      <c r="R24" s="30">
        <v>-1880000</v>
      </c>
      <c r="S24" s="15">
        <v>25</v>
      </c>
      <c r="T24" s="70">
        <f t="shared" si="2"/>
        <v>333.33333333333331</v>
      </c>
      <c r="U24" s="70">
        <f t="shared" si="3"/>
        <v>16.666666666666664</v>
      </c>
      <c r="W24" s="29"/>
      <c r="X24" s="30"/>
      <c r="Y24" s="15"/>
      <c r="Z24" s="30"/>
      <c r="AA24" s="30"/>
      <c r="AB24" s="31"/>
      <c r="AC24" s="30"/>
      <c r="AD24" s="15"/>
      <c r="AE24" s="70">
        <f t="shared" si="4"/>
        <v>0</v>
      </c>
      <c r="AF24" s="70">
        <f t="shared" si="5"/>
        <v>0</v>
      </c>
    </row>
    <row r="25" spans="1:32" x14ac:dyDescent="0.4">
      <c r="A25" s="26"/>
      <c r="B25" s="27"/>
      <c r="C25" s="16"/>
      <c r="D25" s="27"/>
      <c r="E25" s="27"/>
      <c r="F25" s="28"/>
      <c r="G25" s="27"/>
      <c r="H25" s="16"/>
      <c r="I25" s="69">
        <f t="shared" si="1"/>
        <v>0</v>
      </c>
      <c r="J25" s="69">
        <f t="shared" si="0"/>
        <v>0</v>
      </c>
      <c r="L25" s="26" t="str">
        <v>Cm-246(p,p+p̅)Cm-waste</v>
      </c>
      <c r="M25" s="27">
        <v>5000000</v>
      </c>
      <c r="N25" s="16">
        <v>0</v>
      </c>
      <c r="O25" s="27">
        <v>5630000</v>
      </c>
      <c r="P25" s="27">
        <v>20000000</v>
      </c>
      <c r="Q25" s="28">
        <v>0.2</v>
      </c>
      <c r="R25" s="27">
        <v>-1880000</v>
      </c>
      <c r="S25" s="16">
        <v>25</v>
      </c>
      <c r="T25" s="69">
        <f t="shared" si="2"/>
        <v>333.33333333333331</v>
      </c>
      <c r="U25" s="69">
        <f t="shared" si="3"/>
        <v>16.666666666666664</v>
      </c>
      <c r="W25" s="26"/>
      <c r="X25" s="27"/>
      <c r="Y25" s="16"/>
      <c r="Z25" s="27"/>
      <c r="AA25" s="27"/>
      <c r="AB25" s="28"/>
      <c r="AC25" s="27"/>
      <c r="AD25" s="16"/>
      <c r="AE25" s="69">
        <f t="shared" si="4"/>
        <v>0</v>
      </c>
      <c r="AF25" s="69">
        <f t="shared" si="5"/>
        <v>0</v>
      </c>
    </row>
    <row r="26" spans="1:32" x14ac:dyDescent="0.4">
      <c r="A26" s="29"/>
      <c r="B26" s="30"/>
      <c r="C26" s="15"/>
      <c r="D26" s="30"/>
      <c r="E26" s="30"/>
      <c r="F26" s="31"/>
      <c r="G26" s="30"/>
      <c r="H26" s="15"/>
      <c r="I26" s="70">
        <f t="shared" si="1"/>
        <v>0</v>
      </c>
      <c r="J26" s="70">
        <f t="shared" si="0"/>
        <v>0</v>
      </c>
      <c r="L26" s="29" t="str">
        <v>Cm-245(p,p+p̅)Cm-waste</v>
      </c>
      <c r="M26" s="30">
        <v>5000000</v>
      </c>
      <c r="N26" s="15">
        <v>0</v>
      </c>
      <c r="O26" s="30">
        <v>5630000</v>
      </c>
      <c r="P26" s="30">
        <v>20000000</v>
      </c>
      <c r="Q26" s="31">
        <v>0.2</v>
      </c>
      <c r="R26" s="30">
        <v>-1880000</v>
      </c>
      <c r="S26" s="15">
        <v>25</v>
      </c>
      <c r="T26" s="70">
        <f t="shared" si="2"/>
        <v>333.33333333333331</v>
      </c>
      <c r="U26" s="70">
        <f t="shared" si="3"/>
        <v>16.666666666666664</v>
      </c>
      <c r="W26" s="29"/>
      <c r="X26" s="30"/>
      <c r="Y26" s="15"/>
      <c r="Z26" s="30"/>
      <c r="AA26" s="30"/>
      <c r="AB26" s="31"/>
      <c r="AC26" s="30"/>
      <c r="AD26" s="15"/>
      <c r="AE26" s="70">
        <f t="shared" si="4"/>
        <v>0</v>
      </c>
      <c r="AF26" s="70">
        <f t="shared" si="5"/>
        <v>0</v>
      </c>
    </row>
    <row r="27" spans="1:32" x14ac:dyDescent="0.4">
      <c r="A27" s="26"/>
      <c r="B27" s="27"/>
      <c r="C27" s="16"/>
      <c r="D27" s="27"/>
      <c r="E27" s="27"/>
      <c r="F27" s="28"/>
      <c r="G27" s="27"/>
      <c r="H27" s="16"/>
      <c r="I27" s="69">
        <f t="shared" si="1"/>
        <v>0</v>
      </c>
      <c r="J27" s="69">
        <f t="shared" si="0"/>
        <v>0</v>
      </c>
      <c r="L27" s="26" t="str">
        <v>Cm-243(p,p+p̅)Cm-waste</v>
      </c>
      <c r="M27" s="27">
        <v>5000000</v>
      </c>
      <c r="N27" s="16">
        <v>0</v>
      </c>
      <c r="O27" s="27">
        <v>5630000</v>
      </c>
      <c r="P27" s="27">
        <v>20000000</v>
      </c>
      <c r="Q27" s="28">
        <v>0.2</v>
      </c>
      <c r="R27" s="27">
        <v>-1880000</v>
      </c>
      <c r="S27" s="16">
        <v>25</v>
      </c>
      <c r="T27" s="69">
        <f t="shared" si="2"/>
        <v>333.33333333333331</v>
      </c>
      <c r="U27" s="69">
        <f t="shared" si="3"/>
        <v>16.666666666666664</v>
      </c>
      <c r="W27" s="26"/>
      <c r="X27" s="27"/>
      <c r="Y27" s="16"/>
      <c r="Z27" s="27"/>
      <c r="AA27" s="27"/>
      <c r="AB27" s="28"/>
      <c r="AC27" s="27"/>
      <c r="AD27" s="16"/>
      <c r="AE27" s="69">
        <f t="shared" si="4"/>
        <v>0</v>
      </c>
      <c r="AF27" s="69">
        <f t="shared" si="5"/>
        <v>0</v>
      </c>
    </row>
    <row r="28" spans="1:32" x14ac:dyDescent="0.4">
      <c r="A28" s="29"/>
      <c r="B28" s="30"/>
      <c r="C28" s="15"/>
      <c r="D28" s="30"/>
      <c r="E28" s="30"/>
      <c r="F28" s="31"/>
      <c r="G28" s="30"/>
      <c r="H28" s="15"/>
      <c r="I28" s="70">
        <f t="shared" si="1"/>
        <v>0</v>
      </c>
      <c r="J28" s="70">
        <f t="shared" si="0"/>
        <v>0</v>
      </c>
      <c r="L28" s="29" t="str">
        <v>Am-243(p,p+p̅)Am-waste</v>
      </c>
      <c r="M28" s="30">
        <v>5000000</v>
      </c>
      <c r="N28" s="15">
        <v>0</v>
      </c>
      <c r="O28" s="30">
        <v>5630000</v>
      </c>
      <c r="P28" s="30">
        <v>20000000</v>
      </c>
      <c r="Q28" s="31">
        <v>0.2</v>
      </c>
      <c r="R28" s="30">
        <v>-1880000</v>
      </c>
      <c r="S28" s="15">
        <v>25</v>
      </c>
      <c r="T28" s="70">
        <f t="shared" si="2"/>
        <v>333.33333333333331</v>
      </c>
      <c r="U28" s="70">
        <f t="shared" si="3"/>
        <v>16.666666666666664</v>
      </c>
      <c r="W28" s="29"/>
      <c r="X28" s="30"/>
      <c r="Y28" s="15"/>
      <c r="Z28" s="30"/>
      <c r="AA28" s="30"/>
      <c r="AB28" s="31"/>
      <c r="AC28" s="30"/>
      <c r="AD28" s="15"/>
      <c r="AE28" s="70">
        <f t="shared" si="4"/>
        <v>0</v>
      </c>
      <c r="AF28" s="70">
        <f t="shared" si="5"/>
        <v>0</v>
      </c>
    </row>
    <row r="29" spans="1:32" x14ac:dyDescent="0.4">
      <c r="A29" s="26"/>
      <c r="B29" s="27"/>
      <c r="C29" s="16"/>
      <c r="D29" s="27"/>
      <c r="E29" s="27"/>
      <c r="F29" s="28"/>
      <c r="G29" s="27"/>
      <c r="H29" s="16"/>
      <c r="I29" s="69">
        <f t="shared" si="1"/>
        <v>0</v>
      </c>
      <c r="J29" s="69">
        <f t="shared" si="0"/>
        <v>0</v>
      </c>
      <c r="L29" s="26" t="str">
        <v>Am-242(p,p+p̅)Am-waste</v>
      </c>
      <c r="M29" s="27">
        <v>5000000</v>
      </c>
      <c r="N29" s="16">
        <v>0</v>
      </c>
      <c r="O29" s="27">
        <v>5630000</v>
      </c>
      <c r="P29" s="27">
        <v>20000000</v>
      </c>
      <c r="Q29" s="28">
        <v>0.2</v>
      </c>
      <c r="R29" s="27">
        <v>-1880000</v>
      </c>
      <c r="S29" s="16">
        <v>25</v>
      </c>
      <c r="T29" s="69">
        <f t="shared" si="2"/>
        <v>333.33333333333331</v>
      </c>
      <c r="U29" s="69">
        <f t="shared" si="3"/>
        <v>16.666666666666664</v>
      </c>
      <c r="W29" s="26"/>
      <c r="X29" s="27"/>
      <c r="Y29" s="16"/>
      <c r="Z29" s="27"/>
      <c r="AA29" s="27"/>
      <c r="AB29" s="28"/>
      <c r="AC29" s="27"/>
      <c r="AD29" s="16"/>
      <c r="AE29" s="69">
        <f t="shared" si="4"/>
        <v>0</v>
      </c>
      <c r="AF29" s="69">
        <f t="shared" si="5"/>
        <v>0</v>
      </c>
    </row>
    <row r="30" spans="1:32" x14ac:dyDescent="0.4">
      <c r="A30" s="29"/>
      <c r="B30" s="30"/>
      <c r="C30" s="15"/>
      <c r="D30" s="30"/>
      <c r="E30" s="30"/>
      <c r="F30" s="31"/>
      <c r="G30" s="30"/>
      <c r="H30" s="15"/>
      <c r="I30" s="70">
        <f t="shared" si="1"/>
        <v>0</v>
      </c>
      <c r="J30" s="70">
        <f t="shared" si="0"/>
        <v>0</v>
      </c>
      <c r="L30" s="29" t="str">
        <v>Am-241(p,p+p̅)Am-waste</v>
      </c>
      <c r="M30" s="30">
        <v>5000000</v>
      </c>
      <c r="N30" s="15">
        <v>0</v>
      </c>
      <c r="O30" s="30">
        <v>5630000</v>
      </c>
      <c r="P30" s="30">
        <v>20000000</v>
      </c>
      <c r="Q30" s="31">
        <v>0.2</v>
      </c>
      <c r="R30" s="30">
        <v>-1880000</v>
      </c>
      <c r="S30" s="15">
        <v>25</v>
      </c>
      <c r="T30" s="70">
        <f t="shared" si="2"/>
        <v>333.33333333333331</v>
      </c>
      <c r="U30" s="70">
        <f t="shared" si="3"/>
        <v>16.666666666666664</v>
      </c>
      <c r="W30" s="29"/>
      <c r="X30" s="30"/>
      <c r="Y30" s="15"/>
      <c r="Z30" s="30"/>
      <c r="AA30" s="30"/>
      <c r="AB30" s="31"/>
      <c r="AC30" s="30"/>
      <c r="AD30" s="15"/>
      <c r="AE30" s="70">
        <f t="shared" si="4"/>
        <v>0</v>
      </c>
      <c r="AF30" s="70">
        <f t="shared" si="5"/>
        <v>0</v>
      </c>
    </row>
    <row r="31" spans="1:32" x14ac:dyDescent="0.4">
      <c r="A31" s="26"/>
      <c r="B31" s="27"/>
      <c r="C31" s="16"/>
      <c r="D31" s="27"/>
      <c r="E31" s="27"/>
      <c r="F31" s="28"/>
      <c r="G31" s="27"/>
      <c r="H31" s="16"/>
      <c r="I31" s="69">
        <f t="shared" si="1"/>
        <v>0</v>
      </c>
      <c r="J31" s="69">
        <f t="shared" si="0"/>
        <v>0</v>
      </c>
      <c r="L31" s="26" t="str">
        <v>Pu-242(p,p+p̅)Pu-waste</v>
      </c>
      <c r="M31" s="27">
        <v>5000000</v>
      </c>
      <c r="N31" s="16">
        <v>0</v>
      </c>
      <c r="O31" s="27">
        <v>5630000</v>
      </c>
      <c r="P31" s="27">
        <v>20000000</v>
      </c>
      <c r="Q31" s="28">
        <v>0.2</v>
      </c>
      <c r="R31" s="27">
        <v>-1880000</v>
      </c>
      <c r="S31" s="16">
        <v>25</v>
      </c>
      <c r="T31" s="69">
        <f t="shared" si="2"/>
        <v>333.33333333333331</v>
      </c>
      <c r="U31" s="69">
        <f t="shared" si="3"/>
        <v>16.666666666666664</v>
      </c>
      <c r="W31" s="26"/>
      <c r="X31" s="27"/>
      <c r="Y31" s="16"/>
      <c r="Z31" s="27"/>
      <c r="AA31" s="27"/>
      <c r="AB31" s="28"/>
      <c r="AC31" s="27"/>
      <c r="AD31" s="16"/>
      <c r="AE31" s="69">
        <f t="shared" si="4"/>
        <v>0</v>
      </c>
      <c r="AF31" s="69">
        <f t="shared" si="5"/>
        <v>0</v>
      </c>
    </row>
    <row r="32" spans="1:32" x14ac:dyDescent="0.4">
      <c r="A32" s="29"/>
      <c r="B32" s="30"/>
      <c r="C32" s="15"/>
      <c r="D32" s="30"/>
      <c r="E32" s="30"/>
      <c r="F32" s="31"/>
      <c r="G32" s="30"/>
      <c r="H32" s="15"/>
      <c r="I32" s="70">
        <f t="shared" si="1"/>
        <v>0</v>
      </c>
      <c r="J32" s="70">
        <f t="shared" si="0"/>
        <v>0</v>
      </c>
      <c r="L32" s="29" t="str">
        <v>Pu-241(p,p+p̅)Pu-waste</v>
      </c>
      <c r="M32" s="30">
        <v>5000000</v>
      </c>
      <c r="N32" s="15">
        <v>0</v>
      </c>
      <c r="O32" s="30">
        <v>5630000</v>
      </c>
      <c r="P32" s="30">
        <v>20000000</v>
      </c>
      <c r="Q32" s="31">
        <v>0.2</v>
      </c>
      <c r="R32" s="30">
        <v>-1880000</v>
      </c>
      <c r="S32" s="15">
        <v>25</v>
      </c>
      <c r="T32" s="70">
        <f t="shared" si="2"/>
        <v>333.33333333333331</v>
      </c>
      <c r="U32" s="70">
        <f t="shared" si="3"/>
        <v>16.666666666666664</v>
      </c>
      <c r="W32" s="29"/>
      <c r="X32" s="30"/>
      <c r="Y32" s="15"/>
      <c r="Z32" s="30"/>
      <c r="AA32" s="30"/>
      <c r="AB32" s="31"/>
      <c r="AC32" s="30"/>
      <c r="AD32" s="15"/>
      <c r="AE32" s="70">
        <f t="shared" si="4"/>
        <v>0</v>
      </c>
      <c r="AF32" s="70">
        <f t="shared" si="5"/>
        <v>0</v>
      </c>
    </row>
    <row r="33" spans="1:32" x14ac:dyDescent="0.4">
      <c r="A33" s="26"/>
      <c r="B33" s="27"/>
      <c r="C33" s="16"/>
      <c r="D33" s="27"/>
      <c r="E33" s="27"/>
      <c r="F33" s="28"/>
      <c r="G33" s="27"/>
      <c r="H33" s="16"/>
      <c r="I33" s="69">
        <f t="shared" si="1"/>
        <v>0</v>
      </c>
      <c r="J33" s="69">
        <f t="shared" si="0"/>
        <v>0</v>
      </c>
      <c r="L33" s="26" t="str">
        <v>Pu-239(p,p+p̅)Pu-waste</v>
      </c>
      <c r="M33" s="27">
        <v>5000000</v>
      </c>
      <c r="N33" s="16">
        <v>0</v>
      </c>
      <c r="O33" s="27">
        <v>5630000</v>
      </c>
      <c r="P33" s="27">
        <v>20000000</v>
      </c>
      <c r="Q33" s="28">
        <v>0.2</v>
      </c>
      <c r="R33" s="27">
        <v>-1880000</v>
      </c>
      <c r="S33" s="16">
        <v>25</v>
      </c>
      <c r="T33" s="69">
        <f t="shared" si="2"/>
        <v>333.33333333333331</v>
      </c>
      <c r="U33" s="69">
        <f t="shared" si="3"/>
        <v>16.666666666666664</v>
      </c>
      <c r="W33" s="26"/>
      <c r="X33" s="27"/>
      <c r="Y33" s="16"/>
      <c r="Z33" s="27"/>
      <c r="AA33" s="27"/>
      <c r="AB33" s="28"/>
      <c r="AC33" s="27"/>
      <c r="AD33" s="16"/>
      <c r="AE33" s="69">
        <f t="shared" si="4"/>
        <v>0</v>
      </c>
      <c r="AF33" s="69">
        <f t="shared" si="5"/>
        <v>0</v>
      </c>
    </row>
    <row r="34" spans="1:32" x14ac:dyDescent="0.4">
      <c r="A34" s="29"/>
      <c r="B34" s="30"/>
      <c r="C34" s="15"/>
      <c r="D34" s="30"/>
      <c r="E34" s="30"/>
      <c r="F34" s="31"/>
      <c r="G34" s="30"/>
      <c r="H34" s="15"/>
      <c r="I34" s="70">
        <f t="shared" si="1"/>
        <v>0</v>
      </c>
      <c r="J34" s="70">
        <f t="shared" si="0"/>
        <v>0</v>
      </c>
      <c r="L34" s="29" t="str">
        <v>Pu-238(p,p+p̅)Pu-waste</v>
      </c>
      <c r="M34" s="30">
        <v>5000000</v>
      </c>
      <c r="N34" s="15">
        <v>0</v>
      </c>
      <c r="O34" s="30">
        <v>5630000</v>
      </c>
      <c r="P34" s="30">
        <v>20000000</v>
      </c>
      <c r="Q34" s="31">
        <v>0.2</v>
      </c>
      <c r="R34" s="30">
        <v>-1880000</v>
      </c>
      <c r="S34" s="15">
        <v>25</v>
      </c>
      <c r="T34" s="70">
        <f t="shared" si="2"/>
        <v>333.33333333333331</v>
      </c>
      <c r="U34" s="70">
        <f t="shared" si="3"/>
        <v>16.666666666666664</v>
      </c>
      <c r="W34" s="29"/>
      <c r="X34" s="30"/>
      <c r="Y34" s="15"/>
      <c r="Z34" s="30"/>
      <c r="AA34" s="30"/>
      <c r="AB34" s="31"/>
      <c r="AC34" s="30"/>
      <c r="AD34" s="15"/>
      <c r="AE34" s="70">
        <f t="shared" si="4"/>
        <v>0</v>
      </c>
      <c r="AF34" s="70">
        <f t="shared" si="5"/>
        <v>0</v>
      </c>
    </row>
    <row r="35" spans="1:32" x14ac:dyDescent="0.4">
      <c r="A35" s="26"/>
      <c r="B35" s="27"/>
      <c r="C35" s="16"/>
      <c r="D35" s="27"/>
      <c r="E35" s="27"/>
      <c r="F35" s="28"/>
      <c r="G35" s="27"/>
      <c r="H35" s="16"/>
      <c r="I35" s="69">
        <f t="shared" si="1"/>
        <v>0</v>
      </c>
      <c r="J35" s="69">
        <f t="shared" si="0"/>
        <v>0</v>
      </c>
      <c r="L35" s="26" t="str">
        <v>Np-237(p,p+p̅)Np-waste</v>
      </c>
      <c r="M35" s="27">
        <v>5000000</v>
      </c>
      <c r="N35" s="16">
        <v>0</v>
      </c>
      <c r="O35" s="27">
        <v>5630000</v>
      </c>
      <c r="P35" s="27">
        <v>20000000</v>
      </c>
      <c r="Q35" s="28">
        <v>0.2</v>
      </c>
      <c r="R35" s="27">
        <v>-1880000</v>
      </c>
      <c r="S35" s="16">
        <v>25</v>
      </c>
      <c r="T35" s="69">
        <f t="shared" si="2"/>
        <v>333.33333333333331</v>
      </c>
      <c r="U35" s="69">
        <f t="shared" si="3"/>
        <v>16.666666666666664</v>
      </c>
      <c r="W35" s="26"/>
      <c r="X35" s="27"/>
      <c r="Y35" s="16"/>
      <c r="Z35" s="27"/>
      <c r="AA35" s="27"/>
      <c r="AB35" s="28"/>
      <c r="AC35" s="27"/>
      <c r="AD35" s="16"/>
      <c r="AE35" s="69">
        <f t="shared" si="4"/>
        <v>0</v>
      </c>
      <c r="AF35" s="69">
        <f t="shared" si="5"/>
        <v>0</v>
      </c>
    </row>
    <row r="36" spans="1:32" x14ac:dyDescent="0.4">
      <c r="A36" s="29"/>
      <c r="B36" s="30"/>
      <c r="C36" s="15"/>
      <c r="D36" s="30"/>
      <c r="E36" s="30"/>
      <c r="F36" s="31"/>
      <c r="G36" s="30"/>
      <c r="H36" s="15"/>
      <c r="I36" s="70">
        <f t="shared" si="1"/>
        <v>0</v>
      </c>
      <c r="J36" s="70">
        <f t="shared" si="0"/>
        <v>0</v>
      </c>
      <c r="L36" s="29" t="str">
        <v>Np-236(p,p+p̅)Np-waste</v>
      </c>
      <c r="M36" s="30">
        <v>5000000</v>
      </c>
      <c r="N36" s="15">
        <v>0</v>
      </c>
      <c r="O36" s="30">
        <v>5630000</v>
      </c>
      <c r="P36" s="30">
        <v>20000000</v>
      </c>
      <c r="Q36" s="31">
        <v>0.2</v>
      </c>
      <c r="R36" s="30">
        <v>-1880000</v>
      </c>
      <c r="S36" s="15">
        <v>25</v>
      </c>
      <c r="T36" s="70">
        <f t="shared" si="2"/>
        <v>333.33333333333331</v>
      </c>
      <c r="U36" s="70">
        <f t="shared" si="3"/>
        <v>16.666666666666664</v>
      </c>
      <c r="W36" s="29"/>
      <c r="X36" s="30"/>
      <c r="Y36" s="15"/>
      <c r="Z36" s="30"/>
      <c r="AA36" s="30"/>
      <c r="AB36" s="31"/>
      <c r="AC36" s="30"/>
      <c r="AD36" s="15"/>
      <c r="AE36" s="70">
        <f t="shared" si="4"/>
        <v>0</v>
      </c>
      <c r="AF36" s="70">
        <f t="shared" si="5"/>
        <v>0</v>
      </c>
    </row>
    <row r="37" spans="1:32" x14ac:dyDescent="0.4">
      <c r="A37" s="26"/>
      <c r="B37" s="27"/>
      <c r="C37" s="16"/>
      <c r="D37" s="27"/>
      <c r="E37" s="27"/>
      <c r="F37" s="28"/>
      <c r="G37" s="27"/>
      <c r="H37" s="16"/>
      <c r="I37" s="69">
        <f t="shared" si="1"/>
        <v>0</v>
      </c>
      <c r="J37" s="69">
        <f t="shared" si="0"/>
        <v>0</v>
      </c>
      <c r="L37" s="26" t="str">
        <v>U-238(p,p+p̅)U-waste</v>
      </c>
      <c r="M37" s="27">
        <v>5000000</v>
      </c>
      <c r="N37" s="16">
        <v>0</v>
      </c>
      <c r="O37" s="27">
        <v>5630000</v>
      </c>
      <c r="P37" s="27">
        <v>20000000</v>
      </c>
      <c r="Q37" s="28">
        <v>0.2</v>
      </c>
      <c r="R37" s="27">
        <v>-1880000</v>
      </c>
      <c r="S37" s="16">
        <v>25</v>
      </c>
      <c r="T37" s="69">
        <f t="shared" si="2"/>
        <v>333.33333333333331</v>
      </c>
      <c r="U37" s="69">
        <f t="shared" si="3"/>
        <v>16.666666666666664</v>
      </c>
      <c r="W37" s="26"/>
      <c r="X37" s="27"/>
      <c r="Y37" s="16"/>
      <c r="Z37" s="27"/>
      <c r="AA37" s="27"/>
      <c r="AB37" s="28"/>
      <c r="AC37" s="27"/>
      <c r="AD37" s="16"/>
      <c r="AE37" s="69">
        <f t="shared" si="4"/>
        <v>0</v>
      </c>
      <c r="AF37" s="69">
        <f t="shared" si="5"/>
        <v>0</v>
      </c>
    </row>
    <row r="38" spans="1:32" x14ac:dyDescent="0.4">
      <c r="A38" s="29"/>
      <c r="B38" s="30"/>
      <c r="C38" s="15"/>
      <c r="D38" s="30"/>
      <c r="E38" s="30"/>
      <c r="F38" s="31"/>
      <c r="G38" s="30"/>
      <c r="H38" s="15"/>
      <c r="I38" s="70">
        <f t="shared" si="1"/>
        <v>0</v>
      </c>
      <c r="J38" s="70">
        <f t="shared" si="0"/>
        <v>0</v>
      </c>
      <c r="L38" s="29" t="str">
        <v>U-235(p,p+p̅)U-waste</v>
      </c>
      <c r="M38" s="30">
        <v>5000000</v>
      </c>
      <c r="N38" s="15">
        <v>0</v>
      </c>
      <c r="O38" s="30">
        <v>5630000</v>
      </c>
      <c r="P38" s="30">
        <v>20000000</v>
      </c>
      <c r="Q38" s="31">
        <v>0.2</v>
      </c>
      <c r="R38" s="30">
        <v>-1880000</v>
      </c>
      <c r="S38" s="15">
        <v>25</v>
      </c>
      <c r="T38" s="70">
        <f t="shared" si="2"/>
        <v>333.33333333333331</v>
      </c>
      <c r="U38" s="70">
        <f t="shared" si="3"/>
        <v>16.666666666666664</v>
      </c>
      <c r="W38" s="29"/>
      <c r="X38" s="30"/>
      <c r="Y38" s="15"/>
      <c r="Z38" s="30"/>
      <c r="AA38" s="30"/>
      <c r="AB38" s="31"/>
      <c r="AC38" s="30"/>
      <c r="AD38" s="15"/>
      <c r="AE38" s="70">
        <f t="shared" si="4"/>
        <v>0</v>
      </c>
      <c r="AF38" s="70">
        <f t="shared" si="5"/>
        <v>0</v>
      </c>
    </row>
    <row r="39" spans="1:32" x14ac:dyDescent="0.4">
      <c r="A39" s="26"/>
      <c r="B39" s="27"/>
      <c r="C39" s="16"/>
      <c r="D39" s="27"/>
      <c r="E39" s="27"/>
      <c r="F39" s="28"/>
      <c r="G39" s="27"/>
      <c r="H39" s="16"/>
      <c r="I39" s="69">
        <f t="shared" si="1"/>
        <v>0</v>
      </c>
      <c r="J39" s="69">
        <f t="shared" si="0"/>
        <v>0</v>
      </c>
      <c r="L39" s="26" t="str">
        <v>U-234(p,p+p̅)U-waste</v>
      </c>
      <c r="M39" s="27">
        <v>5000000</v>
      </c>
      <c r="N39" s="16">
        <v>0</v>
      </c>
      <c r="O39" s="27">
        <v>5630000</v>
      </c>
      <c r="P39" s="27">
        <v>20000000</v>
      </c>
      <c r="Q39" s="28">
        <v>0.2</v>
      </c>
      <c r="R39" s="27">
        <v>-1880000</v>
      </c>
      <c r="S39" s="16">
        <v>25</v>
      </c>
      <c r="T39" s="69">
        <f t="shared" si="2"/>
        <v>333.33333333333331</v>
      </c>
      <c r="U39" s="69">
        <f t="shared" si="3"/>
        <v>16.666666666666664</v>
      </c>
      <c r="W39" s="26"/>
      <c r="X39" s="27"/>
      <c r="Y39" s="16"/>
      <c r="Z39" s="27"/>
      <c r="AA39" s="27"/>
      <c r="AB39" s="28"/>
      <c r="AC39" s="27"/>
      <c r="AD39" s="16"/>
      <c r="AE39" s="69">
        <f t="shared" si="4"/>
        <v>0</v>
      </c>
      <c r="AF39" s="69">
        <f t="shared" si="5"/>
        <v>0</v>
      </c>
    </row>
    <row r="40" spans="1:32" x14ac:dyDescent="0.4">
      <c r="A40" s="29"/>
      <c r="B40" s="30"/>
      <c r="C40" s="15"/>
      <c r="D40" s="30"/>
      <c r="E40" s="30"/>
      <c r="F40" s="31"/>
      <c r="G40" s="30"/>
      <c r="H40" s="15"/>
      <c r="I40" s="70">
        <f t="shared" si="1"/>
        <v>0</v>
      </c>
      <c r="J40" s="70">
        <f t="shared" si="0"/>
        <v>0</v>
      </c>
      <c r="L40" s="29" t="str">
        <v>U-233(p,p+p̅)U-waste</v>
      </c>
      <c r="M40" s="30">
        <v>5000000</v>
      </c>
      <c r="N40" s="15">
        <v>0</v>
      </c>
      <c r="O40" s="30">
        <v>5630000</v>
      </c>
      <c r="P40" s="30">
        <v>20000000</v>
      </c>
      <c r="Q40" s="31">
        <v>0.2</v>
      </c>
      <c r="R40" s="30">
        <v>-1880000</v>
      </c>
      <c r="S40" s="15">
        <v>25</v>
      </c>
      <c r="T40" s="70">
        <f t="shared" si="2"/>
        <v>333.33333333333331</v>
      </c>
      <c r="U40" s="70">
        <f t="shared" si="3"/>
        <v>16.666666666666664</v>
      </c>
      <c r="W40" s="29"/>
      <c r="X40" s="30"/>
      <c r="Y40" s="15"/>
      <c r="Z40" s="30"/>
      <c r="AA40" s="30"/>
      <c r="AB40" s="31"/>
      <c r="AC40" s="30"/>
      <c r="AD40" s="15"/>
      <c r="AE40" s="70">
        <f t="shared" si="4"/>
        <v>0</v>
      </c>
      <c r="AF40" s="70">
        <f t="shared" si="5"/>
        <v>0</v>
      </c>
    </row>
    <row r="41" spans="1:32" x14ac:dyDescent="0.4">
      <c r="A41" s="26"/>
      <c r="B41" s="27"/>
      <c r="C41" s="16"/>
      <c r="D41" s="27"/>
      <c r="E41" s="27"/>
      <c r="F41" s="28"/>
      <c r="G41" s="27"/>
      <c r="H41" s="16"/>
      <c r="I41" s="69">
        <f t="shared" si="1"/>
        <v>0</v>
      </c>
      <c r="J41" s="69">
        <f t="shared" si="0"/>
        <v>0</v>
      </c>
      <c r="L41" s="26" t="str">
        <v>Pa-233(p,p+p̅)Pa-waste</v>
      </c>
      <c r="M41" s="27">
        <v>5000000</v>
      </c>
      <c r="N41" s="16">
        <v>0</v>
      </c>
      <c r="O41" s="27">
        <v>5630000</v>
      </c>
      <c r="P41" s="27">
        <v>20000000</v>
      </c>
      <c r="Q41" s="28">
        <v>0.2</v>
      </c>
      <c r="R41" s="27">
        <v>-1880000</v>
      </c>
      <c r="S41" s="16">
        <v>25</v>
      </c>
      <c r="T41" s="69">
        <f t="shared" si="2"/>
        <v>333.33333333333331</v>
      </c>
      <c r="U41" s="69">
        <f t="shared" si="3"/>
        <v>16.666666666666664</v>
      </c>
      <c r="W41" s="26"/>
      <c r="X41" s="27"/>
      <c r="Y41" s="16"/>
      <c r="Z41" s="27"/>
      <c r="AA41" s="27"/>
      <c r="AB41" s="28"/>
      <c r="AC41" s="27"/>
      <c r="AD41" s="16"/>
      <c r="AE41" s="69">
        <f t="shared" si="4"/>
        <v>0</v>
      </c>
      <c r="AF41" s="69">
        <f t="shared" si="5"/>
        <v>0</v>
      </c>
    </row>
    <row r="42" spans="1:32" x14ac:dyDescent="0.4">
      <c r="A42" s="29"/>
      <c r="B42" s="30"/>
      <c r="C42" s="15"/>
      <c r="D42" s="30"/>
      <c r="E42" s="30"/>
      <c r="F42" s="31"/>
      <c r="G42" s="30"/>
      <c r="H42" s="15"/>
      <c r="I42" s="70">
        <f t="shared" si="1"/>
        <v>0</v>
      </c>
      <c r="J42" s="70">
        <f t="shared" si="0"/>
        <v>0</v>
      </c>
      <c r="L42" s="29" t="str">
        <v>Pa-231(p,p+p̅)Pa-waste</v>
      </c>
      <c r="M42" s="30">
        <v>5000000</v>
      </c>
      <c r="N42" s="15">
        <v>0</v>
      </c>
      <c r="O42" s="30">
        <v>5630000</v>
      </c>
      <c r="P42" s="30">
        <v>20000000</v>
      </c>
      <c r="Q42" s="31">
        <v>0.2</v>
      </c>
      <c r="R42" s="30">
        <v>-1880000</v>
      </c>
      <c r="S42" s="15">
        <v>25</v>
      </c>
      <c r="T42" s="70">
        <f t="shared" si="2"/>
        <v>333.33333333333331</v>
      </c>
      <c r="U42" s="70">
        <f t="shared" si="3"/>
        <v>16.666666666666664</v>
      </c>
      <c r="W42" s="29"/>
      <c r="X42" s="30"/>
      <c r="Y42" s="15"/>
      <c r="Z42" s="30"/>
      <c r="AA42" s="30"/>
      <c r="AB42" s="31"/>
      <c r="AC42" s="30"/>
      <c r="AD42" s="15"/>
      <c r="AE42" s="70">
        <f t="shared" si="4"/>
        <v>0</v>
      </c>
      <c r="AF42" s="70">
        <f t="shared" si="5"/>
        <v>0</v>
      </c>
    </row>
    <row r="43" spans="1:32" x14ac:dyDescent="0.4">
      <c r="A43" s="26"/>
      <c r="B43" s="27"/>
      <c r="C43" s="16"/>
      <c r="D43" s="27"/>
      <c r="E43" s="27"/>
      <c r="F43" s="28"/>
      <c r="G43" s="27"/>
      <c r="H43" s="16"/>
      <c r="I43" s="69">
        <f t="shared" si="1"/>
        <v>0</v>
      </c>
      <c r="J43" s="69">
        <f t="shared" si="0"/>
        <v>0</v>
      </c>
      <c r="L43" s="26" t="str">
        <v>Th-232(p,p+p̅)Th-waste</v>
      </c>
      <c r="M43" s="27">
        <v>5000000</v>
      </c>
      <c r="N43" s="16">
        <v>0</v>
      </c>
      <c r="O43" s="27">
        <v>5630000</v>
      </c>
      <c r="P43" s="27">
        <v>20000000</v>
      </c>
      <c r="Q43" s="28">
        <v>0.2</v>
      </c>
      <c r="R43" s="27">
        <v>-1880000</v>
      </c>
      <c r="S43" s="16">
        <v>25</v>
      </c>
      <c r="T43" s="69">
        <f t="shared" si="2"/>
        <v>333.33333333333331</v>
      </c>
      <c r="U43" s="69">
        <f t="shared" si="3"/>
        <v>16.666666666666664</v>
      </c>
      <c r="W43" s="26"/>
      <c r="X43" s="27"/>
      <c r="Y43" s="16"/>
      <c r="Z43" s="27"/>
      <c r="AA43" s="27"/>
      <c r="AB43" s="28"/>
      <c r="AC43" s="27"/>
      <c r="AD43" s="16"/>
      <c r="AE43" s="69">
        <f t="shared" si="4"/>
        <v>0</v>
      </c>
      <c r="AF43" s="69">
        <f t="shared" si="5"/>
        <v>0</v>
      </c>
    </row>
    <row r="44" spans="1:32" x14ac:dyDescent="0.4">
      <c r="A44" s="29"/>
      <c r="B44" s="30"/>
      <c r="C44" s="15"/>
      <c r="D44" s="30"/>
      <c r="E44" s="30"/>
      <c r="F44" s="31"/>
      <c r="G44" s="30"/>
      <c r="H44" s="15"/>
      <c r="I44" s="70">
        <f t="shared" si="1"/>
        <v>0</v>
      </c>
      <c r="J44" s="70">
        <f t="shared" si="0"/>
        <v>0</v>
      </c>
      <c r="L44" s="29" t="str">
        <v>Ra-226(p,p+p̅)Ra-waste</v>
      </c>
      <c r="M44" s="30">
        <v>5000000</v>
      </c>
      <c r="N44" s="15">
        <v>0</v>
      </c>
      <c r="O44" s="30">
        <v>5630000</v>
      </c>
      <c r="P44" s="30">
        <v>20000000</v>
      </c>
      <c r="Q44" s="31">
        <v>0.2</v>
      </c>
      <c r="R44" s="30">
        <v>-1880000</v>
      </c>
      <c r="S44" s="15">
        <v>25</v>
      </c>
      <c r="T44" s="70">
        <f t="shared" si="2"/>
        <v>333.33333333333331</v>
      </c>
      <c r="U44" s="70">
        <f t="shared" si="3"/>
        <v>16.666666666666664</v>
      </c>
      <c r="W44" s="29"/>
      <c r="X44" s="30"/>
      <c r="Y44" s="15"/>
      <c r="Z44" s="30"/>
      <c r="AA44" s="30"/>
      <c r="AB44" s="31"/>
      <c r="AC44" s="30"/>
      <c r="AD44" s="15"/>
      <c r="AE44" s="70">
        <f t="shared" si="4"/>
        <v>0</v>
      </c>
      <c r="AF44" s="70">
        <f t="shared" si="5"/>
        <v>0</v>
      </c>
    </row>
    <row r="45" spans="1:32" x14ac:dyDescent="0.4">
      <c r="A45" s="26"/>
      <c r="B45" s="27"/>
      <c r="C45" s="16"/>
      <c r="D45" s="27"/>
      <c r="E45" s="27"/>
      <c r="F45" s="28"/>
      <c r="G45" s="27"/>
      <c r="H45" s="16"/>
      <c r="I45" s="69">
        <f t="shared" si="1"/>
        <v>0</v>
      </c>
      <c r="J45" s="69">
        <f t="shared" si="0"/>
        <v>0</v>
      </c>
      <c r="L45" s="26" t="str">
        <v>Po-210(p,p+p̅)Po-waste</v>
      </c>
      <c r="M45" s="27">
        <v>5000000</v>
      </c>
      <c r="N45" s="16">
        <v>0</v>
      </c>
      <c r="O45" s="27">
        <v>5630000</v>
      </c>
      <c r="P45" s="27">
        <v>20000000</v>
      </c>
      <c r="Q45" s="28">
        <v>0.2</v>
      </c>
      <c r="R45" s="27">
        <v>-1880000</v>
      </c>
      <c r="S45" s="16">
        <v>25</v>
      </c>
      <c r="T45" s="69">
        <f t="shared" si="2"/>
        <v>333.33333333333331</v>
      </c>
      <c r="U45" s="69">
        <f t="shared" si="3"/>
        <v>16.666666666666664</v>
      </c>
      <c r="W45" s="26"/>
      <c r="X45" s="27"/>
      <c r="Y45" s="16"/>
      <c r="Z45" s="27"/>
      <c r="AA45" s="27"/>
      <c r="AB45" s="28"/>
      <c r="AC45" s="27"/>
      <c r="AD45" s="16"/>
      <c r="AE45" s="69">
        <f t="shared" si="4"/>
        <v>0</v>
      </c>
      <c r="AF45" s="69">
        <f t="shared" si="5"/>
        <v>0</v>
      </c>
    </row>
    <row r="46" spans="1:32" x14ac:dyDescent="0.4">
      <c r="A46" s="29"/>
      <c r="B46" s="30"/>
      <c r="C46" s="15"/>
      <c r="D46" s="30"/>
      <c r="E46" s="30"/>
      <c r="F46" s="31"/>
      <c r="G46" s="30"/>
      <c r="H46" s="15"/>
      <c r="I46" s="70">
        <f t="shared" si="1"/>
        <v>0</v>
      </c>
      <c r="J46" s="70">
        <f t="shared" si="0"/>
        <v>0</v>
      </c>
      <c r="L46" s="29" t="str">
        <v>Bi-209(p,p+p̅)Bi-waste</v>
      </c>
      <c r="M46" s="30">
        <v>5000000</v>
      </c>
      <c r="N46" s="15">
        <v>0</v>
      </c>
      <c r="O46" s="30">
        <v>5630000</v>
      </c>
      <c r="P46" s="30">
        <v>20000000</v>
      </c>
      <c r="Q46" s="31">
        <v>0.2</v>
      </c>
      <c r="R46" s="30">
        <v>-1880000</v>
      </c>
      <c r="S46" s="15">
        <v>25</v>
      </c>
      <c r="T46" s="70">
        <f t="shared" si="2"/>
        <v>333.33333333333331</v>
      </c>
      <c r="U46" s="70">
        <f t="shared" si="3"/>
        <v>16.666666666666664</v>
      </c>
      <c r="W46" s="29"/>
      <c r="X46" s="30"/>
      <c r="Y46" s="15"/>
      <c r="Z46" s="30"/>
      <c r="AA46" s="30"/>
      <c r="AB46" s="31"/>
      <c r="AC46" s="30"/>
      <c r="AD46" s="15"/>
      <c r="AE46" s="70">
        <f t="shared" si="4"/>
        <v>0</v>
      </c>
      <c r="AF46" s="70">
        <f t="shared" si="5"/>
        <v>0</v>
      </c>
    </row>
    <row r="47" spans="1:32" x14ac:dyDescent="0.4">
      <c r="A47" s="26"/>
      <c r="B47" s="27"/>
      <c r="C47" s="16"/>
      <c r="D47" s="27"/>
      <c r="E47" s="27"/>
      <c r="F47" s="28"/>
      <c r="G47" s="27"/>
      <c r="H47" s="16"/>
      <c r="I47" s="69">
        <f t="shared" si="1"/>
        <v>0</v>
      </c>
      <c r="J47" s="69">
        <f t="shared" si="0"/>
        <v>0</v>
      </c>
      <c r="L47" s="26" t="str">
        <v>Pb-208(p,p+p̅)Pb-waste</v>
      </c>
      <c r="M47" s="27">
        <v>5000000</v>
      </c>
      <c r="N47" s="16">
        <v>0</v>
      </c>
      <c r="O47" s="27">
        <v>5630000</v>
      </c>
      <c r="P47" s="27">
        <v>20000000</v>
      </c>
      <c r="Q47" s="28">
        <v>0.2</v>
      </c>
      <c r="R47" s="27">
        <v>-1880000</v>
      </c>
      <c r="S47" s="16">
        <v>25</v>
      </c>
      <c r="T47" s="69">
        <f t="shared" si="2"/>
        <v>333.33333333333331</v>
      </c>
      <c r="U47" s="69">
        <f t="shared" si="3"/>
        <v>16.666666666666664</v>
      </c>
      <c r="W47" s="26"/>
      <c r="X47" s="27"/>
      <c r="Y47" s="16"/>
      <c r="Z47" s="27"/>
      <c r="AA47" s="27"/>
      <c r="AB47" s="28"/>
      <c r="AC47" s="27"/>
      <c r="AD47" s="16"/>
      <c r="AE47" s="69">
        <f t="shared" si="4"/>
        <v>0</v>
      </c>
      <c r="AF47" s="69">
        <f t="shared" si="5"/>
        <v>0</v>
      </c>
    </row>
    <row r="48" spans="1:32" x14ac:dyDescent="0.4">
      <c r="A48" s="29"/>
      <c r="B48" s="30"/>
      <c r="C48" s="15"/>
      <c r="D48" s="30"/>
      <c r="E48" s="30"/>
      <c r="F48" s="31"/>
      <c r="G48" s="30"/>
      <c r="H48" s="15"/>
      <c r="I48" s="70">
        <f t="shared" si="1"/>
        <v>0</v>
      </c>
      <c r="J48" s="70">
        <f t="shared" si="0"/>
        <v>0</v>
      </c>
      <c r="L48" s="29" t="str">
        <v>Au-197(p,p+p̅)Au-waste</v>
      </c>
      <c r="M48" s="30">
        <v>5000000</v>
      </c>
      <c r="N48" s="15">
        <v>0</v>
      </c>
      <c r="O48" s="30">
        <v>5630000</v>
      </c>
      <c r="P48" s="30">
        <v>20000000</v>
      </c>
      <c r="Q48" s="31">
        <v>0.2</v>
      </c>
      <c r="R48" s="30">
        <v>-1880000</v>
      </c>
      <c r="S48" s="15">
        <v>25</v>
      </c>
      <c r="T48" s="70">
        <f t="shared" si="2"/>
        <v>333.33333333333331</v>
      </c>
      <c r="U48" s="70">
        <f t="shared" si="3"/>
        <v>16.666666666666664</v>
      </c>
      <c r="W48" s="29"/>
      <c r="X48" s="30"/>
      <c r="Y48" s="15"/>
      <c r="Z48" s="30"/>
      <c r="AA48" s="30"/>
      <c r="AB48" s="31"/>
      <c r="AC48" s="30"/>
      <c r="AD48" s="15"/>
      <c r="AE48" s="70">
        <f t="shared" si="4"/>
        <v>0</v>
      </c>
      <c r="AF48" s="70">
        <f t="shared" si="5"/>
        <v>0</v>
      </c>
    </row>
    <row r="49" spans="1:32" x14ac:dyDescent="0.4">
      <c r="A49" s="26"/>
      <c r="B49" s="27"/>
      <c r="C49" s="16"/>
      <c r="D49" s="27"/>
      <c r="E49" s="27"/>
      <c r="F49" s="28"/>
      <c r="G49" s="27"/>
      <c r="H49" s="16"/>
      <c r="I49" s="69">
        <f t="shared" si="1"/>
        <v>0</v>
      </c>
      <c r="J49" s="69">
        <f t="shared" si="0"/>
        <v>0</v>
      </c>
      <c r="L49" s="26" t="str">
        <v>Pt-195(p,p+p̅)Pt-waste</v>
      </c>
      <c r="M49" s="27">
        <v>5000000</v>
      </c>
      <c r="N49" s="16">
        <v>0</v>
      </c>
      <c r="O49" s="27">
        <v>5630000</v>
      </c>
      <c r="P49" s="27">
        <v>20000000</v>
      </c>
      <c r="Q49" s="28">
        <v>0.2</v>
      </c>
      <c r="R49" s="27">
        <v>-1880000</v>
      </c>
      <c r="S49" s="16">
        <v>25</v>
      </c>
      <c r="T49" s="69">
        <f t="shared" si="2"/>
        <v>333.33333333333331</v>
      </c>
      <c r="U49" s="69">
        <f t="shared" si="3"/>
        <v>16.666666666666664</v>
      </c>
      <c r="W49" s="26"/>
      <c r="X49" s="27"/>
      <c r="Y49" s="16"/>
      <c r="Z49" s="27"/>
      <c r="AA49" s="27"/>
      <c r="AB49" s="28"/>
      <c r="AC49" s="27"/>
      <c r="AD49" s="16"/>
      <c r="AE49" s="69">
        <f t="shared" si="4"/>
        <v>0</v>
      </c>
      <c r="AF49" s="69">
        <f t="shared" si="5"/>
        <v>0</v>
      </c>
    </row>
    <row r="50" spans="1:32" x14ac:dyDescent="0.4">
      <c r="A50" s="29"/>
      <c r="B50" s="30"/>
      <c r="C50" s="15"/>
      <c r="D50" s="30"/>
      <c r="E50" s="30"/>
      <c r="F50" s="31"/>
      <c r="G50" s="30"/>
      <c r="H50" s="15"/>
      <c r="I50" s="70">
        <f t="shared" si="1"/>
        <v>0</v>
      </c>
      <c r="J50" s="70">
        <f t="shared" si="0"/>
        <v>0</v>
      </c>
      <c r="L50" s="29" t="str">
        <v>Ir-193(p,p+p̅)Ir-waste</v>
      </c>
      <c r="M50" s="30">
        <v>5000000</v>
      </c>
      <c r="N50" s="15">
        <v>0</v>
      </c>
      <c r="O50" s="30">
        <v>5630000</v>
      </c>
      <c r="P50" s="30">
        <v>20000000</v>
      </c>
      <c r="Q50" s="31">
        <v>0.2</v>
      </c>
      <c r="R50" s="30">
        <v>-1880000</v>
      </c>
      <c r="S50" s="15">
        <v>25</v>
      </c>
      <c r="T50" s="70">
        <f t="shared" si="2"/>
        <v>333.33333333333331</v>
      </c>
      <c r="U50" s="70">
        <f t="shared" si="3"/>
        <v>16.666666666666664</v>
      </c>
      <c r="W50" s="29"/>
      <c r="X50" s="30"/>
      <c r="Y50" s="15"/>
      <c r="Z50" s="30"/>
      <c r="AA50" s="30"/>
      <c r="AB50" s="31"/>
      <c r="AC50" s="30"/>
      <c r="AD50" s="15"/>
      <c r="AE50" s="70">
        <f t="shared" si="4"/>
        <v>0</v>
      </c>
      <c r="AF50" s="70">
        <f t="shared" si="5"/>
        <v>0</v>
      </c>
    </row>
    <row r="51" spans="1:32" x14ac:dyDescent="0.4">
      <c r="A51" s="26"/>
      <c r="B51" s="27"/>
      <c r="C51" s="16"/>
      <c r="D51" s="27"/>
      <c r="E51" s="27"/>
      <c r="F51" s="28"/>
      <c r="G51" s="27"/>
      <c r="H51" s="16"/>
      <c r="I51" s="69">
        <f t="shared" si="1"/>
        <v>0</v>
      </c>
      <c r="J51" s="69">
        <f t="shared" si="0"/>
        <v>0</v>
      </c>
      <c r="L51" s="26" t="str">
        <v>Ir-192(p,p+p̅)Ir-waste</v>
      </c>
      <c r="M51" s="27">
        <v>5000000</v>
      </c>
      <c r="N51" s="16">
        <v>0</v>
      </c>
      <c r="O51" s="27">
        <v>5630000</v>
      </c>
      <c r="P51" s="27">
        <v>20000000</v>
      </c>
      <c r="Q51" s="28">
        <v>0.2</v>
      </c>
      <c r="R51" s="27">
        <v>-1880000</v>
      </c>
      <c r="S51" s="16">
        <v>25</v>
      </c>
      <c r="T51" s="69">
        <f t="shared" si="2"/>
        <v>333.33333333333331</v>
      </c>
      <c r="U51" s="69">
        <f t="shared" si="3"/>
        <v>16.666666666666664</v>
      </c>
      <c r="W51" s="26"/>
      <c r="X51" s="27"/>
      <c r="Y51" s="16"/>
      <c r="Z51" s="27"/>
      <c r="AA51" s="27"/>
      <c r="AB51" s="28"/>
      <c r="AC51" s="27"/>
      <c r="AD51" s="16"/>
      <c r="AE51" s="69">
        <f t="shared" si="4"/>
        <v>0</v>
      </c>
      <c r="AF51" s="69">
        <f t="shared" si="5"/>
        <v>0</v>
      </c>
    </row>
    <row r="52" spans="1:32" x14ac:dyDescent="0.4">
      <c r="A52" s="29"/>
      <c r="B52" s="30"/>
      <c r="C52" s="15"/>
      <c r="D52" s="30"/>
      <c r="E52" s="30"/>
      <c r="F52" s="31"/>
      <c r="G52" s="30"/>
      <c r="H52" s="15"/>
      <c r="I52" s="70">
        <f t="shared" si="1"/>
        <v>0</v>
      </c>
      <c r="J52" s="70">
        <f t="shared" si="0"/>
        <v>0</v>
      </c>
      <c r="L52" s="29" t="str">
        <v>Os-192(p,p+p̅)Os-waste</v>
      </c>
      <c r="M52" s="30">
        <v>5000000</v>
      </c>
      <c r="N52" s="15">
        <v>0</v>
      </c>
      <c r="O52" s="30">
        <v>5630000</v>
      </c>
      <c r="P52" s="30">
        <v>20000000</v>
      </c>
      <c r="Q52" s="31">
        <v>0.2</v>
      </c>
      <c r="R52" s="30">
        <v>-1880000</v>
      </c>
      <c r="S52" s="15">
        <v>25</v>
      </c>
      <c r="T52" s="70">
        <f t="shared" si="2"/>
        <v>333.33333333333331</v>
      </c>
      <c r="U52" s="70">
        <f t="shared" si="3"/>
        <v>16.666666666666664</v>
      </c>
      <c r="W52" s="29"/>
      <c r="X52" s="30"/>
      <c r="Y52" s="15"/>
      <c r="Z52" s="30"/>
      <c r="AA52" s="30"/>
      <c r="AB52" s="31"/>
      <c r="AC52" s="30"/>
      <c r="AD52" s="15"/>
      <c r="AE52" s="70">
        <f t="shared" si="4"/>
        <v>0</v>
      </c>
      <c r="AF52" s="70">
        <f t="shared" si="5"/>
        <v>0</v>
      </c>
    </row>
    <row r="53" spans="1:32" x14ac:dyDescent="0.4">
      <c r="A53" s="26"/>
      <c r="B53" s="27"/>
      <c r="C53" s="16"/>
      <c r="D53" s="27"/>
      <c r="E53" s="27"/>
      <c r="F53" s="28"/>
      <c r="G53" s="27"/>
      <c r="H53" s="16"/>
      <c r="I53" s="69">
        <f t="shared" si="1"/>
        <v>0</v>
      </c>
      <c r="J53" s="69">
        <f t="shared" si="0"/>
        <v>0</v>
      </c>
      <c r="L53" s="26" t="str">
        <v>W-184(p,p+p̅)W-waste</v>
      </c>
      <c r="M53" s="27">
        <v>5000000</v>
      </c>
      <c r="N53" s="16">
        <v>0</v>
      </c>
      <c r="O53" s="27">
        <v>5630000</v>
      </c>
      <c r="P53" s="27">
        <v>20000000</v>
      </c>
      <c r="Q53" s="28">
        <v>0.2</v>
      </c>
      <c r="R53" s="27">
        <v>-1880000</v>
      </c>
      <c r="S53" s="16">
        <v>25</v>
      </c>
      <c r="T53" s="69">
        <f t="shared" si="2"/>
        <v>333.33333333333331</v>
      </c>
      <c r="U53" s="69">
        <f t="shared" si="3"/>
        <v>16.666666666666664</v>
      </c>
      <c r="W53" s="26"/>
      <c r="X53" s="27"/>
      <c r="Y53" s="16"/>
      <c r="Z53" s="27"/>
      <c r="AA53" s="27"/>
      <c r="AB53" s="28"/>
      <c r="AC53" s="27"/>
      <c r="AD53" s="16"/>
      <c r="AE53" s="69">
        <f t="shared" si="4"/>
        <v>0</v>
      </c>
      <c r="AF53" s="69">
        <f t="shared" si="5"/>
        <v>0</v>
      </c>
    </row>
    <row r="54" spans="1:32" x14ac:dyDescent="0.4">
      <c r="A54" s="29"/>
      <c r="B54" s="30"/>
      <c r="C54" s="15"/>
      <c r="D54" s="30"/>
      <c r="E54" s="30"/>
      <c r="F54" s="31"/>
      <c r="G54" s="30"/>
      <c r="H54" s="15"/>
      <c r="I54" s="70">
        <f t="shared" si="1"/>
        <v>0</v>
      </c>
      <c r="J54" s="70">
        <f t="shared" si="0"/>
        <v>0</v>
      </c>
      <c r="L54" s="29" t="str">
        <v>Hf-180(p,p+p̅)Hf-waste</v>
      </c>
      <c r="M54" s="30">
        <v>5000000</v>
      </c>
      <c r="N54" s="15">
        <v>0</v>
      </c>
      <c r="O54" s="30">
        <v>5630000</v>
      </c>
      <c r="P54" s="30">
        <v>20000000</v>
      </c>
      <c r="Q54" s="31">
        <v>0.2</v>
      </c>
      <c r="R54" s="30">
        <v>-1880000</v>
      </c>
      <c r="S54" s="15">
        <v>25</v>
      </c>
      <c r="T54" s="70">
        <f t="shared" si="2"/>
        <v>333.33333333333331</v>
      </c>
      <c r="U54" s="70">
        <f t="shared" si="3"/>
        <v>16.666666666666664</v>
      </c>
      <c r="W54" s="29"/>
      <c r="X54" s="30"/>
      <c r="Y54" s="15"/>
      <c r="Z54" s="30"/>
      <c r="AA54" s="30"/>
      <c r="AB54" s="31"/>
      <c r="AC54" s="30"/>
      <c r="AD54" s="15"/>
      <c r="AE54" s="70">
        <f t="shared" si="4"/>
        <v>0</v>
      </c>
      <c r="AF54" s="70">
        <f t="shared" si="5"/>
        <v>0</v>
      </c>
    </row>
    <row r="55" spans="1:32" x14ac:dyDescent="0.4">
      <c r="A55" s="26"/>
      <c r="B55" s="27"/>
      <c r="C55" s="16"/>
      <c r="D55" s="27"/>
      <c r="E55" s="27"/>
      <c r="F55" s="28"/>
      <c r="G55" s="27"/>
      <c r="H55" s="16"/>
      <c r="I55" s="69">
        <f t="shared" si="1"/>
        <v>0</v>
      </c>
      <c r="J55" s="69">
        <f t="shared" si="0"/>
        <v>0</v>
      </c>
      <c r="L55" s="26" t="str">
        <v>Hg-202(p,p+p̅)Hg-waste</v>
      </c>
      <c r="M55" s="27">
        <v>5000000</v>
      </c>
      <c r="N55" s="16">
        <v>0</v>
      </c>
      <c r="O55" s="27">
        <v>5630000</v>
      </c>
      <c r="P55" s="27">
        <v>20000000</v>
      </c>
      <c r="Q55" s="28">
        <v>0.2</v>
      </c>
      <c r="R55" s="27">
        <v>-1880000</v>
      </c>
      <c r="S55" s="16">
        <v>25</v>
      </c>
      <c r="T55" s="69">
        <f t="shared" si="2"/>
        <v>333.33333333333331</v>
      </c>
      <c r="U55" s="69">
        <f t="shared" si="3"/>
        <v>16.666666666666664</v>
      </c>
      <c r="W55" s="26"/>
      <c r="X55" s="27"/>
      <c r="Y55" s="16"/>
      <c r="Z55" s="27"/>
      <c r="AA55" s="27"/>
      <c r="AB55" s="28"/>
      <c r="AC55" s="27"/>
      <c r="AD55" s="16"/>
      <c r="AE55" s="69">
        <f t="shared" si="4"/>
        <v>0</v>
      </c>
      <c r="AF55" s="69">
        <f t="shared" si="5"/>
        <v>0</v>
      </c>
    </row>
    <row r="56" spans="1:32" x14ac:dyDescent="0.4">
      <c r="B56" s="18"/>
      <c r="D56" s="18"/>
      <c r="E56" s="18"/>
      <c r="F56" s="7"/>
      <c r="G56" s="18"/>
    </row>
  </sheetData>
  <mergeCells count="8">
    <mergeCell ref="A1:U2"/>
    <mergeCell ref="W16:AF16"/>
    <mergeCell ref="L8:U8"/>
    <mergeCell ref="W8:AF8"/>
    <mergeCell ref="A12:F12"/>
    <mergeCell ref="A16:J16"/>
    <mergeCell ref="L16:U16"/>
    <mergeCell ref="A3:J10"/>
  </mergeCells>
  <dataValidations count="3">
    <dataValidation type="whole" allowBlank="1" showInputMessage="1" showErrorMessage="1" error="Must be a whole number between 0 and 15" sqref="Q10" xr:uid="{9AA44204-FDF9-44A3-8116-2FFC4BD280D6}">
      <formula1>0</formula1>
      <formula2>15</formula2>
    </dataValidation>
    <dataValidation type="whole" allowBlank="1" showInputMessage="1" showErrorMessage="1" error="Must be a whole number between 5 and 100" sqref="S10" xr:uid="{B790A4AA-044E-40CD-88E5-20C3AF1A5AD9}">
      <formula1>5</formula1>
      <formula2>100</formula2>
    </dataValidation>
    <dataValidation type="list" allowBlank="1" showInputMessage="1" showErrorMessage="1" promptTitle="Input Particle" sqref="A14" xr:uid="{6FA8F146-2D9B-4FA5-9AE4-2D9E681284E8}">
      <formula1>INDIRECT("ParticleTable[Name]")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56F574E6-B6F5-41EB-A433-9E19ED8934AD}">
          <x14:formula1>
            <xm:f>Settings!$A$40:$A$42</xm:f>
          </x14:formula1>
          <xm:sqref>L10</xm:sqref>
        </x14:dataValidation>
        <x14:dataValidation type="list" allowBlank="1" showInputMessage="1" showErrorMessage="1" xr:uid="{7CEBF945-F8E2-4DBF-84CC-638684414436}">
          <x14:formula1>
            <xm:f>Settings!$B$40:$B$41</xm:f>
          </x14:formula1>
          <xm:sqref>R10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5596A-48D5-4DD2-8CCA-5FB611DFDA6B}">
  <dimension ref="A1:K45"/>
  <sheetViews>
    <sheetView workbookViewId="0">
      <selection activeCell="A8" sqref="A8"/>
    </sheetView>
  </sheetViews>
  <sheetFormatPr defaultRowHeight="14.6" x14ac:dyDescent="0.4"/>
  <cols>
    <col min="1" max="1" width="26.4609375" bestFit="1" customWidth="1"/>
    <col min="2" max="2" width="18.23046875" customWidth="1"/>
    <col min="3" max="3" width="17.4609375" customWidth="1"/>
    <col min="4" max="4" width="15.15234375" customWidth="1"/>
    <col min="5" max="5" width="21.61328125" bestFit="1" customWidth="1"/>
    <col min="6" max="6" width="17.53515625" customWidth="1"/>
    <col min="7" max="7" width="19.23046875" customWidth="1"/>
    <col min="8" max="8" width="19.765625" customWidth="1"/>
    <col min="9" max="9" width="16.765625" customWidth="1"/>
  </cols>
  <sheetData>
    <row r="1" spans="1:9" ht="14.6" customHeight="1" x14ac:dyDescent="0.4">
      <c r="A1" s="74" t="s">
        <v>989</v>
      </c>
      <c r="B1" s="74"/>
      <c r="C1" s="74"/>
      <c r="D1" s="74"/>
      <c r="E1" s="74"/>
      <c r="F1" s="74"/>
      <c r="G1" s="74"/>
      <c r="H1" s="74"/>
      <c r="I1" s="74"/>
    </row>
    <row r="2" spans="1:9" ht="14.6" customHeight="1" x14ac:dyDescent="0.4">
      <c r="A2" s="74"/>
      <c r="B2" s="74"/>
      <c r="C2" s="74"/>
      <c r="D2" s="74"/>
      <c r="E2" s="74"/>
      <c r="F2" s="74"/>
      <c r="G2" s="74"/>
      <c r="H2" s="74"/>
      <c r="I2" s="74"/>
    </row>
    <row r="3" spans="1:9" ht="14.6" customHeight="1" x14ac:dyDescent="0.4">
      <c r="A3" s="75" t="s">
        <v>990</v>
      </c>
      <c r="B3" s="75"/>
      <c r="C3" s="75"/>
      <c r="D3" s="75"/>
      <c r="E3" s="75"/>
      <c r="F3" s="75"/>
      <c r="G3" s="75"/>
      <c r="H3" s="75"/>
      <c r="I3" s="75"/>
    </row>
    <row r="4" spans="1:9" x14ac:dyDescent="0.4">
      <c r="A4" s="75"/>
      <c r="B4" s="75"/>
      <c r="C4" s="75"/>
      <c r="D4" s="75"/>
      <c r="E4" s="75"/>
      <c r="F4" s="75"/>
      <c r="G4" s="75"/>
      <c r="H4" s="75"/>
      <c r="I4" s="75"/>
    </row>
    <row r="5" spans="1:9" x14ac:dyDescent="0.4">
      <c r="A5" s="75"/>
      <c r="B5" s="75"/>
      <c r="C5" s="75"/>
      <c r="D5" s="75"/>
      <c r="E5" s="75"/>
      <c r="F5" s="75"/>
      <c r="G5" s="75"/>
      <c r="H5" s="75"/>
      <c r="I5" s="75"/>
    </row>
    <row r="7" spans="1:9" x14ac:dyDescent="0.4">
      <c r="A7" s="1" t="s">
        <v>367</v>
      </c>
      <c r="B7" s="1" t="s">
        <v>381</v>
      </c>
      <c r="C7" s="1" t="s">
        <v>414</v>
      </c>
      <c r="D7" s="1" t="s">
        <v>417</v>
      </c>
      <c r="E7" s="1" t="s">
        <v>418</v>
      </c>
    </row>
    <row r="8" spans="1:9" x14ac:dyDescent="0.4">
      <c r="A8" s="2" t="s">
        <v>347</v>
      </c>
      <c r="B8" s="2">
        <v>10000</v>
      </c>
      <c r="C8" s="2" t="s">
        <v>413</v>
      </c>
      <c r="D8" s="2">
        <v>256</v>
      </c>
      <c r="E8" s="2">
        <v>19500</v>
      </c>
    </row>
    <row r="10" spans="1:9" ht="15" thickBot="1" x14ac:dyDescent="0.45">
      <c r="A10" s="32" t="s">
        <v>1</v>
      </c>
      <c r="B10" s="21" t="s">
        <v>294</v>
      </c>
      <c r="C10" s="21" t="s">
        <v>391</v>
      </c>
      <c r="D10" s="21" t="s">
        <v>409</v>
      </c>
      <c r="E10" s="21" t="s">
        <v>410</v>
      </c>
      <c r="F10" s="21" t="s">
        <v>415</v>
      </c>
      <c r="G10" s="21" t="s">
        <v>416</v>
      </c>
      <c r="H10" s="21" t="s">
        <v>420</v>
      </c>
      <c r="I10" s="36" t="s">
        <v>419</v>
      </c>
    </row>
    <row r="11" spans="1:9" ht="15" thickTop="1" x14ac:dyDescent="0.4">
      <c r="A11" s="22" t="str" cm="1">
        <f t="array" ref="A11:A45">IF(A8="muon",FusionReactions[Reaction],RProcessReactions[Reaction])</f>
        <v>Fe-56+3n -&gt; Co-59+e+ν̅e</v>
      </c>
      <c r="B11" s="23" cm="1">
        <f t="array" ref="B11:B45">IF(A8="muon",FusionReactions[Amount (pu)],RProcessReactions[Amount (pu)])</f>
        <v>4904000</v>
      </c>
      <c r="C11" s="23" cm="1">
        <f t="array" ref="C11:C45">IF(A8="muon",FusionReactions[Heat Released (H)],RProcessReactions[Heat Released (H)])</f>
        <v>2530000</v>
      </c>
      <c r="D11" s="40">
        <f t="shared" ref="D11:D45" si="0">B11/$B$8</f>
        <v>490.4</v>
      </c>
      <c r="E11" s="40">
        <f>D11/20</f>
        <v>24.52</v>
      </c>
      <c r="F11" s="37">
        <f>C11/D11</f>
        <v>5159.0538336052205</v>
      </c>
      <c r="G11" s="37">
        <f t="shared" ref="G11:G45" si="1">F11/128*IF($C$8="mercury",0.5,1)</f>
        <v>40.305108075040785</v>
      </c>
      <c r="H11" s="37">
        <f t="shared" ref="H11:H45" si="2">G11*$D$8</f>
        <v>10318.107667210441</v>
      </c>
      <c r="I11" s="37">
        <f t="shared" ref="I11:I45" si="3">H11-$E$8</f>
        <v>-9181.8923327895591</v>
      </c>
    </row>
    <row r="12" spans="1:9" x14ac:dyDescent="0.4">
      <c r="A12" s="26" t="str">
        <v>Co-59+4n -&gt; Cu-63+2e+2ν̅e</v>
      </c>
      <c r="B12" s="27">
        <v>6705000</v>
      </c>
      <c r="C12" s="27">
        <v>3460000</v>
      </c>
      <c r="D12" s="41">
        <f t="shared" si="0"/>
        <v>670.5</v>
      </c>
      <c r="E12" s="41">
        <f t="shared" ref="E12:E45" si="4">D12/20</f>
        <v>33.524999999999999</v>
      </c>
      <c r="F12" s="38">
        <f t="shared" ref="F12:F39" si="5">C12/D12</f>
        <v>5160.3281133482478</v>
      </c>
      <c r="G12" s="38">
        <f t="shared" si="1"/>
        <v>40.315063385533186</v>
      </c>
      <c r="H12" s="38">
        <f t="shared" si="2"/>
        <v>10320.656226696496</v>
      </c>
      <c r="I12" s="38">
        <f t="shared" si="3"/>
        <v>-9179.3437733035043</v>
      </c>
    </row>
    <row r="13" spans="1:9" x14ac:dyDescent="0.4">
      <c r="A13" s="29" t="str">
        <v>Ni-60 + 3n -&gt; Cu-63 +e+ν̅e</v>
      </c>
      <c r="B13" s="30">
        <v>5070000</v>
      </c>
      <c r="C13" s="30">
        <v>2480000</v>
      </c>
      <c r="D13" s="42">
        <f t="shared" si="0"/>
        <v>507</v>
      </c>
      <c r="E13" s="42">
        <f t="shared" si="4"/>
        <v>25.35</v>
      </c>
      <c r="F13" s="39">
        <f t="shared" si="5"/>
        <v>4891.5187376725835</v>
      </c>
      <c r="G13" s="39">
        <f t="shared" si="1"/>
        <v>38.214990138067058</v>
      </c>
      <c r="H13" s="39">
        <f t="shared" si="2"/>
        <v>9783.037475345167</v>
      </c>
      <c r="I13" s="39">
        <f t="shared" si="3"/>
        <v>-9716.962524654833</v>
      </c>
    </row>
    <row r="14" spans="1:9" x14ac:dyDescent="0.4">
      <c r="A14" s="26" t="str">
        <v>Cu-63+n -&gt; Zn-64+e+ν̅e</v>
      </c>
      <c r="B14" s="27">
        <v>1730000</v>
      </c>
      <c r="C14" s="27">
        <v>798000</v>
      </c>
      <c r="D14" s="41">
        <f t="shared" si="0"/>
        <v>173</v>
      </c>
      <c r="E14" s="41">
        <f t="shared" si="4"/>
        <v>8.65</v>
      </c>
      <c r="F14" s="38">
        <f t="shared" si="5"/>
        <v>4612.7167630057802</v>
      </c>
      <c r="G14" s="38">
        <f t="shared" si="1"/>
        <v>36.036849710982658</v>
      </c>
      <c r="H14" s="38">
        <f t="shared" si="2"/>
        <v>9225.4335260115604</v>
      </c>
      <c r="I14" s="38">
        <f t="shared" si="3"/>
        <v>-10274.56647398844</v>
      </c>
    </row>
    <row r="15" spans="1:9" x14ac:dyDescent="0.4">
      <c r="A15" s="29" t="str">
        <v>Zn-64+11n -&gt; As-75+3e+3ν̅e</v>
      </c>
      <c r="B15" s="30">
        <v>19170000</v>
      </c>
      <c r="C15" s="30">
        <v>9430000</v>
      </c>
      <c r="D15" s="42">
        <f t="shared" si="0"/>
        <v>1917</v>
      </c>
      <c r="E15" s="42">
        <f t="shared" si="4"/>
        <v>95.85</v>
      </c>
      <c r="F15" s="39">
        <f t="shared" si="5"/>
        <v>4919.1444966092849</v>
      </c>
      <c r="G15" s="39">
        <f t="shared" si="1"/>
        <v>38.430816379760039</v>
      </c>
      <c r="H15" s="39">
        <f t="shared" si="2"/>
        <v>9838.2889932185699</v>
      </c>
      <c r="I15" s="39">
        <f t="shared" si="3"/>
        <v>-9661.7110067814301</v>
      </c>
    </row>
    <row r="16" spans="1:9" x14ac:dyDescent="0.4">
      <c r="A16" s="26" t="str">
        <v>As-75+13n -&gt; Sr-88+5e+5ν̅e</v>
      </c>
      <c r="B16" s="27">
        <v>24380000</v>
      </c>
      <c r="C16" s="27">
        <v>11700000</v>
      </c>
      <c r="D16" s="41">
        <f t="shared" si="0"/>
        <v>2438</v>
      </c>
      <c r="E16" s="41">
        <f t="shared" si="4"/>
        <v>121.9</v>
      </c>
      <c r="F16" s="38">
        <f t="shared" si="5"/>
        <v>4799.0155865463494</v>
      </c>
      <c r="G16" s="38">
        <f t="shared" si="1"/>
        <v>37.492309269893354</v>
      </c>
      <c r="H16" s="38">
        <f t="shared" si="2"/>
        <v>9598.0311730926987</v>
      </c>
      <c r="I16" s="38">
        <f t="shared" si="3"/>
        <v>-9901.9688269073013</v>
      </c>
    </row>
    <row r="17" spans="1:11" x14ac:dyDescent="0.4">
      <c r="A17" s="29" t="str">
        <v>Sr-88+2n -&gt; Sr-90</v>
      </c>
      <c r="B17" s="30">
        <v>4030000</v>
      </c>
      <c r="C17" s="30">
        <v>1420000</v>
      </c>
      <c r="D17" s="42">
        <f t="shared" si="0"/>
        <v>403</v>
      </c>
      <c r="E17" s="42">
        <f t="shared" si="4"/>
        <v>20.149999999999999</v>
      </c>
      <c r="F17" s="39">
        <f t="shared" si="5"/>
        <v>3523.5732009925559</v>
      </c>
      <c r="G17" s="39">
        <f t="shared" si="1"/>
        <v>27.527915632754343</v>
      </c>
      <c r="H17" s="39">
        <f t="shared" si="2"/>
        <v>7047.1464019851119</v>
      </c>
      <c r="I17" s="39">
        <f t="shared" si="3"/>
        <v>-12452.853598014888</v>
      </c>
    </row>
    <row r="18" spans="1:11" x14ac:dyDescent="0.4">
      <c r="A18" s="26" t="str">
        <v>Zr-90+8n -&gt; Mo-98+2e+2ν̅e</v>
      </c>
      <c r="B18" s="27">
        <v>16280000</v>
      </c>
      <c r="C18" s="27">
        <v>6290000</v>
      </c>
      <c r="D18" s="41">
        <f t="shared" si="0"/>
        <v>1628</v>
      </c>
      <c r="E18" s="41">
        <f t="shared" si="4"/>
        <v>81.400000000000006</v>
      </c>
      <c r="F18" s="38">
        <f t="shared" si="5"/>
        <v>3863.6363636363635</v>
      </c>
      <c r="G18" s="38">
        <f t="shared" si="1"/>
        <v>30.18465909090909</v>
      </c>
      <c r="H18" s="38">
        <f t="shared" si="2"/>
        <v>7727.272727272727</v>
      </c>
      <c r="I18" s="38">
        <f t="shared" si="3"/>
        <v>-11772.727272727272</v>
      </c>
      <c r="K18" s="18"/>
    </row>
    <row r="19" spans="1:11" x14ac:dyDescent="0.4">
      <c r="A19" s="29" t="str">
        <v>Mo-98+8n -&gt; Ru-106+2e+2ν̅e</v>
      </c>
      <c r="B19" s="30">
        <v>16890000</v>
      </c>
      <c r="C19" s="30">
        <v>6180000</v>
      </c>
      <c r="D19" s="42">
        <f t="shared" si="0"/>
        <v>1689</v>
      </c>
      <c r="E19" s="42">
        <f t="shared" si="4"/>
        <v>84.45</v>
      </c>
      <c r="F19" s="39">
        <f t="shared" si="5"/>
        <v>3658.9698046181175</v>
      </c>
      <c r="G19" s="39">
        <f t="shared" si="1"/>
        <v>28.585701598579043</v>
      </c>
      <c r="H19" s="39">
        <f t="shared" si="2"/>
        <v>7317.9396092362349</v>
      </c>
      <c r="I19" s="39">
        <f t="shared" si="3"/>
        <v>-12182.060390763765</v>
      </c>
    </row>
    <row r="20" spans="1:11" x14ac:dyDescent="0.4">
      <c r="A20" s="26" t="str">
        <v xml:space="preserve"> Ru-106+3n -&gt; Ag-109+3e+3ν̅e</v>
      </c>
      <c r="B20" s="27">
        <v>6551000</v>
      </c>
      <c r="C20" s="27">
        <v>2510000</v>
      </c>
      <c r="D20" s="41">
        <f t="shared" si="0"/>
        <v>655.1</v>
      </c>
      <c r="E20" s="41">
        <f t="shared" si="4"/>
        <v>32.755000000000003</v>
      </c>
      <c r="F20" s="38">
        <f t="shared" si="5"/>
        <v>3831.476110517478</v>
      </c>
      <c r="G20" s="38">
        <f t="shared" si="1"/>
        <v>29.933407113417797</v>
      </c>
      <c r="H20" s="38">
        <f t="shared" si="2"/>
        <v>7662.952221034956</v>
      </c>
      <c r="I20" s="38">
        <f t="shared" si="3"/>
        <v>-11837.047778965043</v>
      </c>
    </row>
    <row r="21" spans="1:11" x14ac:dyDescent="0.4">
      <c r="A21" s="29" t="str">
        <v>Ag-109+11n -&gt; Sn-120+3e+3ν̅e</v>
      </c>
      <c r="B21" s="30">
        <v>24300000</v>
      </c>
      <c r="C21" s="30">
        <v>8960000</v>
      </c>
      <c r="D21" s="42">
        <f t="shared" si="0"/>
        <v>2430</v>
      </c>
      <c r="E21" s="42">
        <f t="shared" si="4"/>
        <v>121.5</v>
      </c>
      <c r="F21" s="39">
        <f t="shared" si="5"/>
        <v>3687.2427983539096</v>
      </c>
      <c r="G21" s="39">
        <f t="shared" si="1"/>
        <v>28.806584362139919</v>
      </c>
      <c r="H21" s="39">
        <f t="shared" si="2"/>
        <v>7374.4855967078192</v>
      </c>
      <c r="I21" s="39">
        <f t="shared" si="3"/>
        <v>-12125.514403292182</v>
      </c>
    </row>
    <row r="22" spans="1:11" x14ac:dyDescent="0.4">
      <c r="A22" s="26" t="str">
        <v>Sn-120+7n -&gt; I-127+3e+3ν̅e</v>
      </c>
      <c r="B22" s="27">
        <v>16100000</v>
      </c>
      <c r="C22" s="27">
        <v>5280000</v>
      </c>
      <c r="D22" s="41">
        <f t="shared" si="0"/>
        <v>1610</v>
      </c>
      <c r="E22" s="41">
        <f t="shared" si="4"/>
        <v>80.5</v>
      </c>
      <c r="F22" s="38">
        <f t="shared" si="5"/>
        <v>3279.5031055900622</v>
      </c>
      <c r="G22" s="38">
        <f t="shared" si="1"/>
        <v>25.621118012422361</v>
      </c>
      <c r="H22" s="38">
        <f t="shared" si="2"/>
        <v>6559.0062111801244</v>
      </c>
      <c r="I22" s="38">
        <f t="shared" si="3"/>
        <v>-12940.993788819876</v>
      </c>
    </row>
    <row r="23" spans="1:11" x14ac:dyDescent="0.4">
      <c r="A23" s="29" t="str">
        <v>I-127+10n -&gt; Cs-137+2e+2ν̅e</v>
      </c>
      <c r="B23" s="30">
        <v>23540000</v>
      </c>
      <c r="C23" s="30">
        <v>7730000</v>
      </c>
      <c r="D23" s="42">
        <f t="shared" si="0"/>
        <v>2354</v>
      </c>
      <c r="E23" s="42">
        <f t="shared" si="4"/>
        <v>117.7</v>
      </c>
      <c r="F23" s="39">
        <f t="shared" si="5"/>
        <v>3283.7723024638913</v>
      </c>
      <c r="G23" s="39">
        <f t="shared" si="1"/>
        <v>25.654471112999151</v>
      </c>
      <c r="H23" s="39">
        <f t="shared" si="2"/>
        <v>6567.5446049277825</v>
      </c>
      <c r="I23" s="39">
        <f t="shared" si="3"/>
        <v>-12932.455395072218</v>
      </c>
    </row>
    <row r="24" spans="1:11" x14ac:dyDescent="0.4">
      <c r="A24" s="26" t="str">
        <v>Cs-137+6n -&gt; Nd-143+5e+5ν̅e</v>
      </c>
      <c r="B24" s="27">
        <v>14570000</v>
      </c>
      <c r="C24" s="27">
        <v>4330000</v>
      </c>
      <c r="D24" s="41">
        <f t="shared" si="0"/>
        <v>1457</v>
      </c>
      <c r="E24" s="41">
        <f t="shared" si="4"/>
        <v>72.849999999999994</v>
      </c>
      <c r="F24" s="38">
        <f t="shared" si="5"/>
        <v>2971.8599862731639</v>
      </c>
      <c r="G24" s="38">
        <f t="shared" si="1"/>
        <v>23.217656142759093</v>
      </c>
      <c r="H24" s="38">
        <f t="shared" si="2"/>
        <v>5943.7199725463279</v>
      </c>
      <c r="I24" s="38">
        <f t="shared" si="3"/>
        <v>-13556.280027453671</v>
      </c>
    </row>
    <row r="25" spans="1:11" x14ac:dyDescent="0.4">
      <c r="A25" s="29" t="str">
        <v>Nd-143+9n -&gt; Sm-152+2e+2ν̅e</v>
      </c>
      <c r="B25" s="30">
        <v>22230000</v>
      </c>
      <c r="C25" s="30">
        <v>6240000</v>
      </c>
      <c r="D25" s="42">
        <f t="shared" si="0"/>
        <v>2223</v>
      </c>
      <c r="E25" s="42">
        <f t="shared" si="4"/>
        <v>111.15</v>
      </c>
      <c r="F25" s="39">
        <f t="shared" si="5"/>
        <v>2807.0175438596493</v>
      </c>
      <c r="G25" s="39">
        <f t="shared" si="1"/>
        <v>21.92982456140351</v>
      </c>
      <c r="H25" s="39">
        <f t="shared" si="2"/>
        <v>5614.0350877192986</v>
      </c>
      <c r="I25" s="39">
        <f t="shared" si="3"/>
        <v>-13885.964912280702</v>
      </c>
    </row>
    <row r="26" spans="1:11" x14ac:dyDescent="0.4">
      <c r="A26" s="26" t="str">
        <v xml:space="preserve"> Sm-152+7n -&gt; Tb-159+3e+3ν̅e</v>
      </c>
      <c r="B26" s="27">
        <v>17710000</v>
      </c>
      <c r="C26" s="27">
        <v>4970000</v>
      </c>
      <c r="D26" s="41">
        <f t="shared" si="0"/>
        <v>1771</v>
      </c>
      <c r="E26" s="41">
        <f t="shared" si="4"/>
        <v>88.55</v>
      </c>
      <c r="F26" s="38">
        <f t="shared" si="5"/>
        <v>2806.324110671937</v>
      </c>
      <c r="G26" s="38">
        <f t="shared" si="1"/>
        <v>21.924407114624508</v>
      </c>
      <c r="H26" s="38">
        <f t="shared" si="2"/>
        <v>5612.648221343874</v>
      </c>
      <c r="I26" s="38">
        <f t="shared" si="3"/>
        <v>-13887.351778656126</v>
      </c>
    </row>
    <row r="27" spans="1:11" x14ac:dyDescent="0.4">
      <c r="A27" s="29" t="str">
        <v>Eu-155 + 4n -&gt; Tb-159 +2e+2ν̅e</v>
      </c>
      <c r="B27" s="30">
        <v>10200000</v>
      </c>
      <c r="C27" s="30">
        <v>2900000</v>
      </c>
      <c r="D27" s="42">
        <f t="shared" si="0"/>
        <v>1020</v>
      </c>
      <c r="E27" s="42">
        <f t="shared" si="4"/>
        <v>51</v>
      </c>
      <c r="F27" s="39">
        <f t="shared" si="5"/>
        <v>2843.1372549019607</v>
      </c>
      <c r="G27" s="39">
        <f t="shared" si="1"/>
        <v>22.212009803921568</v>
      </c>
      <c r="H27" s="39">
        <f t="shared" si="2"/>
        <v>5686.2745098039213</v>
      </c>
      <c r="I27" s="39">
        <f t="shared" si="3"/>
        <v>-13813.725490196079</v>
      </c>
    </row>
    <row r="28" spans="1:11" x14ac:dyDescent="0.4">
      <c r="A28" s="26" t="str">
        <v xml:space="preserve"> Tb-159+9n -&gt; Er-168+3e+3ν̅e</v>
      </c>
      <c r="B28" s="27">
        <v>23180000</v>
      </c>
      <c r="C28" s="27">
        <v>6460000</v>
      </c>
      <c r="D28" s="41">
        <f t="shared" si="0"/>
        <v>2318</v>
      </c>
      <c r="E28" s="41">
        <f t="shared" si="4"/>
        <v>115.9</v>
      </c>
      <c r="F28" s="38">
        <f t="shared" si="5"/>
        <v>2786.8852459016393</v>
      </c>
      <c r="G28" s="38">
        <f t="shared" si="1"/>
        <v>21.772540983606557</v>
      </c>
      <c r="H28" s="38">
        <f t="shared" si="2"/>
        <v>5573.7704918032787</v>
      </c>
      <c r="I28" s="38">
        <f t="shared" si="3"/>
        <v>-13926.22950819672</v>
      </c>
    </row>
    <row r="29" spans="1:11" x14ac:dyDescent="0.4">
      <c r="A29" s="29" t="str">
        <v>Er-168+6n -&gt; Yb-174+2e+2ν̅e</v>
      </c>
      <c r="B29" s="30">
        <v>15790000</v>
      </c>
      <c r="C29" s="30">
        <v>4140000</v>
      </c>
      <c r="D29" s="42">
        <f t="shared" si="0"/>
        <v>1579</v>
      </c>
      <c r="E29" s="42">
        <f t="shared" si="4"/>
        <v>78.95</v>
      </c>
      <c r="F29" s="39">
        <f t="shared" si="5"/>
        <v>2621.9126029132362</v>
      </c>
      <c r="G29" s="39">
        <f t="shared" si="1"/>
        <v>20.483692210259658</v>
      </c>
      <c r="H29" s="39">
        <f t="shared" si="2"/>
        <v>5243.8252058264725</v>
      </c>
      <c r="I29" s="39">
        <f t="shared" si="3"/>
        <v>-14256.174794173527</v>
      </c>
    </row>
    <row r="30" spans="1:11" x14ac:dyDescent="0.4">
      <c r="A30" s="26" t="str">
        <v>Yb-174+6n -&gt; Hf-180+2e+2ν̅e</v>
      </c>
      <c r="B30" s="27">
        <v>16010000</v>
      </c>
      <c r="C30" s="27">
        <v>4020000</v>
      </c>
      <c r="D30" s="41">
        <f t="shared" si="0"/>
        <v>1601</v>
      </c>
      <c r="E30" s="41">
        <f t="shared" si="4"/>
        <v>80.05</v>
      </c>
      <c r="F30" s="38">
        <f t="shared" si="5"/>
        <v>2510.9306683322925</v>
      </c>
      <c r="G30" s="38">
        <f t="shared" si="1"/>
        <v>19.616645846346035</v>
      </c>
      <c r="H30" s="38">
        <f t="shared" si="2"/>
        <v>5021.861336664585</v>
      </c>
      <c r="I30" s="38">
        <f t="shared" si="3"/>
        <v>-14478.138663335416</v>
      </c>
    </row>
    <row r="31" spans="1:11" x14ac:dyDescent="0.4">
      <c r="A31" s="29" t="str">
        <v>Hf-180+4n -&gt; W-184+2e+2ν̅e</v>
      </c>
      <c r="B31" s="30">
        <v>10810000</v>
      </c>
      <c r="C31" s="30">
        <v>2720000</v>
      </c>
      <c r="D31" s="42">
        <f t="shared" si="0"/>
        <v>1081</v>
      </c>
      <c r="E31" s="42">
        <f t="shared" si="4"/>
        <v>54.05</v>
      </c>
      <c r="F31" s="39">
        <f t="shared" si="5"/>
        <v>2516.1887141535617</v>
      </c>
      <c r="G31" s="39">
        <f t="shared" si="1"/>
        <v>19.657724329324701</v>
      </c>
      <c r="H31" s="39">
        <f t="shared" si="2"/>
        <v>5032.3774283071234</v>
      </c>
      <c r="I31" s="39">
        <f t="shared" si="3"/>
        <v>-14467.622571692877</v>
      </c>
    </row>
    <row r="32" spans="1:11" x14ac:dyDescent="0.4">
      <c r="A32" s="26" t="str">
        <v xml:space="preserve"> W-184+8n -&gt; Os-192+2e+2ν̅e</v>
      </c>
      <c r="B32" s="27">
        <v>21800000</v>
      </c>
      <c r="C32" s="27">
        <v>5370000</v>
      </c>
      <c r="D32" s="41">
        <f t="shared" si="0"/>
        <v>2180</v>
      </c>
      <c r="E32" s="41">
        <f t="shared" si="4"/>
        <v>109</v>
      </c>
      <c r="F32" s="38">
        <f t="shared" si="5"/>
        <v>2463.3027522935781</v>
      </c>
      <c r="G32" s="38">
        <f t="shared" si="1"/>
        <v>19.244552752293579</v>
      </c>
      <c r="H32" s="38">
        <f t="shared" si="2"/>
        <v>4926.6055045871562</v>
      </c>
      <c r="I32" s="38">
        <f t="shared" si="3"/>
        <v>-14573.394495412844</v>
      </c>
    </row>
    <row r="33" spans="1:9" x14ac:dyDescent="0.4">
      <c r="A33" s="29" t="str">
        <v>Os-192+n -&gt; Ir-193+e+ν̅e</v>
      </c>
      <c r="B33" s="30">
        <v>2770000</v>
      </c>
      <c r="C33" s="30">
        <v>621000</v>
      </c>
      <c r="D33" s="42">
        <f t="shared" si="0"/>
        <v>277</v>
      </c>
      <c r="E33" s="42">
        <f t="shared" si="4"/>
        <v>13.85</v>
      </c>
      <c r="F33" s="39">
        <f t="shared" si="5"/>
        <v>2241.8772563176894</v>
      </c>
      <c r="G33" s="39">
        <f t="shared" si="1"/>
        <v>17.514666064981949</v>
      </c>
      <c r="H33" s="39">
        <f t="shared" si="2"/>
        <v>4483.7545126353789</v>
      </c>
      <c r="I33" s="39">
        <f t="shared" si="3"/>
        <v>-15016.24548736462</v>
      </c>
    </row>
    <row r="34" spans="1:9" x14ac:dyDescent="0.4">
      <c r="A34" s="26" t="str">
        <v xml:space="preserve"> Ir-193+2n -&gt; Pt-195+e+ν̅e</v>
      </c>
      <c r="B34" s="27">
        <v>5550000</v>
      </c>
      <c r="C34" s="27">
        <v>1390000</v>
      </c>
      <c r="D34" s="41">
        <f t="shared" si="0"/>
        <v>555</v>
      </c>
      <c r="E34" s="41">
        <f t="shared" si="4"/>
        <v>27.75</v>
      </c>
      <c r="F34" s="38">
        <f t="shared" si="5"/>
        <v>2504.5045045045044</v>
      </c>
      <c r="G34" s="38">
        <f t="shared" si="1"/>
        <v>19.566441441441441</v>
      </c>
      <c r="H34" s="38">
        <f t="shared" si="2"/>
        <v>5009.0090090090089</v>
      </c>
      <c r="I34" s="38">
        <f t="shared" si="3"/>
        <v>-14490.990990990991</v>
      </c>
    </row>
    <row r="35" spans="1:9" x14ac:dyDescent="0.4">
      <c r="A35" s="29" t="str">
        <v>Pt-195+2n -&gt; Au-197+e+ν̅e</v>
      </c>
      <c r="B35" s="30">
        <v>5572000</v>
      </c>
      <c r="C35" s="30">
        <v>1400000</v>
      </c>
      <c r="D35" s="42">
        <f t="shared" si="0"/>
        <v>557.20000000000005</v>
      </c>
      <c r="E35" s="42">
        <f t="shared" si="4"/>
        <v>27.860000000000003</v>
      </c>
      <c r="F35" s="39">
        <f t="shared" si="5"/>
        <v>2512.5628140703516</v>
      </c>
      <c r="G35" s="39">
        <f t="shared" si="1"/>
        <v>19.629396984924622</v>
      </c>
      <c r="H35" s="39">
        <f t="shared" si="2"/>
        <v>5025.1256281407032</v>
      </c>
      <c r="I35" s="39">
        <f t="shared" si="3"/>
        <v>-14474.874371859296</v>
      </c>
    </row>
    <row r="36" spans="1:9" x14ac:dyDescent="0.4">
      <c r="A36" s="26" t="str">
        <v xml:space="preserve"> Au-197+5n -&gt; Hg-202+e+ν̅e</v>
      </c>
      <c r="B36" s="27">
        <v>13980000</v>
      </c>
      <c r="C36" s="27">
        <v>3610000</v>
      </c>
      <c r="D36" s="41">
        <f t="shared" si="0"/>
        <v>1398</v>
      </c>
      <c r="E36" s="41">
        <f t="shared" si="4"/>
        <v>69.900000000000006</v>
      </c>
      <c r="F36" s="38">
        <f>C36/D36</f>
        <v>2582.2603719599429</v>
      </c>
      <c r="G36" s="38">
        <f t="shared" si="1"/>
        <v>20.173909155937054</v>
      </c>
      <c r="H36" s="38">
        <f t="shared" si="2"/>
        <v>5164.5207439198857</v>
      </c>
      <c r="I36" s="38">
        <f t="shared" si="3"/>
        <v>-14335.479256080114</v>
      </c>
    </row>
    <row r="37" spans="1:9" x14ac:dyDescent="0.4">
      <c r="A37" s="29" t="str">
        <v xml:space="preserve"> Hg-202+6n -&gt; Pb-208+2e+2ν̅e</v>
      </c>
      <c r="B37" s="30">
        <v>16940000</v>
      </c>
      <c r="C37" s="30">
        <v>4180000</v>
      </c>
      <c r="D37" s="42">
        <f t="shared" si="0"/>
        <v>1694</v>
      </c>
      <c r="E37" s="42">
        <f t="shared" si="4"/>
        <v>84.7</v>
      </c>
      <c r="F37" s="39">
        <f t="shared" si="5"/>
        <v>2467.5324675324673</v>
      </c>
      <c r="G37" s="39">
        <f t="shared" si="1"/>
        <v>19.277597402597401</v>
      </c>
      <c r="H37" s="39">
        <f t="shared" si="2"/>
        <v>4935.0649350649346</v>
      </c>
      <c r="I37" s="39">
        <f t="shared" si="3"/>
        <v>-14564.935064935065</v>
      </c>
    </row>
    <row r="38" spans="1:9" x14ac:dyDescent="0.4">
      <c r="A38" s="26" t="str">
        <v>Pb-208+n -&gt; Bi-209+e+ν̅e</v>
      </c>
      <c r="B38" s="27">
        <v>2854000</v>
      </c>
      <c r="C38" s="27">
        <v>407000</v>
      </c>
      <c r="D38" s="41">
        <f t="shared" si="0"/>
        <v>285.39999999999998</v>
      </c>
      <c r="E38" s="41">
        <f t="shared" si="4"/>
        <v>14.27</v>
      </c>
      <c r="F38" s="38">
        <f t="shared" si="5"/>
        <v>1426.0686755430975</v>
      </c>
      <c r="G38" s="38">
        <f t="shared" si="1"/>
        <v>11.141161527680449</v>
      </c>
      <c r="H38" s="38">
        <f t="shared" si="2"/>
        <v>2852.1373510861949</v>
      </c>
      <c r="I38" s="38">
        <f t="shared" si="3"/>
        <v>-16647.862648913804</v>
      </c>
    </row>
    <row r="39" spans="1:9" x14ac:dyDescent="0.4">
      <c r="A39" s="29" t="str">
        <v>Bi-209+n -&gt; Po-210+e+ν̅e</v>
      </c>
      <c r="B39" s="30">
        <v>2859000</v>
      </c>
      <c r="C39" s="30">
        <v>525000</v>
      </c>
      <c r="D39" s="42">
        <f t="shared" si="0"/>
        <v>285.89999999999998</v>
      </c>
      <c r="E39" s="42">
        <f t="shared" si="4"/>
        <v>14.294999999999998</v>
      </c>
      <c r="F39" s="39">
        <f t="shared" si="5"/>
        <v>1836.3064008394545</v>
      </c>
      <c r="G39" s="39">
        <f t="shared" si="1"/>
        <v>14.346143756558238</v>
      </c>
      <c r="H39" s="39">
        <f t="shared" si="2"/>
        <v>3672.6128016789089</v>
      </c>
      <c r="I39" s="39">
        <f t="shared" si="3"/>
        <v>-15827.387198321092</v>
      </c>
    </row>
    <row r="40" spans="1:9" x14ac:dyDescent="0.4">
      <c r="A40" s="26" t="str">
        <v>Po-210+16n-&gt;  Ra-226+4e+4ν̅e</v>
      </c>
      <c r="B40" s="27">
        <v>45830000</v>
      </c>
      <c r="C40" s="27">
        <v>8750000</v>
      </c>
      <c r="D40" s="41">
        <f t="shared" si="0"/>
        <v>4583</v>
      </c>
      <c r="E40" s="41">
        <f>D40/20</f>
        <v>229.15</v>
      </c>
      <c r="F40" s="38">
        <f>C40/D40</f>
        <v>1909.2297621645212</v>
      </c>
      <c r="G40" s="38">
        <f t="shared" si="1"/>
        <v>14.915857516910322</v>
      </c>
      <c r="H40" s="38">
        <f t="shared" si="2"/>
        <v>3818.4595243290423</v>
      </c>
      <c r="I40" s="38">
        <f t="shared" si="3"/>
        <v>-15681.540475670958</v>
      </c>
    </row>
    <row r="41" spans="1:9" x14ac:dyDescent="0.4">
      <c r="A41" s="29" t="str">
        <v xml:space="preserve"> Ra-226+6n-&gt; Th-232+2e+2ν̅e</v>
      </c>
      <c r="B41" s="30">
        <v>17660000</v>
      </c>
      <c r="C41" s="30">
        <v>3560000</v>
      </c>
      <c r="D41" s="42">
        <f t="shared" si="0"/>
        <v>1766</v>
      </c>
      <c r="E41" s="42">
        <f t="shared" si="4"/>
        <v>88.3</v>
      </c>
      <c r="F41" s="39">
        <f t="shared" ref="F41:F45" si="6">C41/D41</f>
        <v>2015.855039637599</v>
      </c>
      <c r="G41" s="39">
        <f t="shared" si="1"/>
        <v>15.748867497168742</v>
      </c>
      <c r="H41" s="39">
        <f t="shared" si="2"/>
        <v>4031.710079275198</v>
      </c>
      <c r="I41" s="39">
        <f t="shared" si="3"/>
        <v>-15468.289920724801</v>
      </c>
    </row>
    <row r="42" spans="1:9" x14ac:dyDescent="0.4">
      <c r="A42" s="26" t="str">
        <v>Th-232+6n -&gt; U-238 +2e+2ν̅e</v>
      </c>
      <c r="B42" s="27">
        <v>17830000</v>
      </c>
      <c r="C42" s="27">
        <v>3550000</v>
      </c>
      <c r="D42" s="41">
        <f t="shared" si="0"/>
        <v>1783</v>
      </c>
      <c r="E42" s="41">
        <f t="shared" si="4"/>
        <v>89.15</v>
      </c>
      <c r="F42" s="38">
        <f t="shared" si="6"/>
        <v>1991.0263600673022</v>
      </c>
      <c r="G42" s="38">
        <f t="shared" si="1"/>
        <v>15.554893438025799</v>
      </c>
      <c r="H42" s="38">
        <f t="shared" si="2"/>
        <v>3982.0527201346044</v>
      </c>
      <c r="I42" s="38">
        <f t="shared" si="3"/>
        <v>-15517.947279865395</v>
      </c>
    </row>
    <row r="43" spans="1:9" x14ac:dyDescent="0.4">
      <c r="A43" s="29" t="str">
        <v>U-238+4n-&gt;Pu-242 +2e+2ν̅e</v>
      </c>
      <c r="B43" s="30">
        <v>12000000</v>
      </c>
      <c r="C43" s="30">
        <v>2390000</v>
      </c>
      <c r="D43" s="42">
        <f t="shared" si="0"/>
        <v>1200</v>
      </c>
      <c r="E43" s="42">
        <f t="shared" si="4"/>
        <v>60</v>
      </c>
      <c r="F43" s="39">
        <f t="shared" si="6"/>
        <v>1991.6666666666667</v>
      </c>
      <c r="G43" s="39">
        <f t="shared" si="1"/>
        <v>15.559895833333334</v>
      </c>
      <c r="H43" s="39">
        <f t="shared" si="2"/>
        <v>3983.3333333333335</v>
      </c>
      <c r="I43" s="39">
        <f t="shared" si="3"/>
        <v>-15516.666666666666</v>
      </c>
    </row>
    <row r="44" spans="1:9" x14ac:dyDescent="0.4">
      <c r="A44" s="26" t="str">
        <v>Pu-242+5n -&gt; Cm-247 +2e+2ν̅e</v>
      </c>
      <c r="B44" s="27">
        <v>15090000</v>
      </c>
      <c r="C44" s="27">
        <v>2850000</v>
      </c>
      <c r="D44" s="41">
        <f t="shared" si="0"/>
        <v>1509</v>
      </c>
      <c r="E44" s="41">
        <f t="shared" si="4"/>
        <v>75.45</v>
      </c>
      <c r="F44" s="38">
        <f t="shared" si="6"/>
        <v>1888.6679920477138</v>
      </c>
      <c r="G44" s="38">
        <f t="shared" si="1"/>
        <v>14.755218687872764</v>
      </c>
      <c r="H44" s="38">
        <f t="shared" si="2"/>
        <v>3777.3359840954276</v>
      </c>
      <c r="I44" s="38">
        <f t="shared" si="3"/>
        <v>-15722.664015904573</v>
      </c>
    </row>
    <row r="45" spans="1:9" x14ac:dyDescent="0.4">
      <c r="A45" s="29" t="str">
        <v>Cm-247+5n -&gt; Cf-252 +2e+2ν̅e</v>
      </c>
      <c r="B45" s="30">
        <v>15200000</v>
      </c>
      <c r="C45" s="30">
        <v>2880000</v>
      </c>
      <c r="D45" s="42">
        <f t="shared" si="0"/>
        <v>1520</v>
      </c>
      <c r="E45" s="42">
        <f t="shared" si="4"/>
        <v>76</v>
      </c>
      <c r="F45" s="39">
        <f t="shared" si="6"/>
        <v>1894.7368421052631</v>
      </c>
      <c r="G45" s="39">
        <f t="shared" si="1"/>
        <v>14.802631578947368</v>
      </c>
      <c r="H45" s="39">
        <f t="shared" si="2"/>
        <v>3789.4736842105262</v>
      </c>
      <c r="I45" s="39">
        <f t="shared" si="3"/>
        <v>-15710.526315789473</v>
      </c>
    </row>
  </sheetData>
  <mergeCells count="2">
    <mergeCell ref="A1:I2"/>
    <mergeCell ref="A3:I5"/>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put Particle" xr:uid="{549BBDB9-C7FB-43BC-A7ED-5498B1D2186F}">
          <x14:formula1>
            <xm:f>Settings!$A$46:$A$47</xm:f>
          </x14:formula1>
          <xm:sqref>A8</xm:sqref>
        </x14:dataValidation>
        <x14:dataValidation type="list" allowBlank="1" showInputMessage="1" showErrorMessage="1" xr:uid="{532964F5-AB04-431B-A81D-BF8E6D6A5C33}">
          <x14:formula1>
            <xm:f>Settings!$B$46:$B$47</xm:f>
          </x14:formula1>
          <xm:sqref>C8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EEFB-1AB3-4839-857A-CE39E4B5888E}">
  <dimension ref="A1:P65"/>
  <sheetViews>
    <sheetView workbookViewId="0">
      <selection activeCell="A15" sqref="A15"/>
    </sheetView>
  </sheetViews>
  <sheetFormatPr defaultRowHeight="14.6" x14ac:dyDescent="0.4"/>
  <cols>
    <col min="1" max="1" width="35.07421875" bestFit="1" customWidth="1"/>
    <col min="2" max="2" width="25.3828125" bestFit="1" customWidth="1"/>
    <col min="3" max="3" width="23.53515625" bestFit="1" customWidth="1"/>
    <col min="4" max="4" width="22.3828125" bestFit="1" customWidth="1"/>
    <col min="5" max="5" width="22.07421875" bestFit="1" customWidth="1"/>
    <col min="6" max="6" width="22.765625" bestFit="1" customWidth="1"/>
    <col min="7" max="7" width="29.23046875" bestFit="1" customWidth="1"/>
    <col min="8" max="8" width="36.23046875" bestFit="1" customWidth="1"/>
    <col min="10" max="10" width="23.4609375" bestFit="1" customWidth="1"/>
    <col min="11" max="11" width="12.23046875" bestFit="1" customWidth="1"/>
    <col min="12" max="12" width="30.61328125" bestFit="1" customWidth="1"/>
    <col min="13" max="13" width="28.765625" bestFit="1" customWidth="1"/>
    <col min="14" max="14" width="16.23046875" bestFit="1" customWidth="1"/>
    <col min="15" max="15" width="19.53515625" bestFit="1" customWidth="1"/>
    <col min="16" max="16" width="17.765625" bestFit="1" customWidth="1"/>
    <col min="17" max="17" width="13.61328125" bestFit="1" customWidth="1"/>
  </cols>
  <sheetData>
    <row r="1" spans="1:8" ht="14.6" customHeight="1" x14ac:dyDescent="0.4">
      <c r="A1" s="74" t="s">
        <v>1370</v>
      </c>
      <c r="B1" s="74"/>
      <c r="C1" s="74"/>
      <c r="D1" s="74"/>
      <c r="E1" s="74"/>
      <c r="F1" s="74"/>
      <c r="G1" s="74"/>
      <c r="H1" s="74"/>
    </row>
    <row r="2" spans="1:8" ht="14.6" customHeight="1" x14ac:dyDescent="0.4">
      <c r="A2" s="74"/>
      <c r="B2" s="74"/>
      <c r="C2" s="74"/>
      <c r="D2" s="74"/>
      <c r="E2" s="74"/>
      <c r="F2" s="74"/>
      <c r="G2" s="74"/>
      <c r="H2" s="74"/>
    </row>
    <row r="3" spans="1:8" ht="14.6" customHeight="1" x14ac:dyDescent="0.4">
      <c r="A3" s="75" t="s">
        <v>1377</v>
      </c>
      <c r="B3" s="75"/>
      <c r="C3" s="75"/>
      <c r="D3" s="75"/>
      <c r="E3" s="75"/>
      <c r="F3" s="75"/>
      <c r="G3" s="75"/>
      <c r="H3" s="75"/>
    </row>
    <row r="4" spans="1:8" x14ac:dyDescent="0.4">
      <c r="A4" s="75"/>
      <c r="B4" s="75"/>
      <c r="C4" s="75"/>
      <c r="D4" s="75"/>
      <c r="E4" s="75"/>
      <c r="F4" s="75"/>
      <c r="G4" s="75"/>
      <c r="H4" s="75"/>
    </row>
    <row r="5" spans="1:8" x14ac:dyDescent="0.4">
      <c r="A5" s="75"/>
      <c r="B5" s="75"/>
      <c r="C5" s="75"/>
      <c r="D5" s="75"/>
      <c r="E5" s="75"/>
      <c r="F5" s="75"/>
      <c r="G5" s="75"/>
      <c r="H5" s="75"/>
    </row>
    <row r="6" spans="1:8" x14ac:dyDescent="0.4">
      <c r="A6" s="75"/>
      <c r="B6" s="75"/>
      <c r="C6" s="75"/>
      <c r="D6" s="75"/>
      <c r="E6" s="75"/>
      <c r="F6" s="75"/>
      <c r="G6" s="75"/>
      <c r="H6" s="75"/>
    </row>
    <row r="7" spans="1:8" x14ac:dyDescent="0.4">
      <c r="A7" s="75"/>
      <c r="B7" s="75"/>
      <c r="C7" s="75"/>
      <c r="D7" s="75"/>
      <c r="E7" s="75"/>
      <c r="F7" s="75"/>
      <c r="G7" s="75"/>
      <c r="H7" s="75"/>
    </row>
    <row r="8" spans="1:8" x14ac:dyDescent="0.4">
      <c r="A8" s="72"/>
      <c r="B8" s="72"/>
      <c r="C8" s="72"/>
      <c r="D8" s="72"/>
      <c r="E8" s="72"/>
      <c r="F8" s="72"/>
      <c r="G8" s="72"/>
      <c r="H8" s="72"/>
    </row>
    <row r="11" spans="1:8" ht="15" thickBot="1" x14ac:dyDescent="0.45">
      <c r="A11" s="59" t="s">
        <v>1315</v>
      </c>
      <c r="B11" s="60" t="s">
        <v>1314</v>
      </c>
      <c r="C11" s="60" t="s">
        <v>1316</v>
      </c>
      <c r="D11" s="60" t="s">
        <v>1317</v>
      </c>
      <c r="E11" s="60" t="s">
        <v>1318</v>
      </c>
      <c r="F11" s="60" t="s">
        <v>1335</v>
      </c>
      <c r="G11" s="60" t="s">
        <v>1319</v>
      </c>
      <c r="H11" s="66" t="s">
        <v>1336</v>
      </c>
    </row>
    <row r="12" spans="1:8" ht="15" thickTop="1" x14ac:dyDescent="0.4">
      <c r="A12" s="2" t="s">
        <v>1313</v>
      </c>
      <c r="B12" s="10">
        <f>INDEX(LiquefierRecipes[Input amount (mB)],MATCH(A12,LiquefierRecipes[Recipe],0))</f>
        <v>64</v>
      </c>
      <c r="C12" s="10">
        <f>INDEX(LiquefierRecipes[Output amount (mB)],MATCH(A12,LiquefierRecipes[Recipe],0))</f>
        <v>1</v>
      </c>
      <c r="D12" s="10">
        <f>INDEX(LiquefierRecipes[Base RF (RF)],MATCH(A12,LiquefierRecipes[Recipe],0))</f>
        <v>50</v>
      </c>
      <c r="E12" s="10">
        <f>INDEX(LiquefierRecipes[Base Heat (H)],MATCH(A12,LiquefierRecipes[Recipe],0))</f>
        <v>1000</v>
      </c>
      <c r="F12" s="10">
        <f>INDEX(LiquefierRecipes[Inversion Temperature (K)],MATCH(A12,LiquefierRecipes[Recipe],0))</f>
        <v>40</v>
      </c>
      <c r="G12" s="10">
        <f>INDEX(LiquefierRecipes[Hot Gas Temperature (K)],MATCH(A12,LiquefierRecipes[Recipe],0))</f>
        <v>400</v>
      </c>
      <c r="H12" s="10">
        <f>INDEX(LiquefierRecipes[Pressure Coefficient],MATCH(A12,LiquefierRecipes[Recipe],0))</f>
        <v>0.1</v>
      </c>
    </row>
    <row r="14" spans="1:8" ht="15" thickBot="1" x14ac:dyDescent="0.45">
      <c r="A14" s="59" t="s">
        <v>1337</v>
      </c>
      <c r="B14" s="60" t="s">
        <v>1314</v>
      </c>
      <c r="C14" s="60" t="s">
        <v>1316</v>
      </c>
      <c r="D14" s="60" t="s">
        <v>1332</v>
      </c>
      <c r="E14" s="60" t="s">
        <v>1326</v>
      </c>
      <c r="F14" s="60" t="s">
        <v>1327</v>
      </c>
    </row>
    <row r="15" spans="1:8" ht="15" thickTop="1" x14ac:dyDescent="0.4">
      <c r="A15" s="2" t="s">
        <v>1384</v>
      </c>
      <c r="B15" s="10">
        <f>INDEX(LiquefierCoolantRecipes[Input amount (mB)],MATCH(A15,LiquefierCoolantRecipes[Recipe],0))</f>
        <v>1</v>
      </c>
      <c r="C15" s="10">
        <f>INDEX(LiquefierCoolantRecipes[Output amount (mB)],MATCH(A15,LiquefierCoolantRecipes[Recipe],0))</f>
        <v>64</v>
      </c>
      <c r="D15" s="10">
        <f>INDEX(LiquefierCoolantRecipes[Heat (H)],MATCH(A15,LiquefierCoolantRecipes[Recipe],0))</f>
        <v>1000</v>
      </c>
      <c r="E15" s="10">
        <f>INDEX(LiquefierCoolantRecipes[Input Temperature (K)],MATCH(A15,LiquefierCoolantRecipes[Recipe],0))</f>
        <v>27</v>
      </c>
      <c r="F15" s="10">
        <f>INDEX(LiquefierCoolantRecipes[Output Temperature (K)],MATCH(A15,LiquefierCoolantRecipes[Recipe],0))</f>
        <v>300</v>
      </c>
    </row>
    <row r="17" spans="1:16" x14ac:dyDescent="0.4">
      <c r="A17" s="1" t="s">
        <v>1359</v>
      </c>
      <c r="B17" s="1" t="s">
        <v>1360</v>
      </c>
    </row>
    <row r="18" spans="1:16" x14ac:dyDescent="0.4">
      <c r="A18" s="10">
        <f>(G12-F15)/2</f>
        <v>50</v>
      </c>
      <c r="B18" s="44" t="str">
        <f>IF(F12&gt;E15,"Cold Enougth","Not Cold Enougth")</f>
        <v>Cold Enougth</v>
      </c>
    </row>
    <row r="20" spans="1:16" x14ac:dyDescent="0.4">
      <c r="A20" s="58" t="s">
        <v>1363</v>
      </c>
      <c r="C20" s="73" t="s">
        <v>1362</v>
      </c>
      <c r="D20" s="73"/>
      <c r="E20" s="73"/>
      <c r="G20" s="73" t="s">
        <v>1378</v>
      </c>
      <c r="H20" s="73"/>
    </row>
    <row r="21" spans="1:16" x14ac:dyDescent="0.4">
      <c r="A21" s="1" t="s">
        <v>1347</v>
      </c>
      <c r="C21" s="1" t="s">
        <v>1348</v>
      </c>
      <c r="D21" s="1" t="s">
        <v>1343</v>
      </c>
      <c r="E21" s="1" t="s">
        <v>1346</v>
      </c>
      <c r="G21" s="1" t="s">
        <v>1361</v>
      </c>
      <c r="H21" s="1" t="s">
        <v>1358</v>
      </c>
    </row>
    <row r="22" spans="1:16" x14ac:dyDescent="0.4">
      <c r="A22" s="2">
        <v>1</v>
      </c>
      <c r="C22" s="2">
        <v>2</v>
      </c>
      <c r="D22" s="67">
        <v>0.85</v>
      </c>
      <c r="E22" s="67">
        <v>0.95</v>
      </c>
      <c r="G22" s="2">
        <v>28</v>
      </c>
      <c r="H22" s="2">
        <v>24</v>
      </c>
    </row>
    <row r="25" spans="1:16" x14ac:dyDescent="0.4">
      <c r="A25" s="1" t="s">
        <v>1339</v>
      </c>
      <c r="B25" s="1" t="s">
        <v>1344</v>
      </c>
      <c r="C25" s="1" t="s">
        <v>1340</v>
      </c>
      <c r="D25" s="1" t="s">
        <v>1341</v>
      </c>
      <c r="E25" s="1" t="s">
        <v>1345</v>
      </c>
      <c r="F25" s="1" t="s">
        <v>1352</v>
      </c>
      <c r="G25" s="1" t="s">
        <v>1342</v>
      </c>
      <c r="H25" s="1" t="s">
        <v>1353</v>
      </c>
    </row>
    <row r="26" spans="1:16" x14ac:dyDescent="0.4">
      <c r="A26" s="10">
        <f>10*(C22/A22)^2</f>
        <v>40</v>
      </c>
      <c r="B26" s="6">
        <f>$D$22^A29</f>
        <v>0.72249999999999992</v>
      </c>
      <c r="C26" s="6">
        <f>$E$22^A29</f>
        <v>0.90249999999999997</v>
      </c>
      <c r="D26" s="6">
        <f>1-1/($H$12*A26+1)</f>
        <v>0.8</v>
      </c>
      <c r="E26" s="6">
        <f>B26*D26</f>
        <v>0.57799999999999996</v>
      </c>
      <c r="F26" s="6">
        <f>1/E26</f>
        <v>1.7301038062283738</v>
      </c>
      <c r="G26" s="6">
        <f>C26*D26</f>
        <v>0.72199999999999998</v>
      </c>
      <c r="H26" s="6">
        <f>1/G26</f>
        <v>1.3850415512465375</v>
      </c>
    </row>
    <row r="28" spans="1:16" x14ac:dyDescent="0.4">
      <c r="A28" s="1" t="s">
        <v>1371</v>
      </c>
      <c r="B28" s="1" t="s">
        <v>1356</v>
      </c>
      <c r="C28" s="1" t="s">
        <v>1355</v>
      </c>
      <c r="D28" s="1" t="s">
        <v>1350</v>
      </c>
      <c r="E28" s="1" t="s">
        <v>1351</v>
      </c>
      <c r="F28" s="1" t="s">
        <v>1354</v>
      </c>
      <c r="G28" s="1" t="s">
        <v>1357</v>
      </c>
      <c r="H28" s="1" t="s">
        <v>1372</v>
      </c>
      <c r="J28" s="1" t="s">
        <v>1338</v>
      </c>
      <c r="K28" s="1" t="s">
        <v>1339</v>
      </c>
      <c r="L28" s="1" t="s">
        <v>1382</v>
      </c>
      <c r="M28" s="1" t="s">
        <v>1383</v>
      </c>
      <c r="N28" s="1" t="s">
        <v>1341</v>
      </c>
      <c r="O28" s="1" t="s">
        <v>1380</v>
      </c>
      <c r="P28" s="1" t="s">
        <v>1381</v>
      </c>
    </row>
    <row r="29" spans="1:16" x14ac:dyDescent="0.4">
      <c r="A29" s="10">
        <f>C22/A22</f>
        <v>2</v>
      </c>
      <c r="B29" s="10">
        <f>C29/C12*B12</f>
        <v>1024</v>
      </c>
      <c r="C29" s="10">
        <f>D29*G26/E12*C12</f>
        <v>16</v>
      </c>
      <c r="D29" s="10">
        <f>MIN(LiqNozzleSpeed*A26*E12*H26*A22,A18*H22*G22*A22)</f>
        <v>22160.664819944599</v>
      </c>
      <c r="E29" s="10">
        <f>C29/C12*D12*F26</f>
        <v>1384.083044982699</v>
      </c>
      <c r="F29" s="10">
        <f>D29/D15*B15</f>
        <v>22.1606648199446</v>
      </c>
      <c r="G29" s="10">
        <f>D29/D15*C15</f>
        <v>1418.2825484764544</v>
      </c>
      <c r="H29" s="10">
        <f>G22*A22</f>
        <v>28</v>
      </c>
      <c r="J29" s="10">
        <v>1</v>
      </c>
      <c r="K29" s="10">
        <f>10*J29^2</f>
        <v>10</v>
      </c>
      <c r="L29" s="6">
        <f>$D$22^J29</f>
        <v>0.85</v>
      </c>
      <c r="M29" s="6">
        <f>$E$22^J29</f>
        <v>0.95</v>
      </c>
      <c r="N29" s="6">
        <f>1-1/($H$12*K29+1)</f>
        <v>0.5</v>
      </c>
      <c r="O29" s="6">
        <f>L29*N29</f>
        <v>0.42499999999999999</v>
      </c>
      <c r="P29" s="6">
        <f>M29*N29</f>
        <v>0.47499999999999998</v>
      </c>
    </row>
    <row r="30" spans="1:16" x14ac:dyDescent="0.4">
      <c r="J30" s="10">
        <v>1.25</v>
      </c>
      <c r="K30" s="10">
        <f t="shared" ref="K30:K65" si="0">10*J30^2</f>
        <v>15.625</v>
      </c>
      <c r="L30" s="6">
        <f>$D$22^J30</f>
        <v>0.81615690099355964</v>
      </c>
      <c r="M30" s="6">
        <f t="shared" ref="M30:M65" si="1">$E$22^J30</f>
        <v>0.93789561765636209</v>
      </c>
      <c r="N30" s="6">
        <f t="shared" ref="N30:N65" si="2">1-1/($H$12*K30+1)</f>
        <v>0.6097560975609756</v>
      </c>
      <c r="O30" s="6">
        <f t="shared" ref="O30:O47" si="3">L30*N30</f>
        <v>0.49765664694729245</v>
      </c>
      <c r="P30" s="6">
        <f t="shared" ref="P30:P47" si="4">M30*N30</f>
        <v>0.57188757174168414</v>
      </c>
    </row>
    <row r="31" spans="1:16" x14ac:dyDescent="0.4">
      <c r="A31" s="1" t="s">
        <v>1373</v>
      </c>
      <c r="B31" s="1" t="s">
        <v>1364</v>
      </c>
      <c r="C31" s="1" t="s">
        <v>1365</v>
      </c>
      <c r="D31" s="1" t="s">
        <v>1366</v>
      </c>
      <c r="E31" s="1" t="s">
        <v>1367</v>
      </c>
      <c r="F31" s="1" t="s">
        <v>1368</v>
      </c>
      <c r="G31" s="1" t="s">
        <v>1369</v>
      </c>
      <c r="H31" s="1" t="s">
        <v>1374</v>
      </c>
      <c r="J31" s="10">
        <v>1.5</v>
      </c>
      <c r="K31" s="10">
        <f t="shared" si="0"/>
        <v>22.5</v>
      </c>
      <c r="L31" s="6">
        <f t="shared" ref="L31:L65" si="5">$D$22^J31</f>
        <v>0.78366127886989534</v>
      </c>
      <c r="M31" s="6">
        <f t="shared" si="1"/>
        <v>0.92594546275685152</v>
      </c>
      <c r="N31" s="6">
        <f t="shared" si="2"/>
        <v>0.69230769230769229</v>
      </c>
      <c r="O31" s="6">
        <f t="shared" si="3"/>
        <v>0.54253473152531217</v>
      </c>
      <c r="P31" s="6">
        <f t="shared" si="4"/>
        <v>0.64103916652397408</v>
      </c>
    </row>
    <row r="32" spans="1:16" x14ac:dyDescent="0.4">
      <c r="A32" s="10">
        <f>ROUNDUP((D32/A22)/(H22*A18),0)</f>
        <v>19</v>
      </c>
      <c r="B32" s="10">
        <f>LiqNozzleSpeed*A26*B12*A22</f>
        <v>1024</v>
      </c>
      <c r="C32" s="10">
        <f>LiqNozzleSpeed*A26*C12*A22</f>
        <v>16</v>
      </c>
      <c r="D32" s="10">
        <f>LiqNozzleSpeed*A26*E12*H26*A22</f>
        <v>22160.664819944599</v>
      </c>
      <c r="E32" s="10">
        <f>LiqNozzleSpeed*A26*D12*F26*A22</f>
        <v>1384.083044982699</v>
      </c>
      <c r="F32" s="10">
        <f>D32/D15*B15</f>
        <v>22.1606648199446</v>
      </c>
      <c r="G32" s="10">
        <f>D32/D15*C15</f>
        <v>1418.2825484764544</v>
      </c>
      <c r="H32" s="10">
        <f>A32*A22</f>
        <v>19</v>
      </c>
      <c r="J32" s="10">
        <v>1.75</v>
      </c>
      <c r="K32" s="10">
        <f t="shared" si="0"/>
        <v>30.625</v>
      </c>
      <c r="L32" s="6">
        <f t="shared" si="5"/>
        <v>0.7524594832836512</v>
      </c>
      <c r="M32" s="6">
        <f t="shared" si="1"/>
        <v>0.91414757021941395</v>
      </c>
      <c r="N32" s="6">
        <f t="shared" si="2"/>
        <v>0.75384615384615383</v>
      </c>
      <c r="O32" s="6">
        <f t="shared" si="3"/>
        <v>0.56723868739844474</v>
      </c>
      <c r="P32" s="6">
        <f t="shared" si="4"/>
        <v>0.689126629857712</v>
      </c>
    </row>
    <row r="33" spans="10:16" x14ac:dyDescent="0.4">
      <c r="J33" s="10">
        <v>2</v>
      </c>
      <c r="K33" s="10">
        <f t="shared" si="0"/>
        <v>40</v>
      </c>
      <c r="L33" s="6">
        <f t="shared" si="5"/>
        <v>0.72249999999999992</v>
      </c>
      <c r="M33" s="6">
        <f t="shared" si="1"/>
        <v>0.90249999999999997</v>
      </c>
      <c r="N33" s="6">
        <f t="shared" si="2"/>
        <v>0.8</v>
      </c>
      <c r="O33" s="6">
        <f t="shared" si="3"/>
        <v>0.57799999999999996</v>
      </c>
      <c r="P33" s="6">
        <f t="shared" si="4"/>
        <v>0.72199999999999998</v>
      </c>
    </row>
    <row r="34" spans="10:16" x14ac:dyDescent="0.4">
      <c r="J34" s="10">
        <v>2.25</v>
      </c>
      <c r="K34" s="10">
        <f t="shared" si="0"/>
        <v>50.625</v>
      </c>
      <c r="L34" s="6">
        <f t="shared" si="5"/>
        <v>0.69373336584452561</v>
      </c>
      <c r="M34" s="6">
        <f t="shared" si="1"/>
        <v>0.89100083677354391</v>
      </c>
      <c r="N34" s="6">
        <f t="shared" si="2"/>
        <v>0.83505154639175261</v>
      </c>
      <c r="O34" s="6">
        <f t="shared" si="3"/>
        <v>0.57930311993202654</v>
      </c>
      <c r="P34" s="6">
        <f t="shared" si="4"/>
        <v>0.74403162658409339</v>
      </c>
    </row>
    <row r="35" spans="10:16" x14ac:dyDescent="0.4">
      <c r="J35" s="10">
        <v>2.5</v>
      </c>
      <c r="K35" s="10">
        <f t="shared" si="0"/>
        <v>62.5</v>
      </c>
      <c r="L35" s="6">
        <f t="shared" si="5"/>
        <v>0.66611208703941105</v>
      </c>
      <c r="M35" s="6">
        <f t="shared" si="1"/>
        <v>0.87964818961900892</v>
      </c>
      <c r="N35" s="6">
        <f t="shared" si="2"/>
        <v>0.86206896551724133</v>
      </c>
      <c r="O35" s="6">
        <f t="shared" si="3"/>
        <v>0.57423455779259569</v>
      </c>
      <c r="P35" s="6">
        <f t="shared" si="4"/>
        <v>0.75831740484397314</v>
      </c>
    </row>
    <row r="36" spans="10:16" x14ac:dyDescent="0.4">
      <c r="J36" s="10">
        <v>2.75</v>
      </c>
      <c r="K36" s="10">
        <f t="shared" si="0"/>
        <v>75.625</v>
      </c>
      <c r="L36" s="6">
        <f t="shared" si="5"/>
        <v>0.63959056079110355</v>
      </c>
      <c r="M36" s="6">
        <f t="shared" si="1"/>
        <v>0.86844019170844322</v>
      </c>
      <c r="N36" s="6">
        <f t="shared" si="2"/>
        <v>0.88321167883211682</v>
      </c>
      <c r="O36" s="6">
        <f t="shared" si="3"/>
        <v>0.56489385296148564</v>
      </c>
      <c r="P36" s="6">
        <f t="shared" si="4"/>
        <v>0.76701651968409956</v>
      </c>
    </row>
    <row r="37" spans="10:16" x14ac:dyDescent="0.4">
      <c r="J37" s="10">
        <v>3</v>
      </c>
      <c r="K37" s="10">
        <f t="shared" si="0"/>
        <v>90</v>
      </c>
      <c r="L37" s="6">
        <f t="shared" si="5"/>
        <v>0.61412499999999992</v>
      </c>
      <c r="M37" s="6">
        <f t="shared" si="1"/>
        <v>0.85737499999999989</v>
      </c>
      <c r="N37" s="6">
        <f t="shared" si="2"/>
        <v>0.9</v>
      </c>
      <c r="O37" s="6">
        <f t="shared" si="3"/>
        <v>0.55271249999999994</v>
      </c>
      <c r="P37" s="6">
        <f t="shared" si="4"/>
        <v>0.77163749999999987</v>
      </c>
    </row>
    <row r="38" spans="10:16" x14ac:dyDescent="0.4">
      <c r="J38" s="10">
        <v>3.25</v>
      </c>
      <c r="K38" s="10">
        <f t="shared" si="0"/>
        <v>105.625</v>
      </c>
      <c r="L38" s="6">
        <f t="shared" si="5"/>
        <v>0.58967336096784684</v>
      </c>
      <c r="M38" s="6">
        <f t="shared" si="1"/>
        <v>0.84645079493486675</v>
      </c>
      <c r="N38" s="6">
        <f t="shared" si="2"/>
        <v>0.91351351351351351</v>
      </c>
      <c r="O38" s="6">
        <f t="shared" si="3"/>
        <v>0.5386745838030601</v>
      </c>
      <c r="P38" s="6">
        <f t="shared" si="4"/>
        <v>0.77324423969725664</v>
      </c>
    </row>
    <row r="39" spans="10:16" x14ac:dyDescent="0.4">
      <c r="J39" s="10">
        <v>3.5</v>
      </c>
      <c r="K39" s="10">
        <f t="shared" si="0"/>
        <v>122.5</v>
      </c>
      <c r="L39" s="6">
        <f t="shared" si="5"/>
        <v>0.56619527398349934</v>
      </c>
      <c r="M39" s="6">
        <f t="shared" si="1"/>
        <v>0.83566578013805837</v>
      </c>
      <c r="N39" s="6">
        <f t="shared" si="2"/>
        <v>0.92452830188679247</v>
      </c>
      <c r="O39" s="6">
        <f t="shared" si="3"/>
        <v>0.52346355519229182</v>
      </c>
      <c r="P39" s="6">
        <f t="shared" si="4"/>
        <v>0.77259666465594079</v>
      </c>
    </row>
    <row r="40" spans="10:16" x14ac:dyDescent="0.4">
      <c r="J40" s="10">
        <v>3.75</v>
      </c>
      <c r="K40" s="10">
        <f t="shared" si="0"/>
        <v>140.625</v>
      </c>
      <c r="L40" s="6">
        <f t="shared" si="5"/>
        <v>0.54365197667243803</v>
      </c>
      <c r="M40" s="6">
        <f t="shared" si="1"/>
        <v>0.82501818212302103</v>
      </c>
      <c r="N40" s="6">
        <f t="shared" si="2"/>
        <v>0.93360995850622408</v>
      </c>
      <c r="O40" s="6">
        <f t="shared" si="3"/>
        <v>0.5075588993829816</v>
      </c>
      <c r="P40" s="6">
        <f t="shared" si="4"/>
        <v>0.77024519077875409</v>
      </c>
    </row>
    <row r="41" spans="10:16" x14ac:dyDescent="0.4">
      <c r="J41" s="10">
        <v>4</v>
      </c>
      <c r="K41" s="10">
        <f t="shared" si="0"/>
        <v>160</v>
      </c>
      <c r="L41" s="6">
        <f t="shared" si="5"/>
        <v>0.52200624999999989</v>
      </c>
      <c r="M41" s="6">
        <f t="shared" si="1"/>
        <v>0.81450624999999999</v>
      </c>
      <c r="N41" s="6">
        <f t="shared" si="2"/>
        <v>0.94117647058823528</v>
      </c>
      <c r="O41" s="6">
        <f t="shared" si="3"/>
        <v>0.4912999999999999</v>
      </c>
      <c r="P41" s="6">
        <f t="shared" si="4"/>
        <v>0.76659411764705876</v>
      </c>
    </row>
    <row r="42" spans="10:16" x14ac:dyDescent="0.4">
      <c r="J42" s="10">
        <v>4.25</v>
      </c>
      <c r="K42" s="10">
        <f t="shared" si="0"/>
        <v>180.625</v>
      </c>
      <c r="L42" s="6">
        <f t="shared" si="5"/>
        <v>0.50122235682266969</v>
      </c>
      <c r="M42" s="6">
        <f t="shared" si="1"/>
        <v>0.80412825518812336</v>
      </c>
      <c r="N42" s="6">
        <f t="shared" si="2"/>
        <v>0.94754098360655736</v>
      </c>
      <c r="O42" s="6">
        <f t="shared" si="3"/>
        <v>0.47492872498934929</v>
      </c>
      <c r="P42" s="6">
        <f t="shared" si="4"/>
        <v>0.76194447786677921</v>
      </c>
    </row>
    <row r="43" spans="10:16" x14ac:dyDescent="0.4">
      <c r="J43" s="10">
        <v>4.5</v>
      </c>
      <c r="K43" s="10">
        <f t="shared" si="0"/>
        <v>202.5</v>
      </c>
      <c r="L43" s="6">
        <f t="shared" si="5"/>
        <v>0.4812659828859745</v>
      </c>
      <c r="M43" s="6">
        <f t="shared" si="1"/>
        <v>0.7938824911311555</v>
      </c>
      <c r="N43" s="6">
        <f t="shared" si="2"/>
        <v>0.95294117647058818</v>
      </c>
      <c r="O43" s="6">
        <f t="shared" si="3"/>
        <v>0.45861817192663451</v>
      </c>
      <c r="P43" s="6">
        <f t="shared" si="4"/>
        <v>0.75652331507792459</v>
      </c>
    </row>
    <row r="44" spans="10:16" x14ac:dyDescent="0.4">
      <c r="J44" s="10">
        <v>4.75</v>
      </c>
      <c r="K44" s="10">
        <f t="shared" si="0"/>
        <v>225.625</v>
      </c>
      <c r="L44" s="6">
        <f t="shared" si="5"/>
        <v>0.46210418017157223</v>
      </c>
      <c r="M44" s="6">
        <f t="shared" si="1"/>
        <v>0.78376727301686999</v>
      </c>
      <c r="N44" s="6">
        <f t="shared" si="2"/>
        <v>0.95755968169761274</v>
      </c>
      <c r="O44" s="6">
        <f t="shared" si="3"/>
        <v>0.44249233167622698</v>
      </c>
      <c r="P44" s="6">
        <f t="shared" si="4"/>
        <v>0.75050394047503999</v>
      </c>
    </row>
    <row r="45" spans="10:16" x14ac:dyDescent="0.4">
      <c r="J45" s="10">
        <v>5</v>
      </c>
      <c r="K45" s="10">
        <f t="shared" si="0"/>
        <v>250</v>
      </c>
      <c r="L45" s="6">
        <f t="shared" si="5"/>
        <v>0.44370531249999989</v>
      </c>
      <c r="M45" s="6">
        <f t="shared" si="1"/>
        <v>0.77378093749999999</v>
      </c>
      <c r="N45" s="6">
        <f t="shared" si="2"/>
        <v>0.96153846153846156</v>
      </c>
      <c r="O45" s="6">
        <f t="shared" si="3"/>
        <v>0.4266397235576922</v>
      </c>
      <c r="P45" s="6">
        <f t="shared" si="4"/>
        <v>0.74402013221153851</v>
      </c>
    </row>
    <row r="46" spans="10:16" x14ac:dyDescent="0.4">
      <c r="J46" s="10">
        <v>5.25</v>
      </c>
      <c r="K46" s="10">
        <f t="shared" si="0"/>
        <v>275.625</v>
      </c>
      <c r="L46" s="6">
        <f t="shared" si="5"/>
        <v>0.42603900329926925</v>
      </c>
      <c r="M46" s="6">
        <f t="shared" si="1"/>
        <v>0.76392184242871708</v>
      </c>
      <c r="N46" s="6">
        <f t="shared" si="2"/>
        <v>0.96498905908096277</v>
      </c>
      <c r="O46" s="6">
        <f t="shared" si="3"/>
        <v>0.41112297692555305</v>
      </c>
      <c r="P46" s="6">
        <f t="shared" si="4"/>
        <v>0.73717621993668325</v>
      </c>
    </row>
    <row r="47" spans="10:16" x14ac:dyDescent="0.4">
      <c r="J47" s="10">
        <v>5.5</v>
      </c>
      <c r="K47" s="10">
        <f t="shared" si="0"/>
        <v>302.5</v>
      </c>
      <c r="L47" s="6">
        <f t="shared" si="5"/>
        <v>0.40907608545307833</v>
      </c>
      <c r="M47" s="6">
        <f t="shared" si="1"/>
        <v>0.75418836657459765</v>
      </c>
      <c r="N47" s="6">
        <f t="shared" si="2"/>
        <v>0.96799999999999997</v>
      </c>
      <c r="O47" s="6">
        <f t="shared" si="3"/>
        <v>0.39598565071857983</v>
      </c>
      <c r="P47" s="6">
        <f t="shared" si="4"/>
        <v>0.73005433884421045</v>
      </c>
    </row>
    <row r="48" spans="10:16" x14ac:dyDescent="0.4">
      <c r="J48" s="10">
        <v>5.75</v>
      </c>
      <c r="K48" s="10">
        <f t="shared" si="0"/>
        <v>330.625</v>
      </c>
      <c r="L48" s="6">
        <f t="shared" si="5"/>
        <v>0.39278855314583644</v>
      </c>
      <c r="M48" s="6">
        <f t="shared" si="1"/>
        <v>0.74457890936602644</v>
      </c>
      <c r="N48" s="6">
        <f t="shared" si="2"/>
        <v>0.97064220183486238</v>
      </c>
      <c r="O48" s="6">
        <f t="shared" ref="O48:O65" si="6">L48*N48</f>
        <v>0.38125714608100453</v>
      </c>
      <c r="P48" s="6">
        <f t="shared" ref="P48:P65" si="7">M48*N48</f>
        <v>0.72271971202684038</v>
      </c>
    </row>
    <row r="49" spans="10:16" x14ac:dyDescent="0.4">
      <c r="J49" s="10">
        <v>6</v>
      </c>
      <c r="K49" s="10">
        <f t="shared" si="0"/>
        <v>360</v>
      </c>
      <c r="L49" s="6">
        <f t="shared" si="5"/>
        <v>0.37714951562499988</v>
      </c>
      <c r="M49" s="6">
        <f t="shared" si="1"/>
        <v>0.73509189062499991</v>
      </c>
      <c r="N49" s="6">
        <f t="shared" si="2"/>
        <v>0.97297297297297303</v>
      </c>
      <c r="O49" s="6">
        <f t="shared" si="6"/>
        <v>0.36695628547297288</v>
      </c>
      <c r="P49" s="6">
        <f t="shared" si="7"/>
        <v>0.71522454222972964</v>
      </c>
    </row>
    <row r="50" spans="10:16" x14ac:dyDescent="0.4">
      <c r="J50" s="10">
        <v>6.25</v>
      </c>
      <c r="K50" s="10">
        <f t="shared" si="0"/>
        <v>390.625</v>
      </c>
      <c r="L50" s="6">
        <f t="shared" si="5"/>
        <v>0.36213315280437886</v>
      </c>
      <c r="M50" s="6">
        <f t="shared" si="1"/>
        <v>0.72572575030728126</v>
      </c>
      <c r="N50" s="6">
        <f t="shared" si="2"/>
        <v>0.9750390015600624</v>
      </c>
      <c r="O50" s="6">
        <f t="shared" si="6"/>
        <v>0.35309394774217906</v>
      </c>
      <c r="P50" s="6">
        <f t="shared" si="7"/>
        <v>0.70761091098603868</v>
      </c>
    </row>
    <row r="51" spans="10:16" x14ac:dyDescent="0.4">
      <c r="J51" s="10">
        <v>6.5</v>
      </c>
      <c r="K51" s="10">
        <f t="shared" si="0"/>
        <v>422.5</v>
      </c>
      <c r="L51" s="6">
        <f t="shared" si="5"/>
        <v>0.34771467263511657</v>
      </c>
      <c r="M51" s="6">
        <f t="shared" si="1"/>
        <v>0.71647894824586777</v>
      </c>
      <c r="N51" s="6">
        <f t="shared" si="2"/>
        <v>0.97687861271676302</v>
      </c>
      <c r="O51" s="6">
        <f t="shared" si="6"/>
        <v>0.33967502702505609</v>
      </c>
      <c r="P51" s="6">
        <f t="shared" si="7"/>
        <v>0.69991296100318878</v>
      </c>
    </row>
    <row r="52" spans="10:16" x14ac:dyDescent="0.4">
      <c r="J52" s="10">
        <v>6.75</v>
      </c>
      <c r="K52" s="10">
        <f t="shared" si="0"/>
        <v>455.625</v>
      </c>
      <c r="L52" s="6">
        <f t="shared" si="5"/>
        <v>0.33387027017396098</v>
      </c>
      <c r="M52" s="6">
        <f t="shared" si="1"/>
        <v>0.70734996389772509</v>
      </c>
      <c r="N52" s="6">
        <f t="shared" si="2"/>
        <v>0.97852348993288596</v>
      </c>
      <c r="O52" s="6">
        <f t="shared" si="6"/>
        <v>0.32669990195545984</v>
      </c>
      <c r="P52" s="6">
        <f t="shared" si="7"/>
        <v>0.69215855527710279</v>
      </c>
    </row>
    <row r="53" spans="10:16" x14ac:dyDescent="0.4">
      <c r="J53" s="10">
        <v>7</v>
      </c>
      <c r="K53" s="10">
        <f t="shared" si="0"/>
        <v>490</v>
      </c>
      <c r="L53" s="6">
        <f t="shared" si="5"/>
        <v>0.32057708828124987</v>
      </c>
      <c r="M53" s="6">
        <f t="shared" si="1"/>
        <v>0.69833729609374995</v>
      </c>
      <c r="N53" s="6">
        <f t="shared" si="2"/>
        <v>0.98</v>
      </c>
      <c r="O53" s="6">
        <f t="shared" si="6"/>
        <v>0.31416554651562484</v>
      </c>
      <c r="P53" s="6">
        <f t="shared" si="7"/>
        <v>0.68437055017187498</v>
      </c>
    </row>
    <row r="54" spans="10:16" x14ac:dyDescent="0.4">
      <c r="J54" s="10">
        <v>7.25</v>
      </c>
      <c r="K54" s="10">
        <f t="shared" si="0"/>
        <v>525.625</v>
      </c>
      <c r="L54" s="6">
        <f t="shared" si="5"/>
        <v>0.30781317988372203</v>
      </c>
      <c r="M54" s="6">
        <f t="shared" si="1"/>
        <v>0.68943946279191715</v>
      </c>
      <c r="N54" s="6">
        <f t="shared" si="2"/>
        <v>0.98133022170361728</v>
      </c>
      <c r="O54" s="6">
        <f t="shared" si="6"/>
        <v>0.30206637605858838</v>
      </c>
      <c r="P54" s="6">
        <f t="shared" si="7"/>
        <v>0.67656778087281488</v>
      </c>
    </row>
    <row r="55" spans="10:16" x14ac:dyDescent="0.4">
      <c r="J55" s="10">
        <v>7.5</v>
      </c>
      <c r="K55" s="10">
        <f t="shared" si="0"/>
        <v>562.5</v>
      </c>
      <c r="L55" s="6">
        <f t="shared" si="5"/>
        <v>0.29555747173984909</v>
      </c>
      <c r="M55" s="6">
        <f t="shared" si="1"/>
        <v>0.68065500083357433</v>
      </c>
      <c r="N55" s="6">
        <f t="shared" si="2"/>
        <v>0.98253275109170302</v>
      </c>
      <c r="O55" s="6">
        <f t="shared" si="6"/>
        <v>0.2903948958142622</v>
      </c>
      <c r="P55" s="6">
        <f t="shared" si="7"/>
        <v>0.66876583051333716</v>
      </c>
    </row>
    <row r="56" spans="10:16" x14ac:dyDescent="0.4">
      <c r="J56" s="10">
        <v>7.75</v>
      </c>
      <c r="K56" s="10">
        <f t="shared" si="0"/>
        <v>600.625</v>
      </c>
      <c r="L56" s="6">
        <f t="shared" si="5"/>
        <v>0.28378972964786681</v>
      </c>
      <c r="M56" s="6">
        <f t="shared" si="1"/>
        <v>0.67198246570283882</v>
      </c>
      <c r="N56" s="6">
        <f t="shared" si="2"/>
        <v>0.98362333674513813</v>
      </c>
      <c r="O56" s="6">
        <f t="shared" si="6"/>
        <v>0.27914220081023539</v>
      </c>
      <c r="P56" s="6">
        <f t="shared" si="7"/>
        <v>0.66097763514885166</v>
      </c>
    </row>
    <row r="57" spans="10:16" x14ac:dyDescent="0.4">
      <c r="J57" s="10">
        <v>8</v>
      </c>
      <c r="K57" s="10">
        <f t="shared" si="0"/>
        <v>640</v>
      </c>
      <c r="L57" s="6">
        <f t="shared" si="5"/>
        <v>0.2724905250390624</v>
      </c>
      <c r="M57" s="6">
        <f t="shared" si="1"/>
        <v>0.66342043128906247</v>
      </c>
      <c r="N57" s="6">
        <f t="shared" si="2"/>
        <v>0.98461538461538467</v>
      </c>
      <c r="O57" s="6">
        <f t="shared" si="6"/>
        <v>0.26829836311538452</v>
      </c>
      <c r="P57" s="6">
        <f t="shared" si="7"/>
        <v>0.6532139631153846</v>
      </c>
    </row>
    <row r="58" spans="10:16" x14ac:dyDescent="0.4">
      <c r="J58" s="10">
        <v>8.25</v>
      </c>
      <c r="K58" s="10">
        <f t="shared" si="0"/>
        <v>680.625</v>
      </c>
      <c r="L58" s="6">
        <f t="shared" si="5"/>
        <v>0.26164120290116372</v>
      </c>
      <c r="M58" s="6">
        <f t="shared" si="1"/>
        <v>0.65496748965232121</v>
      </c>
      <c r="N58" s="6">
        <f t="shared" si="2"/>
        <v>0.98552036199095028</v>
      </c>
      <c r="O58" s="6">
        <f t="shared" si="6"/>
        <v>0.25785273299490252</v>
      </c>
      <c r="P58" s="6">
        <f t="shared" si="7"/>
        <v>0.64548379749445961</v>
      </c>
    </row>
    <row r="59" spans="10:16" x14ac:dyDescent="0.4">
      <c r="J59" s="10">
        <v>8.5</v>
      </c>
      <c r="K59" s="10">
        <f t="shared" si="0"/>
        <v>722.5</v>
      </c>
      <c r="L59" s="6">
        <f t="shared" si="5"/>
        <v>0.25122385097887168</v>
      </c>
      <c r="M59" s="6">
        <f t="shared" si="1"/>
        <v>0.64662225079189561</v>
      </c>
      <c r="N59" s="6">
        <f t="shared" si="2"/>
        <v>0.98634812286689422</v>
      </c>
      <c r="O59" s="6">
        <f t="shared" si="6"/>
        <v>0.24779417383240243</v>
      </c>
      <c r="P59" s="6">
        <f t="shared" si="7"/>
        <v>0.63779464327255231</v>
      </c>
    </row>
    <row r="60" spans="10:16" x14ac:dyDescent="0.4">
      <c r="J60" s="10">
        <v>8.75</v>
      </c>
      <c r="K60" s="10">
        <f t="shared" si="0"/>
        <v>765.625</v>
      </c>
      <c r="L60" s="6">
        <f t="shared" si="5"/>
        <v>0.24122127020068679</v>
      </c>
      <c r="M60" s="6">
        <f t="shared" si="1"/>
        <v>0.63838334241769679</v>
      </c>
      <c r="N60" s="6">
        <f t="shared" si="2"/>
        <v>0.98710717163577755</v>
      </c>
      <c r="O60" s="6">
        <f t="shared" si="6"/>
        <v>0.23811124576618961</v>
      </c>
      <c r="P60" s="6">
        <f t="shared" si="7"/>
        <v>0.63015277555332672</v>
      </c>
    </row>
    <row r="61" spans="10:16" x14ac:dyDescent="0.4">
      <c r="J61" s="10">
        <v>9</v>
      </c>
      <c r="K61" s="10">
        <f t="shared" si="0"/>
        <v>810</v>
      </c>
      <c r="L61" s="6">
        <f t="shared" si="5"/>
        <v>0.23161694628320303</v>
      </c>
      <c r="M61" s="6">
        <f t="shared" si="1"/>
        <v>0.6302494097246093</v>
      </c>
      <c r="N61" s="6">
        <f t="shared" si="2"/>
        <v>0.98780487804878048</v>
      </c>
      <c r="O61" s="6">
        <f t="shared" si="6"/>
        <v>0.2287923493773103</v>
      </c>
      <c r="P61" s="6">
        <f t="shared" si="7"/>
        <v>0.62256344131333352</v>
      </c>
    </row>
    <row r="62" spans="10:16" x14ac:dyDescent="0.4">
      <c r="J62" s="10">
        <v>9.25</v>
      </c>
      <c r="K62" s="10">
        <f t="shared" si="0"/>
        <v>855.625</v>
      </c>
      <c r="L62" s="6">
        <f t="shared" si="5"/>
        <v>0.22239502246598916</v>
      </c>
      <c r="M62" s="6">
        <f t="shared" si="1"/>
        <v>0.62221911516970518</v>
      </c>
      <c r="N62" s="6">
        <f t="shared" si="2"/>
        <v>0.98844765342960283</v>
      </c>
      <c r="O62" s="6">
        <f t="shared" si="6"/>
        <v>0.21982583809093079</v>
      </c>
      <c r="P62" s="6">
        <f t="shared" si="7"/>
        <v>0.61503102430853884</v>
      </c>
    </row>
    <row r="63" spans="10:16" x14ac:dyDescent="0.4">
      <c r="J63" s="10">
        <v>9.5</v>
      </c>
      <c r="K63" s="10">
        <f t="shared" si="0"/>
        <v>902.5</v>
      </c>
      <c r="L63" s="6">
        <f t="shared" si="5"/>
        <v>0.21354027333204093</v>
      </c>
      <c r="M63" s="6">
        <f t="shared" si="1"/>
        <v>0.61429113825230075</v>
      </c>
      <c r="N63" s="6">
        <f t="shared" si="2"/>
        <v>0.989041095890411</v>
      </c>
      <c r="O63" s="6">
        <f t="shared" si="6"/>
        <v>0.21120010595305966</v>
      </c>
      <c r="P63" s="6">
        <f t="shared" si="7"/>
        <v>0.60755918057282354</v>
      </c>
    </row>
    <row r="64" spans="10:16" x14ac:dyDescent="0.4">
      <c r="J64" s="10">
        <v>9.75</v>
      </c>
      <c r="K64" s="10">
        <f t="shared" si="0"/>
        <v>950.625</v>
      </c>
      <c r="L64" s="6">
        <f t="shared" si="5"/>
        <v>0.20503807967058377</v>
      </c>
      <c r="M64" s="6">
        <f t="shared" si="1"/>
        <v>0.60646417529681196</v>
      </c>
      <c r="N64" s="6">
        <f t="shared" si="2"/>
        <v>0.98959011060507485</v>
      </c>
      <c r="O64" s="6">
        <f t="shared" si="6"/>
        <v>0.20290365593946513</v>
      </c>
      <c r="P64" s="6">
        <f t="shared" si="7"/>
        <v>0.60015095030998766</v>
      </c>
    </row>
    <row r="65" spans="10:16" x14ac:dyDescent="0.4">
      <c r="J65" s="10">
        <v>10</v>
      </c>
      <c r="K65" s="10">
        <f t="shared" si="0"/>
        <v>1000</v>
      </c>
      <c r="L65" s="6">
        <f t="shared" si="5"/>
        <v>0.19687440434072256</v>
      </c>
      <c r="M65" s="6">
        <f t="shared" si="1"/>
        <v>0.5987369392383789</v>
      </c>
      <c r="N65" s="6">
        <f t="shared" si="2"/>
        <v>0.99009900990099009</v>
      </c>
      <c r="O65" s="6">
        <f t="shared" si="6"/>
        <v>0.19492515281259659</v>
      </c>
      <c r="P65" s="6">
        <f t="shared" si="7"/>
        <v>0.59280885073106826</v>
      </c>
    </row>
  </sheetData>
  <mergeCells count="4">
    <mergeCell ref="C20:E20"/>
    <mergeCell ref="G20:H20"/>
    <mergeCell ref="A1:H2"/>
    <mergeCell ref="A3:H7"/>
  </mergeCells>
  <dataValidations count="2">
    <dataValidation type="list" allowBlank="1" showInputMessage="1" showErrorMessage="1" sqref="A12" xr:uid="{894DDD29-1C6B-4303-A190-9F15E13FF405}">
      <formula1>INDIRECT("LiquefierRecipes[Recipe]")</formula1>
    </dataValidation>
    <dataValidation type="list" allowBlank="1" showInputMessage="1" showErrorMessage="1" sqref="A15" xr:uid="{34BD5DCC-A7F5-4FA7-84F2-08895F7D2EF3}">
      <formula1>INDIRECT("LiquefierCoolantRecipes[Recipe]")</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3335-E114-4EA3-8AC8-FB70207D6683}">
  <dimension ref="A1:Q477"/>
  <sheetViews>
    <sheetView workbookViewId="0">
      <selection activeCell="M20" sqref="M20"/>
    </sheetView>
  </sheetViews>
  <sheetFormatPr defaultRowHeight="14.6" x14ac:dyDescent="0.4"/>
  <cols>
    <col min="1" max="1" width="13.07421875" bestFit="1" customWidth="1"/>
    <col min="2" max="2" width="22.69140625" bestFit="1" customWidth="1"/>
    <col min="3" max="3" width="16.23046875" bestFit="1" customWidth="1"/>
    <col min="4" max="4" width="15.84375" bestFit="1" customWidth="1"/>
    <col min="5" max="5" width="12.3828125" bestFit="1" customWidth="1"/>
    <col min="6" max="6" width="17.61328125" bestFit="1" customWidth="1"/>
    <col min="7" max="7" width="18.15234375" bestFit="1" customWidth="1"/>
    <col min="9" max="9" width="21.07421875" bestFit="1" customWidth="1"/>
    <col min="10" max="10" width="11.84375" bestFit="1" customWidth="1"/>
    <col min="11" max="11" width="6.921875" bestFit="1" customWidth="1"/>
    <col min="12" max="12" width="17.07421875" customWidth="1"/>
    <col min="13" max="13" width="16.07421875" bestFit="1" customWidth="1"/>
    <col min="14" max="14" width="18" customWidth="1"/>
    <col min="15" max="15" width="15.765625" bestFit="1" customWidth="1"/>
    <col min="16" max="16" width="17.15234375" bestFit="1" customWidth="1"/>
    <col min="17" max="17" width="15.53515625" bestFit="1" customWidth="1"/>
  </cols>
  <sheetData>
    <row r="1" spans="1:17" ht="14.6" customHeight="1" x14ac:dyDescent="0.4">
      <c r="A1" s="74" t="s">
        <v>988</v>
      </c>
      <c r="B1" s="74"/>
      <c r="C1" s="74"/>
      <c r="D1" s="74"/>
      <c r="E1" s="74"/>
      <c r="F1" s="74"/>
      <c r="G1" s="74"/>
      <c r="H1" s="74"/>
      <c r="I1" s="74"/>
      <c r="J1" s="74"/>
      <c r="K1" s="74"/>
      <c r="L1" s="74"/>
      <c r="M1" s="74"/>
      <c r="N1" s="74"/>
      <c r="O1" s="74"/>
      <c r="P1" s="74"/>
      <c r="Q1" s="74"/>
    </row>
    <row r="2" spans="1:17" ht="14.6" customHeight="1" x14ac:dyDescent="0.4">
      <c r="A2" s="74"/>
      <c r="B2" s="74"/>
      <c r="C2" s="74"/>
      <c r="D2" s="74"/>
      <c r="E2" s="74"/>
      <c r="F2" s="74"/>
      <c r="G2" s="74"/>
      <c r="H2" s="74"/>
      <c r="I2" s="74"/>
      <c r="J2" s="74"/>
      <c r="K2" s="74"/>
      <c r="L2" s="74"/>
      <c r="M2" s="74"/>
      <c r="N2" s="74"/>
      <c r="O2" s="74"/>
      <c r="P2" s="74"/>
      <c r="Q2" s="74"/>
    </row>
    <row r="3" spans="1:17" x14ac:dyDescent="0.4">
      <c r="A3" s="76" t="s">
        <v>1003</v>
      </c>
      <c r="B3" s="76"/>
      <c r="C3" s="76"/>
      <c r="D3" s="76"/>
      <c r="E3" s="76"/>
      <c r="F3" s="76"/>
      <c r="G3" s="76"/>
    </row>
    <row r="4" spans="1:17" x14ac:dyDescent="0.4">
      <c r="A4" s="76"/>
      <c r="B4" s="76"/>
      <c r="C4" s="76"/>
      <c r="D4" s="76"/>
      <c r="E4" s="76"/>
      <c r="F4" s="76"/>
      <c r="G4" s="76"/>
    </row>
    <row r="5" spans="1:17" x14ac:dyDescent="0.4">
      <c r="A5" s="76"/>
      <c r="B5" s="76"/>
      <c r="C5" s="76"/>
      <c r="D5" s="76"/>
      <c r="E5" s="76"/>
      <c r="F5" s="76"/>
      <c r="G5" s="76"/>
    </row>
    <row r="6" spans="1:17" x14ac:dyDescent="0.4">
      <c r="A6" s="76"/>
      <c r="B6" s="76"/>
      <c r="C6" s="76"/>
      <c r="D6" s="76"/>
      <c r="E6" s="76"/>
      <c r="F6" s="76"/>
      <c r="G6" s="76"/>
    </row>
    <row r="7" spans="1:17" x14ac:dyDescent="0.4">
      <c r="A7" s="76"/>
      <c r="B7" s="76"/>
      <c r="C7" s="76"/>
      <c r="D7" s="76"/>
      <c r="E7" s="76"/>
      <c r="F7" s="76"/>
      <c r="G7" s="76"/>
    </row>
    <row r="8" spans="1:17" x14ac:dyDescent="0.4">
      <c r="A8" s="76"/>
      <c r="B8" s="76"/>
      <c r="C8" s="76"/>
      <c r="D8" s="76"/>
      <c r="E8" s="76"/>
      <c r="F8" s="76"/>
      <c r="G8" s="76"/>
    </row>
    <row r="9" spans="1:17" x14ac:dyDescent="0.4">
      <c r="A9" s="76"/>
      <c r="B9" s="76"/>
      <c r="C9" s="76"/>
      <c r="D9" s="76"/>
      <c r="E9" s="76"/>
      <c r="F9" s="76"/>
      <c r="G9" s="76"/>
    </row>
    <row r="11" spans="1:17" ht="14.6" customHeight="1" x14ac:dyDescent="0.4">
      <c r="A11" s="75" t="s">
        <v>1289</v>
      </c>
      <c r="B11" s="75"/>
      <c r="C11" s="75"/>
      <c r="D11" s="75"/>
      <c r="E11" s="75"/>
      <c r="F11" s="75"/>
      <c r="G11" s="75"/>
    </row>
    <row r="12" spans="1:17" x14ac:dyDescent="0.4">
      <c r="A12" s="75"/>
      <c r="B12" s="75"/>
      <c r="C12" s="75"/>
      <c r="D12" s="75"/>
      <c r="E12" s="75"/>
      <c r="F12" s="75"/>
      <c r="G12" s="75"/>
    </row>
    <row r="13" spans="1:17" x14ac:dyDescent="0.4">
      <c r="A13" s="75"/>
      <c r="B13" s="75"/>
      <c r="C13" s="75"/>
      <c r="D13" s="75"/>
      <c r="E13" s="75"/>
      <c r="F13" s="75"/>
      <c r="G13" s="75"/>
    </row>
    <row r="14" spans="1:17" x14ac:dyDescent="0.4">
      <c r="A14" s="75"/>
      <c r="B14" s="75"/>
      <c r="C14" s="75"/>
      <c r="D14" s="75"/>
      <c r="E14" s="75"/>
      <c r="F14" s="75"/>
      <c r="G14" s="75"/>
    </row>
    <row r="15" spans="1:17" x14ac:dyDescent="0.4">
      <c r="A15" s="75"/>
      <c r="B15" s="75"/>
      <c r="C15" s="75"/>
      <c r="D15" s="75"/>
      <c r="E15" s="75"/>
      <c r="F15" s="75"/>
      <c r="G15" s="75"/>
    </row>
    <row r="16" spans="1:17" x14ac:dyDescent="0.4">
      <c r="K16" s="88" t="s">
        <v>984</v>
      </c>
      <c r="L16" s="88"/>
      <c r="M16" s="88"/>
      <c r="N16" s="88"/>
      <c r="O16" s="88"/>
      <c r="P16" s="88"/>
      <c r="Q16" s="88"/>
    </row>
    <row r="17" spans="1:17" x14ac:dyDescent="0.4">
      <c r="K17" s="88"/>
      <c r="L17" s="88"/>
      <c r="M17" s="88"/>
      <c r="N17" s="88"/>
      <c r="O17" s="88"/>
      <c r="P17" s="88"/>
      <c r="Q17" s="88"/>
    </row>
    <row r="19" spans="1:17" x14ac:dyDescent="0.4">
      <c r="A19" s="1" t="s">
        <v>980</v>
      </c>
      <c r="B19" s="1" t="s">
        <v>519</v>
      </c>
      <c r="C19" s="1" t="s">
        <v>521</v>
      </c>
      <c r="D19" s="1" t="s">
        <v>839</v>
      </c>
      <c r="E19" s="1" t="s">
        <v>837</v>
      </c>
      <c r="F19" s="1" t="s">
        <v>829</v>
      </c>
      <c r="G19" s="1" t="s">
        <v>981</v>
      </c>
      <c r="I19" s="1" t="s">
        <v>833</v>
      </c>
      <c r="L19" s="1" t="s">
        <v>831</v>
      </c>
      <c r="M19" s="1" t="s">
        <v>835</v>
      </c>
      <c r="N19" s="1" t="s">
        <v>830</v>
      </c>
      <c r="O19" s="1" t="s">
        <v>834</v>
      </c>
      <c r="P19" s="1" t="s">
        <v>836</v>
      </c>
      <c r="Q19" s="1" t="s">
        <v>518</v>
      </c>
    </row>
    <row r="20" spans="1:17" x14ac:dyDescent="0.4">
      <c r="A20" s="46">
        <v>0</v>
      </c>
      <c r="B20" s="46" t="s">
        <v>832</v>
      </c>
      <c r="C20" s="46">
        <v>0</v>
      </c>
      <c r="D20" s="46">
        <v>0</v>
      </c>
      <c r="E20" s="48">
        <v>0</v>
      </c>
      <c r="F20" s="46">
        <v>0</v>
      </c>
      <c r="G20" s="46">
        <f t="shared" ref="G20:G83" si="0">F20*amu-C20*m_e</f>
        <v>0</v>
      </c>
      <c r="I20">
        <v>931.49400000000003</v>
      </c>
      <c r="K20" s="58" t="s">
        <v>987</v>
      </c>
      <c r="L20" s="2" t="s">
        <v>526</v>
      </c>
      <c r="M20" s="10">
        <f>INDEX(IsotopeTable[Nuclei Mass (MeV)],MATCH(L20,IsotopeTable[Isotope],0))</f>
        <v>5601.5178820237052</v>
      </c>
      <c r="N20" s="2" t="s">
        <v>527</v>
      </c>
      <c r="O20" s="2">
        <v>1</v>
      </c>
      <c r="P20" s="10">
        <f>INDEX(IsotopeTable[Nuclei Mass (MeV)],MATCH(N20,IsotopeTable[Isotope],0))*O20</f>
        <v>6533.8321086928081</v>
      </c>
      <c r="Q20" s="44">
        <f>(SUM(M20:M31)-SUM(P20:P31))*1000</f>
        <v>-2524.3187143023533</v>
      </c>
    </row>
    <row r="21" spans="1:17" x14ac:dyDescent="0.4">
      <c r="A21" s="45">
        <v>1</v>
      </c>
      <c r="B21" s="53" t="s">
        <v>520</v>
      </c>
      <c r="C21" s="45">
        <v>1</v>
      </c>
      <c r="D21" s="49" t="s">
        <v>838</v>
      </c>
      <c r="E21" s="47">
        <v>0.99972000000000005</v>
      </c>
      <c r="F21" s="45">
        <v>1.00782503224</v>
      </c>
      <c r="G21" s="45">
        <f t="shared" si="0"/>
        <v>938.2719716306766</v>
      </c>
      <c r="I21" s="1" t="s">
        <v>1290</v>
      </c>
      <c r="K21" s="58" t="s">
        <v>987</v>
      </c>
      <c r="L21" s="2" t="s">
        <v>832</v>
      </c>
      <c r="M21" s="10">
        <f>INDEX(IsotopeTable[Nuclei Mass (MeV)],MATCH(L21,IsotopeTable[Isotope],0))</f>
        <v>0</v>
      </c>
      <c r="N21" s="2" t="s">
        <v>832</v>
      </c>
      <c r="O21" s="2">
        <v>1</v>
      </c>
      <c r="P21" s="10">
        <f>INDEX(IsotopeTable[Nuclei Mass (MeV)],MATCH(N21,IsotopeTable[Isotope],0))*O21</f>
        <v>0</v>
      </c>
      <c r="Q21" s="65">
        <f>ROUND(Q20,3-(1+INT(LOG10(ABS(Q20)))))</f>
        <v>-2520</v>
      </c>
    </row>
    <row r="22" spans="1:17" x14ac:dyDescent="0.4">
      <c r="A22" s="45">
        <v>2</v>
      </c>
      <c r="B22" s="54" t="s">
        <v>522</v>
      </c>
      <c r="C22" s="45">
        <v>1</v>
      </c>
      <c r="D22" s="49" t="s">
        <v>838</v>
      </c>
      <c r="E22" s="47">
        <v>2.7999999999999998E-4</v>
      </c>
      <c r="F22" s="45">
        <v>2.0141010000000001</v>
      </c>
      <c r="G22" s="45">
        <f t="shared" si="0"/>
        <v>1875.6119979433101</v>
      </c>
      <c r="I22">
        <v>0.51099895069000001</v>
      </c>
      <c r="K22" s="58" t="s">
        <v>987</v>
      </c>
      <c r="L22" s="2" t="s">
        <v>832</v>
      </c>
      <c r="M22" s="10">
        <f>INDEX(IsotopeTable[Nuclei Mass (MeV)],MATCH(L22,IsotopeTable[Isotope],0))</f>
        <v>0</v>
      </c>
      <c r="N22" s="2" t="s">
        <v>832</v>
      </c>
      <c r="O22" s="2">
        <v>1</v>
      </c>
      <c r="P22" s="10">
        <f>INDEX(IsotopeTable[Nuclei Mass (MeV)],MATCH(N22,IsotopeTable[Isotope],0))*O22</f>
        <v>0</v>
      </c>
    </row>
    <row r="23" spans="1:17" x14ac:dyDescent="0.4">
      <c r="A23" s="45">
        <v>3</v>
      </c>
      <c r="B23" s="54" t="s">
        <v>523</v>
      </c>
      <c r="C23" s="45">
        <v>1</v>
      </c>
      <c r="D23" s="49">
        <v>12.32</v>
      </c>
      <c r="E23" s="47">
        <v>0</v>
      </c>
      <c r="F23" s="45">
        <v>3.0160491999999999</v>
      </c>
      <c r="G23" s="45">
        <f t="shared" si="0"/>
        <v>2808.9207345541099</v>
      </c>
      <c r="H23" s="43"/>
      <c r="K23" s="58" t="s">
        <v>987</v>
      </c>
      <c r="L23" s="2" t="s">
        <v>832</v>
      </c>
      <c r="M23" s="10">
        <f>INDEX(IsotopeTable[Nuclei Mass (MeV)],MATCH(L23,IsotopeTable[Isotope],0))</f>
        <v>0</v>
      </c>
      <c r="N23" s="2" t="s">
        <v>832</v>
      </c>
      <c r="O23" s="2">
        <v>1</v>
      </c>
      <c r="P23" s="10">
        <f>INDEX(IsotopeTable[Nuclei Mass (MeV)],MATCH(N23,IsotopeTable[Isotope],0))*O23</f>
        <v>0</v>
      </c>
    </row>
    <row r="24" spans="1:17" x14ac:dyDescent="0.4">
      <c r="A24" s="46">
        <v>4</v>
      </c>
      <c r="B24" s="55" t="s">
        <v>524</v>
      </c>
      <c r="C24" s="46">
        <v>2</v>
      </c>
      <c r="D24" s="50" t="s">
        <v>838</v>
      </c>
      <c r="E24" s="48">
        <v>0.99999800000000005</v>
      </c>
      <c r="F24" s="46">
        <v>3.0160293226500001</v>
      </c>
      <c r="G24" s="46">
        <f t="shared" si="0"/>
        <v>2808.3912199711594</v>
      </c>
      <c r="H24" s="43"/>
      <c r="K24" s="58" t="s">
        <v>384</v>
      </c>
      <c r="L24" s="2" t="s">
        <v>1009</v>
      </c>
      <c r="M24" s="10">
        <f>INDEX(ParticleTable[Mass (MeV)],MATCH(L24,ParticleTable[Name],0))</f>
        <v>2808.9207345548002</v>
      </c>
      <c r="N24" s="2" t="s">
        <v>832</v>
      </c>
      <c r="O24" s="2">
        <v>1</v>
      </c>
      <c r="P24" s="10">
        <f>INDEX(ParticleTable[Mass (MeV)],MATCH(N24,ParticleTable[Name],0))*O24</f>
        <v>0</v>
      </c>
    </row>
    <row r="25" spans="1:17" x14ac:dyDescent="0.4">
      <c r="A25" s="46">
        <v>5</v>
      </c>
      <c r="B25" s="57" t="s">
        <v>525</v>
      </c>
      <c r="C25" s="46">
        <v>2</v>
      </c>
      <c r="D25" s="50" t="s">
        <v>838</v>
      </c>
      <c r="E25" s="48">
        <v>1.9999999999999999E-6</v>
      </c>
      <c r="F25" s="46">
        <v>4.0026032541300003</v>
      </c>
      <c r="G25" s="46">
        <f t="shared" si="0"/>
        <v>3727.3789177011904</v>
      </c>
      <c r="H25" s="43"/>
      <c r="K25" s="58" t="s">
        <v>384</v>
      </c>
      <c r="L25" s="2" t="s">
        <v>832</v>
      </c>
      <c r="M25" s="10">
        <f>INDEX(ParticleTable[Mass (MeV)],MATCH(L25,ParticleTable[Name],0))</f>
        <v>0</v>
      </c>
      <c r="N25" s="2" t="s">
        <v>347</v>
      </c>
      <c r="O25" s="2">
        <v>2</v>
      </c>
      <c r="P25" s="10">
        <f>INDEX(ParticleTable[Mass (MeV)],MATCH(N25,ParticleTable[Name],0))*O25</f>
        <v>1879.1308266000001</v>
      </c>
    </row>
    <row r="26" spans="1:17" x14ac:dyDescent="0.4">
      <c r="A26" s="45">
        <v>6</v>
      </c>
      <c r="B26" s="54" t="s">
        <v>526</v>
      </c>
      <c r="C26" s="45">
        <v>3</v>
      </c>
      <c r="D26" s="49" t="s">
        <v>838</v>
      </c>
      <c r="E26" s="47">
        <v>7.8E-2</v>
      </c>
      <c r="F26" s="45">
        <v>6.0151228873999996</v>
      </c>
      <c r="G26" s="45">
        <f t="shared" si="0"/>
        <v>5601.5178820237052</v>
      </c>
      <c r="K26" s="58" t="s">
        <v>384</v>
      </c>
      <c r="L26" s="2" t="s">
        <v>832</v>
      </c>
      <c r="M26" s="10">
        <f>INDEX(ParticleTable[Mass (MeV)],MATCH(L26,ParticleTable[Name],0))</f>
        <v>0</v>
      </c>
      <c r="N26" s="2" t="s">
        <v>832</v>
      </c>
      <c r="O26" s="2">
        <v>1</v>
      </c>
      <c r="P26" s="10">
        <f>INDEX(ParticleTable[Mass (MeV)],MATCH(N26,ParticleTable[Name],0))*O26</f>
        <v>0</v>
      </c>
    </row>
    <row r="27" spans="1:17" x14ac:dyDescent="0.4">
      <c r="A27" s="45">
        <v>7</v>
      </c>
      <c r="B27" s="53" t="s">
        <v>527</v>
      </c>
      <c r="C27" s="45">
        <v>3</v>
      </c>
      <c r="D27" s="49" t="s">
        <v>838</v>
      </c>
      <c r="E27" s="47">
        <v>0.92200000000000004</v>
      </c>
      <c r="F27" s="45">
        <v>7.0160034370000002</v>
      </c>
      <c r="G27" s="45">
        <f t="shared" si="0"/>
        <v>6533.8321086928081</v>
      </c>
      <c r="K27" s="58" t="s">
        <v>384</v>
      </c>
      <c r="L27" s="2" t="s">
        <v>832</v>
      </c>
      <c r="M27" s="10">
        <f>INDEX(ParticleTable[Mass (MeV)],MATCH(L27,ParticleTable[Name],0))</f>
        <v>0</v>
      </c>
      <c r="N27" s="2" t="s">
        <v>832</v>
      </c>
      <c r="O27" s="2">
        <v>1</v>
      </c>
      <c r="P27" s="10">
        <f>INDEX(ParticleTable[Mass (MeV)],MATCH(N27,ParticleTable[Name],0))*O27</f>
        <v>0</v>
      </c>
    </row>
    <row r="28" spans="1:17" x14ac:dyDescent="0.4">
      <c r="A28" s="46">
        <v>8</v>
      </c>
      <c r="B28" s="55" t="s">
        <v>528</v>
      </c>
      <c r="C28" s="46">
        <v>4</v>
      </c>
      <c r="D28" s="50">
        <v>0.1457</v>
      </c>
      <c r="E28" s="48">
        <v>0</v>
      </c>
      <c r="F28" s="46">
        <v>7.0169287100000002</v>
      </c>
      <c r="G28" s="46">
        <f t="shared" si="0"/>
        <v>6534.1829959899806</v>
      </c>
      <c r="L28" s="51" t="s">
        <v>985</v>
      </c>
      <c r="M28" s="2"/>
      <c r="O28" s="51" t="s">
        <v>986</v>
      </c>
      <c r="P28" s="2"/>
    </row>
    <row r="29" spans="1:17" x14ac:dyDescent="0.4">
      <c r="A29" s="46">
        <v>9</v>
      </c>
      <c r="B29" s="57" t="s">
        <v>529</v>
      </c>
      <c r="C29" s="46">
        <v>4</v>
      </c>
      <c r="D29" s="50" t="s">
        <v>838</v>
      </c>
      <c r="E29" s="48">
        <v>1</v>
      </c>
      <c r="F29" s="46">
        <v>9.0121830599999999</v>
      </c>
      <c r="G29" s="46">
        <f t="shared" si="0"/>
        <v>8392.7504514888806</v>
      </c>
      <c r="L29" s="51" t="s">
        <v>985</v>
      </c>
      <c r="M29" s="2"/>
      <c r="O29" s="51" t="s">
        <v>986</v>
      </c>
      <c r="P29" s="2"/>
    </row>
    <row r="30" spans="1:17" x14ac:dyDescent="0.4">
      <c r="A30" s="46">
        <v>10</v>
      </c>
      <c r="B30" s="46" t="s">
        <v>535</v>
      </c>
      <c r="C30" s="46">
        <v>4</v>
      </c>
      <c r="D30" s="50">
        <v>1387000</v>
      </c>
      <c r="E30" s="48">
        <v>0</v>
      </c>
      <c r="F30" s="46">
        <v>10.013534699999999</v>
      </c>
      <c r="G30" s="46">
        <f t="shared" si="0"/>
        <v>9325.5034960390403</v>
      </c>
      <c r="L30" s="51" t="s">
        <v>985</v>
      </c>
      <c r="M30" s="2"/>
      <c r="O30" s="51" t="s">
        <v>986</v>
      </c>
      <c r="P30" s="2"/>
    </row>
    <row r="31" spans="1:17" x14ac:dyDescent="0.4">
      <c r="A31" s="45">
        <v>11</v>
      </c>
      <c r="B31" s="54" t="s">
        <v>530</v>
      </c>
      <c r="C31" s="45">
        <v>5</v>
      </c>
      <c r="D31" s="49" t="s">
        <v>838</v>
      </c>
      <c r="E31" s="47">
        <v>0.20399999999999999</v>
      </c>
      <c r="F31" s="45">
        <v>10.012936862</v>
      </c>
      <c r="G31" s="45">
        <f t="shared" si="0"/>
        <v>9324.4356145783786</v>
      </c>
      <c r="L31" s="51" t="s">
        <v>985</v>
      </c>
      <c r="M31" s="2"/>
      <c r="O31" s="51" t="s">
        <v>986</v>
      </c>
      <c r="P31" s="2"/>
    </row>
    <row r="32" spans="1:17" x14ac:dyDescent="0.4">
      <c r="A32" s="45">
        <v>12</v>
      </c>
      <c r="B32" s="53" t="s">
        <v>531</v>
      </c>
      <c r="C32" s="45">
        <v>5</v>
      </c>
      <c r="D32" s="49" t="s">
        <v>838</v>
      </c>
      <c r="E32" s="47">
        <v>0.79600000000000004</v>
      </c>
      <c r="F32" s="45">
        <v>11.009305167000001</v>
      </c>
      <c r="G32" s="45">
        <f t="shared" si="0"/>
        <v>10252.546712476051</v>
      </c>
    </row>
    <row r="33" spans="1:7" x14ac:dyDescent="0.4">
      <c r="A33" s="46">
        <v>13</v>
      </c>
      <c r="B33" s="57" t="s">
        <v>532</v>
      </c>
      <c r="C33" s="46">
        <v>6</v>
      </c>
      <c r="D33" s="50" t="s">
        <v>838</v>
      </c>
      <c r="E33" s="48">
        <v>0.98839999999999995</v>
      </c>
      <c r="F33" s="46">
        <v>12</v>
      </c>
      <c r="G33" s="46">
        <f t="shared" si="0"/>
        <v>11174.86200629586</v>
      </c>
    </row>
    <row r="34" spans="1:7" x14ac:dyDescent="0.4">
      <c r="A34" s="46">
        <v>14</v>
      </c>
      <c r="B34" s="46" t="s">
        <v>533</v>
      </c>
      <c r="C34" s="46">
        <v>6</v>
      </c>
      <c r="D34" s="50" t="s">
        <v>838</v>
      </c>
      <c r="E34" s="48">
        <v>1.1599999999999999E-2</v>
      </c>
      <c r="F34" s="46">
        <v>13.003354835210001</v>
      </c>
      <c r="G34" s="46">
        <f t="shared" si="0"/>
        <v>12109.481015164965</v>
      </c>
    </row>
    <row r="35" spans="1:7" x14ac:dyDescent="0.4">
      <c r="A35" s="46">
        <v>15</v>
      </c>
      <c r="B35" s="46" t="s">
        <v>534</v>
      </c>
      <c r="C35" s="46">
        <v>6</v>
      </c>
      <c r="D35" s="50">
        <v>5700</v>
      </c>
      <c r="E35" s="48">
        <v>0</v>
      </c>
      <c r="F35" s="46">
        <v>14.003241987999999</v>
      </c>
      <c r="G35" s="46">
        <f t="shared" si="0"/>
        <v>13040.869898665931</v>
      </c>
    </row>
    <row r="36" spans="1:7" x14ac:dyDescent="0.4">
      <c r="A36" s="45">
        <v>16</v>
      </c>
      <c r="B36" s="53" t="s">
        <v>536</v>
      </c>
      <c r="C36" s="45">
        <v>7</v>
      </c>
      <c r="D36" s="49" t="s">
        <v>838</v>
      </c>
      <c r="E36" s="47">
        <v>0.99578</v>
      </c>
      <c r="F36" s="45">
        <v>14.003074004250999</v>
      </c>
      <c r="G36" s="45">
        <f t="shared" si="0"/>
        <v>13040.202423860952</v>
      </c>
    </row>
    <row r="37" spans="1:7" x14ac:dyDescent="0.4">
      <c r="A37" s="45">
        <v>17</v>
      </c>
      <c r="B37" s="45" t="s">
        <v>537</v>
      </c>
      <c r="C37" s="45">
        <v>7</v>
      </c>
      <c r="D37" s="49" t="s">
        <v>838</v>
      </c>
      <c r="E37" s="47">
        <v>4.2199999999999998E-3</v>
      </c>
      <c r="F37" s="45">
        <v>15.000108898265999</v>
      </c>
      <c r="G37" s="45">
        <f t="shared" si="0"/>
        <v>13968.934445426559</v>
      </c>
    </row>
    <row r="38" spans="1:7" x14ac:dyDescent="0.4">
      <c r="A38" s="46">
        <v>18</v>
      </c>
      <c r="B38" s="57" t="s">
        <v>538</v>
      </c>
      <c r="C38" s="46">
        <v>8</v>
      </c>
      <c r="D38" s="50" t="s">
        <v>838</v>
      </c>
      <c r="E38" s="48">
        <v>0.998</v>
      </c>
      <c r="F38" s="46">
        <v>15.994914619257001</v>
      </c>
      <c r="G38" s="46">
        <f t="shared" si="0"/>
        <v>14895.079006744661</v>
      </c>
    </row>
    <row r="39" spans="1:7" x14ac:dyDescent="0.4">
      <c r="A39" s="46">
        <v>19</v>
      </c>
      <c r="B39" s="46" t="s">
        <v>539</v>
      </c>
      <c r="C39" s="46">
        <v>8</v>
      </c>
      <c r="D39" s="50" t="s">
        <v>838</v>
      </c>
      <c r="E39" s="48">
        <v>3.8400000000000001E-4</v>
      </c>
      <c r="F39" s="46">
        <v>16.999131755953002</v>
      </c>
      <c r="G39" s="46">
        <f t="shared" si="0"/>
        <v>15830.501244274166</v>
      </c>
    </row>
    <row r="40" spans="1:7" x14ac:dyDescent="0.4">
      <c r="A40" s="46">
        <v>20</v>
      </c>
      <c r="B40" s="46" t="s">
        <v>540</v>
      </c>
      <c r="C40" s="46">
        <v>8</v>
      </c>
      <c r="D40" s="50" t="s">
        <v>838</v>
      </c>
      <c r="E40" s="48">
        <v>2.0500000000000002E-3</v>
      </c>
      <c r="F40" s="46">
        <v>17.999159612136001</v>
      </c>
      <c r="G40" s="46">
        <f t="shared" si="0"/>
        <v>16762.021192141492</v>
      </c>
    </row>
    <row r="41" spans="1:7" x14ac:dyDescent="0.4">
      <c r="A41" s="45">
        <v>21</v>
      </c>
      <c r="B41" s="53" t="s">
        <v>541</v>
      </c>
      <c r="C41" s="45">
        <v>9</v>
      </c>
      <c r="D41" s="49" t="s">
        <v>838</v>
      </c>
      <c r="E41" s="47">
        <v>1</v>
      </c>
      <c r="F41" s="45">
        <v>18.998403162067</v>
      </c>
      <c r="G41" s="45">
        <f t="shared" si="0"/>
        <v>17692.299564490229</v>
      </c>
    </row>
    <row r="42" spans="1:7" x14ac:dyDescent="0.4">
      <c r="A42" s="46">
        <v>22</v>
      </c>
      <c r="B42" s="57" t="s">
        <v>542</v>
      </c>
      <c r="C42" s="46">
        <v>10</v>
      </c>
      <c r="D42" s="50" t="s">
        <v>838</v>
      </c>
      <c r="E42" s="48">
        <v>0.90500000000000003</v>
      </c>
      <c r="F42" s="46">
        <v>19.992440175300001</v>
      </c>
      <c r="G42" s="46">
        <f t="shared" si="0"/>
        <v>18617.728079144003</v>
      </c>
    </row>
    <row r="43" spans="1:7" x14ac:dyDescent="0.4">
      <c r="A43" s="46">
        <v>23</v>
      </c>
      <c r="B43" s="46" t="s">
        <v>543</v>
      </c>
      <c r="C43" s="46">
        <v>10</v>
      </c>
      <c r="D43" s="50" t="s">
        <v>838</v>
      </c>
      <c r="E43" s="48">
        <v>2.7000000000000001E-3</v>
      </c>
      <c r="F43" s="46">
        <v>20.993846690000002</v>
      </c>
      <c r="G43" s="46">
        <f t="shared" si="0"/>
        <v>19550.532239147964</v>
      </c>
    </row>
    <row r="44" spans="1:7" x14ac:dyDescent="0.4">
      <c r="A44" s="46">
        <v>24</v>
      </c>
      <c r="B44" s="46" t="s">
        <v>544</v>
      </c>
      <c r="C44" s="46">
        <v>10</v>
      </c>
      <c r="D44" s="50" t="s">
        <v>838</v>
      </c>
      <c r="E44" s="48">
        <v>9.2499999999999999E-2</v>
      </c>
      <c r="F44" s="46">
        <v>21.991385114</v>
      </c>
      <c r="G44" s="46">
        <f t="shared" si="0"/>
        <v>20479.733295873419</v>
      </c>
    </row>
    <row r="45" spans="1:7" x14ac:dyDescent="0.4">
      <c r="A45" s="45">
        <v>25</v>
      </c>
      <c r="B45" s="54" t="s">
        <v>545</v>
      </c>
      <c r="C45" s="45">
        <v>11</v>
      </c>
      <c r="D45" s="49">
        <v>2.6019000000000001</v>
      </c>
      <c r="E45" s="47">
        <v>0</v>
      </c>
      <c r="F45" s="45">
        <v>21.994437420000001</v>
      </c>
      <c r="G45" s="45">
        <f t="shared" si="0"/>
        <v>20482.065501647889</v>
      </c>
    </row>
    <row r="46" spans="1:7" x14ac:dyDescent="0.4">
      <c r="A46" s="45">
        <v>26</v>
      </c>
      <c r="B46" s="53" t="s">
        <v>546</v>
      </c>
      <c r="C46" s="45">
        <v>11</v>
      </c>
      <c r="D46" s="49" t="s">
        <v>838</v>
      </c>
      <c r="E46" s="47">
        <v>1</v>
      </c>
      <c r="F46" s="45">
        <v>22.989769282000001</v>
      </c>
      <c r="G46" s="45">
        <f t="shared" si="0"/>
        <v>21409.21115910972</v>
      </c>
    </row>
    <row r="47" spans="1:7" x14ac:dyDescent="0.4">
      <c r="A47" s="46">
        <v>27</v>
      </c>
      <c r="B47" s="57" t="s">
        <v>547</v>
      </c>
      <c r="C47" s="46">
        <v>12</v>
      </c>
      <c r="D47" s="50" t="s">
        <v>838</v>
      </c>
      <c r="E47" s="48">
        <v>0.79</v>
      </c>
      <c r="F47" s="46">
        <v>23.985041697</v>
      </c>
      <c r="G47" s="46">
        <f t="shared" si="0"/>
        <v>22335.790443097037</v>
      </c>
    </row>
    <row r="48" spans="1:7" x14ac:dyDescent="0.4">
      <c r="A48" s="46">
        <v>28</v>
      </c>
      <c r="B48" s="46" t="s">
        <v>548</v>
      </c>
      <c r="C48" s="46">
        <v>12</v>
      </c>
      <c r="D48" s="50" t="s">
        <v>838</v>
      </c>
      <c r="E48" s="48">
        <v>0.1</v>
      </c>
      <c r="F48" s="46">
        <v>24.98583696</v>
      </c>
      <c r="G48" s="46">
        <f t="shared" si="0"/>
        <v>23268.025225809961</v>
      </c>
    </row>
    <row r="49" spans="1:7" x14ac:dyDescent="0.4">
      <c r="A49" s="46">
        <v>29</v>
      </c>
      <c r="B49" s="55" t="s">
        <v>549</v>
      </c>
      <c r="C49" s="46">
        <v>12</v>
      </c>
      <c r="D49" s="50" t="s">
        <v>838</v>
      </c>
      <c r="E49" s="48">
        <v>0.11</v>
      </c>
      <c r="F49" s="46">
        <v>25.982592969999999</v>
      </c>
      <c r="G49" s="46">
        <f t="shared" si="0"/>
        <v>24196.497468588899</v>
      </c>
    </row>
    <row r="50" spans="1:7" x14ac:dyDescent="0.4">
      <c r="A50" s="45">
        <v>30</v>
      </c>
      <c r="B50" s="45" t="s">
        <v>550</v>
      </c>
      <c r="C50" s="45">
        <v>13</v>
      </c>
      <c r="D50" s="49">
        <v>717000</v>
      </c>
      <c r="E50" s="47">
        <v>0</v>
      </c>
      <c r="F50" s="45">
        <v>25.986891876000001</v>
      </c>
      <c r="G50" s="45">
        <f t="shared" si="0"/>
        <v>24199.990874783776</v>
      </c>
    </row>
    <row r="51" spans="1:7" x14ac:dyDescent="0.4">
      <c r="A51" s="45">
        <v>31</v>
      </c>
      <c r="B51" s="53" t="s">
        <v>551</v>
      </c>
      <c r="C51" s="45">
        <v>13</v>
      </c>
      <c r="D51" s="49" t="s">
        <v>838</v>
      </c>
      <c r="E51" s="47">
        <v>1</v>
      </c>
      <c r="F51" s="45">
        <v>26.981538409999999</v>
      </c>
      <c r="G51" s="45">
        <f t="shared" si="0"/>
        <v>25126.49815332557</v>
      </c>
    </row>
    <row r="52" spans="1:7" x14ac:dyDescent="0.4">
      <c r="A52" s="46">
        <v>32</v>
      </c>
      <c r="B52" s="57" t="s">
        <v>552</v>
      </c>
      <c r="C52" s="46">
        <v>14</v>
      </c>
      <c r="D52" s="50" t="s">
        <v>838</v>
      </c>
      <c r="E52" s="48">
        <v>0.92200000000000004</v>
      </c>
      <c r="F52" s="46">
        <v>27.976926535</v>
      </c>
      <c r="G52" s="46">
        <f t="shared" si="0"/>
        <v>26053.185220483632</v>
      </c>
    </row>
    <row r="53" spans="1:7" x14ac:dyDescent="0.4">
      <c r="A53" s="46">
        <v>33</v>
      </c>
      <c r="B53" s="46" t="s">
        <v>553</v>
      </c>
      <c r="C53" s="46">
        <v>14</v>
      </c>
      <c r="D53" s="50" t="s">
        <v>838</v>
      </c>
      <c r="E53" s="48">
        <v>4.6699999999999998E-2</v>
      </c>
      <c r="F53" s="46">
        <v>28.976494665299999</v>
      </c>
      <c r="G53" s="46">
        <f t="shared" si="0"/>
        <v>26984.2769364493</v>
      </c>
    </row>
    <row r="54" spans="1:7" x14ac:dyDescent="0.4">
      <c r="A54" s="46">
        <v>34</v>
      </c>
      <c r="B54" s="46" t="s">
        <v>554</v>
      </c>
      <c r="C54" s="46">
        <v>14</v>
      </c>
      <c r="D54" s="50" t="s">
        <v>838</v>
      </c>
      <c r="E54" s="48">
        <v>3.0700000000000002E-2</v>
      </c>
      <c r="F54" s="46">
        <v>29.973770136999999</v>
      </c>
      <c r="G54" s="46">
        <f t="shared" si="0"/>
        <v>27913.233054685021</v>
      </c>
    </row>
    <row r="55" spans="1:7" x14ac:dyDescent="0.4">
      <c r="A55" s="46">
        <v>35</v>
      </c>
      <c r="B55" s="46" t="s">
        <v>555</v>
      </c>
      <c r="C55" s="46">
        <v>14</v>
      </c>
      <c r="D55" s="50">
        <v>157</v>
      </c>
      <c r="E55" s="48">
        <v>0</v>
      </c>
      <c r="F55" s="46">
        <v>31.974151540000001</v>
      </c>
      <c r="G55" s="46">
        <f t="shared" si="0"/>
        <v>29776.576329291103</v>
      </c>
    </row>
    <row r="56" spans="1:7" x14ac:dyDescent="0.4">
      <c r="A56" s="45">
        <v>36</v>
      </c>
      <c r="B56" s="45" t="s">
        <v>556</v>
      </c>
      <c r="C56" s="45">
        <v>15</v>
      </c>
      <c r="D56" s="49" t="s">
        <v>838</v>
      </c>
      <c r="E56" s="47">
        <v>1</v>
      </c>
      <c r="F56" s="45">
        <v>30.97376199768</v>
      </c>
      <c r="G56" s="45">
        <f t="shared" si="0"/>
        <v>28844.208474006584</v>
      </c>
    </row>
    <row r="57" spans="1:7" x14ac:dyDescent="0.4">
      <c r="A57" s="46">
        <v>37</v>
      </c>
      <c r="B57" s="57" t="s">
        <v>557</v>
      </c>
      <c r="C57" s="46">
        <v>16</v>
      </c>
      <c r="D57" s="50" t="s">
        <v>838</v>
      </c>
      <c r="E57" s="48">
        <v>0.94799999999999995</v>
      </c>
      <c r="F57" s="46">
        <v>31.9720711744</v>
      </c>
      <c r="G57" s="46">
        <f t="shared" si="0"/>
        <v>29773.616483315513</v>
      </c>
    </row>
    <row r="58" spans="1:7" x14ac:dyDescent="0.4">
      <c r="A58" s="46">
        <v>38</v>
      </c>
      <c r="B58" s="46" t="s">
        <v>558</v>
      </c>
      <c r="C58" s="46">
        <v>16</v>
      </c>
      <c r="D58" s="50" t="s">
        <v>838</v>
      </c>
      <c r="E58" s="48">
        <v>7.6E-3</v>
      </c>
      <c r="F58" s="46">
        <v>32.971458908599999</v>
      </c>
      <c r="G58" s="46">
        <f t="shared" si="0"/>
        <v>30704.54016139641</v>
      </c>
    </row>
    <row r="59" spans="1:7" x14ac:dyDescent="0.4">
      <c r="A59" s="46">
        <v>39</v>
      </c>
      <c r="B59" s="46" t="s">
        <v>559</v>
      </c>
      <c r="C59" s="46">
        <v>16</v>
      </c>
      <c r="D59" s="50" t="s">
        <v>838</v>
      </c>
      <c r="E59" s="48">
        <v>4.3700000000000003E-2</v>
      </c>
      <c r="F59" s="46">
        <v>33.967867011000003</v>
      </c>
      <c r="G59" s="46">
        <f t="shared" si="0"/>
        <v>31632.688330333396</v>
      </c>
    </row>
    <row r="60" spans="1:7" x14ac:dyDescent="0.4">
      <c r="A60" s="46">
        <v>40</v>
      </c>
      <c r="B60" s="46" t="s">
        <v>560</v>
      </c>
      <c r="C60" s="46">
        <v>16</v>
      </c>
      <c r="D60" s="50">
        <v>0.2392</v>
      </c>
      <c r="E60" s="48">
        <v>0</v>
      </c>
      <c r="F60" s="46">
        <v>34.969032321</v>
      </c>
      <c r="G60" s="46">
        <f t="shared" si="0"/>
        <v>32565.267809606536</v>
      </c>
    </row>
    <row r="61" spans="1:7" x14ac:dyDescent="0.4">
      <c r="A61" s="46">
        <v>41</v>
      </c>
      <c r="B61" s="46" t="s">
        <v>561</v>
      </c>
      <c r="C61" s="46">
        <v>16</v>
      </c>
      <c r="D61" s="50" t="s">
        <v>838</v>
      </c>
      <c r="E61" s="48">
        <v>2.0000000000000001E-4</v>
      </c>
      <c r="F61" s="46">
        <v>35.967080690000003</v>
      </c>
      <c r="G61" s="46">
        <f t="shared" si="0"/>
        <v>33494.943877039826</v>
      </c>
    </row>
    <row r="62" spans="1:7" x14ac:dyDescent="0.4">
      <c r="A62" s="45">
        <v>42</v>
      </c>
      <c r="B62" s="53" t="s">
        <v>562</v>
      </c>
      <c r="C62" s="45">
        <v>17</v>
      </c>
      <c r="D62" s="49" t="s">
        <v>838</v>
      </c>
      <c r="E62" s="47">
        <v>0.75800000000000001</v>
      </c>
      <c r="F62" s="45">
        <v>34.968852689999999</v>
      </c>
      <c r="G62" s="45">
        <f t="shared" si="0"/>
        <v>32564.589485457131</v>
      </c>
    </row>
    <row r="63" spans="1:7" x14ac:dyDescent="0.4">
      <c r="A63" s="45">
        <v>43</v>
      </c>
      <c r="B63" s="45" t="s">
        <v>563</v>
      </c>
      <c r="C63" s="45">
        <v>17</v>
      </c>
      <c r="D63" s="49">
        <v>301000</v>
      </c>
      <c r="E63" s="47">
        <v>0</v>
      </c>
      <c r="F63" s="45">
        <v>35.968306822000002</v>
      </c>
      <c r="G63" s="45">
        <f t="shared" si="0"/>
        <v>33495.575012690344</v>
      </c>
    </row>
    <row r="64" spans="1:7" x14ac:dyDescent="0.4">
      <c r="A64" s="45">
        <v>44</v>
      </c>
      <c r="B64" s="45" t="s">
        <v>564</v>
      </c>
      <c r="C64" s="45">
        <v>17</v>
      </c>
      <c r="D64" s="49" t="s">
        <v>838</v>
      </c>
      <c r="E64" s="47">
        <v>0.24199999999999999</v>
      </c>
      <c r="F64" s="45">
        <v>36.965902579999998</v>
      </c>
      <c r="G64" s="45">
        <f t="shared" si="0"/>
        <v>34424.829475692793</v>
      </c>
    </row>
    <row r="65" spans="1:7" x14ac:dyDescent="0.4">
      <c r="A65" s="46">
        <v>45</v>
      </c>
      <c r="B65" s="46" t="s">
        <v>565</v>
      </c>
      <c r="C65" s="46">
        <v>18</v>
      </c>
      <c r="D65" s="50" t="s">
        <v>838</v>
      </c>
      <c r="E65" s="48">
        <v>3.3400000000000001E-3</v>
      </c>
      <c r="F65" s="46">
        <v>35.967545104999999</v>
      </c>
      <c r="G65" s="46">
        <f t="shared" si="0"/>
        <v>33494.354478924455</v>
      </c>
    </row>
    <row r="66" spans="1:7" x14ac:dyDescent="0.4">
      <c r="A66" s="46">
        <v>46</v>
      </c>
      <c r="B66" s="46" t="s">
        <v>566</v>
      </c>
      <c r="C66" s="46">
        <v>18</v>
      </c>
      <c r="D66" s="50">
        <v>9.5850000000000005E-2</v>
      </c>
      <c r="E66" s="48">
        <v>0</v>
      </c>
      <c r="F66" s="46">
        <v>36.966776299999999</v>
      </c>
      <c r="G66" s="46">
        <f t="shared" si="0"/>
        <v>34425.132341679782</v>
      </c>
    </row>
    <row r="67" spans="1:7" x14ac:dyDescent="0.4">
      <c r="A67" s="46">
        <v>47</v>
      </c>
      <c r="B67" s="46" t="s">
        <v>567</v>
      </c>
      <c r="C67" s="46">
        <v>18</v>
      </c>
      <c r="D67" s="50" t="s">
        <v>838</v>
      </c>
      <c r="E67" s="48">
        <v>6.3000000000000003E-4</v>
      </c>
      <c r="F67" s="46">
        <v>37.962732099999997</v>
      </c>
      <c r="G67" s="46">
        <f t="shared" si="0"/>
        <v>35352.859193644981</v>
      </c>
    </row>
    <row r="68" spans="1:7" x14ac:dyDescent="0.4">
      <c r="A68" s="46">
        <v>48</v>
      </c>
      <c r="B68" s="46" t="s">
        <v>568</v>
      </c>
      <c r="C68" s="46">
        <v>18</v>
      </c>
      <c r="D68" s="50">
        <v>302</v>
      </c>
      <c r="E68" s="48">
        <v>0</v>
      </c>
      <c r="F68" s="46">
        <v>38.964312999999997</v>
      </c>
      <c r="G68" s="46">
        <f t="shared" si="0"/>
        <v>36285.825792509582</v>
      </c>
    </row>
    <row r="69" spans="1:7" x14ac:dyDescent="0.4">
      <c r="A69" s="46">
        <v>49</v>
      </c>
      <c r="B69" s="57" t="s">
        <v>569</v>
      </c>
      <c r="C69" s="46">
        <v>18</v>
      </c>
      <c r="D69" s="50" t="s">
        <v>838</v>
      </c>
      <c r="E69" s="48">
        <v>0.996</v>
      </c>
      <c r="F69" s="46">
        <v>39.962383123800002</v>
      </c>
      <c r="G69" s="46">
        <f t="shared" si="0"/>
        <v>37215.522124408541</v>
      </c>
    </row>
    <row r="70" spans="1:7" x14ac:dyDescent="0.4">
      <c r="A70" s="46">
        <v>50</v>
      </c>
      <c r="B70" s="46" t="s">
        <v>570</v>
      </c>
      <c r="C70" s="46">
        <v>18</v>
      </c>
      <c r="D70" s="50">
        <v>32.9</v>
      </c>
      <c r="E70" s="48">
        <v>0</v>
      </c>
      <c r="F70" s="46">
        <v>41.963045700000002</v>
      </c>
      <c r="G70" s="46">
        <f t="shared" si="0"/>
        <v>39079.127310163385</v>
      </c>
    </row>
    <row r="71" spans="1:7" x14ac:dyDescent="0.4">
      <c r="A71" s="45">
        <v>51</v>
      </c>
      <c r="B71" s="53" t="s">
        <v>571</v>
      </c>
      <c r="C71" s="45">
        <v>19</v>
      </c>
      <c r="D71" s="49" t="s">
        <v>838</v>
      </c>
      <c r="E71" s="47">
        <v>0.93300000000000005</v>
      </c>
      <c r="F71" s="45">
        <v>38.963706487000003</v>
      </c>
      <c r="G71" s="45">
        <f t="shared" si="0"/>
        <v>36284.749830338478</v>
      </c>
    </row>
    <row r="72" spans="1:7" x14ac:dyDescent="0.4">
      <c r="A72" s="45">
        <v>52</v>
      </c>
      <c r="B72" s="45" t="s">
        <v>572</v>
      </c>
      <c r="C72" s="45">
        <v>19</v>
      </c>
      <c r="D72" s="49">
        <v>1248000000</v>
      </c>
      <c r="E72" s="47">
        <v>1.17E-4</v>
      </c>
      <c r="F72" s="45">
        <v>39.963998170000004</v>
      </c>
      <c r="G72" s="45">
        <f t="shared" si="0"/>
        <v>37216.515531302874</v>
      </c>
    </row>
    <row r="73" spans="1:7" x14ac:dyDescent="0.4">
      <c r="A73" s="45">
        <v>53</v>
      </c>
      <c r="B73" s="45" t="s">
        <v>573</v>
      </c>
      <c r="C73" s="45">
        <v>19</v>
      </c>
      <c r="D73" s="49" t="s">
        <v>838</v>
      </c>
      <c r="E73" s="47">
        <v>6.7299999999999999E-2</v>
      </c>
      <c r="F73" s="45">
        <v>40.961825257999998</v>
      </c>
      <c r="G73" s="45">
        <f t="shared" si="0"/>
        <v>38145.98547681234</v>
      </c>
    </row>
    <row r="74" spans="1:7" x14ac:dyDescent="0.4">
      <c r="A74" s="46">
        <v>54</v>
      </c>
      <c r="B74" s="57" t="s">
        <v>574</v>
      </c>
      <c r="C74" s="46">
        <v>20</v>
      </c>
      <c r="D74" s="50" t="s">
        <v>838</v>
      </c>
      <c r="E74" s="48">
        <v>0.96899999999999997</v>
      </c>
      <c r="F74" s="46">
        <v>39.962590865999999</v>
      </c>
      <c r="G74" s="46">
        <f t="shared" si="0"/>
        <v>37214.693637120006</v>
      </c>
    </row>
    <row r="75" spans="1:7" x14ac:dyDescent="0.4">
      <c r="A75" s="46">
        <v>55</v>
      </c>
      <c r="B75" s="46" t="s">
        <v>575</v>
      </c>
      <c r="C75" s="46">
        <v>20</v>
      </c>
      <c r="D75" s="50">
        <v>99400</v>
      </c>
      <c r="E75" s="48">
        <v>0</v>
      </c>
      <c r="F75" s="46">
        <v>40.962277919999998</v>
      </c>
      <c r="G75" s="46">
        <f t="shared" si="0"/>
        <v>38145.896129798683</v>
      </c>
    </row>
    <row r="76" spans="1:7" x14ac:dyDescent="0.4">
      <c r="A76" s="46">
        <v>56</v>
      </c>
      <c r="B76" s="46" t="s">
        <v>576</v>
      </c>
      <c r="C76" s="46">
        <v>20</v>
      </c>
      <c r="D76" s="50" t="s">
        <v>838</v>
      </c>
      <c r="E76" s="48">
        <v>6.4700000000000001E-3</v>
      </c>
      <c r="F76" s="46">
        <v>41.958617830000001</v>
      </c>
      <c r="G76" s="46">
        <f t="shared" si="0"/>
        <v>39073.980777924226</v>
      </c>
    </row>
    <row r="77" spans="1:7" x14ac:dyDescent="0.4">
      <c r="A77" s="46">
        <v>57</v>
      </c>
      <c r="B77" s="46" t="s">
        <v>577</v>
      </c>
      <c r="C77" s="46">
        <v>20</v>
      </c>
      <c r="D77" s="50" t="s">
        <v>838</v>
      </c>
      <c r="E77" s="48">
        <v>1.3500000000000001E-3</v>
      </c>
      <c r="F77" s="46">
        <v>42.958766429999997</v>
      </c>
      <c r="G77" s="46">
        <f t="shared" si="0"/>
        <v>40005.613197932624</v>
      </c>
    </row>
    <row r="78" spans="1:7" x14ac:dyDescent="0.4">
      <c r="A78" s="46">
        <v>58</v>
      </c>
      <c r="B78" s="46" t="s">
        <v>578</v>
      </c>
      <c r="C78" s="46">
        <v>20</v>
      </c>
      <c r="D78" s="50" t="s">
        <v>838</v>
      </c>
      <c r="E78" s="48">
        <v>2.0899999999999998E-2</v>
      </c>
      <c r="F78" s="46">
        <v>43.955481499999998</v>
      </c>
      <c r="G78" s="46">
        <f t="shared" si="0"/>
        <v>40934.047305347201</v>
      </c>
    </row>
    <row r="79" spans="1:7" x14ac:dyDescent="0.4">
      <c r="A79" s="46">
        <v>59</v>
      </c>
      <c r="B79" s="46" t="s">
        <v>840</v>
      </c>
      <c r="C79" s="46">
        <v>20</v>
      </c>
      <c r="D79" s="50">
        <v>0.44519999999999998</v>
      </c>
      <c r="E79" s="48">
        <v>0</v>
      </c>
      <c r="F79" s="46">
        <v>44.956186270000003</v>
      </c>
      <c r="G79" s="46">
        <f t="shared" si="0"/>
        <v>41866.197794373591</v>
      </c>
    </row>
    <row r="80" spans="1:7" x14ac:dyDescent="0.4">
      <c r="A80" s="46">
        <v>60</v>
      </c>
      <c r="B80" s="46" t="s">
        <v>841</v>
      </c>
      <c r="C80" s="46">
        <v>20</v>
      </c>
      <c r="D80" s="50" t="s">
        <v>838</v>
      </c>
      <c r="E80" s="48">
        <v>4.0000000000000003E-5</v>
      </c>
      <c r="F80" s="46">
        <v>45.953687700000003</v>
      </c>
      <c r="G80" s="46">
        <f t="shared" si="0"/>
        <v>42795.36439141001</v>
      </c>
    </row>
    <row r="81" spans="1:7" x14ac:dyDescent="0.4">
      <c r="A81" s="46">
        <v>61</v>
      </c>
      <c r="B81" s="55" t="s">
        <v>579</v>
      </c>
      <c r="C81" s="46">
        <v>20</v>
      </c>
      <c r="D81" s="50">
        <v>5.9E+19</v>
      </c>
      <c r="E81" s="48">
        <v>1.8699999999999999E-3</v>
      </c>
      <c r="F81" s="46">
        <v>47.952522899999998</v>
      </c>
      <c r="G81" s="46">
        <f t="shared" si="0"/>
        <v>44657.267387198801</v>
      </c>
    </row>
    <row r="82" spans="1:7" x14ac:dyDescent="0.4">
      <c r="A82" s="45">
        <v>62</v>
      </c>
      <c r="B82" s="52" t="s">
        <v>580</v>
      </c>
      <c r="C82" s="45">
        <v>21</v>
      </c>
      <c r="D82" s="49" t="s">
        <v>838</v>
      </c>
      <c r="E82" s="47">
        <v>1</v>
      </c>
      <c r="F82" s="45">
        <v>44.95590705</v>
      </c>
      <c r="G82" s="45">
        <f t="shared" si="0"/>
        <v>41865.426703668207</v>
      </c>
    </row>
    <row r="83" spans="1:7" x14ac:dyDescent="0.4">
      <c r="A83" s="45">
        <v>63</v>
      </c>
      <c r="B83" s="45" t="s">
        <v>842</v>
      </c>
      <c r="C83" s="45">
        <v>21</v>
      </c>
      <c r="D83" s="49">
        <v>0.2293</v>
      </c>
      <c r="E83" s="47">
        <v>0</v>
      </c>
      <c r="F83" s="45">
        <v>45.955167029999998</v>
      </c>
      <c r="G83" s="45">
        <f t="shared" si="0"/>
        <v>42796.231379478326</v>
      </c>
    </row>
    <row r="84" spans="1:7" x14ac:dyDescent="0.4">
      <c r="A84" s="46">
        <v>64</v>
      </c>
      <c r="B84" s="46" t="s">
        <v>843</v>
      </c>
      <c r="C84" s="46">
        <v>22</v>
      </c>
      <c r="D84" s="50">
        <v>59.1</v>
      </c>
      <c r="E84" s="48">
        <v>0</v>
      </c>
      <c r="F84" s="46">
        <v>43.959689939999997</v>
      </c>
      <c r="G84" s="46">
        <f t="shared" ref="G84:G147" si="1">F84*amu-C84*m_e</f>
        <v>40936.945444055178</v>
      </c>
    </row>
    <row r="85" spans="1:7" x14ac:dyDescent="0.4">
      <c r="A85" s="46">
        <v>65</v>
      </c>
      <c r="B85" s="46" t="s">
        <v>581</v>
      </c>
      <c r="C85" s="46">
        <v>22</v>
      </c>
      <c r="D85" s="50" t="s">
        <v>838</v>
      </c>
      <c r="E85" s="48">
        <v>8.2500000000000004E-2</v>
      </c>
      <c r="F85" s="46">
        <v>45.952626356000003</v>
      </c>
      <c r="G85" s="46">
        <f t="shared" si="1"/>
        <v>42793.353757940684</v>
      </c>
    </row>
    <row r="86" spans="1:7" x14ac:dyDescent="0.4">
      <c r="A86" s="46">
        <v>66</v>
      </c>
      <c r="B86" s="46" t="s">
        <v>582</v>
      </c>
      <c r="C86" s="46">
        <v>22</v>
      </c>
      <c r="D86" s="50" t="s">
        <v>838</v>
      </c>
      <c r="E86" s="48">
        <v>7.4399999999999994E-2</v>
      </c>
      <c r="F86" s="46">
        <v>46.951757491000002</v>
      </c>
      <c r="G86" s="46">
        <f t="shared" si="1"/>
        <v>43724.038415406372</v>
      </c>
    </row>
    <row r="87" spans="1:7" x14ac:dyDescent="0.4">
      <c r="A87" s="46">
        <v>67</v>
      </c>
      <c r="B87" s="57" t="s">
        <v>583</v>
      </c>
      <c r="C87" s="46">
        <v>22</v>
      </c>
      <c r="D87" s="50" t="s">
        <v>838</v>
      </c>
      <c r="E87" s="48">
        <v>0.73699999999999999</v>
      </c>
      <c r="F87" s="46">
        <v>47.947946299999998</v>
      </c>
      <c r="G87" s="46">
        <f t="shared" si="1"/>
        <v>44651.982313857021</v>
      </c>
    </row>
    <row r="88" spans="1:7" x14ac:dyDescent="0.4">
      <c r="A88" s="46">
        <v>68</v>
      </c>
      <c r="B88" s="46" t="s">
        <v>584</v>
      </c>
      <c r="C88" s="46">
        <v>22</v>
      </c>
      <c r="D88" s="50" t="s">
        <v>838</v>
      </c>
      <c r="E88" s="48">
        <v>5.4100000000000002E-2</v>
      </c>
      <c r="F88" s="46">
        <v>48.947870000000002</v>
      </c>
      <c r="G88" s="46">
        <f t="shared" si="1"/>
        <v>45583.40524086482</v>
      </c>
    </row>
    <row r="89" spans="1:7" x14ac:dyDescent="0.4">
      <c r="A89" s="46">
        <v>69</v>
      </c>
      <c r="B89" s="46" t="s">
        <v>585</v>
      </c>
      <c r="C89" s="46">
        <v>22</v>
      </c>
      <c r="D89" s="50" t="s">
        <v>838</v>
      </c>
      <c r="E89" s="48">
        <v>5.1799999999999999E-2</v>
      </c>
      <c r="F89" s="46">
        <v>49.944785621999998</v>
      </c>
      <c r="G89" s="46">
        <f t="shared" si="1"/>
        <v>46512.026161264082</v>
      </c>
    </row>
    <row r="90" spans="1:7" x14ac:dyDescent="0.4">
      <c r="A90" s="45">
        <v>70</v>
      </c>
      <c r="B90" s="45" t="s">
        <v>844</v>
      </c>
      <c r="C90" s="45">
        <v>23</v>
      </c>
      <c r="D90" s="49">
        <v>0.90339999999999998</v>
      </c>
      <c r="E90" s="47">
        <v>0</v>
      </c>
      <c r="F90" s="45">
        <v>48.948510509999998</v>
      </c>
      <c r="G90" s="45">
        <f t="shared" si="1"/>
        <v>45583.49087313607</v>
      </c>
    </row>
    <row r="91" spans="1:7" x14ac:dyDescent="0.4">
      <c r="A91" s="45">
        <v>71</v>
      </c>
      <c r="B91" s="45" t="s">
        <v>586</v>
      </c>
      <c r="C91" s="45">
        <v>23</v>
      </c>
      <c r="D91" s="49">
        <v>2.71E+17</v>
      </c>
      <c r="E91" s="47">
        <v>2.5000000000000001E-3</v>
      </c>
      <c r="F91" s="45">
        <v>49.947156681000003</v>
      </c>
      <c r="G91" s="45">
        <f t="shared" si="1"/>
        <v>46513.723789545547</v>
      </c>
    </row>
    <row r="92" spans="1:7" x14ac:dyDescent="0.4">
      <c r="A92" s="45">
        <v>72</v>
      </c>
      <c r="B92" s="52" t="s">
        <v>587</v>
      </c>
      <c r="C92" s="45">
        <v>23</v>
      </c>
      <c r="D92" s="49" t="s">
        <v>838</v>
      </c>
      <c r="E92" s="47">
        <v>0.998</v>
      </c>
      <c r="F92" s="45">
        <v>50.943957660000002</v>
      </c>
      <c r="G92" s="45">
        <f t="shared" si="1"/>
        <v>47442.23792067817</v>
      </c>
    </row>
    <row r="93" spans="1:7" x14ac:dyDescent="0.4">
      <c r="A93" s="46">
        <v>73</v>
      </c>
      <c r="B93" s="46" t="s">
        <v>588</v>
      </c>
      <c r="C93" s="46">
        <v>24</v>
      </c>
      <c r="D93" s="50" t="s">
        <v>838</v>
      </c>
      <c r="E93" s="48">
        <v>4.3400000000000001E-2</v>
      </c>
      <c r="F93" s="46">
        <v>50.944765390000001</v>
      </c>
      <c r="G93" s="46">
        <f t="shared" si="1"/>
        <v>47442.479317376099</v>
      </c>
    </row>
    <row r="94" spans="1:7" x14ac:dyDescent="0.4">
      <c r="A94" s="46">
        <v>74</v>
      </c>
      <c r="B94" s="57" t="s">
        <v>589</v>
      </c>
      <c r="C94" s="46">
        <v>24</v>
      </c>
      <c r="D94" s="50" t="s">
        <v>838</v>
      </c>
      <c r="E94" s="48">
        <v>0.83799999999999997</v>
      </c>
      <c r="F94" s="46">
        <v>51.940507500000002</v>
      </c>
      <c r="G94" s="46">
        <f t="shared" si="1"/>
        <v>48370.007118388443</v>
      </c>
    </row>
    <row r="95" spans="1:7" x14ac:dyDescent="0.4">
      <c r="A95" s="46">
        <v>75</v>
      </c>
      <c r="B95" s="46" t="s">
        <v>590</v>
      </c>
      <c r="C95" s="46">
        <v>24</v>
      </c>
      <c r="D95" s="50" t="s">
        <v>838</v>
      </c>
      <c r="E95" s="48">
        <v>9.5000000000000001E-2</v>
      </c>
      <c r="F95" s="46">
        <v>52.940649399999998</v>
      </c>
      <c r="G95" s="46">
        <f t="shared" si="1"/>
        <v>49301.633297387038</v>
      </c>
    </row>
    <row r="96" spans="1:7" x14ac:dyDescent="0.4">
      <c r="A96" s="46">
        <v>76</v>
      </c>
      <c r="B96" s="46" t="s">
        <v>591</v>
      </c>
      <c r="C96" s="46">
        <v>24</v>
      </c>
      <c r="D96" s="50" t="s">
        <v>838</v>
      </c>
      <c r="E96" s="48">
        <v>2.3699999999999999E-2</v>
      </c>
      <c r="F96" s="46">
        <v>53.938877359999999</v>
      </c>
      <c r="G96" s="46">
        <f t="shared" si="1"/>
        <v>50231.47665275928</v>
      </c>
    </row>
    <row r="97" spans="1:7" x14ac:dyDescent="0.4">
      <c r="A97" s="45">
        <v>77</v>
      </c>
      <c r="B97" s="45" t="s">
        <v>845</v>
      </c>
      <c r="C97" s="45">
        <v>25</v>
      </c>
      <c r="D97" s="49">
        <v>3700000</v>
      </c>
      <c r="E97" s="47">
        <v>0</v>
      </c>
      <c r="F97" s="45">
        <v>52.941287500000001</v>
      </c>
      <c r="G97" s="45">
        <f t="shared" si="1"/>
        <v>49301.716684757754</v>
      </c>
    </row>
    <row r="98" spans="1:7" x14ac:dyDescent="0.4">
      <c r="A98" s="45">
        <v>78</v>
      </c>
      <c r="B98" s="45" t="s">
        <v>846</v>
      </c>
      <c r="C98" s="45">
        <v>25</v>
      </c>
      <c r="D98" s="49">
        <v>0.85419999999999996</v>
      </c>
      <c r="E98" s="47">
        <v>0</v>
      </c>
      <c r="F98" s="45">
        <v>53.940355799999999</v>
      </c>
      <c r="G98" s="45">
        <f t="shared" si="1"/>
        <v>50232.342811797949</v>
      </c>
    </row>
    <row r="99" spans="1:7" x14ac:dyDescent="0.4">
      <c r="A99" s="45">
        <v>79</v>
      </c>
      <c r="B99" s="53" t="s">
        <v>592</v>
      </c>
      <c r="C99" s="45">
        <v>25</v>
      </c>
      <c r="D99" s="49" t="s">
        <v>838</v>
      </c>
      <c r="E99" s="47">
        <v>1</v>
      </c>
      <c r="F99" s="45">
        <v>54.938045099999997</v>
      </c>
      <c r="G99" s="45">
        <f t="shared" si="1"/>
        <v>51161.684408612149</v>
      </c>
    </row>
    <row r="100" spans="1:7" x14ac:dyDescent="0.4">
      <c r="A100" s="46">
        <v>80</v>
      </c>
      <c r="B100" s="46" t="s">
        <v>593</v>
      </c>
      <c r="C100" s="46">
        <v>26</v>
      </c>
      <c r="D100" s="50" t="s">
        <v>838</v>
      </c>
      <c r="E100" s="48">
        <v>5.8500000000000003E-2</v>
      </c>
      <c r="F100" s="46">
        <v>53.939608999999997</v>
      </c>
      <c r="G100" s="46">
        <f t="shared" si="1"/>
        <v>50231.136173128063</v>
      </c>
    </row>
    <row r="101" spans="1:7" x14ac:dyDescent="0.4">
      <c r="A101" s="46">
        <v>81</v>
      </c>
      <c r="B101" s="46" t="s">
        <v>847</v>
      </c>
      <c r="C101" s="46">
        <v>26</v>
      </c>
      <c r="D101" s="50">
        <v>2.7562000000000002</v>
      </c>
      <c r="E101" s="48">
        <v>0</v>
      </c>
      <c r="F101" s="46">
        <v>54.938291159999999</v>
      </c>
      <c r="G101" s="46">
        <f t="shared" si="1"/>
        <v>51161.402613075101</v>
      </c>
    </row>
    <row r="102" spans="1:7" x14ac:dyDescent="0.4">
      <c r="A102" s="46">
        <v>82</v>
      </c>
      <c r="B102" s="57" t="s">
        <v>594</v>
      </c>
      <c r="C102" s="46">
        <v>26</v>
      </c>
      <c r="D102" s="50" t="s">
        <v>838</v>
      </c>
      <c r="E102" s="48">
        <v>0.91800000000000004</v>
      </c>
      <c r="F102" s="46">
        <v>55.934936299999997</v>
      </c>
      <c r="G102" s="46">
        <f t="shared" si="1"/>
        <v>52089.771581114263</v>
      </c>
    </row>
    <row r="103" spans="1:7" x14ac:dyDescent="0.4">
      <c r="A103" s="46">
        <v>83</v>
      </c>
      <c r="B103" s="46" t="s">
        <v>595</v>
      </c>
      <c r="C103" s="46">
        <v>26</v>
      </c>
      <c r="D103" s="50" t="s">
        <v>838</v>
      </c>
      <c r="E103" s="48">
        <v>2.12E-2</v>
      </c>
      <c r="F103" s="46">
        <v>56.935392800000002</v>
      </c>
      <c r="G103" s="46">
        <f t="shared" si="1"/>
        <v>53021.690808125262</v>
      </c>
    </row>
    <row r="104" spans="1:7" x14ac:dyDescent="0.4">
      <c r="A104" s="46">
        <v>84</v>
      </c>
      <c r="B104" s="46" t="s">
        <v>596</v>
      </c>
      <c r="C104" s="46">
        <v>26</v>
      </c>
      <c r="D104" s="50" t="s">
        <v>838</v>
      </c>
      <c r="E104" s="48">
        <v>2.8E-3</v>
      </c>
      <c r="F104" s="46">
        <v>57.933274400000002</v>
      </c>
      <c r="G104" s="46">
        <f t="shared" si="1"/>
        <v>53951.211531235662</v>
      </c>
    </row>
    <row r="105" spans="1:7" x14ac:dyDescent="0.4">
      <c r="A105" s="46">
        <v>85</v>
      </c>
      <c r="B105" s="46" t="s">
        <v>848</v>
      </c>
      <c r="C105" s="46">
        <v>26</v>
      </c>
      <c r="D105" s="50">
        <v>0.12180000000000001</v>
      </c>
      <c r="E105" s="48">
        <v>0</v>
      </c>
      <c r="F105" s="46">
        <v>58.934873490000001</v>
      </c>
      <c r="G105" s="46">
        <f t="shared" si="1"/>
        <v>54884.195073976123</v>
      </c>
    </row>
    <row r="106" spans="1:7" x14ac:dyDescent="0.4">
      <c r="A106" s="46">
        <v>86</v>
      </c>
      <c r="B106" s="46" t="s">
        <v>849</v>
      </c>
      <c r="C106" s="46">
        <v>26</v>
      </c>
      <c r="D106" s="50">
        <v>2620000</v>
      </c>
      <c r="E106" s="48">
        <v>0</v>
      </c>
      <c r="F106" s="46">
        <v>59.934070200000001</v>
      </c>
      <c r="G106" s="46">
        <f t="shared" si="1"/>
        <v>55814.940814160866</v>
      </c>
    </row>
    <row r="107" spans="1:7" x14ac:dyDescent="0.4">
      <c r="A107" s="45">
        <v>87</v>
      </c>
      <c r="B107" s="45" t="s">
        <v>850</v>
      </c>
      <c r="C107" s="45">
        <v>27</v>
      </c>
      <c r="D107" s="49">
        <v>0.21149999999999999</v>
      </c>
      <c r="E107" s="47">
        <v>0</v>
      </c>
      <c r="F107" s="45">
        <v>55.939838029999997</v>
      </c>
      <c r="G107" s="45">
        <f t="shared" si="1"/>
        <v>52093.826514248191</v>
      </c>
    </row>
    <row r="108" spans="1:7" x14ac:dyDescent="0.4">
      <c r="A108" s="45">
        <v>88</v>
      </c>
      <c r="B108" s="45" t="s">
        <v>851</v>
      </c>
      <c r="C108" s="45">
        <v>27</v>
      </c>
      <c r="D108" s="49">
        <v>0.74419999999999997</v>
      </c>
      <c r="E108" s="47">
        <v>0</v>
      </c>
      <c r="F108" s="45">
        <v>56.936289819999999</v>
      </c>
      <c r="G108" s="45">
        <f t="shared" si="1"/>
        <v>53022.015377922457</v>
      </c>
    </row>
    <row r="109" spans="1:7" x14ac:dyDescent="0.4">
      <c r="A109" s="45">
        <v>89</v>
      </c>
      <c r="B109" s="45" t="s">
        <v>852</v>
      </c>
      <c r="C109" s="45">
        <v>27</v>
      </c>
      <c r="D109" s="49">
        <v>0.19389999999999999</v>
      </c>
      <c r="E109" s="47">
        <v>0</v>
      </c>
      <c r="F109" s="45">
        <v>57.9357513</v>
      </c>
      <c r="G109" s="45">
        <f t="shared" si="1"/>
        <v>53953.007749773577</v>
      </c>
    </row>
    <row r="110" spans="1:7" x14ac:dyDescent="0.4">
      <c r="A110" s="45">
        <v>90</v>
      </c>
      <c r="B110" s="53" t="s">
        <v>597</v>
      </c>
      <c r="C110" s="45">
        <v>27</v>
      </c>
      <c r="D110" s="49" t="s">
        <v>838</v>
      </c>
      <c r="E110" s="47">
        <v>1</v>
      </c>
      <c r="F110" s="45">
        <v>58.933194999999998</v>
      </c>
      <c r="G110" s="45">
        <f t="shared" si="1"/>
        <v>54882.120571661369</v>
      </c>
    </row>
    <row r="111" spans="1:7" x14ac:dyDescent="0.4">
      <c r="A111" s="45">
        <v>91</v>
      </c>
      <c r="B111" s="54" t="s">
        <v>598</v>
      </c>
      <c r="C111" s="45">
        <v>27</v>
      </c>
      <c r="D111" s="49">
        <v>5.2713999999999999</v>
      </c>
      <c r="E111" s="47">
        <v>0</v>
      </c>
      <c r="F111" s="45">
        <v>59.933817099999999</v>
      </c>
      <c r="G111" s="45">
        <f t="shared" si="1"/>
        <v>55814.194054078776</v>
      </c>
    </row>
    <row r="112" spans="1:7" x14ac:dyDescent="0.4">
      <c r="A112" s="46">
        <v>92</v>
      </c>
      <c r="B112" s="57" t="s">
        <v>599</v>
      </c>
      <c r="C112" s="46">
        <v>28</v>
      </c>
      <c r="D112" s="50" t="s">
        <v>838</v>
      </c>
      <c r="E112" s="48">
        <v>0.68100000000000005</v>
      </c>
      <c r="F112" s="46">
        <v>57.935342900000002</v>
      </c>
      <c r="G112" s="46">
        <f t="shared" si="1"/>
        <v>53952.116328673284</v>
      </c>
    </row>
    <row r="113" spans="1:7" x14ac:dyDescent="0.4">
      <c r="A113" s="46">
        <v>93</v>
      </c>
      <c r="B113" s="46" t="s">
        <v>600</v>
      </c>
      <c r="C113" s="46">
        <v>28</v>
      </c>
      <c r="D113" s="50">
        <v>81000</v>
      </c>
      <c r="E113" s="48">
        <v>0</v>
      </c>
      <c r="F113" s="46">
        <v>58.934346699999999</v>
      </c>
      <c r="G113" s="46">
        <f t="shared" si="1"/>
        <v>54882.682374350486</v>
      </c>
    </row>
    <row r="114" spans="1:7" x14ac:dyDescent="0.4">
      <c r="A114" s="46">
        <v>94</v>
      </c>
      <c r="B114" s="46" t="s">
        <v>601</v>
      </c>
      <c r="C114" s="46">
        <v>28</v>
      </c>
      <c r="D114" s="50" t="s">
        <v>838</v>
      </c>
      <c r="E114" s="48">
        <v>0.26200000000000001</v>
      </c>
      <c r="F114" s="46">
        <v>59.930786400000002</v>
      </c>
      <c r="G114" s="46">
        <f t="shared" si="1"/>
        <v>55810.859976262291</v>
      </c>
    </row>
    <row r="115" spans="1:7" x14ac:dyDescent="0.4">
      <c r="A115" s="46">
        <v>95</v>
      </c>
      <c r="B115" s="46" t="s">
        <v>602</v>
      </c>
      <c r="C115" s="46">
        <v>28</v>
      </c>
      <c r="D115" s="50" t="s">
        <v>838</v>
      </c>
      <c r="E115" s="48">
        <v>1.14E-2</v>
      </c>
      <c r="F115" s="46">
        <v>60.931055999999998</v>
      </c>
      <c r="G115" s="46">
        <f t="shared" si="1"/>
        <v>56742.605107044685</v>
      </c>
    </row>
    <row r="116" spans="1:7" x14ac:dyDescent="0.4">
      <c r="A116" s="46">
        <v>96</v>
      </c>
      <c r="B116" s="46" t="s">
        <v>603</v>
      </c>
      <c r="C116" s="46">
        <v>28</v>
      </c>
      <c r="D116" s="50" t="s">
        <v>838</v>
      </c>
      <c r="E116" s="48">
        <v>3.6299999999999999E-2</v>
      </c>
      <c r="F116" s="46">
        <v>61.928345100000001</v>
      </c>
      <c r="G116" s="46">
        <f t="shared" si="1"/>
        <v>57671.573919960087</v>
      </c>
    </row>
    <row r="117" spans="1:7" x14ac:dyDescent="0.4">
      <c r="A117" s="46">
        <v>97</v>
      </c>
      <c r="B117" s="46" t="s">
        <v>853</v>
      </c>
      <c r="C117" s="46">
        <v>28</v>
      </c>
      <c r="D117" s="50">
        <v>101</v>
      </c>
      <c r="E117" s="48">
        <v>0</v>
      </c>
      <c r="F117" s="46">
        <v>62.929669019999999</v>
      </c>
      <c r="G117" s="46">
        <f t="shared" si="1"/>
        <v>58604.301143496567</v>
      </c>
    </row>
    <row r="118" spans="1:7" x14ac:dyDescent="0.4">
      <c r="A118" s="46">
        <v>98</v>
      </c>
      <c r="B118" s="46" t="s">
        <v>604</v>
      </c>
      <c r="C118" s="46">
        <v>28</v>
      </c>
      <c r="D118" s="50" t="s">
        <v>838</v>
      </c>
      <c r="E118" s="48">
        <v>9.2599999999999991E-3</v>
      </c>
      <c r="F118" s="46">
        <v>63.927965999999998</v>
      </c>
      <c r="G118" s="46">
        <f t="shared" si="1"/>
        <v>59534.208790584686</v>
      </c>
    </row>
    <row r="119" spans="1:7" x14ac:dyDescent="0.4">
      <c r="A119" s="45">
        <v>99</v>
      </c>
      <c r="B119" s="53" t="s">
        <v>605</v>
      </c>
      <c r="C119" s="45">
        <v>29</v>
      </c>
      <c r="D119" s="49" t="s">
        <v>838</v>
      </c>
      <c r="E119" s="47">
        <v>0.69199999999999995</v>
      </c>
      <c r="F119" s="45">
        <v>62.9295975</v>
      </c>
      <c r="G119" s="45">
        <f t="shared" si="1"/>
        <v>58603.723524094989</v>
      </c>
    </row>
    <row r="120" spans="1:7" x14ac:dyDescent="0.4">
      <c r="A120" s="45">
        <v>100</v>
      </c>
      <c r="B120" s="45" t="s">
        <v>606</v>
      </c>
      <c r="C120" s="45">
        <v>29</v>
      </c>
      <c r="D120" s="49" t="s">
        <v>838</v>
      </c>
      <c r="E120" s="47">
        <v>0.309</v>
      </c>
      <c r="F120" s="45">
        <v>64.927789480000001</v>
      </c>
      <c r="G120" s="45">
        <f t="shared" si="1"/>
        <v>60465.027364313108</v>
      </c>
    </row>
    <row r="121" spans="1:7" x14ac:dyDescent="0.4">
      <c r="A121" s="46">
        <v>101</v>
      </c>
      <c r="B121" s="57" t="s">
        <v>607</v>
      </c>
      <c r="C121" s="46">
        <v>30</v>
      </c>
      <c r="D121" s="50" t="s">
        <v>838</v>
      </c>
      <c r="E121" s="48">
        <v>0.49199999999999999</v>
      </c>
      <c r="F121" s="46">
        <v>63.929142200000001</v>
      </c>
      <c r="G121" s="46">
        <f t="shared" si="1"/>
        <v>59534.2824159261</v>
      </c>
    </row>
    <row r="122" spans="1:7" x14ac:dyDescent="0.4">
      <c r="A122" s="46">
        <v>102</v>
      </c>
      <c r="B122" s="46" t="s">
        <v>608</v>
      </c>
      <c r="C122" s="46">
        <v>30</v>
      </c>
      <c r="D122" s="50">
        <v>0.66790000000000005</v>
      </c>
      <c r="E122" s="48">
        <v>0</v>
      </c>
      <c r="F122" s="46">
        <v>64.929240530000001</v>
      </c>
      <c r="G122" s="46">
        <f t="shared" si="1"/>
        <v>60465.868009731123</v>
      </c>
    </row>
    <row r="123" spans="1:7" x14ac:dyDescent="0.4">
      <c r="A123" s="46">
        <v>103</v>
      </c>
      <c r="B123" s="46" t="s">
        <v>609</v>
      </c>
      <c r="C123" s="46">
        <v>30</v>
      </c>
      <c r="D123" s="50" t="s">
        <v>838</v>
      </c>
      <c r="E123" s="48">
        <v>0.27700000000000002</v>
      </c>
      <c r="F123" s="46">
        <v>65.926033399999994</v>
      </c>
      <c r="G123" s="46">
        <f t="shared" si="1"/>
        <v>61394.374587378894</v>
      </c>
    </row>
    <row r="124" spans="1:7" x14ac:dyDescent="0.4">
      <c r="A124" s="46">
        <v>104</v>
      </c>
      <c r="B124" s="46" t="s">
        <v>610</v>
      </c>
      <c r="C124" s="46">
        <v>30</v>
      </c>
      <c r="D124" s="50" t="s">
        <v>838</v>
      </c>
      <c r="E124" s="48">
        <v>4.0399999999999998E-2</v>
      </c>
      <c r="F124" s="46">
        <v>66.927127299999995</v>
      </c>
      <c r="G124" s="46">
        <f t="shared" si="1"/>
        <v>62326.887548665494</v>
      </c>
    </row>
    <row r="125" spans="1:7" x14ac:dyDescent="0.4">
      <c r="A125" s="46">
        <v>105</v>
      </c>
      <c r="B125" s="46" t="s">
        <v>611</v>
      </c>
      <c r="C125" s="46">
        <v>30</v>
      </c>
      <c r="D125" s="50" t="s">
        <v>838</v>
      </c>
      <c r="E125" s="48">
        <v>0.184</v>
      </c>
      <c r="F125" s="46">
        <v>67.924844199999995</v>
      </c>
      <c r="G125" s="46">
        <f t="shared" si="1"/>
        <v>63256.254854714098</v>
      </c>
    </row>
    <row r="126" spans="1:7" x14ac:dyDescent="0.4">
      <c r="A126" s="46">
        <v>106</v>
      </c>
      <c r="B126" s="46" t="s">
        <v>612</v>
      </c>
      <c r="C126" s="46">
        <v>30</v>
      </c>
      <c r="D126" s="50" t="s">
        <v>838</v>
      </c>
      <c r="E126" s="48">
        <v>6.1000000000000004E-3</v>
      </c>
      <c r="F126" s="46">
        <v>69.925319299999998</v>
      </c>
      <c r="G126" s="46">
        <f t="shared" si="1"/>
        <v>65119.685407513498</v>
      </c>
    </row>
    <row r="127" spans="1:7" x14ac:dyDescent="0.4">
      <c r="A127" s="45">
        <v>107</v>
      </c>
      <c r="B127" s="52" t="s">
        <v>613</v>
      </c>
      <c r="C127" s="45">
        <v>31</v>
      </c>
      <c r="D127" s="49" t="s">
        <v>838</v>
      </c>
      <c r="E127" s="47">
        <v>0.60099999999999998</v>
      </c>
      <c r="F127" s="45">
        <v>68.925573600000007</v>
      </c>
      <c r="G127" s="45">
        <f t="shared" si="1"/>
        <v>64187.91728748702</v>
      </c>
    </row>
    <row r="128" spans="1:7" x14ac:dyDescent="0.4">
      <c r="A128" s="45">
        <v>108</v>
      </c>
      <c r="B128" s="45" t="s">
        <v>614</v>
      </c>
      <c r="C128" s="45">
        <v>31</v>
      </c>
      <c r="D128" s="49" t="s">
        <v>838</v>
      </c>
      <c r="E128" s="47">
        <v>0.39900000000000002</v>
      </c>
      <c r="F128" s="45">
        <v>70.924701299999995</v>
      </c>
      <c r="G128" s="45">
        <f t="shared" si="1"/>
        <v>66050.092745270813</v>
      </c>
    </row>
    <row r="129" spans="1:7" x14ac:dyDescent="0.4">
      <c r="A129" s="46">
        <v>109</v>
      </c>
      <c r="B129" s="46" t="s">
        <v>854</v>
      </c>
      <c r="C129" s="46">
        <v>32</v>
      </c>
      <c r="D129" s="50">
        <v>0.74209999999999998</v>
      </c>
      <c r="E129" s="48">
        <v>0</v>
      </c>
      <c r="F129" s="46">
        <v>68.927964500000002</v>
      </c>
      <c r="G129" s="46">
        <f t="shared" si="1"/>
        <v>64189.633397540922</v>
      </c>
    </row>
    <row r="130" spans="1:7" x14ac:dyDescent="0.4">
      <c r="A130" s="46">
        <v>110</v>
      </c>
      <c r="B130" s="46" t="s">
        <v>615</v>
      </c>
      <c r="C130" s="46">
        <v>32</v>
      </c>
      <c r="D130" s="50" t="s">
        <v>838</v>
      </c>
      <c r="E130" s="48">
        <v>0.20499999999999999</v>
      </c>
      <c r="F130" s="46">
        <v>69.924248539999994</v>
      </c>
      <c r="G130" s="46">
        <f t="shared" si="1"/>
        <v>65117.666003096674</v>
      </c>
    </row>
    <row r="131" spans="1:7" x14ac:dyDescent="0.4">
      <c r="A131" s="46">
        <v>111</v>
      </c>
      <c r="B131" s="46" t="s">
        <v>616</v>
      </c>
      <c r="C131" s="46">
        <v>32</v>
      </c>
      <c r="D131" s="50" t="s">
        <v>838</v>
      </c>
      <c r="E131" s="48">
        <v>0.27400000000000002</v>
      </c>
      <c r="F131" s="46">
        <v>71.922075824000004</v>
      </c>
      <c r="G131" s="46">
        <f t="shared" si="1"/>
        <v>66978.630131178987</v>
      </c>
    </row>
    <row r="132" spans="1:7" x14ac:dyDescent="0.4">
      <c r="A132" s="46">
        <v>112</v>
      </c>
      <c r="B132" s="46" t="s">
        <v>617</v>
      </c>
      <c r="C132" s="46">
        <v>32</v>
      </c>
      <c r="D132" s="50" t="s">
        <v>838</v>
      </c>
      <c r="E132" s="48">
        <v>7.7600000000000002E-2</v>
      </c>
      <c r="F132" s="46">
        <v>72.923458953999997</v>
      </c>
      <c r="G132" s="46">
        <f t="shared" si="1"/>
        <v>67911.412508475201</v>
      </c>
    </row>
    <row r="133" spans="1:7" x14ac:dyDescent="0.4">
      <c r="A133" s="46">
        <v>113</v>
      </c>
      <c r="B133" s="56" t="s">
        <v>618</v>
      </c>
      <c r="C133" s="46">
        <v>32</v>
      </c>
      <c r="D133" s="50" t="s">
        <v>838</v>
      </c>
      <c r="E133" s="48">
        <v>0.36499999999999999</v>
      </c>
      <c r="F133" s="46">
        <v>73.921177760000006</v>
      </c>
      <c r="G133" s="46">
        <f t="shared" si="1"/>
        <v>68840.781589951366</v>
      </c>
    </row>
    <row r="134" spans="1:7" x14ac:dyDescent="0.4">
      <c r="A134" s="46">
        <v>114</v>
      </c>
      <c r="B134" s="46" t="s">
        <v>619</v>
      </c>
      <c r="C134" s="46">
        <v>32</v>
      </c>
      <c r="D134" s="50">
        <v>2.02E+21</v>
      </c>
      <c r="E134" s="48">
        <v>7.7499999999999999E-2</v>
      </c>
      <c r="F134" s="46">
        <v>75.921402724999993</v>
      </c>
      <c r="G134" s="46">
        <f t="shared" si="1"/>
        <v>70703.979143499062</v>
      </c>
    </row>
    <row r="135" spans="1:7" x14ac:dyDescent="0.4">
      <c r="A135" s="45">
        <v>115</v>
      </c>
      <c r="B135" s="45" t="s">
        <v>855</v>
      </c>
      <c r="C135" s="45">
        <v>33</v>
      </c>
      <c r="D135" s="49">
        <v>0.2198</v>
      </c>
      <c r="E135" s="47">
        <v>0</v>
      </c>
      <c r="F135" s="45">
        <v>72.923829100000006</v>
      </c>
      <c r="G135" s="45">
        <f t="shared" si="1"/>
        <v>67911.246298302634</v>
      </c>
    </row>
    <row r="136" spans="1:7" x14ac:dyDescent="0.4">
      <c r="A136" s="45">
        <v>116</v>
      </c>
      <c r="B136" s="53" t="s">
        <v>620</v>
      </c>
      <c r="C136" s="45">
        <v>33</v>
      </c>
      <c r="D136" s="49" t="s">
        <v>838</v>
      </c>
      <c r="E136" s="47">
        <v>1</v>
      </c>
      <c r="F136" s="45">
        <v>74.921596500000007</v>
      </c>
      <c r="G136" s="45">
        <f t="shared" si="1"/>
        <v>69772.15464479824</v>
      </c>
    </row>
    <row r="137" spans="1:7" x14ac:dyDescent="0.4">
      <c r="A137" s="46">
        <v>117</v>
      </c>
      <c r="B137" s="46" t="s">
        <v>856</v>
      </c>
      <c r="C137" s="46">
        <v>34</v>
      </c>
      <c r="D137" s="50" t="s">
        <v>838</v>
      </c>
      <c r="E137" s="48">
        <v>8.6E-3</v>
      </c>
      <c r="F137" s="46">
        <v>73.922475933000001</v>
      </c>
      <c r="G137" s="46">
        <f t="shared" si="1"/>
        <v>68840.96883241045</v>
      </c>
    </row>
    <row r="138" spans="1:7" x14ac:dyDescent="0.4">
      <c r="A138" s="46">
        <v>118</v>
      </c>
      <c r="B138" s="46" t="s">
        <v>857</v>
      </c>
      <c r="C138" s="46">
        <v>34</v>
      </c>
      <c r="D138" s="50">
        <v>0.32790000000000002</v>
      </c>
      <c r="E138" s="48">
        <v>0</v>
      </c>
      <c r="F138" s="46">
        <v>74.922522869999995</v>
      </c>
      <c r="G138" s="46">
        <f t="shared" si="1"/>
        <v>69772.506553944317</v>
      </c>
    </row>
    <row r="139" spans="1:7" x14ac:dyDescent="0.4">
      <c r="A139" s="46">
        <v>119</v>
      </c>
      <c r="B139" s="46" t="s">
        <v>858</v>
      </c>
      <c r="C139" s="46">
        <v>34</v>
      </c>
      <c r="D139" s="50" t="s">
        <v>838</v>
      </c>
      <c r="E139" s="48">
        <v>9.2299999999999993E-2</v>
      </c>
      <c r="F139" s="46">
        <v>75.919213701999993</v>
      </c>
      <c r="G139" s="46">
        <f t="shared" si="1"/>
        <v>70700.918083807323</v>
      </c>
    </row>
    <row r="140" spans="1:7" x14ac:dyDescent="0.4">
      <c r="A140" s="46">
        <v>120</v>
      </c>
      <c r="B140" s="46" t="s">
        <v>859</v>
      </c>
      <c r="C140" s="46">
        <v>34</v>
      </c>
      <c r="D140" s="50" t="s">
        <v>838</v>
      </c>
      <c r="E140" s="48">
        <v>7.5999999999999998E-2</v>
      </c>
      <c r="F140" s="46">
        <v>76.919914149999997</v>
      </c>
      <c r="G140" s="46">
        <f t="shared" si="1"/>
        <v>71633.064546916634</v>
      </c>
    </row>
    <row r="141" spans="1:7" x14ac:dyDescent="0.4">
      <c r="A141" s="46">
        <v>121</v>
      </c>
      <c r="B141" s="46" t="s">
        <v>860</v>
      </c>
      <c r="C141" s="46">
        <v>34</v>
      </c>
      <c r="D141" s="50" t="s">
        <v>838</v>
      </c>
      <c r="E141" s="48">
        <v>0.23699999999999999</v>
      </c>
      <c r="F141" s="46">
        <v>77.917309239999994</v>
      </c>
      <c r="G141" s="46">
        <f t="shared" si="1"/>
        <v>72562.132088881102</v>
      </c>
    </row>
    <row r="142" spans="1:7" x14ac:dyDescent="0.4">
      <c r="A142" s="46">
        <v>122</v>
      </c>
      <c r="B142" s="46" t="s">
        <v>861</v>
      </c>
      <c r="C142" s="46">
        <v>34</v>
      </c>
      <c r="D142" s="50">
        <v>327000</v>
      </c>
      <c r="E142" s="48">
        <v>0</v>
      </c>
      <c r="F142" s="46">
        <v>78.918499249999996</v>
      </c>
      <c r="G142" s="46">
        <f t="shared" si="1"/>
        <v>73494.734576056042</v>
      </c>
    </row>
    <row r="143" spans="1:7" x14ac:dyDescent="0.4">
      <c r="A143" s="46">
        <v>123</v>
      </c>
      <c r="B143" s="56" t="s">
        <v>621</v>
      </c>
      <c r="C143" s="46">
        <v>34</v>
      </c>
      <c r="D143" s="50" t="s">
        <v>838</v>
      </c>
      <c r="E143" s="48">
        <v>0.498</v>
      </c>
      <c r="F143" s="46">
        <v>79.916521799999998</v>
      </c>
      <c r="G143" s="46">
        <f t="shared" si="1"/>
        <v>74424.386593245741</v>
      </c>
    </row>
    <row r="144" spans="1:7" x14ac:dyDescent="0.4">
      <c r="A144" s="46">
        <v>124</v>
      </c>
      <c r="B144" s="46" t="s">
        <v>862</v>
      </c>
      <c r="C144" s="46">
        <v>34</v>
      </c>
      <c r="D144" s="50">
        <v>8.76E+19</v>
      </c>
      <c r="E144" s="48">
        <v>8.8200000000000001E-2</v>
      </c>
      <c r="F144" s="46">
        <v>81.916699530000002</v>
      </c>
      <c r="G144" s="46">
        <f t="shared" si="1"/>
        <v>76287.540147674372</v>
      </c>
    </row>
    <row r="145" spans="1:7" x14ac:dyDescent="0.4">
      <c r="A145" s="45">
        <v>125</v>
      </c>
      <c r="B145" s="52" t="s">
        <v>622</v>
      </c>
      <c r="C145" s="45">
        <v>35</v>
      </c>
      <c r="D145" s="49" t="s">
        <v>838</v>
      </c>
      <c r="E145" s="47">
        <v>0.50600000000000001</v>
      </c>
      <c r="F145" s="45">
        <v>78.918337600000001</v>
      </c>
      <c r="G145" s="45">
        <f t="shared" si="1"/>
        <v>73494.07300110026</v>
      </c>
    </row>
    <row r="146" spans="1:7" x14ac:dyDescent="0.4">
      <c r="A146" s="45">
        <v>126</v>
      </c>
      <c r="B146" s="45" t="s">
        <v>623</v>
      </c>
      <c r="C146" s="45">
        <v>35</v>
      </c>
      <c r="D146" s="49" t="s">
        <v>838</v>
      </c>
      <c r="E146" s="47">
        <v>0.49399999999999999</v>
      </c>
      <c r="F146" s="45">
        <v>80.916288199999997</v>
      </c>
      <c r="G146" s="45">
        <f t="shared" si="1"/>
        <v>75355.151997296649</v>
      </c>
    </row>
    <row r="147" spans="1:7" x14ac:dyDescent="0.4">
      <c r="A147" s="46">
        <v>127</v>
      </c>
      <c r="B147" s="46" t="s">
        <v>869</v>
      </c>
      <c r="C147" s="46">
        <v>36</v>
      </c>
      <c r="D147" s="50">
        <v>9.2E+21</v>
      </c>
      <c r="E147" s="48">
        <v>3.5999999999999999E-3</v>
      </c>
      <c r="F147" s="46">
        <v>77.920366340000001</v>
      </c>
      <c r="G147" s="46">
        <f t="shared" si="1"/>
        <v>72563.957761287122</v>
      </c>
    </row>
    <row r="148" spans="1:7" x14ac:dyDescent="0.4">
      <c r="A148" s="46">
        <v>128</v>
      </c>
      <c r="B148" s="46" t="s">
        <v>863</v>
      </c>
      <c r="C148" s="46">
        <v>36</v>
      </c>
      <c r="D148" s="50" t="s">
        <v>838</v>
      </c>
      <c r="E148" s="48">
        <v>2.29E-2</v>
      </c>
      <c r="F148" s="46">
        <v>79.916377940000004</v>
      </c>
      <c r="G148" s="46">
        <f t="shared" ref="G148:G211" si="2">F148*amu-C148*m_e</f>
        <v>74423.230590617532</v>
      </c>
    </row>
    <row r="149" spans="1:7" x14ac:dyDescent="0.4">
      <c r="A149" s="46">
        <v>129</v>
      </c>
      <c r="B149" s="46" t="s">
        <v>864</v>
      </c>
      <c r="C149" s="46">
        <v>36</v>
      </c>
      <c r="D149" s="50">
        <v>230000</v>
      </c>
      <c r="E149" s="48">
        <v>0</v>
      </c>
      <c r="F149" s="46">
        <v>80.916589700000003</v>
      </c>
      <c r="G149" s="46">
        <f t="shared" si="2"/>
        <v>75354.921843786971</v>
      </c>
    </row>
    <row r="150" spans="1:7" x14ac:dyDescent="0.4">
      <c r="A150" s="46">
        <v>130</v>
      </c>
      <c r="B150" s="46" t="s">
        <v>865</v>
      </c>
      <c r="C150" s="46">
        <v>36</v>
      </c>
      <c r="D150" s="50" t="s">
        <v>838</v>
      </c>
      <c r="E150" s="48">
        <v>0.11600000000000001</v>
      </c>
      <c r="F150" s="46">
        <v>81.913481153700005</v>
      </c>
      <c r="G150" s="46">
        <f t="shared" si="2"/>
        <v>76283.520251559792</v>
      </c>
    </row>
    <row r="151" spans="1:7" x14ac:dyDescent="0.4">
      <c r="A151" s="46">
        <v>131</v>
      </c>
      <c r="B151" s="46" t="s">
        <v>866</v>
      </c>
      <c r="C151" s="46">
        <v>36</v>
      </c>
      <c r="D151" s="50" t="s">
        <v>838</v>
      </c>
      <c r="E151" s="48">
        <v>0.115</v>
      </c>
      <c r="F151" s="46">
        <v>82.914126515999996</v>
      </c>
      <c r="G151" s="46">
        <f t="shared" si="2"/>
        <v>77215.615402670068</v>
      </c>
    </row>
    <row r="152" spans="1:7" x14ac:dyDescent="0.4">
      <c r="A152" s="46">
        <v>132</v>
      </c>
      <c r="B152" s="56" t="s">
        <v>624</v>
      </c>
      <c r="C152" s="46">
        <v>36</v>
      </c>
      <c r="D152" s="50" t="s">
        <v>838</v>
      </c>
      <c r="E152" s="48">
        <v>0.56999999999999995</v>
      </c>
      <c r="F152" s="46">
        <v>83.911497727099999</v>
      </c>
      <c r="G152" s="46">
        <f t="shared" si="2"/>
        <v>78144.660701582456</v>
      </c>
    </row>
    <row r="153" spans="1:7" x14ac:dyDescent="0.4">
      <c r="A153" s="46">
        <v>133</v>
      </c>
      <c r="B153" s="46" t="s">
        <v>867</v>
      </c>
      <c r="C153" s="46">
        <v>36</v>
      </c>
      <c r="D153" s="50">
        <v>10.728</v>
      </c>
      <c r="E153" s="48">
        <v>0</v>
      </c>
      <c r="F153" s="46">
        <v>84.912527299999994</v>
      </c>
      <c r="G153" s="46">
        <f t="shared" si="2"/>
        <v>79077.113742561356</v>
      </c>
    </row>
    <row r="154" spans="1:7" x14ac:dyDescent="0.4">
      <c r="A154" s="46">
        <v>134</v>
      </c>
      <c r="B154" s="46" t="s">
        <v>868</v>
      </c>
      <c r="C154" s="46">
        <v>36</v>
      </c>
      <c r="D154" s="50" t="s">
        <v>838</v>
      </c>
      <c r="E154" s="48">
        <v>0.17299999999999999</v>
      </c>
      <c r="F154" s="46">
        <v>85.910610624699999</v>
      </c>
      <c r="G154" s="46">
        <f t="shared" si="2"/>
        <v>80006.822371019472</v>
      </c>
    </row>
    <row r="155" spans="1:7" x14ac:dyDescent="0.4">
      <c r="A155" s="45">
        <v>135</v>
      </c>
      <c r="B155" s="45" t="s">
        <v>870</v>
      </c>
      <c r="C155" s="45">
        <v>37</v>
      </c>
      <c r="D155" s="49">
        <v>0.23599999999999999</v>
      </c>
      <c r="E155" s="47">
        <v>0</v>
      </c>
      <c r="F155" s="45">
        <v>82.915114200000005</v>
      </c>
      <c r="G155" s="45">
        <f t="shared" si="2"/>
        <v>77216.024425439275</v>
      </c>
    </row>
    <row r="156" spans="1:7" x14ac:dyDescent="0.4">
      <c r="A156" s="45">
        <v>136</v>
      </c>
      <c r="B156" s="52" t="s">
        <v>625</v>
      </c>
      <c r="C156" s="45">
        <v>37</v>
      </c>
      <c r="D156" s="49" t="s">
        <v>838</v>
      </c>
      <c r="E156" s="47">
        <v>0.72199999999999998</v>
      </c>
      <c r="F156" s="45">
        <v>84.911789736000003</v>
      </c>
      <c r="G156" s="45">
        <f t="shared" si="2"/>
        <v>79075.915707170061</v>
      </c>
    </row>
    <row r="157" spans="1:7" x14ac:dyDescent="0.4">
      <c r="A157" s="45">
        <v>137</v>
      </c>
      <c r="B157" s="45" t="s">
        <v>871</v>
      </c>
      <c r="C157" s="45">
        <v>37</v>
      </c>
      <c r="D157" s="49">
        <v>49700000000</v>
      </c>
      <c r="E157" s="47">
        <v>0.27800000000000002</v>
      </c>
      <c r="F157" s="45">
        <v>86.909180528999997</v>
      </c>
      <c r="G157" s="45">
        <f t="shared" si="2"/>
        <v>80936.4732465048</v>
      </c>
    </row>
    <row r="158" spans="1:7" x14ac:dyDescent="0.4">
      <c r="A158" s="46">
        <v>138</v>
      </c>
      <c r="B158" s="46" t="s">
        <v>626</v>
      </c>
      <c r="C158" s="46">
        <v>38</v>
      </c>
      <c r="D158" s="50" t="s">
        <v>838</v>
      </c>
      <c r="E158" s="48">
        <v>5.5999999999999999E-3</v>
      </c>
      <c r="F158" s="46">
        <v>83.913419099999999</v>
      </c>
      <c r="G158" s="46">
        <f t="shared" si="2"/>
        <v>78145.428451009182</v>
      </c>
    </row>
    <row r="159" spans="1:7" x14ac:dyDescent="0.4">
      <c r="A159" s="46">
        <v>139</v>
      </c>
      <c r="B159" s="46" t="s">
        <v>872</v>
      </c>
      <c r="C159" s="46">
        <v>38</v>
      </c>
      <c r="D159" s="50">
        <v>0.17749999999999999</v>
      </c>
      <c r="E159" s="48">
        <v>0</v>
      </c>
      <c r="F159" s="46">
        <v>84.912931999999998</v>
      </c>
      <c r="G159" s="46">
        <f t="shared" si="2"/>
        <v>79076.468720281788</v>
      </c>
    </row>
    <row r="160" spans="1:7" x14ac:dyDescent="0.4">
      <c r="A160" s="46">
        <v>140</v>
      </c>
      <c r="B160" s="46" t="s">
        <v>627</v>
      </c>
      <c r="C160" s="46">
        <v>38</v>
      </c>
      <c r="D160" s="50" t="s">
        <v>838</v>
      </c>
      <c r="E160" s="48">
        <v>9.8599999999999993E-2</v>
      </c>
      <c r="F160" s="46">
        <v>85.909260724700005</v>
      </c>
      <c r="G160" s="46">
        <f t="shared" si="2"/>
        <v>80004.542949367489</v>
      </c>
    </row>
    <row r="161" spans="1:7" x14ac:dyDescent="0.4">
      <c r="A161" s="46">
        <v>141</v>
      </c>
      <c r="B161" s="46" t="s">
        <v>628</v>
      </c>
      <c r="C161" s="46">
        <v>38</v>
      </c>
      <c r="D161" s="50" t="s">
        <v>838</v>
      </c>
      <c r="E161" s="48">
        <v>7.0000000000000007E-2</v>
      </c>
      <c r="F161" s="46">
        <v>86.908877497000006</v>
      </c>
      <c r="G161" s="46">
        <f t="shared" si="2"/>
        <v>80935.679975064311</v>
      </c>
    </row>
    <row r="162" spans="1:7" x14ac:dyDescent="0.4">
      <c r="A162" s="46">
        <v>142</v>
      </c>
      <c r="B162" s="57" t="s">
        <v>629</v>
      </c>
      <c r="C162" s="46">
        <v>38</v>
      </c>
      <c r="D162" s="50" t="s">
        <v>838</v>
      </c>
      <c r="E162" s="48">
        <v>0.82599999999999996</v>
      </c>
      <c r="F162" s="46">
        <v>87.905612257100003</v>
      </c>
      <c r="G162" s="46">
        <f t="shared" si="2"/>
        <v>81864.132423688905</v>
      </c>
    </row>
    <row r="163" spans="1:7" x14ac:dyDescent="0.4">
      <c r="A163" s="46">
        <v>143</v>
      </c>
      <c r="B163" s="46" t="s">
        <v>873</v>
      </c>
      <c r="C163" s="46">
        <v>38</v>
      </c>
      <c r="D163" s="50">
        <v>0.1384</v>
      </c>
      <c r="E163" s="48">
        <v>0</v>
      </c>
      <c r="F163" s="46">
        <v>88.907450807999993</v>
      </c>
      <c r="G163" s="46">
        <f t="shared" si="2"/>
        <v>82797.339022820932</v>
      </c>
    </row>
    <row r="164" spans="1:7" x14ac:dyDescent="0.4">
      <c r="A164" s="46">
        <v>144</v>
      </c>
      <c r="B164" s="55" t="s">
        <v>630</v>
      </c>
      <c r="C164" s="46">
        <v>38</v>
      </c>
      <c r="D164" s="50">
        <v>28.91</v>
      </c>
      <c r="E164" s="48">
        <v>0</v>
      </c>
      <c r="F164" s="46">
        <v>89.907737999999995</v>
      </c>
      <c r="G164" s="46">
        <f t="shared" si="2"/>
        <v>83729.100540445783</v>
      </c>
    </row>
    <row r="165" spans="1:7" x14ac:dyDescent="0.4">
      <c r="A165" s="45">
        <v>145</v>
      </c>
      <c r="B165" s="45" t="s">
        <v>875</v>
      </c>
      <c r="C165" s="45">
        <v>39</v>
      </c>
      <c r="D165" s="49">
        <v>0.29189999999999999</v>
      </c>
      <c r="E165" s="47">
        <v>0</v>
      </c>
      <c r="F165" s="45">
        <v>87.909501300000002</v>
      </c>
      <c r="G165" s="45">
        <f t="shared" si="2"/>
        <v>81867.244044865307</v>
      </c>
    </row>
    <row r="166" spans="1:7" x14ac:dyDescent="0.4">
      <c r="A166" s="45">
        <v>146</v>
      </c>
      <c r="B166" s="53" t="s">
        <v>631</v>
      </c>
      <c r="C166" s="45">
        <v>39</v>
      </c>
      <c r="D166" s="49" t="s">
        <v>838</v>
      </c>
      <c r="E166" s="47">
        <v>1</v>
      </c>
      <c r="F166" s="45">
        <v>88.905848300000002</v>
      </c>
      <c r="G166" s="45">
        <f t="shared" si="2"/>
        <v>82795.335297283294</v>
      </c>
    </row>
    <row r="167" spans="1:7" x14ac:dyDescent="0.4">
      <c r="A167" s="45">
        <v>147</v>
      </c>
      <c r="B167" s="45" t="s">
        <v>874</v>
      </c>
      <c r="C167" s="45">
        <v>39</v>
      </c>
      <c r="D167" s="49">
        <v>0.16020000000000001</v>
      </c>
      <c r="E167" s="47">
        <v>0</v>
      </c>
      <c r="F167" s="45">
        <v>90.907297999999997</v>
      </c>
      <c r="G167" s="45">
        <f t="shared" si="2"/>
        <v>84659.673684135094</v>
      </c>
    </row>
    <row r="168" spans="1:7" x14ac:dyDescent="0.4">
      <c r="A168" s="46">
        <v>148</v>
      </c>
      <c r="B168" s="46" t="s">
        <v>876</v>
      </c>
      <c r="C168" s="46">
        <v>40</v>
      </c>
      <c r="D168" s="50">
        <v>0.2283</v>
      </c>
      <c r="E168" s="48">
        <v>0</v>
      </c>
      <c r="F168" s="46">
        <v>87.910220699999996</v>
      </c>
      <c r="G168" s="46">
        <f t="shared" si="2"/>
        <v>81867.403162698203</v>
      </c>
    </row>
    <row r="169" spans="1:7" ht="14.15" customHeight="1" x14ac:dyDescent="0.4">
      <c r="A169" s="46">
        <v>149</v>
      </c>
      <c r="B169" s="57" t="s">
        <v>632</v>
      </c>
      <c r="C169" s="46">
        <v>40</v>
      </c>
      <c r="D169" s="50" t="s">
        <v>838</v>
      </c>
      <c r="E169" s="48">
        <v>0.51500000000000001</v>
      </c>
      <c r="F169" s="46">
        <v>89.9047044</v>
      </c>
      <c r="G169" s="46">
        <f t="shared" si="2"/>
        <v>83725.252762346005</v>
      </c>
    </row>
    <row r="170" spans="1:7" x14ac:dyDescent="0.4">
      <c r="A170" s="46">
        <v>150</v>
      </c>
      <c r="B170" s="46" t="s">
        <v>633</v>
      </c>
      <c r="C170" s="46">
        <v>40</v>
      </c>
      <c r="D170" s="50" t="s">
        <v>838</v>
      </c>
      <c r="E170" s="48">
        <v>0.112</v>
      </c>
      <c r="F170" s="46">
        <v>90.905640210000001</v>
      </c>
      <c r="G170" s="46">
        <f t="shared" si="2"/>
        <v>84657.618463746156</v>
      </c>
    </row>
    <row r="171" spans="1:7" x14ac:dyDescent="0.4">
      <c r="A171" s="46">
        <v>151</v>
      </c>
      <c r="B171" s="46" t="s">
        <v>634</v>
      </c>
      <c r="C171" s="46">
        <v>40</v>
      </c>
      <c r="D171" s="50" t="s">
        <v>838</v>
      </c>
      <c r="E171" s="48">
        <v>0.17100000000000001</v>
      </c>
      <c r="F171" s="46">
        <v>91.905035339999998</v>
      </c>
      <c r="G171" s="46">
        <f t="shared" si="2"/>
        <v>85588.549030970375</v>
      </c>
    </row>
    <row r="172" spans="1:7" x14ac:dyDescent="0.4">
      <c r="A172" s="46">
        <v>152</v>
      </c>
      <c r="B172" s="46" t="s">
        <v>635</v>
      </c>
      <c r="C172" s="46">
        <v>40</v>
      </c>
      <c r="D172" s="50">
        <v>1610000</v>
      </c>
      <c r="E172" s="48">
        <v>0</v>
      </c>
      <c r="F172" s="46">
        <v>92.906470659999997</v>
      </c>
      <c r="G172" s="46">
        <f t="shared" si="2"/>
        <v>86521.380022938451</v>
      </c>
    </row>
    <row r="173" spans="1:7" x14ac:dyDescent="0.4">
      <c r="A173" s="46">
        <v>153</v>
      </c>
      <c r="B173" s="46" t="s">
        <v>636</v>
      </c>
      <c r="C173" s="46">
        <v>40</v>
      </c>
      <c r="D173" s="50" t="s">
        <v>838</v>
      </c>
      <c r="E173" s="48">
        <v>0.17399999999999999</v>
      </c>
      <c r="F173" s="46">
        <v>93.90631252</v>
      </c>
      <c r="G173" s="46">
        <f t="shared" si="2"/>
        <v>87452.726716477293</v>
      </c>
    </row>
    <row r="174" spans="1:7" x14ac:dyDescent="0.4">
      <c r="A174" s="46">
        <v>154</v>
      </c>
      <c r="B174" s="46" t="s">
        <v>877</v>
      </c>
      <c r="C174" s="46">
        <v>40</v>
      </c>
      <c r="D174" s="50">
        <v>0.17530000000000001</v>
      </c>
      <c r="E174" s="48">
        <v>0</v>
      </c>
      <c r="F174" s="46">
        <v>94.908040279999994</v>
      </c>
      <c r="G174" s="46">
        <f t="shared" si="2"/>
        <v>88385.830114550728</v>
      </c>
    </row>
    <row r="175" spans="1:7" x14ac:dyDescent="0.4">
      <c r="A175" s="46">
        <v>155</v>
      </c>
      <c r="B175" s="46" t="s">
        <v>637</v>
      </c>
      <c r="C175" s="46">
        <v>40</v>
      </c>
      <c r="D175" s="50">
        <v>2.34E+19</v>
      </c>
      <c r="E175" s="48">
        <v>2.8000000000000001E-2</v>
      </c>
      <c r="F175" s="46">
        <v>95.908277620000007</v>
      </c>
      <c r="G175" s="46">
        <f t="shared" si="2"/>
        <v>89317.545195336701</v>
      </c>
    </row>
    <row r="176" spans="1:7" x14ac:dyDescent="0.4">
      <c r="A176" s="45">
        <v>156</v>
      </c>
      <c r="B176" s="45" t="s">
        <v>878</v>
      </c>
      <c r="C176" s="45">
        <v>41</v>
      </c>
      <c r="D176" s="49">
        <v>680</v>
      </c>
      <c r="E176" s="47">
        <v>0</v>
      </c>
      <c r="F176" s="45">
        <v>90.906990300000004</v>
      </c>
      <c r="G176" s="45">
        <f t="shared" si="2"/>
        <v>84658.365065529913</v>
      </c>
    </row>
    <row r="177" spans="1:7" x14ac:dyDescent="0.4">
      <c r="A177" s="45">
        <v>157</v>
      </c>
      <c r="B177" s="45" t="s">
        <v>879</v>
      </c>
      <c r="C177" s="45">
        <v>41</v>
      </c>
      <c r="D177" s="49">
        <v>34700000</v>
      </c>
      <c r="E177" s="47">
        <v>0</v>
      </c>
      <c r="F177" s="45">
        <v>91.907188599999998</v>
      </c>
      <c r="G177" s="45">
        <f t="shared" si="2"/>
        <v>85590.043780790103</v>
      </c>
    </row>
    <row r="178" spans="1:7" x14ac:dyDescent="0.4">
      <c r="A178" s="45">
        <v>158</v>
      </c>
      <c r="B178" s="53" t="s">
        <v>638</v>
      </c>
      <c r="C178" s="45">
        <v>41</v>
      </c>
      <c r="D178" s="49" t="s">
        <v>838</v>
      </c>
      <c r="E178" s="47">
        <v>1</v>
      </c>
      <c r="F178" s="45">
        <v>92.906378099999998</v>
      </c>
      <c r="G178" s="45">
        <f t="shared" si="2"/>
        <v>86520.782804903109</v>
      </c>
    </row>
    <row r="179" spans="1:7" x14ac:dyDescent="0.4">
      <c r="A179" s="45">
        <v>159</v>
      </c>
      <c r="B179" s="45" t="s">
        <v>880</v>
      </c>
      <c r="C179" s="45">
        <v>41</v>
      </c>
      <c r="D179" s="49">
        <v>20400</v>
      </c>
      <c r="E179" s="47">
        <v>0</v>
      </c>
      <c r="F179" s="45">
        <v>93.907279000000003</v>
      </c>
      <c r="G179" s="45">
        <f t="shared" si="2"/>
        <v>87453.115987847705</v>
      </c>
    </row>
    <row r="180" spans="1:7" x14ac:dyDescent="0.4">
      <c r="A180" s="46">
        <v>160</v>
      </c>
      <c r="B180" s="46" t="s">
        <v>639</v>
      </c>
      <c r="C180" s="46">
        <v>42</v>
      </c>
      <c r="D180" s="50" t="s">
        <v>838</v>
      </c>
      <c r="E180" s="48">
        <v>0.14699999999999999</v>
      </c>
      <c r="F180" s="46">
        <v>91.906807150000006</v>
      </c>
      <c r="G180" s="46">
        <f t="shared" si="2"/>
        <v>85589.177463453118</v>
      </c>
    </row>
    <row r="181" spans="1:7" x14ac:dyDescent="0.4">
      <c r="A181" s="46">
        <v>161</v>
      </c>
      <c r="B181" s="46" t="s">
        <v>881</v>
      </c>
      <c r="C181" s="46">
        <v>42</v>
      </c>
      <c r="D181" s="50">
        <v>4839</v>
      </c>
      <c r="E181" s="48">
        <v>0</v>
      </c>
      <c r="F181" s="46">
        <v>92.906808769999998</v>
      </c>
      <c r="G181" s="46">
        <f t="shared" si="2"/>
        <v>86520.672972473389</v>
      </c>
    </row>
    <row r="182" spans="1:7" x14ac:dyDescent="0.4">
      <c r="A182" s="46">
        <v>162</v>
      </c>
      <c r="B182" s="46" t="s">
        <v>640</v>
      </c>
      <c r="C182" s="46">
        <v>42</v>
      </c>
      <c r="D182" s="50" t="s">
        <v>838</v>
      </c>
      <c r="E182" s="48">
        <v>9.1899999999999996E-2</v>
      </c>
      <c r="F182" s="46">
        <v>93.905083590000004</v>
      </c>
      <c r="G182" s="46">
        <f t="shared" si="2"/>
        <v>87450.559977654484</v>
      </c>
    </row>
    <row r="183" spans="1:7" x14ac:dyDescent="0.4">
      <c r="A183" s="46">
        <v>163</v>
      </c>
      <c r="B183" s="46" t="s">
        <v>641</v>
      </c>
      <c r="C183" s="46">
        <v>42</v>
      </c>
      <c r="D183" s="50" t="s">
        <v>838</v>
      </c>
      <c r="E183" s="48">
        <v>0.159</v>
      </c>
      <c r="F183" s="46">
        <v>94.905837439999999</v>
      </c>
      <c r="G183" s="46">
        <f t="shared" si="2"/>
        <v>88382.756184406375</v>
      </c>
    </row>
    <row r="184" spans="1:7" x14ac:dyDescent="0.4">
      <c r="A184" s="46">
        <v>164</v>
      </c>
      <c r="B184" s="46" t="s">
        <v>642</v>
      </c>
      <c r="C184" s="46">
        <v>42</v>
      </c>
      <c r="D184" s="50" t="s">
        <v>838</v>
      </c>
      <c r="E184" s="48">
        <v>0.16700000000000001</v>
      </c>
      <c r="F184" s="46">
        <v>95.90467477</v>
      </c>
      <c r="G184" s="46">
        <f t="shared" si="2"/>
        <v>89313.167164277402</v>
      </c>
    </row>
    <row r="185" spans="1:7" x14ac:dyDescent="0.4">
      <c r="A185" s="46">
        <v>165</v>
      </c>
      <c r="B185" s="46" t="s">
        <v>643</v>
      </c>
      <c r="C185" s="46">
        <v>42</v>
      </c>
      <c r="D185" s="50" t="s">
        <v>838</v>
      </c>
      <c r="E185" s="48">
        <v>9.5799999999999996E-2</v>
      </c>
      <c r="F185" s="46">
        <v>96.906016899999997</v>
      </c>
      <c r="G185" s="46">
        <f t="shared" si="2"/>
        <v>90245.911350319613</v>
      </c>
    </row>
    <row r="186" spans="1:7" x14ac:dyDescent="0.4">
      <c r="A186" s="46">
        <v>166</v>
      </c>
      <c r="B186" s="57" t="s">
        <v>644</v>
      </c>
      <c r="C186" s="46">
        <v>42</v>
      </c>
      <c r="D186" s="50" t="s">
        <v>838</v>
      </c>
      <c r="E186" s="48">
        <v>0.24299999999999999</v>
      </c>
      <c r="F186" s="46">
        <v>97.905404820000001</v>
      </c>
      <c r="G186" s="46">
        <f t="shared" si="2"/>
        <v>91176.835201472102</v>
      </c>
    </row>
    <row r="187" spans="1:7" x14ac:dyDescent="0.4">
      <c r="A187" s="46">
        <v>167</v>
      </c>
      <c r="B187" s="46" t="s">
        <v>645</v>
      </c>
      <c r="C187" s="46">
        <v>42</v>
      </c>
      <c r="D187" s="50">
        <v>7.07E+18</v>
      </c>
      <c r="E187" s="48">
        <v>9.74E-2</v>
      </c>
      <c r="F187" s="46">
        <v>99.907467999999994</v>
      </c>
      <c r="G187" s="46">
        <f t="shared" si="2"/>
        <v>93041.745041263013</v>
      </c>
    </row>
    <row r="188" spans="1:7" x14ac:dyDescent="0.4">
      <c r="A188" s="45">
        <v>168</v>
      </c>
      <c r="B188" s="45" t="s">
        <v>882</v>
      </c>
      <c r="C188" s="45">
        <v>43</v>
      </c>
      <c r="D188" s="49">
        <v>4210000</v>
      </c>
      <c r="E188" s="47">
        <v>0</v>
      </c>
      <c r="F188" s="45">
        <v>96.906360699999993</v>
      </c>
      <c r="G188" s="45">
        <f t="shared" si="2"/>
        <v>90245.720599006119</v>
      </c>
    </row>
    <row r="189" spans="1:7" x14ac:dyDescent="0.4">
      <c r="A189" s="45">
        <v>169</v>
      </c>
      <c r="B189" s="45" t="s">
        <v>646</v>
      </c>
      <c r="C189" s="45">
        <v>43</v>
      </c>
      <c r="D189" s="49">
        <v>4200000</v>
      </c>
      <c r="E189" s="47">
        <v>0</v>
      </c>
      <c r="F189" s="45">
        <v>97.907211200000006</v>
      </c>
      <c r="G189" s="45">
        <f t="shared" si="2"/>
        <v>91178.006834653133</v>
      </c>
    </row>
    <row r="190" spans="1:7" x14ac:dyDescent="0.4">
      <c r="A190" s="45">
        <v>170</v>
      </c>
      <c r="B190" s="45" t="s">
        <v>647</v>
      </c>
      <c r="C190" s="45">
        <v>43</v>
      </c>
      <c r="D190" s="49">
        <v>211100</v>
      </c>
      <c r="E190" s="47">
        <v>0</v>
      </c>
      <c r="F190" s="45">
        <v>98.906249680000002</v>
      </c>
      <c r="G190" s="45">
        <f t="shared" si="2"/>
        <v>92108.605184542248</v>
      </c>
    </row>
    <row r="191" spans="1:7" x14ac:dyDescent="0.4">
      <c r="A191" s="46">
        <v>171</v>
      </c>
      <c r="B191" s="46" t="s">
        <v>648</v>
      </c>
      <c r="C191" s="46">
        <v>44</v>
      </c>
      <c r="D191" s="50" t="s">
        <v>838</v>
      </c>
      <c r="E191" s="48">
        <v>5.5399999999999998E-2</v>
      </c>
      <c r="F191" s="46">
        <v>95.907588910000001</v>
      </c>
      <c r="G191" s="46">
        <f t="shared" si="2"/>
        <v>89314.859670301186</v>
      </c>
    </row>
    <row r="192" spans="1:7" x14ac:dyDescent="0.4">
      <c r="A192" s="46">
        <v>172</v>
      </c>
      <c r="B192" s="46" t="s">
        <v>649</v>
      </c>
      <c r="C192" s="46">
        <v>44</v>
      </c>
      <c r="D192" s="50" t="s">
        <v>838</v>
      </c>
      <c r="E192" s="48">
        <v>1.8700000000000001E-2</v>
      </c>
      <c r="F192" s="46">
        <v>97.905286700000005</v>
      </c>
      <c r="G192" s="46">
        <f t="shared" si="2"/>
        <v>91175.703175499439</v>
      </c>
    </row>
    <row r="193" spans="1:7" x14ac:dyDescent="0.4">
      <c r="A193" s="46">
        <v>173</v>
      </c>
      <c r="B193" s="46" t="s">
        <v>650</v>
      </c>
      <c r="C193" s="46">
        <v>44</v>
      </c>
      <c r="D193" s="50" t="s">
        <v>838</v>
      </c>
      <c r="E193" s="48">
        <v>0.128</v>
      </c>
      <c r="F193" s="46">
        <v>98.905930280000007</v>
      </c>
      <c r="G193" s="46">
        <f t="shared" si="2"/>
        <v>92107.796666407972</v>
      </c>
    </row>
    <row r="194" spans="1:7" x14ac:dyDescent="0.4">
      <c r="A194" s="46">
        <v>174</v>
      </c>
      <c r="B194" s="46" t="s">
        <v>651</v>
      </c>
      <c r="C194" s="46">
        <v>44</v>
      </c>
      <c r="D194" s="50" t="s">
        <v>838</v>
      </c>
      <c r="E194" s="48">
        <v>0.126</v>
      </c>
      <c r="F194" s="46">
        <v>99.904210460000002</v>
      </c>
      <c r="G194" s="46">
        <f t="shared" si="2"/>
        <v>93037.688664396876</v>
      </c>
    </row>
    <row r="195" spans="1:7" x14ac:dyDescent="0.4">
      <c r="A195" s="46">
        <v>175</v>
      </c>
      <c r="B195" s="56" t="s">
        <v>652</v>
      </c>
      <c r="C195" s="46">
        <v>44</v>
      </c>
      <c r="D195" s="50" t="s">
        <v>838</v>
      </c>
      <c r="E195" s="48">
        <v>0.17100000000000001</v>
      </c>
      <c r="F195" s="46">
        <v>100.90557309</v>
      </c>
      <c r="G195" s="46">
        <f t="shared" si="2"/>
        <v>93970.451946066096</v>
      </c>
    </row>
    <row r="196" spans="1:7" x14ac:dyDescent="0.4">
      <c r="A196" s="46">
        <v>176</v>
      </c>
      <c r="B196" s="46" t="s">
        <v>653</v>
      </c>
      <c r="C196" s="46">
        <v>44</v>
      </c>
      <c r="D196" s="50" t="s">
        <v>838</v>
      </c>
      <c r="E196" s="48">
        <v>0.316</v>
      </c>
      <c r="F196" s="46">
        <v>101.90434030999999</v>
      </c>
      <c r="G196" s="46">
        <f t="shared" si="2"/>
        <v>94900.797618892771</v>
      </c>
    </row>
    <row r="197" spans="1:7" x14ac:dyDescent="0.4">
      <c r="A197" s="46">
        <v>177</v>
      </c>
      <c r="B197" s="46" t="s">
        <v>654</v>
      </c>
      <c r="C197" s="46">
        <v>44</v>
      </c>
      <c r="D197" s="50" t="s">
        <v>838</v>
      </c>
      <c r="E197" s="48">
        <v>0.186</v>
      </c>
      <c r="F197" s="46">
        <v>103.9054253</v>
      </c>
      <c r="G197" s="46">
        <f t="shared" si="2"/>
        <v>96764.79628056784</v>
      </c>
    </row>
    <row r="198" spans="1:7" x14ac:dyDescent="0.4">
      <c r="A198" s="46">
        <v>178</v>
      </c>
      <c r="B198" s="55" t="s">
        <v>655</v>
      </c>
      <c r="C198" s="46">
        <v>44</v>
      </c>
      <c r="D198" s="50">
        <v>1.018</v>
      </c>
      <c r="E198" s="48">
        <v>0</v>
      </c>
      <c r="F198" s="46">
        <v>105.907329</v>
      </c>
      <c r="G198" s="46">
        <f t="shared" si="2"/>
        <v>98629.55756569565</v>
      </c>
    </row>
    <row r="199" spans="1:7" x14ac:dyDescent="0.4">
      <c r="A199" s="45">
        <v>179</v>
      </c>
      <c r="B199" s="45" t="s">
        <v>883</v>
      </c>
      <c r="C199" s="45">
        <v>45</v>
      </c>
      <c r="D199" s="49">
        <v>4.07</v>
      </c>
      <c r="E199" s="47">
        <v>0</v>
      </c>
      <c r="F199" s="45">
        <v>100.90615889999999</v>
      </c>
      <c r="G199" s="45">
        <f t="shared" si="2"/>
        <v>93970.486625615551</v>
      </c>
    </row>
    <row r="200" spans="1:7" x14ac:dyDescent="0.4">
      <c r="A200" s="45">
        <v>180</v>
      </c>
      <c r="B200" s="45" t="s">
        <v>884</v>
      </c>
      <c r="C200" s="45">
        <v>45</v>
      </c>
      <c r="D200" s="49">
        <v>0.56669999999999998</v>
      </c>
      <c r="E200" s="47">
        <v>0</v>
      </c>
      <c r="F200" s="45">
        <v>101.9068343</v>
      </c>
      <c r="G200" s="45">
        <f t="shared" si="2"/>
        <v>94902.609756663151</v>
      </c>
    </row>
    <row r="201" spans="1:7" x14ac:dyDescent="0.4">
      <c r="A201" s="45">
        <v>181</v>
      </c>
      <c r="B201" s="52" t="s">
        <v>656</v>
      </c>
      <c r="C201" s="45">
        <v>45</v>
      </c>
      <c r="D201" s="49" t="s">
        <v>838</v>
      </c>
      <c r="E201" s="47">
        <v>1</v>
      </c>
      <c r="F201" s="45">
        <v>102.9054941</v>
      </c>
      <c r="G201" s="45">
        <f t="shared" si="2"/>
        <v>95832.855368404344</v>
      </c>
    </row>
    <row r="202" spans="1:7" x14ac:dyDescent="0.4">
      <c r="A202" s="46">
        <v>182</v>
      </c>
      <c r="B202" s="46" t="s">
        <v>885</v>
      </c>
      <c r="C202" s="46">
        <v>46</v>
      </c>
      <c r="D202" s="50" t="s">
        <v>838</v>
      </c>
      <c r="E202" s="48">
        <v>1.0200000000000001E-2</v>
      </c>
      <c r="F202" s="46">
        <v>101.90563229</v>
      </c>
      <c r="G202" s="46">
        <f t="shared" si="2"/>
        <v>94900.979092609516</v>
      </c>
    </row>
    <row r="203" spans="1:7" x14ac:dyDescent="0.4">
      <c r="A203" s="46">
        <v>183</v>
      </c>
      <c r="B203" s="46" t="s">
        <v>886</v>
      </c>
      <c r="C203" s="46">
        <v>46</v>
      </c>
      <c r="D203" s="50" t="s">
        <v>838</v>
      </c>
      <c r="E203" s="48">
        <v>0.111</v>
      </c>
      <c r="F203" s="46">
        <v>103.9040304</v>
      </c>
      <c r="G203" s="46">
        <f t="shared" si="2"/>
        <v>96762.474941685854</v>
      </c>
    </row>
    <row r="204" spans="1:7" x14ac:dyDescent="0.4">
      <c r="A204" s="46">
        <v>184</v>
      </c>
      <c r="B204" s="46" t="s">
        <v>887</v>
      </c>
      <c r="C204" s="46">
        <v>46</v>
      </c>
      <c r="D204" s="50" t="s">
        <v>838</v>
      </c>
      <c r="E204" s="48">
        <v>0.223</v>
      </c>
      <c r="F204" s="46">
        <v>104.9050795</v>
      </c>
      <c r="G204" s="46">
        <f t="shared" si="2"/>
        <v>97694.946172041266</v>
      </c>
    </row>
    <row r="205" spans="1:7" x14ac:dyDescent="0.4">
      <c r="A205" s="46">
        <v>185</v>
      </c>
      <c r="B205" s="56" t="s">
        <v>657</v>
      </c>
      <c r="C205" s="46">
        <v>46</v>
      </c>
      <c r="D205" s="50" t="s">
        <v>838</v>
      </c>
      <c r="E205" s="48">
        <v>0.27300000000000002</v>
      </c>
      <c r="F205" s="46">
        <v>105.9034803</v>
      </c>
      <c r="G205" s="46">
        <f t="shared" si="2"/>
        <v>98624.950526836459</v>
      </c>
    </row>
    <row r="206" spans="1:7" x14ac:dyDescent="0.4">
      <c r="A206" s="46">
        <v>186</v>
      </c>
      <c r="B206" s="46" t="s">
        <v>888</v>
      </c>
      <c r="C206" s="46">
        <v>46</v>
      </c>
      <c r="D206" s="50">
        <v>6500000</v>
      </c>
      <c r="E206" s="48">
        <v>0</v>
      </c>
      <c r="F206" s="46">
        <v>106.9051281</v>
      </c>
      <c r="G206" s="46">
        <f t="shared" si="2"/>
        <v>99557.979442649666</v>
      </c>
    </row>
    <row r="207" spans="1:7" x14ac:dyDescent="0.4">
      <c r="A207" s="46">
        <v>187</v>
      </c>
      <c r="B207" s="46" t="s">
        <v>889</v>
      </c>
      <c r="C207" s="46">
        <v>46</v>
      </c>
      <c r="D207" s="50" t="s">
        <v>838</v>
      </c>
      <c r="E207" s="48">
        <v>0.26500000000000001</v>
      </c>
      <c r="F207" s="46">
        <v>107.9038918</v>
      </c>
      <c r="G207" s="46">
        <f t="shared" si="2"/>
        <v>100488.32183661746</v>
      </c>
    </row>
    <row r="208" spans="1:7" x14ac:dyDescent="0.4">
      <c r="A208" s="46">
        <v>188</v>
      </c>
      <c r="B208" s="46" t="s">
        <v>890</v>
      </c>
      <c r="C208" s="46">
        <v>46</v>
      </c>
      <c r="D208" s="50" t="s">
        <v>838</v>
      </c>
      <c r="E208" s="48">
        <v>0.11700000000000001</v>
      </c>
      <c r="F208" s="46">
        <v>109.90517287999999</v>
      </c>
      <c r="G208" s="46">
        <f t="shared" si="2"/>
        <v>102352.50315495097</v>
      </c>
    </row>
    <row r="209" spans="1:7" x14ac:dyDescent="0.4">
      <c r="A209" s="45">
        <v>189</v>
      </c>
      <c r="B209" s="53" t="s">
        <v>658</v>
      </c>
      <c r="C209" s="45">
        <v>47</v>
      </c>
      <c r="D209" s="49" t="s">
        <v>838</v>
      </c>
      <c r="E209" s="47">
        <v>0.51800000000000002</v>
      </c>
      <c r="F209" s="45">
        <v>106.905097</v>
      </c>
      <c r="G209" s="45">
        <f t="shared" si="2"/>
        <v>99557.439474235565</v>
      </c>
    </row>
    <row r="210" spans="1:7" x14ac:dyDescent="0.4">
      <c r="A210" s="45">
        <v>190</v>
      </c>
      <c r="B210" s="45" t="s">
        <v>659</v>
      </c>
      <c r="C210" s="45">
        <v>47</v>
      </c>
      <c r="D210" s="49" t="s">
        <v>838</v>
      </c>
      <c r="E210" s="47">
        <v>0.48199999999999998</v>
      </c>
      <c r="F210" s="45">
        <v>108.904752</v>
      </c>
      <c r="G210" s="45">
        <f t="shared" si="2"/>
        <v>101420.10610880557</v>
      </c>
    </row>
    <row r="211" spans="1:7" x14ac:dyDescent="0.4">
      <c r="A211" s="46">
        <v>191</v>
      </c>
      <c r="B211" s="46" t="s">
        <v>891</v>
      </c>
      <c r="C211" s="46">
        <v>48</v>
      </c>
      <c r="D211" s="50" t="s">
        <v>838</v>
      </c>
      <c r="E211" s="48">
        <v>1.2500000000000001E-2</v>
      </c>
      <c r="F211" s="46">
        <v>105.90645979999999</v>
      </c>
      <c r="G211" s="46">
        <f t="shared" si="2"/>
        <v>98626.70391530807</v>
      </c>
    </row>
    <row r="212" spans="1:7" x14ac:dyDescent="0.4">
      <c r="A212" s="46">
        <v>192</v>
      </c>
      <c r="B212" s="46" t="s">
        <v>892</v>
      </c>
      <c r="C212" s="46">
        <v>48</v>
      </c>
      <c r="D212" s="50" t="s">
        <v>838</v>
      </c>
      <c r="E212" s="48">
        <v>8.8999999999999999E-3</v>
      </c>
      <c r="F212" s="46">
        <v>107.9041836</v>
      </c>
      <c r="G212" s="46">
        <f t="shared" ref="G212:G275" si="3">F212*amu-C212*m_e</f>
        <v>100487.57164866528</v>
      </c>
    </row>
    <row r="213" spans="1:7" x14ac:dyDescent="0.4">
      <c r="A213" s="46">
        <v>193</v>
      </c>
      <c r="B213" s="46" t="s">
        <v>893</v>
      </c>
      <c r="C213" s="46">
        <v>48</v>
      </c>
      <c r="D213" s="50">
        <v>1.2629999999999999</v>
      </c>
      <c r="E213" s="48">
        <v>0</v>
      </c>
      <c r="F213" s="46">
        <v>108.90498669999999</v>
      </c>
      <c r="G213" s="46">
        <f t="shared" si="3"/>
        <v>101419.81373149667</v>
      </c>
    </row>
    <row r="214" spans="1:7" x14ac:dyDescent="0.4">
      <c r="A214" s="46">
        <v>194</v>
      </c>
      <c r="B214" s="46" t="s">
        <v>894</v>
      </c>
      <c r="C214" s="46">
        <v>48</v>
      </c>
      <c r="D214" s="50" t="s">
        <v>838</v>
      </c>
      <c r="E214" s="48">
        <v>0.125</v>
      </c>
      <c r="F214" s="46">
        <v>109.90300747000001</v>
      </c>
      <c r="G214" s="46">
        <f t="shared" si="3"/>
        <v>102349.46409062707</v>
      </c>
    </row>
    <row r="215" spans="1:7" x14ac:dyDescent="0.4">
      <c r="A215" s="46">
        <v>195</v>
      </c>
      <c r="B215" s="46" t="s">
        <v>895</v>
      </c>
      <c r="C215" s="46">
        <v>48</v>
      </c>
      <c r="D215" s="50" t="s">
        <v>838</v>
      </c>
      <c r="E215" s="48">
        <v>0.128</v>
      </c>
      <c r="F215" s="46">
        <v>110.90418378</v>
      </c>
      <c r="G215" s="46">
        <f t="shared" si="3"/>
        <v>103282.0538163342</v>
      </c>
    </row>
    <row r="216" spans="1:7" x14ac:dyDescent="0.4">
      <c r="A216" s="46">
        <v>196</v>
      </c>
      <c r="B216" s="46" t="s">
        <v>896</v>
      </c>
      <c r="C216" s="46">
        <v>48</v>
      </c>
      <c r="D216" s="50" t="s">
        <v>838</v>
      </c>
      <c r="E216" s="48">
        <v>0.24099999999999999</v>
      </c>
      <c r="F216" s="46">
        <v>111.9027639</v>
      </c>
      <c r="G216" s="46">
        <f t="shared" si="3"/>
        <v>104212.22520663348</v>
      </c>
    </row>
    <row r="217" spans="1:7" x14ac:dyDescent="0.4">
      <c r="A217" s="46">
        <v>197</v>
      </c>
      <c r="B217" s="46" t="s">
        <v>897</v>
      </c>
      <c r="C217" s="46">
        <v>48</v>
      </c>
      <c r="D217" s="50">
        <v>8040000000000000</v>
      </c>
      <c r="E217" s="48">
        <v>0.122</v>
      </c>
      <c r="F217" s="46">
        <v>112.90440811000001</v>
      </c>
      <c r="G217" s="46">
        <f t="shared" si="3"/>
        <v>105145.25077838323</v>
      </c>
    </row>
    <row r="218" spans="1:7" x14ac:dyDescent="0.4">
      <c r="A218" s="46">
        <v>198</v>
      </c>
      <c r="B218" s="56" t="s">
        <v>660</v>
      </c>
      <c r="C218" s="46">
        <v>48</v>
      </c>
      <c r="D218" s="50" t="s">
        <v>838</v>
      </c>
      <c r="E218" s="48">
        <v>0.28799999999999998</v>
      </c>
      <c r="F218" s="46">
        <v>113.90336499999999</v>
      </c>
      <c r="G218" s="46">
        <f t="shared" si="3"/>
        <v>106075.77312767688</v>
      </c>
    </row>
    <row r="219" spans="1:7" x14ac:dyDescent="0.4">
      <c r="A219" s="46">
        <v>199</v>
      </c>
      <c r="B219" s="46" t="s">
        <v>898</v>
      </c>
      <c r="C219" s="46">
        <v>48</v>
      </c>
      <c r="D219" s="50">
        <v>2.69E+19</v>
      </c>
      <c r="E219" s="48">
        <v>7.51E-2</v>
      </c>
      <c r="F219" s="46">
        <v>115.90476323</v>
      </c>
      <c r="G219" s="46">
        <f t="shared" si="3"/>
        <v>107940.0635705325</v>
      </c>
    </row>
    <row r="220" spans="1:7" x14ac:dyDescent="0.4">
      <c r="A220" s="45">
        <v>200</v>
      </c>
      <c r="B220" s="45" t="s">
        <v>661</v>
      </c>
      <c r="C220" s="45">
        <v>49</v>
      </c>
      <c r="D220" s="49" t="s">
        <v>838</v>
      </c>
      <c r="E220" s="47" t="s">
        <v>899</v>
      </c>
      <c r="F220" s="45">
        <v>112.90406045</v>
      </c>
      <c r="G220" s="45">
        <f t="shared" si="3"/>
        <v>105144.4159362285</v>
      </c>
    </row>
    <row r="221" spans="1:7" x14ac:dyDescent="0.4">
      <c r="A221" s="45">
        <v>201</v>
      </c>
      <c r="B221" s="52" t="s">
        <v>662</v>
      </c>
      <c r="C221" s="45">
        <v>49</v>
      </c>
      <c r="D221" s="49">
        <v>441000000000000</v>
      </c>
      <c r="E221" s="47">
        <v>0.95699999999999996</v>
      </c>
      <c r="F221" s="45">
        <v>114.903878772</v>
      </c>
      <c r="G221" s="45">
        <f t="shared" si="3"/>
        <v>107007.23470426156</v>
      </c>
    </row>
    <row r="222" spans="1:7" x14ac:dyDescent="0.4">
      <c r="A222" s="46">
        <v>202</v>
      </c>
      <c r="B222" s="46" t="s">
        <v>663</v>
      </c>
      <c r="C222" s="46">
        <v>50</v>
      </c>
      <c r="D222" s="50" t="s">
        <v>838</v>
      </c>
      <c r="E222" s="48">
        <v>9.7000000000000003E-3</v>
      </c>
      <c r="F222" s="46">
        <v>111.90482489999999</v>
      </c>
      <c r="G222" s="46">
        <f t="shared" si="3"/>
        <v>104213.12301786611</v>
      </c>
    </row>
    <row r="223" spans="1:7" x14ac:dyDescent="0.4">
      <c r="A223" s="46">
        <v>203</v>
      </c>
      <c r="B223" s="46" t="s">
        <v>900</v>
      </c>
      <c r="C223" s="46">
        <v>50</v>
      </c>
      <c r="D223" s="50">
        <v>0.31509999999999999</v>
      </c>
      <c r="E223" s="48">
        <v>0</v>
      </c>
      <c r="F223" s="46">
        <v>112.9051759</v>
      </c>
      <c r="G223" s="46">
        <f t="shared" si="3"/>
        <v>105144.94397226011</v>
      </c>
    </row>
    <row r="224" spans="1:7" x14ac:dyDescent="0.4">
      <c r="A224" s="46">
        <v>204</v>
      </c>
      <c r="B224" s="46" t="s">
        <v>664</v>
      </c>
      <c r="C224" s="46">
        <v>50</v>
      </c>
      <c r="D224" s="50" t="s">
        <v>838</v>
      </c>
      <c r="E224" s="48">
        <v>6.6E-3</v>
      </c>
      <c r="F224" s="46">
        <v>113.90278013</v>
      </c>
      <c r="G224" s="46">
        <f t="shared" si="3"/>
        <v>106074.20632687972</v>
      </c>
    </row>
    <row r="225" spans="1:7" x14ac:dyDescent="0.4">
      <c r="A225" s="46">
        <v>205</v>
      </c>
      <c r="B225" s="46" t="s">
        <v>665</v>
      </c>
      <c r="C225" s="46">
        <v>50</v>
      </c>
      <c r="D225" s="50" t="s">
        <v>838</v>
      </c>
      <c r="E225" s="48">
        <v>3.3999999999999998E-3</v>
      </c>
      <c r="F225" s="46">
        <v>114.903344695</v>
      </c>
      <c r="G225" s="46">
        <f t="shared" si="3"/>
        <v>107006.22621578984</v>
      </c>
    </row>
    <row r="226" spans="1:7" x14ac:dyDescent="0.4">
      <c r="A226" s="46">
        <v>206</v>
      </c>
      <c r="B226" s="46" t="s">
        <v>666</v>
      </c>
      <c r="C226" s="46">
        <v>50</v>
      </c>
      <c r="D226" s="50" t="s">
        <v>838</v>
      </c>
      <c r="E226" s="48">
        <v>0.14499999999999999</v>
      </c>
      <c r="F226" s="46">
        <v>115.90174283</v>
      </c>
      <c r="G226" s="46">
        <f t="shared" si="3"/>
        <v>107936.22808815353</v>
      </c>
    </row>
    <row r="227" spans="1:7" x14ac:dyDescent="0.4">
      <c r="A227" s="46">
        <v>207</v>
      </c>
      <c r="B227" s="46" t="s">
        <v>667</v>
      </c>
      <c r="C227" s="46">
        <v>50</v>
      </c>
      <c r="D227" s="50" t="s">
        <v>838</v>
      </c>
      <c r="E227" s="48">
        <v>7.6799999999999993E-2</v>
      </c>
      <c r="F227" s="46">
        <v>116.90295404</v>
      </c>
      <c r="G227" s="46">
        <f t="shared" si="3"/>
        <v>108868.85032300126</v>
      </c>
    </row>
    <row r="228" spans="1:7" x14ac:dyDescent="0.4">
      <c r="A228" s="46">
        <v>208</v>
      </c>
      <c r="B228" s="46" t="s">
        <v>668</v>
      </c>
      <c r="C228" s="46">
        <v>50</v>
      </c>
      <c r="D228" s="50" t="s">
        <v>838</v>
      </c>
      <c r="E228" s="48">
        <v>0.24199999999999999</v>
      </c>
      <c r="F228" s="46">
        <v>117.90160663</v>
      </c>
      <c r="G228" s="46">
        <f t="shared" si="3"/>
        <v>109799.08921867072</v>
      </c>
    </row>
    <row r="229" spans="1:7" x14ac:dyDescent="0.4">
      <c r="A229" s="46">
        <v>209</v>
      </c>
      <c r="B229" s="46" t="s">
        <v>669</v>
      </c>
      <c r="C229" s="46">
        <v>50</v>
      </c>
      <c r="D229" s="50" t="s">
        <v>838</v>
      </c>
      <c r="E229" s="48">
        <v>8.5900000000000004E-2</v>
      </c>
      <c r="F229" s="46">
        <v>118.90331127</v>
      </c>
      <c r="G229" s="46">
        <f t="shared" si="3"/>
        <v>110732.17108060289</v>
      </c>
    </row>
    <row r="230" spans="1:7" x14ac:dyDescent="0.4">
      <c r="A230" s="46">
        <v>210</v>
      </c>
      <c r="B230" s="57" t="s">
        <v>670</v>
      </c>
      <c r="C230" s="46">
        <v>50</v>
      </c>
      <c r="D230" s="50" t="s">
        <v>838</v>
      </c>
      <c r="E230" s="48">
        <v>0.32600000000000001</v>
      </c>
      <c r="F230" s="46">
        <v>119.9021947</v>
      </c>
      <c r="G230" s="46">
        <f t="shared" si="3"/>
        <v>111662.6250023473</v>
      </c>
    </row>
    <row r="231" spans="1:7" x14ac:dyDescent="0.4">
      <c r="A231" s="46">
        <v>211</v>
      </c>
      <c r="B231" s="46" t="s">
        <v>671</v>
      </c>
      <c r="C231" s="46">
        <v>50</v>
      </c>
      <c r="D231" s="50" t="s">
        <v>838</v>
      </c>
      <c r="E231" s="48">
        <v>4.6300000000000001E-2</v>
      </c>
      <c r="F231" s="46">
        <v>121.9034455</v>
      </c>
      <c r="G231" s="46">
        <f t="shared" si="3"/>
        <v>113526.77811504251</v>
      </c>
    </row>
    <row r="232" spans="1:7" x14ac:dyDescent="0.4">
      <c r="A232" s="46">
        <v>212</v>
      </c>
      <c r="B232" s="46" t="s">
        <v>901</v>
      </c>
      <c r="C232" s="46">
        <v>50</v>
      </c>
      <c r="D232" s="50">
        <v>0.35370000000000001</v>
      </c>
      <c r="E232" s="48">
        <v>0</v>
      </c>
      <c r="F232" s="46">
        <v>122.90572709999999</v>
      </c>
      <c r="G232" s="46">
        <f t="shared" si="3"/>
        <v>114460.3974117529</v>
      </c>
    </row>
    <row r="233" spans="1:7" x14ac:dyDescent="0.4">
      <c r="A233" s="46">
        <v>213</v>
      </c>
      <c r="B233" s="46" t="s">
        <v>672</v>
      </c>
      <c r="C233" s="46">
        <v>50</v>
      </c>
      <c r="D233" s="50" t="s">
        <v>838</v>
      </c>
      <c r="E233" s="48">
        <v>5.79E-2</v>
      </c>
      <c r="F233" s="46">
        <v>123.9052796</v>
      </c>
      <c r="G233" s="46">
        <f t="shared" si="3"/>
        <v>115391.4745681879</v>
      </c>
    </row>
    <row r="234" spans="1:7" x14ac:dyDescent="0.4">
      <c r="A234" s="46">
        <v>214</v>
      </c>
      <c r="B234" s="46" t="s">
        <v>902</v>
      </c>
      <c r="C234" s="46">
        <v>50</v>
      </c>
      <c r="D234" s="50">
        <v>230000</v>
      </c>
      <c r="E234" s="48">
        <v>0</v>
      </c>
      <c r="F234" s="46">
        <v>125.907658</v>
      </c>
      <c r="G234" s="46">
        <f t="shared" si="3"/>
        <v>117256.6780335175</v>
      </c>
    </row>
    <row r="235" spans="1:7" x14ac:dyDescent="0.4">
      <c r="A235" s="45">
        <v>215</v>
      </c>
      <c r="B235" s="52" t="s">
        <v>673</v>
      </c>
      <c r="C235" s="45">
        <v>51</v>
      </c>
      <c r="D235" s="49" t="s">
        <v>838</v>
      </c>
      <c r="E235" s="47">
        <v>0.57199999999999995</v>
      </c>
      <c r="F235" s="45">
        <v>120.9038114</v>
      </c>
      <c r="G235" s="45">
        <f t="shared" si="3"/>
        <v>112595.11394974642</v>
      </c>
    </row>
    <row r="236" spans="1:7" x14ac:dyDescent="0.4">
      <c r="A236" s="45">
        <v>216</v>
      </c>
      <c r="B236" s="45" t="s">
        <v>674</v>
      </c>
      <c r="C236" s="45">
        <v>51</v>
      </c>
      <c r="D236" s="49" t="s">
        <v>838</v>
      </c>
      <c r="E236" s="47">
        <v>0.42799999999999999</v>
      </c>
      <c r="F236" s="45">
        <v>122.9042153</v>
      </c>
      <c r="G236" s="45">
        <f t="shared" si="3"/>
        <v>114458.47818017301</v>
      </c>
    </row>
    <row r="237" spans="1:7" x14ac:dyDescent="0.4">
      <c r="A237" s="45">
        <v>217</v>
      </c>
      <c r="B237" s="45" t="s">
        <v>903</v>
      </c>
      <c r="C237" s="45">
        <v>51</v>
      </c>
      <c r="D237" s="49">
        <v>2.758</v>
      </c>
      <c r="E237" s="47">
        <v>0</v>
      </c>
      <c r="F237" s="45">
        <v>124.9052543</v>
      </c>
      <c r="G237" s="45">
        <f t="shared" si="3"/>
        <v>116322.43400243901</v>
      </c>
    </row>
    <row r="238" spans="1:7" ht="13.75" customHeight="1" x14ac:dyDescent="0.4">
      <c r="A238" s="46">
        <v>218</v>
      </c>
      <c r="B238" s="46" t="s">
        <v>675</v>
      </c>
      <c r="C238" s="46">
        <v>52</v>
      </c>
      <c r="D238" s="50" t="s">
        <v>838</v>
      </c>
      <c r="E238" s="48">
        <v>8.9999999999999998E-4</v>
      </c>
      <c r="F238" s="46">
        <v>119.9040658</v>
      </c>
      <c r="G238" s="46">
        <f t="shared" si="3"/>
        <v>111663.34592286932</v>
      </c>
    </row>
    <row r="239" spans="1:7" x14ac:dyDescent="0.4">
      <c r="A239" s="46">
        <v>219</v>
      </c>
      <c r="B239" s="46" t="s">
        <v>676</v>
      </c>
      <c r="C239" s="46">
        <v>52</v>
      </c>
      <c r="D239" s="50" t="s">
        <v>838</v>
      </c>
      <c r="E239" s="48">
        <v>2.5499999999999998E-2</v>
      </c>
      <c r="F239" s="46">
        <v>121.9030447</v>
      </c>
      <c r="G239" s="46">
        <f t="shared" si="3"/>
        <v>113525.38277434593</v>
      </c>
    </row>
    <row r="240" spans="1:7" x14ac:dyDescent="0.4">
      <c r="A240" s="46">
        <v>220</v>
      </c>
      <c r="B240" s="46" t="s">
        <v>677</v>
      </c>
      <c r="C240" s="46">
        <v>52</v>
      </c>
      <c r="D240" s="50" t="s">
        <v>838</v>
      </c>
      <c r="E240" s="48">
        <v>8.8999999999999999E-3</v>
      </c>
      <c r="F240" s="46">
        <v>122.90427099999999</v>
      </c>
      <c r="G240" s="46">
        <f t="shared" si="3"/>
        <v>114458.01906543811</v>
      </c>
    </row>
    <row r="241" spans="1:7" x14ac:dyDescent="0.4">
      <c r="A241" s="46">
        <v>221</v>
      </c>
      <c r="B241" s="46" t="s">
        <v>678</v>
      </c>
      <c r="C241" s="46">
        <v>52</v>
      </c>
      <c r="D241" s="50" t="s">
        <v>838</v>
      </c>
      <c r="E241" s="48">
        <v>4.7399999999999998E-2</v>
      </c>
      <c r="F241" s="46">
        <v>123.90281830000001</v>
      </c>
      <c r="G241" s="46">
        <f t="shared" si="3"/>
        <v>115388.15988410433</v>
      </c>
    </row>
    <row r="242" spans="1:7" x14ac:dyDescent="0.4">
      <c r="A242" s="46">
        <v>222</v>
      </c>
      <c r="B242" s="46" t="s">
        <v>679</v>
      </c>
      <c r="C242" s="46">
        <v>52</v>
      </c>
      <c r="D242" s="50" t="s">
        <v>838</v>
      </c>
      <c r="E242" s="48">
        <v>7.0699999999999999E-2</v>
      </c>
      <c r="F242" s="46">
        <v>124.9044312</v>
      </c>
      <c r="G242" s="46">
        <f t="shared" si="3"/>
        <v>116321.15629077693</v>
      </c>
    </row>
    <row r="243" spans="1:7" x14ac:dyDescent="0.4">
      <c r="A243" s="46">
        <v>223</v>
      </c>
      <c r="B243" s="46" t="s">
        <v>680</v>
      </c>
      <c r="C243" s="46">
        <v>52</v>
      </c>
      <c r="D243" s="50" t="s">
        <v>838</v>
      </c>
      <c r="E243" s="48">
        <v>0.188</v>
      </c>
      <c r="F243" s="46">
        <v>125.90331209999999</v>
      </c>
      <c r="G243" s="46">
        <f t="shared" si="3"/>
        <v>117251.60785584152</v>
      </c>
    </row>
    <row r="244" spans="1:7" x14ac:dyDescent="0.4">
      <c r="A244" s="46">
        <v>224</v>
      </c>
      <c r="B244" s="46" t="s">
        <v>681</v>
      </c>
      <c r="C244" s="46">
        <v>52</v>
      </c>
      <c r="D244" s="50">
        <v>2.2500000000000001E+24</v>
      </c>
      <c r="E244" s="48">
        <v>0.317</v>
      </c>
      <c r="F244" s="46">
        <v>127.90446124</v>
      </c>
      <c r="G244" s="46">
        <f t="shared" si="3"/>
        <v>119115.66627285669</v>
      </c>
    </row>
    <row r="245" spans="1:7" x14ac:dyDescent="0.4">
      <c r="A245" s="46">
        <v>225</v>
      </c>
      <c r="B245" s="56" t="s">
        <v>682</v>
      </c>
      <c r="C245" s="46">
        <v>52</v>
      </c>
      <c r="D245" s="50">
        <v>7.9E+20</v>
      </c>
      <c r="E245" s="48">
        <v>0.34100000000000003</v>
      </c>
      <c r="F245" s="46">
        <v>129.90622274500001</v>
      </c>
      <c r="G245" s="46">
        <f t="shared" si="3"/>
        <v>120980.29510419516</v>
      </c>
    </row>
    <row r="246" spans="1:7" x14ac:dyDescent="0.4">
      <c r="A246" s="45">
        <v>226</v>
      </c>
      <c r="B246" s="45" t="s">
        <v>904</v>
      </c>
      <c r="C246" s="45">
        <v>53</v>
      </c>
      <c r="D246" s="49">
        <v>0.16259999999999999</v>
      </c>
      <c r="E246" s="47">
        <v>0</v>
      </c>
      <c r="F246" s="45">
        <v>124.9046306</v>
      </c>
      <c r="G246" s="45">
        <f t="shared" si="3"/>
        <v>116320.83103172985</v>
      </c>
    </row>
    <row r="247" spans="1:7" x14ac:dyDescent="0.4">
      <c r="A247" s="45">
        <v>227</v>
      </c>
      <c r="B247" s="53" t="s">
        <v>683</v>
      </c>
      <c r="C247" s="45">
        <v>53</v>
      </c>
      <c r="D247" s="49" t="s">
        <v>838</v>
      </c>
      <c r="E247" s="47">
        <v>1</v>
      </c>
      <c r="F247" s="45">
        <v>126.904473</v>
      </c>
      <c r="G247" s="45">
        <f t="shared" si="3"/>
        <v>118183.67222827543</v>
      </c>
    </row>
    <row r="248" spans="1:7" x14ac:dyDescent="0.4">
      <c r="A248" s="45">
        <v>228</v>
      </c>
      <c r="B248" s="45" t="s">
        <v>684</v>
      </c>
      <c r="C248" s="45">
        <v>53</v>
      </c>
      <c r="D248" s="49">
        <v>16140000</v>
      </c>
      <c r="E248" s="47">
        <v>0</v>
      </c>
      <c r="F248" s="45">
        <v>128.90498360000001</v>
      </c>
      <c r="G248" s="45">
        <f t="shared" si="3"/>
        <v>120047.13584911184</v>
      </c>
    </row>
    <row r="249" spans="1:7" x14ac:dyDescent="0.4">
      <c r="A249" s="46">
        <v>229</v>
      </c>
      <c r="B249" s="46" t="s">
        <v>685</v>
      </c>
      <c r="C249" s="46">
        <v>54</v>
      </c>
      <c r="D249" s="50">
        <v>1.1E+22</v>
      </c>
      <c r="E249" s="48">
        <v>9.5E-4</v>
      </c>
      <c r="F249" s="46">
        <v>123.9058852</v>
      </c>
      <c r="G249" s="46">
        <f t="shared" si="3"/>
        <v>115389.99468515154</v>
      </c>
    </row>
    <row r="250" spans="1:7" x14ac:dyDescent="0.4">
      <c r="A250" s="46">
        <v>230</v>
      </c>
      <c r="B250" s="46" t="s">
        <v>686</v>
      </c>
      <c r="C250" s="46">
        <v>54</v>
      </c>
      <c r="D250" s="50" t="s">
        <v>838</v>
      </c>
      <c r="E250" s="48">
        <v>8.8999999999999995E-4</v>
      </c>
      <c r="F250" s="46">
        <v>125.904297422</v>
      </c>
      <c r="G250" s="46">
        <f t="shared" si="3"/>
        <v>117251.50367947122</v>
      </c>
    </row>
    <row r="251" spans="1:7" x14ac:dyDescent="0.4">
      <c r="A251" s="46">
        <v>231</v>
      </c>
      <c r="B251" s="46" t="s">
        <v>687</v>
      </c>
      <c r="C251" s="46">
        <v>54</v>
      </c>
      <c r="D251" s="50" t="s">
        <v>838</v>
      </c>
      <c r="E251" s="48">
        <v>1.9099999999999999E-2</v>
      </c>
      <c r="F251" s="46">
        <v>127.90353075340001</v>
      </c>
      <c r="G251" s="46">
        <f t="shared" si="3"/>
        <v>119113.77753227034</v>
      </c>
    </row>
    <row r="252" spans="1:7" x14ac:dyDescent="0.4">
      <c r="A252" s="46">
        <v>232</v>
      </c>
      <c r="B252" s="46" t="s">
        <v>688</v>
      </c>
      <c r="C252" s="46">
        <v>54</v>
      </c>
      <c r="D252" s="50" t="s">
        <v>838</v>
      </c>
      <c r="E252" s="48">
        <v>0.26400000000000001</v>
      </c>
      <c r="F252" s="46">
        <v>128.9047808574</v>
      </c>
      <c r="G252" s="46">
        <f t="shared" si="3"/>
        <v>120046.4359966457</v>
      </c>
    </row>
    <row r="253" spans="1:7" x14ac:dyDescent="0.4">
      <c r="A253" s="46">
        <v>233</v>
      </c>
      <c r="B253" s="46" t="s">
        <v>689</v>
      </c>
      <c r="C253" s="46">
        <v>54</v>
      </c>
      <c r="D253" s="50" t="s">
        <v>838</v>
      </c>
      <c r="E253" s="48">
        <v>4.07E-2</v>
      </c>
      <c r="F253" s="46">
        <v>129.90350934599999</v>
      </c>
      <c r="G253" s="46">
        <f t="shared" si="3"/>
        <v>120976.74559140566</v>
      </c>
    </row>
    <row r="254" spans="1:7" x14ac:dyDescent="0.4">
      <c r="A254" s="46">
        <v>234</v>
      </c>
      <c r="B254" s="46" t="s">
        <v>690</v>
      </c>
      <c r="C254" s="46">
        <v>54</v>
      </c>
      <c r="D254" s="50" t="s">
        <v>838</v>
      </c>
      <c r="E254" s="48">
        <v>0.21199999999999999</v>
      </c>
      <c r="F254" s="46">
        <v>130.90508412809999</v>
      </c>
      <c r="G254" s="46">
        <f t="shared" si="3"/>
        <v>121909.70649148311</v>
      </c>
    </row>
    <row r="255" spans="1:7" x14ac:dyDescent="0.4">
      <c r="A255" s="46">
        <v>235</v>
      </c>
      <c r="B255" s="56" t="s">
        <v>691</v>
      </c>
      <c r="C255" s="46">
        <v>54</v>
      </c>
      <c r="D255" s="50" t="s">
        <v>838</v>
      </c>
      <c r="E255" s="48">
        <v>0.26900000000000002</v>
      </c>
      <c r="F255" s="46">
        <v>131.9041550835</v>
      </c>
      <c r="G255" s="46">
        <f t="shared" si="3"/>
        <v>122840.33509201249</v>
      </c>
    </row>
    <row r="256" spans="1:7" x14ac:dyDescent="0.4">
      <c r="A256" s="46">
        <v>236</v>
      </c>
      <c r="B256" s="46" t="s">
        <v>692</v>
      </c>
      <c r="C256" s="46">
        <v>54</v>
      </c>
      <c r="D256" s="50" t="s">
        <v>838</v>
      </c>
      <c r="E256" s="48">
        <v>0.104</v>
      </c>
      <c r="F256" s="46">
        <v>133.90539303</v>
      </c>
      <c r="G256" s="46">
        <f t="shared" si="3"/>
        <v>124704.47623174956</v>
      </c>
    </row>
    <row r="257" spans="1:7" x14ac:dyDescent="0.4">
      <c r="A257" s="46">
        <v>237</v>
      </c>
      <c r="B257" s="46" t="s">
        <v>693</v>
      </c>
      <c r="C257" s="46">
        <v>54</v>
      </c>
      <c r="D257" s="50">
        <v>2.18E+21</v>
      </c>
      <c r="E257" s="48">
        <v>8.8599999999999998E-2</v>
      </c>
      <c r="F257" s="46">
        <v>135.907214474</v>
      </c>
      <c r="G257" s="46">
        <f t="shared" si="3"/>
        <v>126569.1608959069</v>
      </c>
    </row>
    <row r="258" spans="1:7" x14ac:dyDescent="0.4">
      <c r="A258" s="45">
        <v>238</v>
      </c>
      <c r="B258" s="52" t="s">
        <v>694</v>
      </c>
      <c r="C258" s="45">
        <v>55</v>
      </c>
      <c r="D258" s="49" t="s">
        <v>838</v>
      </c>
      <c r="E258" s="47">
        <v>1</v>
      </c>
      <c r="F258" s="45">
        <v>132.90545195799999</v>
      </c>
      <c r="G258" s="45">
        <f t="shared" si="3"/>
        <v>123772.52612387729</v>
      </c>
    </row>
    <row r="259" spans="1:7" x14ac:dyDescent="0.4">
      <c r="A259" s="45">
        <v>239</v>
      </c>
      <c r="B259" s="45" t="s">
        <v>905</v>
      </c>
      <c r="C259" s="45">
        <v>55</v>
      </c>
      <c r="D259" s="49">
        <v>2.0649999999999999</v>
      </c>
      <c r="E259" s="47">
        <v>0</v>
      </c>
      <c r="F259" s="45">
        <v>133.906718501</v>
      </c>
      <c r="G259" s="45">
        <f t="shared" si="3"/>
        <v>124705.19990108255</v>
      </c>
    </row>
    <row r="260" spans="1:7" x14ac:dyDescent="0.4">
      <c r="A260" s="45">
        <v>240</v>
      </c>
      <c r="B260" s="45" t="s">
        <v>695</v>
      </c>
      <c r="C260" s="45">
        <v>55</v>
      </c>
      <c r="D260" s="49">
        <v>1330000</v>
      </c>
      <c r="E260" s="47">
        <v>0</v>
      </c>
      <c r="F260" s="45">
        <v>134.90597690999999</v>
      </c>
      <c r="G260" s="45">
        <f t="shared" si="3"/>
        <v>125636.00311351559</v>
      </c>
    </row>
    <row r="261" spans="1:7" x14ac:dyDescent="0.4">
      <c r="A261" s="45">
        <v>241</v>
      </c>
      <c r="B261" s="54" t="s">
        <v>696</v>
      </c>
      <c r="C261" s="45">
        <v>55</v>
      </c>
      <c r="D261" s="49">
        <v>30.04</v>
      </c>
      <c r="E261" s="47">
        <v>0</v>
      </c>
      <c r="F261" s="45">
        <v>136.90708950000001</v>
      </c>
      <c r="G261" s="45">
        <f t="shared" si="3"/>
        <v>127500.02748442507</v>
      </c>
    </row>
    <row r="262" spans="1:7" x14ac:dyDescent="0.4">
      <c r="A262" s="46">
        <v>242</v>
      </c>
      <c r="B262" s="46" t="s">
        <v>697</v>
      </c>
      <c r="C262" s="46">
        <v>56</v>
      </c>
      <c r="D262" s="50">
        <v>1E+21</v>
      </c>
      <c r="E262" s="48">
        <v>1.1000000000000001E-3</v>
      </c>
      <c r="F262" s="46">
        <v>129.90632600000001</v>
      </c>
      <c r="G262" s="46">
        <f t="shared" si="3"/>
        <v>120978.34728980537</v>
      </c>
    </row>
    <row r="263" spans="1:7" x14ac:dyDescent="0.4">
      <c r="A263" s="46">
        <v>243</v>
      </c>
      <c r="B263" s="46" t="s">
        <v>698</v>
      </c>
      <c r="C263" s="46">
        <v>56</v>
      </c>
      <c r="D263" s="50" t="s">
        <v>838</v>
      </c>
      <c r="E263" s="48">
        <v>1E-3</v>
      </c>
      <c r="F263" s="46">
        <v>131.90506120000001</v>
      </c>
      <c r="G263" s="46">
        <f t="shared" si="3"/>
        <v>122840.15713619418</v>
      </c>
    </row>
    <row r="264" spans="1:7" x14ac:dyDescent="0.4">
      <c r="A264" s="46">
        <v>244</v>
      </c>
      <c r="B264" s="46" t="s">
        <v>906</v>
      </c>
      <c r="C264" s="46">
        <v>56</v>
      </c>
      <c r="D264" s="50">
        <v>10.538</v>
      </c>
      <c r="E264" s="48">
        <v>0</v>
      </c>
      <c r="F264" s="46">
        <v>132.90600739999999</v>
      </c>
      <c r="G264" s="46">
        <f t="shared" si="3"/>
        <v>123772.53251581696</v>
      </c>
    </row>
    <row r="265" spans="1:7" x14ac:dyDescent="0.4">
      <c r="A265" s="46">
        <v>245</v>
      </c>
      <c r="B265" s="46" t="s">
        <v>699</v>
      </c>
      <c r="C265" s="46">
        <v>56</v>
      </c>
      <c r="D265" s="50" t="s">
        <v>838</v>
      </c>
      <c r="E265" s="48">
        <v>2.4199999999999999E-2</v>
      </c>
      <c r="F265" s="46">
        <v>133.90450824999999</v>
      </c>
      <c r="G265" s="46">
        <f t="shared" si="3"/>
        <v>124702.63006658686</v>
      </c>
    </row>
    <row r="266" spans="1:7" x14ac:dyDescent="0.4">
      <c r="A266" s="46">
        <v>246</v>
      </c>
      <c r="B266" s="46" t="s">
        <v>700</v>
      </c>
      <c r="C266" s="46">
        <v>56</v>
      </c>
      <c r="D266" s="50" t="s">
        <v>838</v>
      </c>
      <c r="E266" s="48">
        <v>6.59E-2</v>
      </c>
      <c r="F266" s="46">
        <v>134.90568845000001</v>
      </c>
      <c r="G266" s="46">
        <f t="shared" si="3"/>
        <v>125635.22341580568</v>
      </c>
    </row>
    <row r="267" spans="1:7" x14ac:dyDescent="0.4">
      <c r="A267" s="46">
        <v>247</v>
      </c>
      <c r="B267" s="46" t="s">
        <v>701</v>
      </c>
      <c r="C267" s="46">
        <v>56</v>
      </c>
      <c r="D267" s="50" t="s">
        <v>838</v>
      </c>
      <c r="E267" s="48">
        <v>7.85E-2</v>
      </c>
      <c r="F267" s="46">
        <v>135.9045758</v>
      </c>
      <c r="G267" s="46">
        <f t="shared" si="3"/>
        <v>126565.68098900658</v>
      </c>
    </row>
    <row r="268" spans="1:7" x14ac:dyDescent="0.4">
      <c r="A268" s="46">
        <v>248</v>
      </c>
      <c r="B268" s="46" t="s">
        <v>702</v>
      </c>
      <c r="C268" s="46">
        <v>56</v>
      </c>
      <c r="D268" s="50" t="s">
        <v>838</v>
      </c>
      <c r="E268" s="48">
        <v>0.112</v>
      </c>
      <c r="F268" s="46">
        <v>136.90582721000001</v>
      </c>
      <c r="G268" s="46">
        <f t="shared" si="3"/>
        <v>127498.34066991312</v>
      </c>
    </row>
    <row r="269" spans="1:7" x14ac:dyDescent="0.4">
      <c r="A269" s="46">
        <v>249</v>
      </c>
      <c r="B269" s="57" t="s">
        <v>703</v>
      </c>
      <c r="C269" s="46">
        <v>56</v>
      </c>
      <c r="D269" s="50" t="s">
        <v>838</v>
      </c>
      <c r="E269" s="48">
        <v>0.71699999999999997</v>
      </c>
      <c r="F269" s="46">
        <v>137.90524719999999</v>
      </c>
      <c r="G269" s="46">
        <f t="shared" si="3"/>
        <v>128429.29439407816</v>
      </c>
    </row>
    <row r="270" spans="1:7" x14ac:dyDescent="0.4">
      <c r="A270" s="45">
        <v>250</v>
      </c>
      <c r="B270" s="45" t="s">
        <v>907</v>
      </c>
      <c r="C270" s="45">
        <v>57</v>
      </c>
      <c r="D270" s="49">
        <v>60000</v>
      </c>
      <c r="E270" s="47">
        <v>0</v>
      </c>
      <c r="F270" s="45">
        <v>136.90645040000001</v>
      </c>
      <c r="G270" s="45">
        <f t="shared" si="3"/>
        <v>127498.41016870827</v>
      </c>
    </row>
    <row r="271" spans="1:7" x14ac:dyDescent="0.4">
      <c r="A271" s="45">
        <v>251</v>
      </c>
      <c r="B271" s="45" t="s">
        <v>704</v>
      </c>
      <c r="C271" s="45">
        <v>57</v>
      </c>
      <c r="D271" s="49">
        <v>103000000000</v>
      </c>
      <c r="E271" s="47">
        <v>8.8999999999999995E-4</v>
      </c>
      <c r="F271" s="45">
        <v>137.90712404000001</v>
      </c>
      <c r="G271" s="45">
        <f t="shared" si="3"/>
        <v>128430.53166032644</v>
      </c>
    </row>
    <row r="272" spans="1:7" x14ac:dyDescent="0.4">
      <c r="A272" s="45">
        <v>252</v>
      </c>
      <c r="B272" s="52" t="s">
        <v>705</v>
      </c>
      <c r="C272" s="45">
        <v>57</v>
      </c>
      <c r="D272" s="49" t="s">
        <v>838</v>
      </c>
      <c r="E272" s="47">
        <v>0.999</v>
      </c>
      <c r="F272" s="45">
        <v>138.90636293</v>
      </c>
      <c r="G272" s="45">
        <f t="shared" si="3"/>
        <v>129361.31669092808</v>
      </c>
    </row>
    <row r="273" spans="1:7" x14ac:dyDescent="0.4">
      <c r="A273" s="46">
        <v>253</v>
      </c>
      <c r="B273" s="46" t="s">
        <v>910</v>
      </c>
      <c r="C273" s="46">
        <v>58</v>
      </c>
      <c r="D273" s="50" t="s">
        <v>838</v>
      </c>
      <c r="E273" s="48">
        <v>1.8600000000000001E-3</v>
      </c>
      <c r="F273" s="46">
        <v>135.90712926</v>
      </c>
      <c r="G273" s="46">
        <f t="shared" si="3"/>
        <v>126567.03752377442</v>
      </c>
    </row>
    <row r="274" spans="1:7" x14ac:dyDescent="0.4">
      <c r="A274" s="46">
        <v>254</v>
      </c>
      <c r="B274" s="46" t="s">
        <v>908</v>
      </c>
      <c r="C274" s="46">
        <v>58</v>
      </c>
      <c r="D274" s="50" t="s">
        <v>838</v>
      </c>
      <c r="E274" s="48">
        <v>2.5100000000000001E-3</v>
      </c>
      <c r="F274" s="46">
        <v>137.90599417999999</v>
      </c>
      <c r="G274" s="46">
        <f t="shared" si="3"/>
        <v>128428.96820356489</v>
      </c>
    </row>
    <row r="275" spans="1:7" x14ac:dyDescent="0.4">
      <c r="A275" s="46">
        <v>255</v>
      </c>
      <c r="B275" s="46" t="s">
        <v>909</v>
      </c>
      <c r="C275" s="46">
        <v>58</v>
      </c>
      <c r="D275" s="50">
        <v>0.37680000000000002</v>
      </c>
      <c r="E275" s="48">
        <v>0</v>
      </c>
      <c r="F275" s="46">
        <v>138.90664699999999</v>
      </c>
      <c r="G275" s="46">
        <f t="shared" si="3"/>
        <v>129361.07030147797</v>
      </c>
    </row>
    <row r="276" spans="1:7" x14ac:dyDescent="0.4">
      <c r="A276" s="46">
        <v>256</v>
      </c>
      <c r="B276" s="56" t="s">
        <v>706</v>
      </c>
      <c r="C276" s="46">
        <v>58</v>
      </c>
      <c r="D276" s="50" t="s">
        <v>838</v>
      </c>
      <c r="E276" s="48">
        <v>0.88400000000000001</v>
      </c>
      <c r="F276" s="46">
        <v>139.90544840000001</v>
      </c>
      <c r="G276" s="46">
        <f t="shared" ref="G276:G339" si="4">F276*amu-C276*m_e</f>
        <v>130291.44781276959</v>
      </c>
    </row>
    <row r="277" spans="1:7" x14ac:dyDescent="0.4">
      <c r="A277" s="46">
        <v>257</v>
      </c>
      <c r="B277" s="46" t="s">
        <v>911</v>
      </c>
      <c r="C277" s="46">
        <v>58</v>
      </c>
      <c r="D277" s="50" t="s">
        <v>838</v>
      </c>
      <c r="E277" s="48">
        <v>0.111</v>
      </c>
      <c r="F277" s="46">
        <v>141.9092502</v>
      </c>
      <c r="G277" s="46">
        <f t="shared" si="4"/>
        <v>132157.97716665879</v>
      </c>
    </row>
    <row r="278" spans="1:7" x14ac:dyDescent="0.4">
      <c r="A278" s="46">
        <v>258</v>
      </c>
      <c r="B278" s="46" t="s">
        <v>912</v>
      </c>
      <c r="C278" s="46">
        <v>58</v>
      </c>
      <c r="D278" s="50">
        <v>0.77990000000000004</v>
      </c>
      <c r="E278" s="48">
        <v>0</v>
      </c>
      <c r="F278" s="46">
        <v>143.91365279999999</v>
      </c>
      <c r="G278" s="46">
        <f t="shared" si="4"/>
        <v>134025.06616214316</v>
      </c>
    </row>
    <row r="279" spans="1:7" x14ac:dyDescent="0.4">
      <c r="A279" s="45">
        <v>259</v>
      </c>
      <c r="B279" s="52" t="s">
        <v>707</v>
      </c>
      <c r="C279" s="45">
        <v>59</v>
      </c>
      <c r="D279" s="49" t="s">
        <v>838</v>
      </c>
      <c r="E279" s="47">
        <v>1</v>
      </c>
      <c r="F279" s="45">
        <v>140.90765959999999</v>
      </c>
      <c r="G279" s="45">
        <f t="shared" si="4"/>
        <v>131224.49053335167</v>
      </c>
    </row>
    <row r="280" spans="1:7" x14ac:dyDescent="0.4">
      <c r="A280" s="46">
        <v>260</v>
      </c>
      <c r="B280" s="57" t="s">
        <v>708</v>
      </c>
      <c r="C280" s="46">
        <v>60</v>
      </c>
      <c r="D280" s="50" t="s">
        <v>838</v>
      </c>
      <c r="E280" s="48">
        <v>0.27200000000000002</v>
      </c>
      <c r="F280" s="46">
        <v>141.9077288</v>
      </c>
      <c r="G280" s="46">
        <f t="shared" si="4"/>
        <v>132155.53799378581</v>
      </c>
    </row>
    <row r="281" spans="1:7" x14ac:dyDescent="0.4">
      <c r="A281" s="46">
        <v>261</v>
      </c>
      <c r="B281" s="46" t="s">
        <v>709</v>
      </c>
      <c r="C281" s="46">
        <v>60</v>
      </c>
      <c r="D281" s="50" t="s">
        <v>838</v>
      </c>
      <c r="E281" s="48">
        <v>0.122</v>
      </c>
      <c r="F281" s="46">
        <v>142.90981429999999</v>
      </c>
      <c r="G281" s="46">
        <f t="shared" si="4"/>
        <v>133088.97462452279</v>
      </c>
    </row>
    <row r="282" spans="1:7" x14ac:dyDescent="0.4">
      <c r="A282" s="46">
        <v>262</v>
      </c>
      <c r="B282" s="46" t="s">
        <v>710</v>
      </c>
      <c r="C282" s="46">
        <v>60</v>
      </c>
      <c r="D282" s="50">
        <v>2260000000000000</v>
      </c>
      <c r="E282" s="48">
        <v>0.23799999999999999</v>
      </c>
      <c r="F282" s="46">
        <v>143.9100928</v>
      </c>
      <c r="G282" s="46">
        <f t="shared" si="4"/>
        <v>134020.72804560181</v>
      </c>
    </row>
    <row r="283" spans="1:7" x14ac:dyDescent="0.4">
      <c r="A283" s="46">
        <v>263</v>
      </c>
      <c r="B283" s="46" t="s">
        <v>711</v>
      </c>
      <c r="C283" s="46">
        <v>60</v>
      </c>
      <c r="D283" s="50" t="s">
        <v>838</v>
      </c>
      <c r="E283" s="48">
        <v>8.3000000000000004E-2</v>
      </c>
      <c r="F283" s="46">
        <v>144.91257920000001</v>
      </c>
      <c r="G283" s="46">
        <f t="shared" si="4"/>
        <v>134954.53811228342</v>
      </c>
    </row>
    <row r="284" spans="1:7" x14ac:dyDescent="0.4">
      <c r="A284" s="46">
        <v>264</v>
      </c>
      <c r="B284" s="46" t="s">
        <v>712</v>
      </c>
      <c r="C284" s="46">
        <v>60</v>
      </c>
      <c r="D284" s="50" t="s">
        <v>838</v>
      </c>
      <c r="E284" s="48">
        <v>0.17199999999999999</v>
      </c>
      <c r="F284" s="46">
        <v>145.91312249999999</v>
      </c>
      <c r="G284" s="46">
        <f t="shared" si="4"/>
        <v>135886.53819297359</v>
      </c>
    </row>
    <row r="285" spans="1:7" x14ac:dyDescent="0.4">
      <c r="A285" s="46">
        <v>265</v>
      </c>
      <c r="B285" s="46" t="s">
        <v>713</v>
      </c>
      <c r="C285" s="46">
        <v>60</v>
      </c>
      <c r="D285" s="50" t="s">
        <v>838</v>
      </c>
      <c r="E285" s="48">
        <v>5.8000000000000003E-2</v>
      </c>
      <c r="F285" s="46">
        <v>147.916899</v>
      </c>
      <c r="G285" s="46">
        <f t="shared" si="4"/>
        <v>137753.0439800646</v>
      </c>
    </row>
    <row r="286" spans="1:7" x14ac:dyDescent="0.4">
      <c r="A286" s="46">
        <v>266</v>
      </c>
      <c r="B286" s="46" t="s">
        <v>714</v>
      </c>
      <c r="C286" s="46">
        <v>60</v>
      </c>
      <c r="D286" s="50">
        <v>9.3E+18</v>
      </c>
      <c r="E286" s="48">
        <v>5.6000000000000001E-2</v>
      </c>
      <c r="F286" s="46">
        <v>149.9209013</v>
      </c>
      <c r="G286" s="46">
        <f t="shared" si="4"/>
        <v>139619.76009850079</v>
      </c>
    </row>
    <row r="287" spans="1:7" x14ac:dyDescent="0.4">
      <c r="A287" s="45">
        <v>267</v>
      </c>
      <c r="B287" s="45" t="s">
        <v>913</v>
      </c>
      <c r="C287" s="45">
        <v>61</v>
      </c>
      <c r="D287" s="49">
        <v>0.72550000000000003</v>
      </c>
      <c r="E287" s="47">
        <v>0</v>
      </c>
      <c r="F287" s="45">
        <v>142.91093810000001</v>
      </c>
      <c r="G287" s="45">
        <f t="shared" si="4"/>
        <v>133089.51043852931</v>
      </c>
    </row>
    <row r="288" spans="1:7" x14ac:dyDescent="0.4">
      <c r="A288" s="45">
        <v>268</v>
      </c>
      <c r="B288" s="45" t="s">
        <v>914</v>
      </c>
      <c r="C288" s="45">
        <v>61</v>
      </c>
      <c r="D288" s="49">
        <v>0.99380000000000002</v>
      </c>
      <c r="E288" s="47">
        <v>0</v>
      </c>
      <c r="F288" s="45">
        <v>143.9125962</v>
      </c>
      <c r="G288" s="45">
        <f t="shared" si="4"/>
        <v>134022.54894873072</v>
      </c>
    </row>
    <row r="289" spans="1:7" x14ac:dyDescent="0.4">
      <c r="A289" s="45">
        <v>269</v>
      </c>
      <c r="B289" s="45" t="s">
        <v>715</v>
      </c>
      <c r="C289" s="45">
        <v>61</v>
      </c>
      <c r="D289" s="49">
        <v>17.7</v>
      </c>
      <c r="E289" s="47">
        <v>0</v>
      </c>
      <c r="F289" s="45">
        <v>144.91275569999999</v>
      </c>
      <c r="G289" s="45">
        <f t="shared" si="4"/>
        <v>134954.1915220237</v>
      </c>
    </row>
    <row r="290" spans="1:7" x14ac:dyDescent="0.4">
      <c r="A290" s="45">
        <v>270</v>
      </c>
      <c r="B290" s="45" t="s">
        <v>716</v>
      </c>
      <c r="C290" s="45">
        <v>61</v>
      </c>
      <c r="D290" s="49">
        <v>5.53</v>
      </c>
      <c r="E290" s="47">
        <v>0</v>
      </c>
      <c r="F290" s="45">
        <v>145.91470219999999</v>
      </c>
      <c r="G290" s="45">
        <f t="shared" si="4"/>
        <v>135887.49867509471</v>
      </c>
    </row>
    <row r="291" spans="1:7" x14ac:dyDescent="0.4">
      <c r="A291" s="45">
        <v>271</v>
      </c>
      <c r="B291" s="54" t="s">
        <v>717</v>
      </c>
      <c r="C291" s="45">
        <v>61</v>
      </c>
      <c r="D291" s="49">
        <v>2.6234000000000002</v>
      </c>
      <c r="E291" s="47">
        <v>0</v>
      </c>
      <c r="F291" s="45">
        <v>146.9151449</v>
      </c>
      <c r="G291" s="45">
        <f t="shared" si="4"/>
        <v>136819.40504748852</v>
      </c>
    </row>
    <row r="292" spans="1:7" x14ac:dyDescent="0.4">
      <c r="A292" s="46">
        <v>272</v>
      </c>
      <c r="B292" s="46" t="s">
        <v>718</v>
      </c>
      <c r="C292" s="46">
        <v>62</v>
      </c>
      <c r="D292" s="50" t="s">
        <v>838</v>
      </c>
      <c r="E292" s="48">
        <v>3.0800000000000001E-2</v>
      </c>
      <c r="F292" s="46">
        <v>143.9120063</v>
      </c>
      <c r="G292" s="46">
        <f t="shared" si="4"/>
        <v>134021.48846146942</v>
      </c>
    </row>
    <row r="293" spans="1:7" x14ac:dyDescent="0.4">
      <c r="A293" s="46">
        <v>273</v>
      </c>
      <c r="B293" s="46" t="s">
        <v>915</v>
      </c>
      <c r="C293" s="46">
        <v>62</v>
      </c>
      <c r="D293" s="50">
        <v>0.93089999999999995</v>
      </c>
      <c r="E293" s="48">
        <v>0</v>
      </c>
      <c r="F293" s="46">
        <v>144.9134172</v>
      </c>
      <c r="G293" s="46">
        <f t="shared" si="4"/>
        <v>134954.29670635401</v>
      </c>
    </row>
    <row r="294" spans="1:7" x14ac:dyDescent="0.4">
      <c r="A294" s="46">
        <v>274</v>
      </c>
      <c r="B294" s="46" t="s">
        <v>916</v>
      </c>
      <c r="C294" s="46">
        <v>62</v>
      </c>
      <c r="D294" s="50">
        <v>92000000</v>
      </c>
      <c r="E294" s="48">
        <v>0</v>
      </c>
      <c r="F294" s="46">
        <v>145.91304679999999</v>
      </c>
      <c r="G294" s="46">
        <f t="shared" si="4"/>
        <v>135885.44568097641</v>
      </c>
    </row>
    <row r="295" spans="1:7" x14ac:dyDescent="0.4">
      <c r="A295" s="46">
        <v>275</v>
      </c>
      <c r="B295" s="46" t="s">
        <v>719</v>
      </c>
      <c r="C295" s="46">
        <v>62</v>
      </c>
      <c r="D295" s="50">
        <v>106600000000</v>
      </c>
      <c r="E295" s="48">
        <v>0.15</v>
      </c>
      <c r="F295" s="46">
        <v>146.91490440000001</v>
      </c>
      <c r="G295" s="46">
        <f t="shared" si="4"/>
        <v>136818.67002423084</v>
      </c>
    </row>
    <row r="296" spans="1:7" x14ac:dyDescent="0.4">
      <c r="A296" s="46">
        <v>276</v>
      </c>
      <c r="B296" s="46" t="s">
        <v>720</v>
      </c>
      <c r="C296" s="46">
        <v>62</v>
      </c>
      <c r="D296" s="50">
        <v>6300000000000000</v>
      </c>
      <c r="E296" s="48">
        <v>0.113</v>
      </c>
      <c r="F296" s="46">
        <v>147.91482920000001</v>
      </c>
      <c r="G296" s="46">
        <f t="shared" si="4"/>
        <v>137750.09397588205</v>
      </c>
    </row>
    <row r="297" spans="1:7" x14ac:dyDescent="0.4">
      <c r="A297" s="46">
        <v>277</v>
      </c>
      <c r="B297" s="46" t="s">
        <v>721</v>
      </c>
      <c r="C297" s="46">
        <v>62</v>
      </c>
      <c r="D297" s="50" t="s">
        <v>838</v>
      </c>
      <c r="E297" s="48">
        <v>0.13800000000000001</v>
      </c>
      <c r="F297" s="46">
        <v>148.91719119999999</v>
      </c>
      <c r="G297" s="46">
        <f t="shared" si="4"/>
        <v>138683.78816471001</v>
      </c>
    </row>
    <row r="298" spans="1:7" x14ac:dyDescent="0.4">
      <c r="A298" s="46">
        <v>278</v>
      </c>
      <c r="B298" s="46" t="s">
        <v>722</v>
      </c>
      <c r="C298" s="46">
        <v>62</v>
      </c>
      <c r="D298" s="50" t="s">
        <v>838</v>
      </c>
      <c r="E298" s="48">
        <v>7.3700000000000002E-2</v>
      </c>
      <c r="F298" s="46">
        <v>149.917282</v>
      </c>
      <c r="G298" s="46">
        <f t="shared" si="4"/>
        <v>139615.36674436522</v>
      </c>
    </row>
    <row r="299" spans="1:7" x14ac:dyDescent="0.4">
      <c r="A299" s="46">
        <v>279</v>
      </c>
      <c r="B299" s="46" t="s">
        <v>917</v>
      </c>
      <c r="C299" s="46">
        <v>62</v>
      </c>
      <c r="D299" s="50">
        <v>94.6</v>
      </c>
      <c r="E299" s="48">
        <v>0</v>
      </c>
      <c r="F299" s="46">
        <v>150.91993890000001</v>
      </c>
      <c r="G299" s="46">
        <f t="shared" si="4"/>
        <v>140549.33563077383</v>
      </c>
    </row>
    <row r="300" spans="1:7" x14ac:dyDescent="0.4">
      <c r="A300" s="46">
        <v>280</v>
      </c>
      <c r="B300" s="57" t="s">
        <v>723</v>
      </c>
      <c r="C300" s="46">
        <v>62</v>
      </c>
      <c r="D300" s="50" t="s">
        <v>838</v>
      </c>
      <c r="E300" s="48">
        <v>0.26700000000000002</v>
      </c>
      <c r="F300" s="46">
        <v>151.91973239999999</v>
      </c>
      <c r="G300" s="46">
        <f t="shared" si="4"/>
        <v>141480.63727726281</v>
      </c>
    </row>
    <row r="301" spans="1:7" x14ac:dyDescent="0.4">
      <c r="A301" s="46">
        <v>281</v>
      </c>
      <c r="B301" s="46" t="s">
        <v>724</v>
      </c>
      <c r="C301" s="46">
        <v>62</v>
      </c>
      <c r="D301" s="50" t="s">
        <v>838</v>
      </c>
      <c r="E301" s="48">
        <v>0.22700000000000001</v>
      </c>
      <c r="F301" s="46">
        <v>153.92221499999999</v>
      </c>
      <c r="G301" s="46">
        <f t="shared" si="4"/>
        <v>143345.93780426722</v>
      </c>
    </row>
    <row r="302" spans="1:7" x14ac:dyDescent="0.4">
      <c r="A302" s="45">
        <v>282</v>
      </c>
      <c r="B302" s="45" t="s">
        <v>919</v>
      </c>
      <c r="C302" s="45">
        <v>63</v>
      </c>
      <c r="D302" s="49">
        <v>0.1492</v>
      </c>
      <c r="E302" s="47">
        <v>0</v>
      </c>
      <c r="F302" s="45">
        <v>147.918091</v>
      </c>
      <c r="G302" s="45">
        <f t="shared" si="4"/>
        <v>137752.62132406054</v>
      </c>
    </row>
    <row r="303" spans="1:7" x14ac:dyDescent="0.4">
      <c r="A303" s="45">
        <v>283</v>
      </c>
      <c r="B303" s="45" t="s">
        <v>920</v>
      </c>
      <c r="C303" s="45">
        <v>63</v>
      </c>
      <c r="D303" s="49">
        <v>0.25490000000000002</v>
      </c>
      <c r="E303" s="47">
        <v>0</v>
      </c>
      <c r="F303" s="45">
        <v>148.9179369</v>
      </c>
      <c r="G303" s="45">
        <f t="shared" si="4"/>
        <v>138683.97178083513</v>
      </c>
    </row>
    <row r="304" spans="1:7" x14ac:dyDescent="0.4">
      <c r="A304" s="45">
        <v>284</v>
      </c>
      <c r="B304" s="45" t="s">
        <v>918</v>
      </c>
      <c r="C304" s="45">
        <v>63</v>
      </c>
      <c r="D304" s="49">
        <v>36.9</v>
      </c>
      <c r="E304" s="47">
        <v>0</v>
      </c>
      <c r="F304" s="45">
        <v>149.91970710000001</v>
      </c>
      <c r="G304" s="45">
        <f t="shared" si="4"/>
        <v>139617.11471151395</v>
      </c>
    </row>
    <row r="305" spans="1:7" x14ac:dyDescent="0.4">
      <c r="A305" s="45">
        <v>285</v>
      </c>
      <c r="B305" s="45" t="s">
        <v>725</v>
      </c>
      <c r="C305" s="45">
        <v>63</v>
      </c>
      <c r="D305" s="49">
        <v>4.6E+18</v>
      </c>
      <c r="E305" s="47">
        <v>0.47799999999999998</v>
      </c>
      <c r="F305" s="45">
        <v>150.9198566</v>
      </c>
      <c r="G305" s="45">
        <f t="shared" si="4"/>
        <v>140548.74796986693</v>
      </c>
    </row>
    <row r="306" spans="1:7" x14ac:dyDescent="0.4">
      <c r="A306" s="45">
        <v>286</v>
      </c>
      <c r="B306" s="45" t="s">
        <v>921</v>
      </c>
      <c r="C306" s="45">
        <v>63</v>
      </c>
      <c r="D306" s="49">
        <v>13.516999999999999</v>
      </c>
      <c r="E306" s="47">
        <v>0</v>
      </c>
      <c r="F306" s="45">
        <v>151.921751</v>
      </c>
      <c r="G306" s="45">
        <f t="shared" si="4"/>
        <v>141482.00659210054</v>
      </c>
    </row>
    <row r="307" spans="1:7" x14ac:dyDescent="0.4">
      <c r="A307" s="45">
        <v>287</v>
      </c>
      <c r="B307" s="52" t="s">
        <v>726</v>
      </c>
      <c r="C307" s="45">
        <v>63</v>
      </c>
      <c r="D307" s="49" t="s">
        <v>838</v>
      </c>
      <c r="E307" s="47">
        <v>0.52200000000000002</v>
      </c>
      <c r="F307" s="45">
        <v>152.9212368</v>
      </c>
      <c r="G307" s="45">
        <f t="shared" si="4"/>
        <v>142413.02161788574</v>
      </c>
    </row>
    <row r="308" spans="1:7" x14ac:dyDescent="0.4">
      <c r="A308" s="45">
        <v>288</v>
      </c>
      <c r="B308" s="45" t="s">
        <v>922</v>
      </c>
      <c r="C308" s="45">
        <v>63</v>
      </c>
      <c r="D308" s="49">
        <v>8.593</v>
      </c>
      <c r="E308" s="47">
        <v>0</v>
      </c>
      <c r="F308" s="45">
        <v>153.9229857</v>
      </c>
      <c r="G308" s="45">
        <f t="shared" si="4"/>
        <v>143346.14470774232</v>
      </c>
    </row>
    <row r="309" spans="1:7" x14ac:dyDescent="0.4">
      <c r="A309" s="45">
        <v>289</v>
      </c>
      <c r="B309" s="54" t="s">
        <v>727</v>
      </c>
      <c r="C309" s="45">
        <v>63</v>
      </c>
      <c r="D309" s="49">
        <v>4.742</v>
      </c>
      <c r="E309" s="47">
        <v>0</v>
      </c>
      <c r="F309" s="45">
        <v>154.9228933</v>
      </c>
      <c r="G309" s="45">
        <f t="shared" si="4"/>
        <v>144277.55263769673</v>
      </c>
    </row>
    <row r="310" spans="1:7" x14ac:dyDescent="0.4">
      <c r="A310" s="46">
        <v>290</v>
      </c>
      <c r="B310" s="46" t="s">
        <v>925</v>
      </c>
      <c r="C310" s="46">
        <v>64</v>
      </c>
      <c r="D310" s="50">
        <v>86.9</v>
      </c>
      <c r="E310" s="48">
        <v>0</v>
      </c>
      <c r="F310" s="46">
        <v>147.91812139999999</v>
      </c>
      <c r="G310" s="46">
        <f t="shared" si="4"/>
        <v>137752.13864252742</v>
      </c>
    </row>
    <row r="311" spans="1:7" x14ac:dyDescent="0.4">
      <c r="A311" s="46">
        <v>291</v>
      </c>
      <c r="B311" s="46" t="s">
        <v>923</v>
      </c>
      <c r="C311" s="46">
        <v>64</v>
      </c>
      <c r="D311" s="50">
        <v>1790000</v>
      </c>
      <c r="E311" s="48">
        <v>0</v>
      </c>
      <c r="F311" s="46">
        <v>149.91866390000001</v>
      </c>
      <c r="G311" s="46">
        <f t="shared" si="4"/>
        <v>139615.63197802246</v>
      </c>
    </row>
    <row r="312" spans="1:7" x14ac:dyDescent="0.4">
      <c r="A312" s="46">
        <v>292</v>
      </c>
      <c r="B312" s="46" t="s">
        <v>924</v>
      </c>
      <c r="C312" s="46">
        <v>64</v>
      </c>
      <c r="D312" s="50">
        <v>0.3392</v>
      </c>
      <c r="E312" s="48">
        <v>0</v>
      </c>
      <c r="F312" s="46">
        <v>150.92035490000001</v>
      </c>
      <c r="G312" s="46">
        <f t="shared" si="4"/>
        <v>140548.70113437646</v>
      </c>
    </row>
    <row r="313" spans="1:7" x14ac:dyDescent="0.4">
      <c r="A313" s="46">
        <v>293</v>
      </c>
      <c r="B313" s="46" t="s">
        <v>728</v>
      </c>
      <c r="C313" s="46">
        <v>64</v>
      </c>
      <c r="D313" s="50">
        <v>108000000000000</v>
      </c>
      <c r="E313" s="48">
        <v>2E-3</v>
      </c>
      <c r="F313" s="46">
        <v>151.91979839999999</v>
      </c>
      <c r="G313" s="46">
        <f t="shared" si="4"/>
        <v>141479.67675796544</v>
      </c>
    </row>
    <row r="314" spans="1:7" x14ac:dyDescent="0.4">
      <c r="A314" s="46">
        <v>294</v>
      </c>
      <c r="B314" s="46" t="s">
        <v>926</v>
      </c>
      <c r="C314" s="46">
        <v>64</v>
      </c>
      <c r="D314" s="50">
        <v>0.65869999999999995</v>
      </c>
      <c r="E314" s="48">
        <v>0</v>
      </c>
      <c r="F314" s="46">
        <v>152.92175689999999</v>
      </c>
      <c r="G314" s="46">
        <f t="shared" si="4"/>
        <v>142412.99508896444</v>
      </c>
    </row>
    <row r="315" spans="1:7" x14ac:dyDescent="0.4">
      <c r="A315" s="46">
        <v>295</v>
      </c>
      <c r="B315" s="46" t="s">
        <v>729</v>
      </c>
      <c r="C315" s="46">
        <v>64</v>
      </c>
      <c r="D315" s="50" t="s">
        <v>838</v>
      </c>
      <c r="E315" s="48">
        <v>2.18E-2</v>
      </c>
      <c r="F315" s="46">
        <v>153.920873</v>
      </c>
      <c r="G315" s="46">
        <f t="shared" si="4"/>
        <v>143343.66574141785</v>
      </c>
    </row>
    <row r="316" spans="1:7" x14ac:dyDescent="0.4">
      <c r="A316" s="46">
        <v>296</v>
      </c>
      <c r="B316" s="46" t="s">
        <v>730</v>
      </c>
      <c r="C316" s="46">
        <v>64</v>
      </c>
      <c r="D316" s="50" t="s">
        <v>838</v>
      </c>
      <c r="E316" s="48">
        <v>0.14799999999999999</v>
      </c>
      <c r="F316" s="46">
        <v>154.92262940000001</v>
      </c>
      <c r="G316" s="46">
        <f t="shared" si="4"/>
        <v>144276.79581747946</v>
      </c>
    </row>
    <row r="317" spans="1:7" x14ac:dyDescent="0.4">
      <c r="A317" s="46">
        <v>297</v>
      </c>
      <c r="B317" s="46" t="s">
        <v>731</v>
      </c>
      <c r="C317" s="46">
        <v>64</v>
      </c>
      <c r="D317" s="50" t="s">
        <v>838</v>
      </c>
      <c r="E317" s="48">
        <v>0.20499999999999999</v>
      </c>
      <c r="F317" s="46">
        <v>155.9221301</v>
      </c>
      <c r="G317" s="46">
        <f t="shared" si="4"/>
        <v>145207.82472252526</v>
      </c>
    </row>
    <row r="318" spans="1:7" x14ac:dyDescent="0.4">
      <c r="A318" s="46">
        <v>298</v>
      </c>
      <c r="B318" s="46" t="s">
        <v>732</v>
      </c>
      <c r="C318" s="46">
        <v>64</v>
      </c>
      <c r="D318" s="50" t="s">
        <v>838</v>
      </c>
      <c r="E318" s="48">
        <v>0.157</v>
      </c>
      <c r="F318" s="46">
        <v>156.92396740000001</v>
      </c>
      <c r="G318" s="46">
        <f t="shared" si="4"/>
        <v>146141.03015645145</v>
      </c>
    </row>
    <row r="319" spans="1:7" x14ac:dyDescent="0.4">
      <c r="A319" s="46">
        <v>299</v>
      </c>
      <c r="B319" s="56" t="s">
        <v>733</v>
      </c>
      <c r="C319" s="46">
        <v>64</v>
      </c>
      <c r="D319" s="50" t="s">
        <v>838</v>
      </c>
      <c r="E319" s="48">
        <v>0.248</v>
      </c>
      <c r="F319" s="46">
        <v>157.9241112</v>
      </c>
      <c r="G319" s="46">
        <f t="shared" si="4"/>
        <v>147072.65810528863</v>
      </c>
    </row>
    <row r="320" spans="1:7" x14ac:dyDescent="0.4">
      <c r="A320" s="46">
        <v>300</v>
      </c>
      <c r="B320" s="46" t="s">
        <v>734</v>
      </c>
      <c r="C320" s="46">
        <v>64</v>
      </c>
      <c r="D320" s="50" t="s">
        <v>838</v>
      </c>
      <c r="E320" s="48">
        <v>0.219</v>
      </c>
      <c r="F320" s="46">
        <v>159.9270612</v>
      </c>
      <c r="G320" s="46">
        <f t="shared" si="4"/>
        <v>148938.39401258863</v>
      </c>
    </row>
    <row r="321" spans="1:7" x14ac:dyDescent="0.4">
      <c r="A321" s="45">
        <v>301</v>
      </c>
      <c r="B321" s="45" t="s">
        <v>927</v>
      </c>
      <c r="C321" s="45">
        <v>65</v>
      </c>
      <c r="D321" s="49">
        <v>71</v>
      </c>
      <c r="E321" s="47">
        <v>0</v>
      </c>
      <c r="F321" s="45">
        <v>156.92403189999999</v>
      </c>
      <c r="G321" s="45">
        <f t="shared" si="4"/>
        <v>146140.57923886375</v>
      </c>
    </row>
    <row r="322" spans="1:7" x14ac:dyDescent="0.4">
      <c r="A322" s="45">
        <v>302</v>
      </c>
      <c r="B322" s="45" t="s">
        <v>928</v>
      </c>
      <c r="C322" s="45">
        <v>65</v>
      </c>
      <c r="D322" s="49">
        <v>180</v>
      </c>
      <c r="E322" s="47">
        <v>0</v>
      </c>
      <c r="F322" s="45">
        <v>157.92541990000001</v>
      </c>
      <c r="G322" s="45">
        <f t="shared" si="4"/>
        <v>147073.36615253577</v>
      </c>
    </row>
    <row r="323" spans="1:7" x14ac:dyDescent="0.4">
      <c r="A323" s="45">
        <v>303</v>
      </c>
      <c r="B323" s="53" t="s">
        <v>735</v>
      </c>
      <c r="C323" s="45">
        <v>65</v>
      </c>
      <c r="D323" s="49" t="s">
        <v>838</v>
      </c>
      <c r="E323" s="47">
        <v>1</v>
      </c>
      <c r="F323" s="45">
        <v>158.9253468</v>
      </c>
      <c r="G323" s="45">
        <f t="shared" si="4"/>
        <v>148004.79206032434</v>
      </c>
    </row>
    <row r="324" spans="1:7" x14ac:dyDescent="0.4">
      <c r="A324" s="45">
        <v>304</v>
      </c>
      <c r="B324" s="45" t="s">
        <v>929</v>
      </c>
      <c r="C324" s="45">
        <v>65</v>
      </c>
      <c r="D324" s="49">
        <v>0.20069999999999999</v>
      </c>
      <c r="E324" s="47">
        <v>0</v>
      </c>
      <c r="F324" s="45">
        <v>159.9271746</v>
      </c>
      <c r="G324" s="45">
        <f t="shared" si="4"/>
        <v>148937.98864505754</v>
      </c>
    </row>
    <row r="325" spans="1:7" x14ac:dyDescent="0.4">
      <c r="A325" s="46">
        <v>305</v>
      </c>
      <c r="B325" s="46" t="s">
        <v>930</v>
      </c>
      <c r="C325" s="46">
        <v>66</v>
      </c>
      <c r="D325" s="50">
        <v>1400000</v>
      </c>
      <c r="E325" s="48">
        <v>0</v>
      </c>
      <c r="F325" s="46">
        <v>153.92442890000001</v>
      </c>
      <c r="G325" s="46">
        <f t="shared" si="4"/>
        <v>143345.95604303107</v>
      </c>
    </row>
    <row r="326" spans="1:7" x14ac:dyDescent="0.4">
      <c r="A326" s="46">
        <v>306</v>
      </c>
      <c r="B326" s="46" t="s">
        <v>736</v>
      </c>
      <c r="C326" s="46">
        <v>66</v>
      </c>
      <c r="D326" s="50" t="s">
        <v>838</v>
      </c>
      <c r="E326" s="48">
        <v>5.5999999999999995E-4</v>
      </c>
      <c r="F326" s="46">
        <v>155.9242836</v>
      </c>
      <c r="G326" s="46">
        <f t="shared" si="4"/>
        <v>145208.80869695285</v>
      </c>
    </row>
    <row r="327" spans="1:7" x14ac:dyDescent="0.4">
      <c r="A327" s="46">
        <v>307</v>
      </c>
      <c r="B327" s="46" t="s">
        <v>737</v>
      </c>
      <c r="C327" s="46">
        <v>66</v>
      </c>
      <c r="D327" s="50" t="s">
        <v>838</v>
      </c>
      <c r="E327" s="48">
        <v>9.5E-4</v>
      </c>
      <c r="F327" s="46">
        <v>157.92441479999999</v>
      </c>
      <c r="G327" s="46">
        <f t="shared" si="4"/>
        <v>147071.91890896566</v>
      </c>
    </row>
    <row r="328" spans="1:7" x14ac:dyDescent="0.4">
      <c r="A328" s="46">
        <v>308</v>
      </c>
      <c r="B328" s="46" t="s">
        <v>931</v>
      </c>
      <c r="C328" s="46">
        <v>66</v>
      </c>
      <c r="D328" s="50">
        <v>0.36530000000000001</v>
      </c>
      <c r="E328" s="48">
        <v>0</v>
      </c>
      <c r="F328" s="46">
        <v>158.92574590000001</v>
      </c>
      <c r="G328" s="46">
        <f t="shared" si="4"/>
        <v>148004.65282062907</v>
      </c>
    </row>
    <row r="329" spans="1:7" x14ac:dyDescent="0.4">
      <c r="A329" s="46">
        <v>309</v>
      </c>
      <c r="B329" s="46" t="s">
        <v>738</v>
      </c>
      <c r="C329" s="46">
        <v>66</v>
      </c>
      <c r="D329" s="50" t="s">
        <v>838</v>
      </c>
      <c r="E329" s="48">
        <v>2.3300000000000001E-2</v>
      </c>
      <c r="F329" s="46">
        <v>159.92520357999999</v>
      </c>
      <c r="G329" s="46">
        <f t="shared" si="4"/>
        <v>148935.64165280297</v>
      </c>
    </row>
    <row r="330" spans="1:7" x14ac:dyDescent="0.4">
      <c r="A330" s="46">
        <v>310</v>
      </c>
      <c r="B330" s="46" t="s">
        <v>739</v>
      </c>
      <c r="C330" s="46">
        <v>66</v>
      </c>
      <c r="D330" s="50" t="s">
        <v>838</v>
      </c>
      <c r="E330" s="48">
        <v>0.189</v>
      </c>
      <c r="F330" s="46">
        <v>160.92693943</v>
      </c>
      <c r="G330" s="46">
        <f t="shared" si="4"/>
        <v>149868.75258666289</v>
      </c>
    </row>
    <row r="331" spans="1:7" x14ac:dyDescent="0.4">
      <c r="A331" s="46">
        <v>311</v>
      </c>
      <c r="B331" s="46" t="s">
        <v>740</v>
      </c>
      <c r="C331" s="46">
        <v>66</v>
      </c>
      <c r="D331" s="50" t="s">
        <v>838</v>
      </c>
      <c r="E331" s="48">
        <v>0.255</v>
      </c>
      <c r="F331" s="46">
        <v>161.92680451000001</v>
      </c>
      <c r="G331" s="46">
        <f t="shared" si="4"/>
        <v>150800.12090949243</v>
      </c>
    </row>
    <row r="332" spans="1:7" x14ac:dyDescent="0.4">
      <c r="A332" s="46">
        <v>312</v>
      </c>
      <c r="B332" s="46" t="s">
        <v>741</v>
      </c>
      <c r="C332" s="46">
        <v>66</v>
      </c>
      <c r="D332" s="50" t="s">
        <v>838</v>
      </c>
      <c r="E332" s="48">
        <v>0.249</v>
      </c>
      <c r="F332" s="46">
        <v>162.92873721999999</v>
      </c>
      <c r="G332" s="46">
        <f t="shared" si="4"/>
        <v>151733.41521726112</v>
      </c>
    </row>
    <row r="333" spans="1:7" x14ac:dyDescent="0.4">
      <c r="A333" s="46">
        <v>313</v>
      </c>
      <c r="B333" s="56" t="s">
        <v>742</v>
      </c>
      <c r="C333" s="46">
        <v>66</v>
      </c>
      <c r="D333" s="50" t="s">
        <v>838</v>
      </c>
      <c r="E333" s="48">
        <v>0.28299999999999997</v>
      </c>
      <c r="F333" s="46">
        <v>163.92918082</v>
      </c>
      <c r="G333" s="46">
        <f t="shared" si="4"/>
        <v>152665.32242799955</v>
      </c>
    </row>
    <row r="334" spans="1:7" x14ac:dyDescent="0.4">
      <c r="A334" s="45">
        <v>314</v>
      </c>
      <c r="B334" s="45" t="s">
        <v>932</v>
      </c>
      <c r="C334" s="45">
        <v>67</v>
      </c>
      <c r="D334" s="49">
        <v>4570</v>
      </c>
      <c r="E334" s="47">
        <v>0</v>
      </c>
      <c r="F334" s="45">
        <v>162.92874026000001</v>
      </c>
      <c r="G334" s="45">
        <f t="shared" si="4"/>
        <v>151732.90705005222</v>
      </c>
    </row>
    <row r="335" spans="1:7" x14ac:dyDescent="0.4">
      <c r="A335" s="45">
        <v>315</v>
      </c>
      <c r="B335" s="52" t="s">
        <v>743</v>
      </c>
      <c r="C335" s="45">
        <v>67</v>
      </c>
      <c r="D335" s="49" t="s">
        <v>838</v>
      </c>
      <c r="E335" s="47">
        <v>1</v>
      </c>
      <c r="F335" s="45">
        <v>164.93032912000001</v>
      </c>
      <c r="G335" s="45">
        <f t="shared" si="4"/>
        <v>153597.37506360907</v>
      </c>
    </row>
    <row r="336" spans="1:7" x14ac:dyDescent="0.4">
      <c r="A336" s="46">
        <v>316</v>
      </c>
      <c r="B336" s="46" t="s">
        <v>934</v>
      </c>
      <c r="C336" s="46">
        <v>68</v>
      </c>
      <c r="D336" s="50" t="s">
        <v>838</v>
      </c>
      <c r="E336" s="48">
        <v>1.39E-3</v>
      </c>
      <c r="F336" s="46">
        <v>161.92878730000001</v>
      </c>
      <c r="G336" s="46">
        <f t="shared" si="4"/>
        <v>150800.94586857929</v>
      </c>
    </row>
    <row r="337" spans="1:7" x14ac:dyDescent="0.4">
      <c r="A337" s="46">
        <v>317</v>
      </c>
      <c r="B337" s="46" t="s">
        <v>933</v>
      </c>
      <c r="C337" s="46">
        <v>68</v>
      </c>
      <c r="D337" s="50" t="s">
        <v>838</v>
      </c>
      <c r="E337" s="48">
        <v>1.6E-2</v>
      </c>
      <c r="F337" s="46">
        <v>163.92920770000001</v>
      </c>
      <c r="G337" s="46">
        <f t="shared" si="4"/>
        <v>152664.3254686569</v>
      </c>
    </row>
    <row r="338" spans="1:7" x14ac:dyDescent="0.4">
      <c r="A338" s="46">
        <v>318</v>
      </c>
      <c r="B338" s="46" t="s">
        <v>744</v>
      </c>
      <c r="C338" s="46">
        <v>68</v>
      </c>
      <c r="D338" s="50" t="s">
        <v>838</v>
      </c>
      <c r="E338" s="48">
        <v>0.33500000000000002</v>
      </c>
      <c r="F338" s="46">
        <v>165.93030110000001</v>
      </c>
      <c r="G338" s="46">
        <f t="shared" si="4"/>
        <v>154528.33196419649</v>
      </c>
    </row>
    <row r="339" spans="1:7" x14ac:dyDescent="0.4">
      <c r="A339" s="46">
        <v>319</v>
      </c>
      <c r="B339" s="46" t="s">
        <v>745</v>
      </c>
      <c r="C339" s="46">
        <v>68</v>
      </c>
      <c r="D339" s="50" t="s">
        <v>838</v>
      </c>
      <c r="E339" s="48">
        <v>0.22900000000000001</v>
      </c>
      <c r="F339" s="46">
        <v>166.93205620000001</v>
      </c>
      <c r="G339" s="46">
        <f t="shared" si="4"/>
        <v>155461.46082931588</v>
      </c>
    </row>
    <row r="340" spans="1:7" x14ac:dyDescent="0.4">
      <c r="A340" s="46">
        <v>320</v>
      </c>
      <c r="B340" s="57" t="s">
        <v>746</v>
      </c>
      <c r="C340" s="46">
        <v>68</v>
      </c>
      <c r="D340" s="50" t="s">
        <v>838</v>
      </c>
      <c r="E340" s="48">
        <v>0.27</v>
      </c>
      <c r="F340" s="46">
        <v>167.93237020000001</v>
      </c>
      <c r="G340" s="46">
        <f t="shared" ref="G340:G403" si="5">F340*amu-C340*m_e</f>
        <v>156393.24731843191</v>
      </c>
    </row>
    <row r="341" spans="1:7" x14ac:dyDescent="0.4">
      <c r="A341" s="46">
        <v>321</v>
      </c>
      <c r="B341" s="46" t="s">
        <v>747</v>
      </c>
      <c r="C341" s="46">
        <v>68</v>
      </c>
      <c r="D341" s="50" t="s">
        <v>838</v>
      </c>
      <c r="E341" s="48">
        <v>0.14899999999999999</v>
      </c>
      <c r="F341" s="46">
        <v>169.93547190000001</v>
      </c>
      <c r="G341" s="46">
        <f t="shared" si="5"/>
        <v>158259.12453337171</v>
      </c>
    </row>
    <row r="342" spans="1:7" x14ac:dyDescent="0.4">
      <c r="A342" s="45">
        <v>322</v>
      </c>
      <c r="B342" s="45" t="s">
        <v>935</v>
      </c>
      <c r="C342" s="45">
        <v>69</v>
      </c>
      <c r="D342" s="49">
        <v>0.25490000000000002</v>
      </c>
      <c r="E342" s="47">
        <v>0</v>
      </c>
      <c r="F342" s="45">
        <v>167.9341785</v>
      </c>
      <c r="G342" s="45">
        <f t="shared" si="5"/>
        <v>156394.4207400814</v>
      </c>
    </row>
    <row r="343" spans="1:7" x14ac:dyDescent="0.4">
      <c r="A343" s="45">
        <v>323</v>
      </c>
      <c r="B343" s="52" t="s">
        <v>748</v>
      </c>
      <c r="C343" s="45">
        <v>69</v>
      </c>
      <c r="D343" s="49" t="s">
        <v>838</v>
      </c>
      <c r="E343" s="47">
        <v>1</v>
      </c>
      <c r="F343" s="45">
        <v>168.93421896000001</v>
      </c>
      <c r="G343" s="45">
        <f t="shared" si="5"/>
        <v>157325.95242832866</v>
      </c>
    </row>
    <row r="344" spans="1:7" x14ac:dyDescent="0.4">
      <c r="A344" s="45">
        <v>324</v>
      </c>
      <c r="B344" s="45" t="s">
        <v>936</v>
      </c>
      <c r="C344" s="45">
        <v>69</v>
      </c>
      <c r="D344" s="49">
        <v>0.35210000000000002</v>
      </c>
      <c r="E344" s="47">
        <v>0</v>
      </c>
      <c r="F344" s="45">
        <v>169.93580709</v>
      </c>
      <c r="G344" s="45">
        <f t="shared" si="5"/>
        <v>158258.92576189485</v>
      </c>
    </row>
    <row r="345" spans="1:7" x14ac:dyDescent="0.4">
      <c r="A345" s="45">
        <v>325</v>
      </c>
      <c r="B345" s="45" t="s">
        <v>937</v>
      </c>
      <c r="C345" s="45">
        <v>69</v>
      </c>
      <c r="D345" s="49">
        <v>1.92</v>
      </c>
      <c r="E345" s="47">
        <v>0</v>
      </c>
      <c r="F345" s="45">
        <v>170.93643520000001</v>
      </c>
      <c r="G345" s="45">
        <f t="shared" si="5"/>
        <v>159191.00484259121</v>
      </c>
    </row>
    <row r="346" spans="1:7" x14ac:dyDescent="0.4">
      <c r="A346" s="46">
        <v>326</v>
      </c>
      <c r="B346" s="46" t="s">
        <v>749</v>
      </c>
      <c r="C346" s="46">
        <v>70</v>
      </c>
      <c r="D346" s="50" t="s">
        <v>838</v>
      </c>
      <c r="E346" s="48">
        <v>1.2600000000000001E-3</v>
      </c>
      <c r="F346" s="46">
        <v>167.9338913</v>
      </c>
      <c r="G346" s="46">
        <f t="shared" si="5"/>
        <v>156393.64221605391</v>
      </c>
    </row>
    <row r="347" spans="1:7" x14ac:dyDescent="0.4">
      <c r="A347" s="46">
        <v>327</v>
      </c>
      <c r="B347" s="46" t="s">
        <v>750</v>
      </c>
      <c r="C347" s="46">
        <v>70</v>
      </c>
      <c r="D347" s="50" t="s">
        <v>838</v>
      </c>
      <c r="E347" s="48">
        <v>3.0200000000000001E-2</v>
      </c>
      <c r="F347" s="46">
        <v>169.93476724300001</v>
      </c>
      <c r="G347" s="46">
        <f t="shared" si="5"/>
        <v>158257.44615170275</v>
      </c>
    </row>
    <row r="348" spans="1:7" x14ac:dyDescent="0.4">
      <c r="A348" s="46">
        <v>328</v>
      </c>
      <c r="B348" s="46" t="s">
        <v>751</v>
      </c>
      <c r="C348" s="46">
        <v>70</v>
      </c>
      <c r="D348" s="50" t="s">
        <v>838</v>
      </c>
      <c r="E348" s="48">
        <v>0.14199999999999999</v>
      </c>
      <c r="F348" s="46">
        <v>170.93633151500001</v>
      </c>
      <c r="G348" s="46">
        <f t="shared" si="5"/>
        <v>159190.39726168514</v>
      </c>
    </row>
    <row r="349" spans="1:7" x14ac:dyDescent="0.4">
      <c r="A349" s="46">
        <v>329</v>
      </c>
      <c r="B349" s="46" t="s">
        <v>752</v>
      </c>
      <c r="C349" s="46">
        <v>70</v>
      </c>
      <c r="D349" s="50" t="s">
        <v>838</v>
      </c>
      <c r="E349" s="48">
        <v>0.218</v>
      </c>
      <c r="F349" s="46">
        <v>171.93638665399999</v>
      </c>
      <c r="G349" s="46">
        <f t="shared" si="5"/>
        <v>160121.94262333278</v>
      </c>
    </row>
    <row r="350" spans="1:7" x14ac:dyDescent="0.4">
      <c r="A350" s="46">
        <v>330</v>
      </c>
      <c r="B350" s="46" t="s">
        <v>753</v>
      </c>
      <c r="C350" s="46">
        <v>70</v>
      </c>
      <c r="D350" s="50" t="s">
        <v>838</v>
      </c>
      <c r="E350" s="48">
        <v>0.161</v>
      </c>
      <c r="F350" s="46">
        <v>172.93821621199999</v>
      </c>
      <c r="G350" s="46">
        <f t="shared" si="5"/>
        <v>161055.14084563241</v>
      </c>
    </row>
    <row r="351" spans="1:7" x14ac:dyDescent="0.4">
      <c r="A351" s="46">
        <v>331</v>
      </c>
      <c r="B351" s="57" t="s">
        <v>754</v>
      </c>
      <c r="C351" s="46">
        <v>70</v>
      </c>
      <c r="D351" s="50" t="s">
        <v>838</v>
      </c>
      <c r="E351" s="48">
        <v>0.31900000000000001</v>
      </c>
      <c r="F351" s="46">
        <v>173.93886209999999</v>
      </c>
      <c r="G351" s="46">
        <f t="shared" si="5"/>
        <v>161987.23648642912</v>
      </c>
    </row>
    <row r="352" spans="1:7" x14ac:dyDescent="0.4">
      <c r="A352" s="46">
        <v>332</v>
      </c>
      <c r="B352" s="46" t="s">
        <v>755</v>
      </c>
      <c r="C352" s="46">
        <v>70</v>
      </c>
      <c r="D352" s="50" t="s">
        <v>838</v>
      </c>
      <c r="E352" s="48">
        <v>0.129</v>
      </c>
      <c r="F352" s="46">
        <v>175.9425717</v>
      </c>
      <c r="G352" s="46">
        <f t="shared" si="5"/>
        <v>163853.67995657152</v>
      </c>
    </row>
    <row r="353" spans="1:7" x14ac:dyDescent="0.4">
      <c r="A353" s="45">
        <v>333</v>
      </c>
      <c r="B353" s="45" t="s">
        <v>938</v>
      </c>
      <c r="C353" s="45">
        <v>71</v>
      </c>
      <c r="D353" s="49">
        <v>1.37</v>
      </c>
      <c r="E353" s="47">
        <v>0</v>
      </c>
      <c r="F353" s="45">
        <v>172.9389357</v>
      </c>
      <c r="G353" s="45">
        <f t="shared" si="5"/>
        <v>161055.30004543683</v>
      </c>
    </row>
    <row r="354" spans="1:7" x14ac:dyDescent="0.4">
      <c r="A354" s="45">
        <v>334</v>
      </c>
      <c r="B354" s="45" t="s">
        <v>939</v>
      </c>
      <c r="C354" s="45">
        <v>71</v>
      </c>
      <c r="D354" s="49">
        <v>3.31</v>
      </c>
      <c r="E354" s="47">
        <v>0</v>
      </c>
      <c r="F354" s="45">
        <v>173.9403428</v>
      </c>
      <c r="G354" s="45">
        <f t="shared" si="5"/>
        <v>161988.10475064421</v>
      </c>
    </row>
    <row r="355" spans="1:7" x14ac:dyDescent="0.4">
      <c r="A355" s="45">
        <v>335</v>
      </c>
      <c r="B355" s="52" t="s">
        <v>756</v>
      </c>
      <c r="C355" s="45">
        <v>71</v>
      </c>
      <c r="D355" s="49" t="s">
        <v>838</v>
      </c>
      <c r="E355" s="47">
        <v>0.97399999999999998</v>
      </c>
      <c r="F355" s="45">
        <v>174.94077720000001</v>
      </c>
      <c r="G355" s="45">
        <f t="shared" si="5"/>
        <v>162920.00339163785</v>
      </c>
    </row>
    <row r="356" spans="1:7" x14ac:dyDescent="0.4">
      <c r="A356" s="45">
        <v>336</v>
      </c>
      <c r="B356" s="45" t="s">
        <v>757</v>
      </c>
      <c r="C356" s="45">
        <v>71</v>
      </c>
      <c r="D356" s="49">
        <v>37010000000</v>
      </c>
      <c r="E356" s="47">
        <v>2.5999999999999999E-2</v>
      </c>
      <c r="F356" s="45">
        <v>175.94269170000001</v>
      </c>
      <c r="G356" s="45">
        <f t="shared" si="5"/>
        <v>163853.28073690084</v>
      </c>
    </row>
    <row r="357" spans="1:7" x14ac:dyDescent="0.4">
      <c r="A357" s="46">
        <v>337</v>
      </c>
      <c r="B357" s="46" t="s">
        <v>940</v>
      </c>
      <c r="C357" s="46">
        <v>72</v>
      </c>
      <c r="D357" s="50">
        <v>1.87</v>
      </c>
      <c r="E357" s="48">
        <v>0</v>
      </c>
      <c r="F357" s="46">
        <v>171.93944999999999</v>
      </c>
      <c r="G357" s="46">
        <f t="shared" si="5"/>
        <v>160123.77411385032</v>
      </c>
    </row>
    <row r="358" spans="1:7" x14ac:dyDescent="0.4">
      <c r="A358" s="46">
        <v>338</v>
      </c>
      <c r="B358" s="46" t="s">
        <v>758</v>
      </c>
      <c r="C358" s="46">
        <v>72</v>
      </c>
      <c r="D358" s="50">
        <v>3.8E+16</v>
      </c>
      <c r="E358" s="48">
        <v>1.6000000000000001E-3</v>
      </c>
      <c r="F358" s="46">
        <v>173.94004839999999</v>
      </c>
      <c r="G358" s="46">
        <f t="shared" si="5"/>
        <v>161987.31951985991</v>
      </c>
    </row>
    <row r="359" spans="1:7" x14ac:dyDescent="0.4">
      <c r="A359" s="46">
        <v>339</v>
      </c>
      <c r="B359" s="46" t="s">
        <v>941</v>
      </c>
      <c r="C359" s="46">
        <v>72</v>
      </c>
      <c r="D359" s="50">
        <v>0.19109999999999999</v>
      </c>
      <c r="E359" s="48">
        <v>0</v>
      </c>
      <c r="F359" s="46">
        <v>174.9415114</v>
      </c>
      <c r="G359" s="46">
        <f t="shared" si="5"/>
        <v>162920.17629558191</v>
      </c>
    </row>
    <row r="360" spans="1:7" x14ac:dyDescent="0.4">
      <c r="A360" s="46">
        <v>340</v>
      </c>
      <c r="B360" s="46" t="s">
        <v>759</v>
      </c>
      <c r="C360" s="46">
        <v>72</v>
      </c>
      <c r="D360" s="50" t="s">
        <v>838</v>
      </c>
      <c r="E360" s="48">
        <v>5.2600000000000001E-2</v>
      </c>
      <c r="F360" s="46">
        <v>175.94140859999999</v>
      </c>
      <c r="G360" s="46">
        <f t="shared" si="5"/>
        <v>163851.57453799873</v>
      </c>
    </row>
    <row r="361" spans="1:7" x14ac:dyDescent="0.4">
      <c r="A361" s="46">
        <v>341</v>
      </c>
      <c r="B361" s="46" t="s">
        <v>760</v>
      </c>
      <c r="C361" s="46">
        <v>72</v>
      </c>
      <c r="D361" s="50" t="s">
        <v>838</v>
      </c>
      <c r="E361" s="48">
        <v>0.186</v>
      </c>
      <c r="F361" s="46">
        <v>176.94322070000001</v>
      </c>
      <c r="G361" s="46">
        <f t="shared" si="5"/>
        <v>164784.75649827614</v>
      </c>
    </row>
    <row r="362" spans="1:7" x14ac:dyDescent="0.4">
      <c r="A362" s="46">
        <v>342</v>
      </c>
      <c r="B362" s="46" t="s">
        <v>761</v>
      </c>
      <c r="C362" s="46">
        <v>72</v>
      </c>
      <c r="D362" s="50" t="s">
        <v>838</v>
      </c>
      <c r="E362" s="48">
        <v>0.27300000000000002</v>
      </c>
      <c r="F362" s="46">
        <v>177.94369879999999</v>
      </c>
      <c r="G362" s="46">
        <f t="shared" si="5"/>
        <v>165716.69584555752</v>
      </c>
    </row>
    <row r="363" spans="1:7" x14ac:dyDescent="0.4">
      <c r="A363" s="46">
        <v>343</v>
      </c>
      <c r="B363" s="46" t="s">
        <v>762</v>
      </c>
      <c r="C363" s="46">
        <v>72</v>
      </c>
      <c r="D363" s="50" t="s">
        <v>838</v>
      </c>
      <c r="E363" s="48">
        <v>0.13600000000000001</v>
      </c>
      <c r="F363" s="46">
        <v>178.9458161</v>
      </c>
      <c r="G363" s="46">
        <f t="shared" si="5"/>
        <v>166650.16209780372</v>
      </c>
    </row>
    <row r="364" spans="1:7" x14ac:dyDescent="0.4">
      <c r="A364" s="46">
        <v>344</v>
      </c>
      <c r="B364" s="57" t="s">
        <v>763</v>
      </c>
      <c r="C364" s="46">
        <v>72</v>
      </c>
      <c r="D364" s="50" t="s">
        <v>838</v>
      </c>
      <c r="E364" s="48">
        <v>0.35099999999999998</v>
      </c>
      <c r="F364" s="46">
        <v>179.94655</v>
      </c>
      <c r="G364" s="46">
        <f t="shared" si="5"/>
        <v>167582.33972125035</v>
      </c>
    </row>
    <row r="365" spans="1:7" x14ac:dyDescent="0.4">
      <c r="A365" s="46">
        <v>345</v>
      </c>
      <c r="B365" s="46" t="s">
        <v>764</v>
      </c>
      <c r="C365" s="46">
        <v>72</v>
      </c>
      <c r="D365" s="50">
        <v>8900000</v>
      </c>
      <c r="E365" s="48">
        <v>0</v>
      </c>
      <c r="F365" s="46">
        <v>181.9505637</v>
      </c>
      <c r="G365" s="46">
        <f t="shared" si="5"/>
        <v>169449.06645871812</v>
      </c>
    </row>
    <row r="366" spans="1:7" x14ac:dyDescent="0.4">
      <c r="A366" s="45">
        <v>346</v>
      </c>
      <c r="B366" s="45" t="s">
        <v>943</v>
      </c>
      <c r="C366" s="45">
        <v>73</v>
      </c>
      <c r="D366" s="49">
        <v>1.82</v>
      </c>
      <c r="E366" s="47">
        <v>0</v>
      </c>
      <c r="F366" s="45">
        <v>178.9459391</v>
      </c>
      <c r="G366" s="45">
        <f t="shared" si="5"/>
        <v>166649.76567261506</v>
      </c>
    </row>
    <row r="367" spans="1:7" x14ac:dyDescent="0.4">
      <c r="A367" s="45">
        <v>347</v>
      </c>
      <c r="B367" s="45" t="s">
        <v>942</v>
      </c>
      <c r="C367" s="45">
        <v>73</v>
      </c>
      <c r="D367" s="49" t="s">
        <v>838</v>
      </c>
      <c r="E367" s="47">
        <v>1.2E-4</v>
      </c>
      <c r="F367" s="45">
        <v>179.94746760000001</v>
      </c>
      <c r="G367" s="45">
        <f t="shared" si="5"/>
        <v>167582.68346119404</v>
      </c>
    </row>
    <row r="368" spans="1:7" x14ac:dyDescent="0.4">
      <c r="A368" s="45">
        <v>348</v>
      </c>
      <c r="B368" s="52" t="s">
        <v>765</v>
      </c>
      <c r="C368" s="45">
        <v>73</v>
      </c>
      <c r="D368" s="49" t="s">
        <v>838</v>
      </c>
      <c r="E368" s="47">
        <v>0.99987999999999999</v>
      </c>
      <c r="F368" s="45">
        <v>180.94799850000001</v>
      </c>
      <c r="G368" s="45">
        <f t="shared" si="5"/>
        <v>168514.67199135866</v>
      </c>
    </row>
    <row r="369" spans="1:7" x14ac:dyDescent="0.4">
      <c r="A369" s="45">
        <v>349</v>
      </c>
      <c r="B369" s="45" t="s">
        <v>944</v>
      </c>
      <c r="C369" s="45">
        <v>73</v>
      </c>
      <c r="D369" s="49">
        <v>0.31409999999999999</v>
      </c>
      <c r="E369" s="47">
        <v>0</v>
      </c>
      <c r="F369" s="45">
        <v>181.95015459999999</v>
      </c>
      <c r="G369" s="45">
        <f t="shared" si="5"/>
        <v>169448.17438557203</v>
      </c>
    </row>
    <row r="370" spans="1:7" x14ac:dyDescent="0.4">
      <c r="A370" s="46">
        <v>350</v>
      </c>
      <c r="B370" s="46" t="s">
        <v>766</v>
      </c>
      <c r="C370" s="46">
        <v>74</v>
      </c>
      <c r="D370" s="50">
        <v>1.59E+18</v>
      </c>
      <c r="E370" s="48">
        <v>1.1999999999999999E-3</v>
      </c>
      <c r="F370" s="46">
        <v>179.9467133</v>
      </c>
      <c r="G370" s="46">
        <f t="shared" si="5"/>
        <v>167581.46983631916</v>
      </c>
    </row>
    <row r="371" spans="1:7" x14ac:dyDescent="0.4">
      <c r="A371" s="46">
        <v>351</v>
      </c>
      <c r="B371" s="46" t="s">
        <v>767</v>
      </c>
      <c r="C371" s="46">
        <v>74</v>
      </c>
      <c r="D371" s="50">
        <v>0.33119999999999999</v>
      </c>
      <c r="E371" s="48">
        <v>0</v>
      </c>
      <c r="F371" s="46">
        <v>180.94821870000001</v>
      </c>
      <c r="G371" s="46">
        <f t="shared" si="5"/>
        <v>168514.36610738677</v>
      </c>
    </row>
    <row r="372" spans="1:7" x14ac:dyDescent="0.4">
      <c r="A372" s="46">
        <v>352</v>
      </c>
      <c r="B372" s="57" t="s">
        <v>768</v>
      </c>
      <c r="C372" s="46">
        <v>74</v>
      </c>
      <c r="D372" s="50" t="s">
        <v>838</v>
      </c>
      <c r="E372" s="48">
        <v>0.26500000000000001</v>
      </c>
      <c r="F372" s="46">
        <v>181.94820564</v>
      </c>
      <c r="G372" s="46">
        <f t="shared" si="5"/>
        <v>169445.84794207511</v>
      </c>
    </row>
    <row r="373" spans="1:7" x14ac:dyDescent="0.4">
      <c r="A373" s="46">
        <v>353</v>
      </c>
      <c r="B373" s="46" t="s">
        <v>769</v>
      </c>
      <c r="C373" s="46">
        <v>74</v>
      </c>
      <c r="D373" s="50" t="s">
        <v>838</v>
      </c>
      <c r="E373" s="48">
        <v>0.14299999999999999</v>
      </c>
      <c r="F373" s="46">
        <v>182.95022442000001</v>
      </c>
      <c r="G373" s="46">
        <f t="shared" si="5"/>
        <v>170379.22242353245</v>
      </c>
    </row>
    <row r="374" spans="1:7" x14ac:dyDescent="0.4">
      <c r="A374" s="46">
        <v>354</v>
      </c>
      <c r="B374" s="46" t="s">
        <v>770</v>
      </c>
      <c r="C374" s="46">
        <v>74</v>
      </c>
      <c r="D374" s="50" t="s">
        <v>838</v>
      </c>
      <c r="E374" s="48" t="s">
        <v>946</v>
      </c>
      <c r="F374" s="46">
        <v>183.95093120000001</v>
      </c>
      <c r="G374" s="46">
        <f t="shared" si="5"/>
        <v>171311.37478486178</v>
      </c>
    </row>
    <row r="375" spans="1:7" x14ac:dyDescent="0.4">
      <c r="A375" s="46">
        <v>355</v>
      </c>
      <c r="B375" s="46" t="s">
        <v>771</v>
      </c>
      <c r="C375" s="46">
        <v>74</v>
      </c>
      <c r="D375" s="50">
        <v>0.2056</v>
      </c>
      <c r="E375" s="48">
        <v>0</v>
      </c>
      <c r="F375" s="46">
        <v>184.95342120999999</v>
      </c>
      <c r="G375" s="46">
        <f t="shared" si="5"/>
        <v>172245.1882142367</v>
      </c>
    </row>
    <row r="376" spans="1:7" x14ac:dyDescent="0.4">
      <c r="A376" s="46">
        <v>356</v>
      </c>
      <c r="B376" s="46" t="s">
        <v>772</v>
      </c>
      <c r="C376" s="46">
        <v>74</v>
      </c>
      <c r="D376" s="50" t="s">
        <v>838</v>
      </c>
      <c r="E376" s="48" t="s">
        <v>947</v>
      </c>
      <c r="F376" s="46">
        <v>185.95436509999999</v>
      </c>
      <c r="G376" s="46">
        <f t="shared" si="5"/>
        <v>173177.56144210833</v>
      </c>
    </row>
    <row r="377" spans="1:7" x14ac:dyDescent="0.4">
      <c r="A377" s="46">
        <v>357</v>
      </c>
      <c r="B377" s="46" t="s">
        <v>945</v>
      </c>
      <c r="C377" s="46">
        <v>74</v>
      </c>
      <c r="D377" s="50">
        <v>0.191</v>
      </c>
      <c r="E377" s="48">
        <v>0</v>
      </c>
      <c r="F377" s="46">
        <v>187.9584883</v>
      </c>
      <c r="G377" s="46">
        <f t="shared" si="5"/>
        <v>175044.39017816915</v>
      </c>
    </row>
    <row r="378" spans="1:7" x14ac:dyDescent="0.4">
      <c r="A378" s="45">
        <v>358</v>
      </c>
      <c r="B378" s="45" t="s">
        <v>948</v>
      </c>
      <c r="C378" s="45">
        <v>75</v>
      </c>
      <c r="D378" s="49">
        <v>0.19159999999999999</v>
      </c>
      <c r="E378" s="47">
        <v>0</v>
      </c>
      <c r="F378" s="45">
        <v>182.9508213</v>
      </c>
      <c r="G378" s="45">
        <f t="shared" si="5"/>
        <v>170379.26741472047</v>
      </c>
    </row>
    <row r="379" spans="1:7" x14ac:dyDescent="0.4">
      <c r="A379" s="45">
        <v>359</v>
      </c>
      <c r="B379" s="52" t="s">
        <v>773</v>
      </c>
      <c r="C379" s="45">
        <v>75</v>
      </c>
      <c r="D379" s="49" t="s">
        <v>838</v>
      </c>
      <c r="E379" s="47">
        <v>0.374</v>
      </c>
      <c r="F379" s="45">
        <v>184.952955</v>
      </c>
      <c r="G379" s="45">
        <f t="shared" si="5"/>
        <v>172244.24294346827</v>
      </c>
    </row>
    <row r="380" spans="1:7" x14ac:dyDescent="0.4">
      <c r="A380" s="45">
        <v>360</v>
      </c>
      <c r="B380" s="45" t="s">
        <v>774</v>
      </c>
      <c r="C380" s="45">
        <v>75</v>
      </c>
      <c r="D380" s="49">
        <v>41600000000</v>
      </c>
      <c r="E380" s="47">
        <v>0.626</v>
      </c>
      <c r="F380" s="45">
        <v>186.95575310000001</v>
      </c>
      <c r="G380" s="45">
        <f t="shared" si="5"/>
        <v>174109.83735682967</v>
      </c>
    </row>
    <row r="381" spans="1:7" x14ac:dyDescent="0.4">
      <c r="A381" s="46">
        <v>361</v>
      </c>
      <c r="B381" s="46" t="s">
        <v>775</v>
      </c>
      <c r="C381" s="46">
        <v>76</v>
      </c>
      <c r="D381" s="50">
        <v>11200000000000</v>
      </c>
      <c r="E381" s="48">
        <v>2.0000000000000001E-4</v>
      </c>
      <c r="F381" s="46">
        <v>183.95249292</v>
      </c>
      <c r="G381" s="46">
        <f t="shared" si="5"/>
        <v>171311.80751977005</v>
      </c>
    </row>
    <row r="382" spans="1:7" x14ac:dyDescent="0.4">
      <c r="A382" s="46">
        <v>362</v>
      </c>
      <c r="B382" s="46" t="s">
        <v>949</v>
      </c>
      <c r="C382" s="46">
        <v>76</v>
      </c>
      <c r="D382" s="50">
        <v>0.2545</v>
      </c>
      <c r="E382" s="48">
        <v>0</v>
      </c>
      <c r="F382" s="46">
        <v>184.95404597000001</v>
      </c>
      <c r="G382" s="46">
        <f t="shared" si="5"/>
        <v>172244.74817652677</v>
      </c>
    </row>
    <row r="383" spans="1:7" x14ac:dyDescent="0.4">
      <c r="A383" s="46">
        <v>363</v>
      </c>
      <c r="B383" s="46" t="s">
        <v>776</v>
      </c>
      <c r="C383" s="46">
        <v>76</v>
      </c>
      <c r="D383" s="50">
        <v>2000000000000000</v>
      </c>
      <c r="E383" s="48">
        <v>1.5900000000000001E-2</v>
      </c>
      <c r="F383" s="46">
        <v>185.95383756999999</v>
      </c>
      <c r="G383" s="46">
        <f t="shared" si="5"/>
        <v>173176.04805317716</v>
      </c>
    </row>
    <row r="384" spans="1:7" x14ac:dyDescent="0.4">
      <c r="A384" s="46">
        <v>364</v>
      </c>
      <c r="B384" s="46" t="s">
        <v>777</v>
      </c>
      <c r="C384" s="46">
        <v>76</v>
      </c>
      <c r="D384" s="50" t="s">
        <v>838</v>
      </c>
      <c r="E384" s="48">
        <v>1.9599999999999999E-2</v>
      </c>
      <c r="F384" s="46">
        <v>186.95574956999999</v>
      </c>
      <c r="G384" s="46">
        <f t="shared" si="5"/>
        <v>174109.32306970516</v>
      </c>
    </row>
    <row r="385" spans="1:7" x14ac:dyDescent="0.4">
      <c r="A385" s="46">
        <v>365</v>
      </c>
      <c r="B385" s="46" t="s">
        <v>778</v>
      </c>
      <c r="C385" s="46">
        <v>76</v>
      </c>
      <c r="D385" s="50" t="s">
        <v>838</v>
      </c>
      <c r="E385" s="48">
        <v>0.13200000000000001</v>
      </c>
      <c r="F385" s="46">
        <v>187.95583729000001</v>
      </c>
      <c r="G385" s="46">
        <f t="shared" si="5"/>
        <v>175040.89878035884</v>
      </c>
    </row>
    <row r="386" spans="1:7" x14ac:dyDescent="0.4">
      <c r="A386" s="46">
        <v>366</v>
      </c>
      <c r="B386" s="46" t="s">
        <v>779</v>
      </c>
      <c r="C386" s="46">
        <v>76</v>
      </c>
      <c r="D386" s="50" t="s">
        <v>838</v>
      </c>
      <c r="E386" s="48">
        <v>0.161</v>
      </c>
      <c r="F386" s="46">
        <v>188.95814594999999</v>
      </c>
      <c r="G386" s="46">
        <f t="shared" si="5"/>
        <v>175974.54328329687</v>
      </c>
    </row>
    <row r="387" spans="1:7" x14ac:dyDescent="0.4">
      <c r="A387" s="46">
        <v>367</v>
      </c>
      <c r="B387" s="46" t="s">
        <v>780</v>
      </c>
      <c r="C387" s="46">
        <v>76</v>
      </c>
      <c r="D387" s="50" t="s">
        <v>838</v>
      </c>
      <c r="E387" s="48">
        <v>0.26300000000000001</v>
      </c>
      <c r="F387" s="46">
        <v>189.95844543999999</v>
      </c>
      <c r="G387" s="46">
        <f t="shared" si="5"/>
        <v>176906.31625643492</v>
      </c>
    </row>
    <row r="388" spans="1:7" x14ac:dyDescent="0.4">
      <c r="A388" s="46">
        <v>368</v>
      </c>
      <c r="B388" s="57" t="s">
        <v>781</v>
      </c>
      <c r="C388" s="46">
        <v>76</v>
      </c>
      <c r="D388" s="50" t="s">
        <v>838</v>
      </c>
      <c r="E388" s="48">
        <v>0.40799999999999997</v>
      </c>
      <c r="F388" s="46">
        <v>191.96148070000001</v>
      </c>
      <c r="G388" s="46">
        <f t="shared" si="5"/>
        <v>178772.1315829134</v>
      </c>
    </row>
    <row r="389" spans="1:7" x14ac:dyDescent="0.4">
      <c r="A389" s="46">
        <v>369</v>
      </c>
      <c r="B389" s="46" t="s">
        <v>950</v>
      </c>
      <c r="C389" s="46">
        <v>76</v>
      </c>
      <c r="D389" s="50">
        <v>6</v>
      </c>
      <c r="E389" s="48">
        <v>0</v>
      </c>
      <c r="F389" s="46">
        <v>193.96517940000001</v>
      </c>
      <c r="G389" s="46">
        <f t="shared" si="5"/>
        <v>180638.56489977118</v>
      </c>
    </row>
    <row r="390" spans="1:7" x14ac:dyDescent="0.4">
      <c r="A390" s="45">
        <v>370</v>
      </c>
      <c r="B390" s="45" t="s">
        <v>782</v>
      </c>
      <c r="C390" s="45">
        <v>77</v>
      </c>
      <c r="D390" s="49" t="s">
        <v>838</v>
      </c>
      <c r="E390" s="47">
        <v>0.373</v>
      </c>
      <c r="F390" s="45">
        <v>190.96059149999999</v>
      </c>
      <c r="G390" s="45">
        <f t="shared" si="5"/>
        <v>177839.29829949787</v>
      </c>
    </row>
    <row r="391" spans="1:7" x14ac:dyDescent="0.4">
      <c r="A391" s="45">
        <v>371</v>
      </c>
      <c r="B391" s="54" t="s">
        <v>783</v>
      </c>
      <c r="C391" s="45">
        <v>77</v>
      </c>
      <c r="D391" s="49">
        <v>0.2021</v>
      </c>
      <c r="E391" s="47">
        <v>0</v>
      </c>
      <c r="F391" s="45">
        <v>191.962605</v>
      </c>
      <c r="G391" s="45">
        <f t="shared" si="5"/>
        <v>178772.66786266689</v>
      </c>
    </row>
    <row r="392" spans="1:7" x14ac:dyDescent="0.4">
      <c r="A392" s="45">
        <v>372</v>
      </c>
      <c r="B392" s="53" t="s">
        <v>784</v>
      </c>
      <c r="C392" s="45">
        <v>77</v>
      </c>
      <c r="D392" s="49" t="s">
        <v>838</v>
      </c>
      <c r="E392" s="47">
        <v>0.627</v>
      </c>
      <c r="F392" s="45">
        <v>192.96292639999999</v>
      </c>
      <c r="G392" s="45">
        <f t="shared" si="5"/>
        <v>179704.46124483849</v>
      </c>
    </row>
    <row r="393" spans="1:7" x14ac:dyDescent="0.4">
      <c r="A393" s="46">
        <v>373</v>
      </c>
      <c r="B393" s="46" t="s">
        <v>951</v>
      </c>
      <c r="C393" s="46">
        <v>78</v>
      </c>
      <c r="D393" s="50">
        <v>483000000000</v>
      </c>
      <c r="E393" s="48">
        <v>1.2E-4</v>
      </c>
      <c r="F393" s="46">
        <v>189.95994981999999</v>
      </c>
      <c r="G393" s="46">
        <f t="shared" si="5"/>
        <v>176906.69557947727</v>
      </c>
    </row>
    <row r="394" spans="1:7" x14ac:dyDescent="0.4">
      <c r="A394" s="46">
        <v>374</v>
      </c>
      <c r="B394" s="46" t="s">
        <v>785</v>
      </c>
      <c r="C394" s="46">
        <v>78</v>
      </c>
      <c r="D394" s="50" t="s">
        <v>838</v>
      </c>
      <c r="E394" s="48">
        <v>7.8200000000000006E-3</v>
      </c>
      <c r="F394" s="46">
        <v>191.96104270000001</v>
      </c>
      <c r="G394" s="46">
        <f t="shared" si="5"/>
        <v>178770.70159064</v>
      </c>
    </row>
    <row r="395" spans="1:7" x14ac:dyDescent="0.4">
      <c r="A395" s="46">
        <v>375</v>
      </c>
      <c r="B395" s="46" t="s">
        <v>992</v>
      </c>
      <c r="C395" s="46">
        <v>78</v>
      </c>
      <c r="D395" s="50">
        <v>50</v>
      </c>
      <c r="E395" s="48">
        <v>0</v>
      </c>
      <c r="F395" s="46">
        <v>192.9629845</v>
      </c>
      <c r="G395" s="46">
        <f t="shared" si="5"/>
        <v>179704.00436568921</v>
      </c>
    </row>
    <row r="396" spans="1:7" x14ac:dyDescent="0.4">
      <c r="A396" s="46">
        <v>376</v>
      </c>
      <c r="B396" s="46" t="s">
        <v>993</v>
      </c>
      <c r="C396" s="46">
        <v>78</v>
      </c>
      <c r="D396" s="50" t="s">
        <v>838</v>
      </c>
      <c r="E396" s="48">
        <v>0.32900000000000001</v>
      </c>
      <c r="F396" s="46">
        <v>193.96268029999999</v>
      </c>
      <c r="G396" s="46">
        <f t="shared" si="5"/>
        <v>180635.21500521438</v>
      </c>
    </row>
    <row r="397" spans="1:7" x14ac:dyDescent="0.4">
      <c r="A397" s="46">
        <v>377</v>
      </c>
      <c r="B397" s="57" t="s">
        <v>786</v>
      </c>
      <c r="C397" s="46">
        <v>78</v>
      </c>
      <c r="D397" s="50" t="s">
        <v>838</v>
      </c>
      <c r="E397" s="48">
        <v>0.33800000000000002</v>
      </c>
      <c r="F397" s="46">
        <v>194.96479110000001</v>
      </c>
      <c r="G397" s="46">
        <f t="shared" si="5"/>
        <v>181568.67520274961</v>
      </c>
    </row>
    <row r="398" spans="1:7" x14ac:dyDescent="0.4">
      <c r="A398" s="46">
        <v>378</v>
      </c>
      <c r="B398" s="46" t="s">
        <v>787</v>
      </c>
      <c r="C398" s="46">
        <v>78</v>
      </c>
      <c r="D398" s="50" t="s">
        <v>838</v>
      </c>
      <c r="E398" s="48">
        <v>0.252</v>
      </c>
      <c r="F398" s="46">
        <v>195.96495465000001</v>
      </c>
      <c r="G398" s="46">
        <f t="shared" si="5"/>
        <v>182500.32154859332</v>
      </c>
    </row>
    <row r="399" spans="1:7" x14ac:dyDescent="0.4">
      <c r="A399" s="46">
        <v>379</v>
      </c>
      <c r="B399" s="46" t="s">
        <v>788</v>
      </c>
      <c r="C399" s="46">
        <v>78</v>
      </c>
      <c r="D399" s="50" t="s">
        <v>838</v>
      </c>
      <c r="E399" s="48">
        <v>7.3599999999999999E-2</v>
      </c>
      <c r="F399" s="46">
        <v>197.96789670000001</v>
      </c>
      <c r="G399" s="46">
        <f t="shared" si="5"/>
        <v>184366.050050516</v>
      </c>
    </row>
    <row r="400" spans="1:7" x14ac:dyDescent="0.4">
      <c r="A400" s="45">
        <v>380</v>
      </c>
      <c r="B400" s="45" t="s">
        <v>952</v>
      </c>
      <c r="C400" s="45">
        <v>79</v>
      </c>
      <c r="D400" s="49">
        <v>0.50929999999999997</v>
      </c>
      <c r="E400" s="47">
        <v>0</v>
      </c>
      <c r="F400" s="45">
        <v>194.9650378</v>
      </c>
      <c r="G400" s="45">
        <f t="shared" si="5"/>
        <v>181568.39400336871</v>
      </c>
    </row>
    <row r="401" spans="1:7" x14ac:dyDescent="0.4">
      <c r="A401" s="45">
        <v>381</v>
      </c>
      <c r="B401" s="53" t="s">
        <v>983</v>
      </c>
      <c r="C401" s="45">
        <v>79</v>
      </c>
      <c r="D401" s="49" t="s">
        <v>838</v>
      </c>
      <c r="E401" s="47">
        <v>1</v>
      </c>
      <c r="F401" s="45">
        <v>196.96656870000001</v>
      </c>
      <c r="G401" s="45">
        <f t="shared" si="5"/>
        <v>183432.80802753332</v>
      </c>
    </row>
    <row r="402" spans="1:7" x14ac:dyDescent="0.4">
      <c r="A402" s="46">
        <v>382</v>
      </c>
      <c r="B402" s="46" t="s">
        <v>953</v>
      </c>
      <c r="C402" s="46">
        <v>80</v>
      </c>
      <c r="D402" s="50">
        <v>447</v>
      </c>
      <c r="E402" s="48">
        <v>0</v>
      </c>
      <c r="F402" s="46">
        <v>193.96544900000001</v>
      </c>
      <c r="G402" s="46">
        <f t="shared" si="5"/>
        <v>180636.77203475081</v>
      </c>
    </row>
    <row r="403" spans="1:7" x14ac:dyDescent="0.4">
      <c r="A403" s="46">
        <v>383</v>
      </c>
      <c r="B403" s="46" t="s">
        <v>789</v>
      </c>
      <c r="C403" s="46">
        <v>80</v>
      </c>
      <c r="D403" s="50" t="s">
        <v>838</v>
      </c>
      <c r="E403" s="48">
        <v>1.5E-3</v>
      </c>
      <c r="F403" s="46">
        <v>195.965833</v>
      </c>
      <c r="G403" s="46">
        <f t="shared" si="5"/>
        <v>182500.11772844681</v>
      </c>
    </row>
    <row r="404" spans="1:7" x14ac:dyDescent="0.4">
      <c r="A404" s="46">
        <v>384</v>
      </c>
      <c r="B404" s="46" t="s">
        <v>790</v>
      </c>
      <c r="C404" s="46">
        <v>80</v>
      </c>
      <c r="D404" s="50" t="s">
        <v>838</v>
      </c>
      <c r="E404" s="48">
        <v>0.1</v>
      </c>
      <c r="F404" s="46">
        <v>197.966769</v>
      </c>
      <c r="G404" s="46">
        <f t="shared" ref="G404:G467" si="6">F404*amu-C404*m_e</f>
        <v>184363.97760683083</v>
      </c>
    </row>
    <row r="405" spans="1:7" x14ac:dyDescent="0.4">
      <c r="A405" s="46">
        <v>385</v>
      </c>
      <c r="B405" s="46" t="s">
        <v>791</v>
      </c>
      <c r="C405" s="46">
        <v>80</v>
      </c>
      <c r="D405" s="50" t="s">
        <v>838</v>
      </c>
      <c r="E405" s="48">
        <v>0.16900000000000001</v>
      </c>
      <c r="F405" s="46">
        <v>198.9682799</v>
      </c>
      <c r="G405" s="46">
        <f t="shared" si="6"/>
        <v>185296.87900111542</v>
      </c>
    </row>
    <row r="406" spans="1:7" x14ac:dyDescent="0.4">
      <c r="A406" s="46">
        <v>386</v>
      </c>
      <c r="B406" s="46" t="s">
        <v>994</v>
      </c>
      <c r="C406" s="46">
        <v>80</v>
      </c>
      <c r="D406" s="50" t="s">
        <v>838</v>
      </c>
      <c r="E406" s="48">
        <v>0.23100000000000001</v>
      </c>
      <c r="F406" s="46">
        <v>199.96832599999999</v>
      </c>
      <c r="G406" s="46">
        <f t="shared" si="6"/>
        <v>186228.41594298882</v>
      </c>
    </row>
    <row r="407" spans="1:7" x14ac:dyDescent="0.4">
      <c r="A407" s="46">
        <v>387</v>
      </c>
      <c r="B407" s="46" t="s">
        <v>995</v>
      </c>
      <c r="C407" s="46">
        <v>80</v>
      </c>
      <c r="D407" s="50" t="s">
        <v>838</v>
      </c>
      <c r="E407" s="48">
        <v>0.13200000000000001</v>
      </c>
      <c r="F407" s="46">
        <v>200.97030229999999</v>
      </c>
      <c r="G407" s="46">
        <f t="shared" si="6"/>
        <v>187161.75085458101</v>
      </c>
    </row>
    <row r="408" spans="1:7" x14ac:dyDescent="0.4">
      <c r="A408" s="46">
        <v>388</v>
      </c>
      <c r="B408" s="57" t="s">
        <v>792</v>
      </c>
      <c r="C408" s="46">
        <v>80</v>
      </c>
      <c r="D408" s="50" t="s">
        <v>838</v>
      </c>
      <c r="E408" s="48">
        <v>0.29699999999999999</v>
      </c>
      <c r="F408" s="46">
        <v>201.970643</v>
      </c>
      <c r="G408" s="46">
        <f t="shared" si="6"/>
        <v>188093.56221458683</v>
      </c>
    </row>
    <row r="409" spans="1:7" x14ac:dyDescent="0.4">
      <c r="A409" s="46">
        <v>389</v>
      </c>
      <c r="B409" s="46" t="s">
        <v>996</v>
      </c>
      <c r="C409" s="46">
        <v>80</v>
      </c>
      <c r="D409" s="50" t="s">
        <v>838</v>
      </c>
      <c r="E409" s="48">
        <v>6.8199999999999997E-2</v>
      </c>
      <c r="F409" s="46">
        <v>203.97349389999999</v>
      </c>
      <c r="G409" s="46">
        <f t="shared" si="6"/>
        <v>189959.20581083142</v>
      </c>
    </row>
    <row r="410" spans="1:7" x14ac:dyDescent="0.4">
      <c r="A410" s="45">
        <v>390</v>
      </c>
      <c r="B410" s="45" t="s">
        <v>793</v>
      </c>
      <c r="C410" s="45">
        <v>81</v>
      </c>
      <c r="D410" s="49" t="s">
        <v>838</v>
      </c>
      <c r="E410" s="47">
        <v>0.29499999999999998</v>
      </c>
      <c r="F410" s="45">
        <v>202.97234409999999</v>
      </c>
      <c r="G410" s="45">
        <f t="shared" si="6"/>
        <v>189026.1297800795</v>
      </c>
    </row>
    <row r="411" spans="1:7" x14ac:dyDescent="0.4">
      <c r="A411" s="45">
        <v>391</v>
      </c>
      <c r="B411" s="45" t="s">
        <v>954</v>
      </c>
      <c r="C411" s="45">
        <v>81</v>
      </c>
      <c r="D411" s="49">
        <v>3.78</v>
      </c>
      <c r="E411" s="47">
        <v>0</v>
      </c>
      <c r="F411" s="45">
        <v>203.9738634</v>
      </c>
      <c r="G411" s="45">
        <f t="shared" si="6"/>
        <v>189959.03899891369</v>
      </c>
    </row>
    <row r="412" spans="1:7" x14ac:dyDescent="0.4">
      <c r="A412" s="45">
        <v>392</v>
      </c>
      <c r="B412" s="52" t="s">
        <v>794</v>
      </c>
      <c r="C412" s="45">
        <v>81</v>
      </c>
      <c r="D412" s="49" t="s">
        <v>838</v>
      </c>
      <c r="E412" s="47">
        <v>0.70499999999999996</v>
      </c>
      <c r="F412" s="45">
        <v>204.9744273</v>
      </c>
      <c r="G412" s="45">
        <f t="shared" si="6"/>
        <v>190891.05826838029</v>
      </c>
    </row>
    <row r="413" spans="1:7" x14ac:dyDescent="0.4">
      <c r="A413" s="46">
        <v>393</v>
      </c>
      <c r="B413" s="46" t="s">
        <v>955</v>
      </c>
      <c r="C413" s="46">
        <v>82</v>
      </c>
      <c r="D413" s="50">
        <v>52500</v>
      </c>
      <c r="E413" s="48">
        <v>0</v>
      </c>
      <c r="F413" s="46"/>
      <c r="G413" s="46">
        <f t="shared" si="6"/>
        <v>-41.901913956580003</v>
      </c>
    </row>
    <row r="414" spans="1:7" x14ac:dyDescent="0.4">
      <c r="A414" s="46">
        <v>394</v>
      </c>
      <c r="B414" s="46" t="s">
        <v>795</v>
      </c>
      <c r="C414" s="46">
        <v>82</v>
      </c>
      <c r="D414" s="50" t="s">
        <v>838</v>
      </c>
      <c r="E414" s="48">
        <v>1.4E-2</v>
      </c>
      <c r="F414" s="46">
        <v>203.97304360000001</v>
      </c>
      <c r="G414" s="46">
        <f t="shared" si="6"/>
        <v>189957.76436118182</v>
      </c>
    </row>
    <row r="415" spans="1:7" x14ac:dyDescent="0.4">
      <c r="A415" s="46">
        <v>395</v>
      </c>
      <c r="B415" s="46" t="s">
        <v>956</v>
      </c>
      <c r="C415" s="46">
        <v>82</v>
      </c>
      <c r="D415" s="50">
        <v>17000000</v>
      </c>
      <c r="E415" s="48">
        <v>0</v>
      </c>
      <c r="F415" s="46"/>
      <c r="G415" s="46">
        <f t="shared" si="6"/>
        <v>-41.901913956580003</v>
      </c>
    </row>
    <row r="416" spans="1:7" x14ac:dyDescent="0.4">
      <c r="A416" s="46">
        <v>396</v>
      </c>
      <c r="B416" s="46" t="s">
        <v>796</v>
      </c>
      <c r="C416" s="46">
        <v>82</v>
      </c>
      <c r="D416" s="50" t="s">
        <v>838</v>
      </c>
      <c r="E416" s="48">
        <v>0.24099999999999999</v>
      </c>
      <c r="F416" s="46">
        <v>205.97446529999999</v>
      </c>
      <c r="G416" s="46">
        <f t="shared" si="6"/>
        <v>191822.07666620161</v>
      </c>
    </row>
    <row r="417" spans="1:7" x14ac:dyDescent="0.4">
      <c r="A417" s="46">
        <v>397</v>
      </c>
      <c r="B417" s="46" t="s">
        <v>797</v>
      </c>
      <c r="C417" s="46">
        <v>82</v>
      </c>
      <c r="D417" s="50" t="s">
        <v>838</v>
      </c>
      <c r="E417" s="48">
        <v>0.221</v>
      </c>
      <c r="F417" s="46">
        <v>206.97589690000001</v>
      </c>
      <c r="G417" s="46">
        <f t="shared" si="6"/>
        <v>192754.90419301201</v>
      </c>
    </row>
    <row r="418" spans="1:7" x14ac:dyDescent="0.4">
      <c r="A418" s="46">
        <v>398</v>
      </c>
      <c r="B418" s="57" t="s">
        <v>798</v>
      </c>
      <c r="C418" s="46">
        <v>82</v>
      </c>
      <c r="D418" s="50" t="s">
        <v>838</v>
      </c>
      <c r="E418" s="48">
        <v>0.52400000000000002</v>
      </c>
      <c r="F418" s="46">
        <v>207.9766521</v>
      </c>
      <c r="G418" s="46">
        <f t="shared" si="6"/>
        <v>193687.10165728081</v>
      </c>
    </row>
    <row r="419" spans="1:7" x14ac:dyDescent="0.4">
      <c r="A419" s="46">
        <v>399</v>
      </c>
      <c r="B419" s="46" t="s">
        <v>799</v>
      </c>
      <c r="C419" s="46">
        <v>82</v>
      </c>
      <c r="D419" s="50">
        <v>22.2</v>
      </c>
      <c r="E419" s="48">
        <v>0</v>
      </c>
      <c r="F419" s="46">
        <v>209.98418849999999</v>
      </c>
      <c r="G419" s="46">
        <f t="shared" si="6"/>
        <v>195557.1097686624</v>
      </c>
    </row>
    <row r="420" spans="1:7" x14ac:dyDescent="0.4">
      <c r="A420" s="45">
        <v>400</v>
      </c>
      <c r="B420" s="45" t="s">
        <v>957</v>
      </c>
      <c r="C420" s="45">
        <v>83</v>
      </c>
      <c r="D420" s="49">
        <v>31.22</v>
      </c>
      <c r="E420" s="47">
        <v>0</v>
      </c>
      <c r="F420" s="45">
        <v>206.97847060000001</v>
      </c>
      <c r="G420" s="45">
        <f t="shared" si="6"/>
        <v>192756.79058016912</v>
      </c>
    </row>
    <row r="421" spans="1:7" x14ac:dyDescent="0.4">
      <c r="A421" s="45">
        <v>401</v>
      </c>
      <c r="B421" s="45" t="s">
        <v>958</v>
      </c>
      <c r="C421" s="45">
        <v>83</v>
      </c>
      <c r="D421" s="49">
        <v>368000</v>
      </c>
      <c r="E421" s="47">
        <v>0</v>
      </c>
      <c r="F421" s="45">
        <v>207.97974210000001</v>
      </c>
      <c r="G421" s="45">
        <f t="shared" si="6"/>
        <v>193689.46897479013</v>
      </c>
    </row>
    <row r="422" spans="1:7" x14ac:dyDescent="0.4">
      <c r="A422" s="45">
        <v>402</v>
      </c>
      <c r="B422" s="53" t="s">
        <v>800</v>
      </c>
      <c r="C422" s="45">
        <v>83</v>
      </c>
      <c r="D422" s="49">
        <v>2.01E+19</v>
      </c>
      <c r="E422" s="47">
        <v>1</v>
      </c>
      <c r="F422" s="45">
        <v>208.98039869999999</v>
      </c>
      <c r="G422" s="45">
        <f t="shared" si="6"/>
        <v>194621.57459375053</v>
      </c>
    </row>
    <row r="423" spans="1:7" x14ac:dyDescent="0.4">
      <c r="A423" s="46">
        <v>403</v>
      </c>
      <c r="B423" s="46" t="s">
        <v>959</v>
      </c>
      <c r="C423" s="46">
        <v>84</v>
      </c>
      <c r="D423" s="50">
        <v>2.8980000000000001</v>
      </c>
      <c r="E423" s="48">
        <v>0</v>
      </c>
      <c r="F423" s="46">
        <v>207.981246</v>
      </c>
      <c r="G423" s="46">
        <f t="shared" si="6"/>
        <v>193690.35884966602</v>
      </c>
    </row>
    <row r="424" spans="1:7" x14ac:dyDescent="0.4">
      <c r="A424" s="46">
        <v>404</v>
      </c>
      <c r="B424" s="46" t="s">
        <v>801</v>
      </c>
      <c r="C424" s="46">
        <v>84</v>
      </c>
      <c r="D424" s="50">
        <v>124</v>
      </c>
      <c r="E424" s="48">
        <v>0</v>
      </c>
      <c r="F424" s="46">
        <v>208.9824304</v>
      </c>
      <c r="G424" s="46">
        <f t="shared" si="6"/>
        <v>194622.95611115964</v>
      </c>
    </row>
    <row r="425" spans="1:7" x14ac:dyDescent="0.4">
      <c r="A425" s="46">
        <v>405</v>
      </c>
      <c r="B425" s="55" t="s">
        <v>802</v>
      </c>
      <c r="C425" s="46">
        <v>84</v>
      </c>
      <c r="D425" s="50">
        <v>0.37890000000000001</v>
      </c>
      <c r="E425" s="48">
        <v>0</v>
      </c>
      <c r="F425" s="46">
        <v>209.9828737</v>
      </c>
      <c r="G425" s="46">
        <f t="shared" si="6"/>
        <v>195554.86304244984</v>
      </c>
    </row>
    <row r="426" spans="1:7" x14ac:dyDescent="0.4">
      <c r="A426" s="45">
        <v>406</v>
      </c>
      <c r="B426" s="45" t="s">
        <v>960</v>
      </c>
      <c r="C426" s="45">
        <v>85</v>
      </c>
      <c r="D426" s="49">
        <v>8.2299999999999995E-4</v>
      </c>
      <c r="E426" s="47">
        <v>0</v>
      </c>
      <c r="F426" s="45">
        <v>210.98749620000001</v>
      </c>
      <c r="G426" s="45">
        <f t="shared" si="6"/>
        <v>196490.15187451415</v>
      </c>
    </row>
    <row r="427" spans="1:7" x14ac:dyDescent="0.4">
      <c r="A427" s="46">
        <v>407</v>
      </c>
      <c r="B427" s="46" t="s">
        <v>803</v>
      </c>
      <c r="C427" s="46">
        <v>89</v>
      </c>
      <c r="D427" s="50">
        <v>1.0460000000000001E-2</v>
      </c>
      <c r="E427" s="48">
        <v>0</v>
      </c>
      <c r="F427" s="46">
        <v>222.01757599999999</v>
      </c>
      <c r="G427" s="46">
        <f t="shared" si="6"/>
        <v>206762.56103193259</v>
      </c>
    </row>
    <row r="428" spans="1:7" x14ac:dyDescent="0.4">
      <c r="A428" s="45">
        <v>408</v>
      </c>
      <c r="B428" s="45" t="s">
        <v>804</v>
      </c>
      <c r="C428" s="45">
        <v>87</v>
      </c>
      <c r="D428" s="49">
        <v>4.1820000000000003E-5</v>
      </c>
      <c r="E428" s="47">
        <v>0</v>
      </c>
      <c r="F428" s="45">
        <v>223.01973419999999</v>
      </c>
      <c r="G428" s="45">
        <f t="shared" si="6"/>
        <v>207697.08738018476</v>
      </c>
    </row>
    <row r="429" spans="1:7" x14ac:dyDescent="0.4">
      <c r="A429" s="46">
        <v>409</v>
      </c>
      <c r="B429" s="55" t="s">
        <v>805</v>
      </c>
      <c r="C429" s="46">
        <v>88</v>
      </c>
      <c r="D429" s="50">
        <v>1600</v>
      </c>
      <c r="E429" s="48">
        <v>0</v>
      </c>
      <c r="F429" s="46">
        <v>226.02540980000001</v>
      </c>
      <c r="G429" s="46">
        <f t="shared" si="6"/>
        <v>210496.34516858048</v>
      </c>
    </row>
    <row r="430" spans="1:7" x14ac:dyDescent="0.4">
      <c r="A430" s="46">
        <v>410</v>
      </c>
      <c r="B430" s="46" t="s">
        <v>961</v>
      </c>
      <c r="C430" s="46">
        <v>88</v>
      </c>
      <c r="D430" s="50">
        <v>5.75</v>
      </c>
      <c r="E430" s="48">
        <v>0</v>
      </c>
      <c r="F430" s="46">
        <v>228.0310686</v>
      </c>
      <c r="G430" s="46">
        <f t="shared" si="6"/>
        <v>212364.60430682768</v>
      </c>
    </row>
    <row r="431" spans="1:7" x14ac:dyDescent="0.4">
      <c r="A431" s="45">
        <v>411</v>
      </c>
      <c r="B431" s="45" t="s">
        <v>806</v>
      </c>
      <c r="C431" s="45">
        <v>89</v>
      </c>
      <c r="D431" s="49">
        <v>21.771999999999998</v>
      </c>
      <c r="E431" s="47">
        <v>0</v>
      </c>
      <c r="F431" s="45">
        <v>227.02775059999999</v>
      </c>
      <c r="G431" s="45">
        <f t="shared" si="6"/>
        <v>211429.50861078498</v>
      </c>
    </row>
    <row r="432" spans="1:7" x14ac:dyDescent="0.4">
      <c r="A432" s="46">
        <v>412</v>
      </c>
      <c r="B432" s="46" t="s">
        <v>962</v>
      </c>
      <c r="C432" s="46">
        <v>90</v>
      </c>
      <c r="D432" s="50">
        <v>1.9125000000000001</v>
      </c>
      <c r="E432" s="48">
        <v>0</v>
      </c>
      <c r="F432" s="46">
        <v>228.02873969999999</v>
      </c>
      <c r="G432" s="46">
        <f t="shared" si="6"/>
        <v>212361.4129525497</v>
      </c>
    </row>
    <row r="433" spans="1:7" x14ac:dyDescent="0.4">
      <c r="A433" s="46">
        <v>413</v>
      </c>
      <c r="B433" s="46" t="s">
        <v>963</v>
      </c>
      <c r="C433" s="46">
        <v>90</v>
      </c>
      <c r="D433" s="50">
        <v>7916</v>
      </c>
      <c r="E433" s="48">
        <v>0</v>
      </c>
      <c r="F433" s="46">
        <v>229.03176139999999</v>
      </c>
      <c r="G433" s="46">
        <f t="shared" si="6"/>
        <v>213295.72164796951</v>
      </c>
    </row>
    <row r="434" spans="1:7" x14ac:dyDescent="0.4">
      <c r="A434" s="46">
        <v>414</v>
      </c>
      <c r="B434" s="46" t="s">
        <v>807</v>
      </c>
      <c r="C434" s="46">
        <v>90</v>
      </c>
      <c r="D434" s="50">
        <v>75400</v>
      </c>
      <c r="E434" s="48">
        <v>0</v>
      </c>
      <c r="F434" s="46">
        <v>230.03313230000001</v>
      </c>
      <c r="G434" s="46">
        <f t="shared" si="6"/>
        <v>214228.49263309411</v>
      </c>
    </row>
    <row r="435" spans="1:7" x14ac:dyDescent="0.4">
      <c r="A435" s="46">
        <v>415</v>
      </c>
      <c r="B435" s="57" t="s">
        <v>808</v>
      </c>
      <c r="C435" s="46">
        <v>90</v>
      </c>
      <c r="D435" s="50">
        <v>14000000000</v>
      </c>
      <c r="E435" s="48">
        <v>1</v>
      </c>
      <c r="F435" s="46">
        <v>232.0380553</v>
      </c>
      <c r="G435" s="46">
        <f t="shared" si="6"/>
        <v>216096.0663780561</v>
      </c>
    </row>
    <row r="436" spans="1:7" x14ac:dyDescent="0.4">
      <c r="A436" s="45">
        <v>416</v>
      </c>
      <c r="B436" s="53" t="s">
        <v>809</v>
      </c>
      <c r="C436" s="45">
        <v>91</v>
      </c>
      <c r="D436" s="49">
        <v>32650</v>
      </c>
      <c r="E436" s="47">
        <v>1</v>
      </c>
      <c r="F436" s="45">
        <v>231.03588400000001</v>
      </c>
      <c r="G436" s="45">
        <f t="shared" si="6"/>
        <v>215162.03882618321</v>
      </c>
    </row>
    <row r="437" spans="1:7" x14ac:dyDescent="0.4">
      <c r="A437" s="45">
        <v>417</v>
      </c>
      <c r="B437" s="54" t="s">
        <v>810</v>
      </c>
      <c r="C437" s="45">
        <v>91</v>
      </c>
      <c r="D437" s="49">
        <v>7.3849999999999999E-2</v>
      </c>
      <c r="E437" s="47">
        <v>0</v>
      </c>
      <c r="F437" s="45">
        <v>233.0402473</v>
      </c>
      <c r="G437" s="45">
        <f t="shared" si="6"/>
        <v>217029.09121395342</v>
      </c>
    </row>
    <row r="438" spans="1:7" x14ac:dyDescent="0.4">
      <c r="A438" s="46">
        <v>418</v>
      </c>
      <c r="B438" s="46" t="s">
        <v>964</v>
      </c>
      <c r="C438" s="46">
        <v>92</v>
      </c>
      <c r="D438" s="50">
        <v>68.900000000000006</v>
      </c>
      <c r="E438" s="48">
        <v>0</v>
      </c>
      <c r="F438" s="46">
        <v>232.0371548</v>
      </c>
      <c r="G438" s="46">
        <f t="shared" si="6"/>
        <v>216094.20556980773</v>
      </c>
    </row>
    <row r="439" spans="1:7" x14ac:dyDescent="0.4">
      <c r="A439" s="46">
        <v>419</v>
      </c>
      <c r="B439" s="55" t="s">
        <v>811</v>
      </c>
      <c r="C439" s="46">
        <v>92</v>
      </c>
      <c r="D439" s="50">
        <v>159200</v>
      </c>
      <c r="E439" s="48">
        <v>0</v>
      </c>
      <c r="F439" s="46">
        <v>233.03963519999999</v>
      </c>
      <c r="G439" s="46">
        <f t="shared" si="6"/>
        <v>217028.01004752531</v>
      </c>
    </row>
    <row r="440" spans="1:7" x14ac:dyDescent="0.4">
      <c r="A440" s="46">
        <v>420</v>
      </c>
      <c r="B440" s="55" t="s">
        <v>812</v>
      </c>
      <c r="C440" s="46">
        <v>92</v>
      </c>
      <c r="D440" s="50">
        <v>245500</v>
      </c>
      <c r="E440" s="48">
        <v>5.0000000000000002E-5</v>
      </c>
      <c r="F440" s="46">
        <v>234.0409521</v>
      </c>
      <c r="G440" s="46">
        <f t="shared" si="6"/>
        <v>217960.73073197392</v>
      </c>
    </row>
    <row r="441" spans="1:7" x14ac:dyDescent="0.4">
      <c r="A441" s="46">
        <v>421</v>
      </c>
      <c r="B441" s="55" t="s">
        <v>813</v>
      </c>
      <c r="C441" s="46">
        <v>92</v>
      </c>
      <c r="D441" s="50">
        <v>704000000</v>
      </c>
      <c r="E441" s="48">
        <v>7.1999999999999998E-3</v>
      </c>
      <c r="F441" s="46">
        <v>235.04392989999999</v>
      </c>
      <c r="G441" s="46">
        <f t="shared" si="6"/>
        <v>218894.99853480712</v>
      </c>
    </row>
    <row r="442" spans="1:7" x14ac:dyDescent="0.4">
      <c r="A442" s="46">
        <v>422</v>
      </c>
      <c r="B442" s="46" t="s">
        <v>965</v>
      </c>
      <c r="C442" s="46">
        <v>92</v>
      </c>
      <c r="D442" s="50">
        <v>23420000</v>
      </c>
      <c r="E442" s="48">
        <v>0</v>
      </c>
      <c r="F442" s="46">
        <v>236.0455661</v>
      </c>
      <c r="G442" s="46">
        <f t="shared" si="6"/>
        <v>219828.01664528993</v>
      </c>
    </row>
    <row r="443" spans="1:7" x14ac:dyDescent="0.4">
      <c r="A443" s="46">
        <v>423</v>
      </c>
      <c r="B443" s="57" t="s">
        <v>814</v>
      </c>
      <c r="C443" s="46">
        <v>92</v>
      </c>
      <c r="D443" s="50">
        <v>4463000000</v>
      </c>
      <c r="E443" s="48">
        <v>0.99270000000000003</v>
      </c>
      <c r="F443" s="46">
        <v>238.0507882</v>
      </c>
      <c r="G443" s="46">
        <f t="shared" si="6"/>
        <v>221695.86900010731</v>
      </c>
    </row>
    <row r="444" spans="1:7" x14ac:dyDescent="0.4">
      <c r="A444" s="45">
        <v>424</v>
      </c>
      <c r="B444" s="45" t="s">
        <v>966</v>
      </c>
      <c r="C444" s="45">
        <v>93</v>
      </c>
      <c r="D444" s="49">
        <v>1.0844</v>
      </c>
      <c r="E444" s="47">
        <v>0</v>
      </c>
      <c r="F444" s="45">
        <v>235.0440615</v>
      </c>
      <c r="G444" s="45">
        <f t="shared" si="6"/>
        <v>218894.61012046682</v>
      </c>
    </row>
    <row r="445" spans="1:7" x14ac:dyDescent="0.4">
      <c r="A445" s="45">
        <v>425</v>
      </c>
      <c r="B445" s="54" t="s">
        <v>815</v>
      </c>
      <c r="C445" s="45">
        <v>93</v>
      </c>
      <c r="D445" s="49">
        <v>153000</v>
      </c>
      <c r="E445" s="47">
        <v>0</v>
      </c>
      <c r="F445" s="45">
        <v>236.04657</v>
      </c>
      <c r="G445" s="45">
        <f t="shared" si="6"/>
        <v>219828.44077316584</v>
      </c>
    </row>
    <row r="446" spans="1:7" x14ac:dyDescent="0.4">
      <c r="A446" s="45">
        <v>426</v>
      </c>
      <c r="B446" s="54" t="s">
        <v>816</v>
      </c>
      <c r="C446" s="45">
        <v>93</v>
      </c>
      <c r="D446" s="49">
        <v>2144000</v>
      </c>
      <c r="E446" s="47">
        <v>0</v>
      </c>
      <c r="F446" s="45">
        <v>237.0481734</v>
      </c>
      <c r="G446" s="45">
        <f t="shared" si="6"/>
        <v>220761.42833064543</v>
      </c>
    </row>
    <row r="447" spans="1:7" x14ac:dyDescent="0.4">
      <c r="A447" s="46">
        <v>427</v>
      </c>
      <c r="B447" s="46" t="s">
        <v>967</v>
      </c>
      <c r="C447" s="46">
        <v>94</v>
      </c>
      <c r="D447" s="50">
        <v>2.8580000000000001</v>
      </c>
      <c r="E447" s="48">
        <v>0</v>
      </c>
      <c r="F447" s="46">
        <v>236.04605670000001</v>
      </c>
      <c r="G447" s="46">
        <f t="shared" si="6"/>
        <v>219827.45163834494</v>
      </c>
    </row>
    <row r="448" spans="1:7" x14ac:dyDescent="0.4">
      <c r="A448" s="46">
        <v>428</v>
      </c>
      <c r="B448" s="55" t="s">
        <v>817</v>
      </c>
      <c r="C448" s="46">
        <v>94</v>
      </c>
      <c r="D448" s="50">
        <v>87.7</v>
      </c>
      <c r="E448" s="48">
        <v>0</v>
      </c>
      <c r="F448" s="46">
        <v>238.04955989999999</v>
      </c>
      <c r="G448" s="46">
        <f t="shared" si="6"/>
        <v>221693.70284812574</v>
      </c>
    </row>
    <row r="449" spans="1:7" x14ac:dyDescent="0.4">
      <c r="A449" s="46">
        <v>429</v>
      </c>
      <c r="B449" s="55" t="s">
        <v>818</v>
      </c>
      <c r="C449" s="46">
        <v>94</v>
      </c>
      <c r="D449" s="50">
        <v>24110</v>
      </c>
      <c r="E449" s="48">
        <v>0</v>
      </c>
      <c r="F449" s="46">
        <v>239.05216340000001</v>
      </c>
      <c r="G449" s="46">
        <f t="shared" si="6"/>
        <v>222627.62199275475</v>
      </c>
    </row>
    <row r="450" spans="1:7" x14ac:dyDescent="0.4">
      <c r="A450" s="46">
        <v>430</v>
      </c>
      <c r="B450" s="46" t="s">
        <v>968</v>
      </c>
      <c r="C450" s="46">
        <v>94</v>
      </c>
      <c r="D450" s="50">
        <v>6561</v>
      </c>
      <c r="E450" s="48">
        <v>0</v>
      </c>
      <c r="F450" s="46">
        <v>240.05381170000001</v>
      </c>
      <c r="G450" s="46">
        <f t="shared" si="6"/>
        <v>223560.65137431494</v>
      </c>
    </row>
    <row r="451" spans="1:7" x14ac:dyDescent="0.4">
      <c r="A451" s="46">
        <v>431</v>
      </c>
      <c r="B451" s="55" t="s">
        <v>819</v>
      </c>
      <c r="C451" s="46">
        <v>94</v>
      </c>
      <c r="D451" s="50">
        <v>14.33</v>
      </c>
      <c r="E451" s="48">
        <v>0</v>
      </c>
      <c r="F451" s="46">
        <v>241.05685149999999</v>
      </c>
      <c r="G451" s="46">
        <f t="shared" si="6"/>
        <v>224494.97692977614</v>
      </c>
    </row>
    <row r="452" spans="1:7" x14ac:dyDescent="0.4">
      <c r="A452" s="46">
        <v>432</v>
      </c>
      <c r="B452" s="55" t="s">
        <v>820</v>
      </c>
      <c r="C452" s="46">
        <v>94</v>
      </c>
      <c r="D452" s="50">
        <v>375000</v>
      </c>
      <c r="E452" s="48">
        <v>0</v>
      </c>
      <c r="F452" s="46">
        <v>242.05874259999999</v>
      </c>
      <c r="G452" s="46">
        <f t="shared" si="6"/>
        <v>225428.23247807953</v>
      </c>
    </row>
    <row r="453" spans="1:7" x14ac:dyDescent="0.4">
      <c r="A453" s="46">
        <v>433</v>
      </c>
      <c r="B453" s="46" t="s">
        <v>969</v>
      </c>
      <c r="C453" s="46">
        <v>94</v>
      </c>
      <c r="D453" s="50">
        <v>81300000</v>
      </c>
      <c r="E453" s="48">
        <v>0</v>
      </c>
      <c r="F453" s="46">
        <v>244.06420439999999</v>
      </c>
      <c r="G453" s="46">
        <f t="shared" si="6"/>
        <v>227296.30811200873</v>
      </c>
    </row>
    <row r="454" spans="1:7" x14ac:dyDescent="0.4">
      <c r="A454" s="45">
        <v>434</v>
      </c>
      <c r="B454" s="54" t="s">
        <v>821</v>
      </c>
      <c r="C454" s="45">
        <v>95</v>
      </c>
      <c r="D454" s="49">
        <v>432.6</v>
      </c>
      <c r="E454" s="47">
        <v>0</v>
      </c>
      <c r="F454" s="45">
        <v>241.05682909999999</v>
      </c>
      <c r="G454" s="45">
        <f t="shared" si="6"/>
        <v>224494.44506535985</v>
      </c>
    </row>
    <row r="455" spans="1:7" x14ac:dyDescent="0.4">
      <c r="A455" s="45">
        <v>435</v>
      </c>
      <c r="B455" s="54" t="s">
        <v>970</v>
      </c>
      <c r="C455" s="45">
        <v>95</v>
      </c>
      <c r="D455" s="49">
        <v>141</v>
      </c>
      <c r="E455" s="47">
        <v>0</v>
      </c>
      <c r="F455" s="45">
        <v>242.05954919999999</v>
      </c>
      <c r="G455" s="45">
        <f t="shared" si="6"/>
        <v>225428.47282218924</v>
      </c>
    </row>
    <row r="456" spans="1:7" x14ac:dyDescent="0.4">
      <c r="A456" s="45">
        <v>436</v>
      </c>
      <c r="B456" s="54" t="s">
        <v>822</v>
      </c>
      <c r="C456" s="45">
        <v>95</v>
      </c>
      <c r="D456" s="49">
        <v>7350</v>
      </c>
      <c r="E456" s="47">
        <v>0</v>
      </c>
      <c r="F456" s="45">
        <v>243.06138100000001</v>
      </c>
      <c r="G456" s="45">
        <f t="shared" si="6"/>
        <v>226361.67313289846</v>
      </c>
    </row>
    <row r="457" spans="1:7" x14ac:dyDescent="0.4">
      <c r="A457" s="46">
        <v>437</v>
      </c>
      <c r="B457" s="46" t="s">
        <v>971</v>
      </c>
      <c r="C457" s="46">
        <v>96</v>
      </c>
      <c r="D457" s="50">
        <v>0.44569999999999999</v>
      </c>
      <c r="E457" s="48">
        <v>0</v>
      </c>
      <c r="F457" s="46">
        <v>242.05883420000001</v>
      </c>
      <c r="G457" s="46">
        <f t="shared" si="6"/>
        <v>225427.29580502858</v>
      </c>
    </row>
    <row r="458" spans="1:7" x14ac:dyDescent="0.4">
      <c r="A458" s="46">
        <v>438</v>
      </c>
      <c r="B458" s="55" t="s">
        <v>823</v>
      </c>
      <c r="C458" s="46">
        <v>96</v>
      </c>
      <c r="D458" s="50">
        <v>29.1</v>
      </c>
      <c r="E458" s="48">
        <v>0</v>
      </c>
      <c r="F458" s="46">
        <v>243.06138910000001</v>
      </c>
      <c r="G458" s="46">
        <f t="shared" si="6"/>
        <v>226361.16967904917</v>
      </c>
    </row>
    <row r="459" spans="1:7" x14ac:dyDescent="0.4">
      <c r="A459" s="46">
        <v>439</v>
      </c>
      <c r="B459" s="46" t="s">
        <v>972</v>
      </c>
      <c r="C459" s="46">
        <v>96</v>
      </c>
      <c r="D459" s="50">
        <v>18.11</v>
      </c>
      <c r="E459" s="48">
        <v>0</v>
      </c>
      <c r="F459" s="46">
        <v>244.06275059999999</v>
      </c>
      <c r="G459" s="46">
        <f t="shared" si="6"/>
        <v>227293.93190813015</v>
      </c>
    </row>
    <row r="460" spans="1:7" x14ac:dyDescent="0.4">
      <c r="A460" s="46">
        <v>440</v>
      </c>
      <c r="B460" s="55" t="s">
        <v>824</v>
      </c>
      <c r="C460" s="46">
        <v>96</v>
      </c>
      <c r="D460" s="50">
        <v>8250</v>
      </c>
      <c r="E460" s="48">
        <v>0</v>
      </c>
      <c r="F460" s="46">
        <v>245.0654912</v>
      </c>
      <c r="G460" s="46">
        <f t="shared" si="6"/>
        <v>228227.97876058656</v>
      </c>
    </row>
    <row r="461" spans="1:7" x14ac:dyDescent="0.4">
      <c r="A461" s="46">
        <v>441</v>
      </c>
      <c r="B461" s="55" t="s">
        <v>825</v>
      </c>
      <c r="C461" s="46">
        <v>96</v>
      </c>
      <c r="D461" s="50">
        <v>4706</v>
      </c>
      <c r="E461" s="48">
        <v>0</v>
      </c>
      <c r="F461" s="46">
        <v>246.0672237</v>
      </c>
      <c r="G461" s="46">
        <f t="shared" si="6"/>
        <v>229161.08657394157</v>
      </c>
    </row>
    <row r="462" spans="1:7" x14ac:dyDescent="0.4">
      <c r="A462" s="46">
        <v>442</v>
      </c>
      <c r="B462" s="55" t="s">
        <v>826</v>
      </c>
      <c r="C462" s="46">
        <v>96</v>
      </c>
      <c r="D462" s="50">
        <v>15600000</v>
      </c>
      <c r="E462" s="48">
        <v>0</v>
      </c>
      <c r="F462" s="46">
        <v>247.07035400000001</v>
      </c>
      <c r="G462" s="46">
        <f t="shared" si="6"/>
        <v>230095.49642960978</v>
      </c>
    </row>
    <row r="463" spans="1:7" x14ac:dyDescent="0.4">
      <c r="A463" s="46">
        <v>443</v>
      </c>
      <c r="B463" s="46" t="s">
        <v>973</v>
      </c>
      <c r="C463" s="46">
        <v>96</v>
      </c>
      <c r="D463" s="50">
        <v>348000</v>
      </c>
      <c r="E463" s="48">
        <v>0</v>
      </c>
      <c r="F463" s="46">
        <v>248.0723491</v>
      </c>
      <c r="G463" s="46">
        <f t="shared" si="6"/>
        <v>231028.84885328915</v>
      </c>
    </row>
    <row r="464" spans="1:7" x14ac:dyDescent="0.4">
      <c r="A464" s="46">
        <v>444</v>
      </c>
      <c r="B464" s="46" t="s">
        <v>974</v>
      </c>
      <c r="C464" s="46">
        <v>96</v>
      </c>
      <c r="D464" s="50">
        <v>8300</v>
      </c>
      <c r="E464" s="48">
        <v>0</v>
      </c>
      <c r="F464" s="46">
        <v>250.07835800000001</v>
      </c>
      <c r="G464" s="46">
        <f t="shared" si="6"/>
        <v>232897.43410758578</v>
      </c>
    </row>
    <row r="465" spans="1:7" x14ac:dyDescent="0.4">
      <c r="A465" s="45">
        <v>445</v>
      </c>
      <c r="B465" s="54" t="s">
        <v>827</v>
      </c>
      <c r="C465" s="45">
        <v>97</v>
      </c>
      <c r="D465" s="49">
        <v>1380</v>
      </c>
      <c r="E465" s="47">
        <v>0</v>
      </c>
      <c r="F465" s="45">
        <v>247.07030700000001</v>
      </c>
      <c r="G465" s="45">
        <f t="shared" si="6"/>
        <v>230094.94165044109</v>
      </c>
    </row>
    <row r="466" spans="1:7" x14ac:dyDescent="0.4">
      <c r="A466" s="45">
        <v>446</v>
      </c>
      <c r="B466" s="54" t="s">
        <v>828</v>
      </c>
      <c r="C466" s="45">
        <v>97</v>
      </c>
      <c r="D466" s="49">
        <v>9</v>
      </c>
      <c r="E466" s="47">
        <v>0</v>
      </c>
      <c r="F466" s="45">
        <v>248.07309000000001</v>
      </c>
      <c r="G466" s="45">
        <f t="shared" si="6"/>
        <v>231029.02799824308</v>
      </c>
    </row>
    <row r="467" spans="1:7" x14ac:dyDescent="0.4">
      <c r="A467" s="45">
        <v>447</v>
      </c>
      <c r="B467" s="45" t="s">
        <v>975</v>
      </c>
      <c r="C467" s="45">
        <v>97</v>
      </c>
      <c r="D467" s="49">
        <v>0.89580000000000004</v>
      </c>
      <c r="E467" s="47">
        <v>0</v>
      </c>
      <c r="F467" s="45">
        <v>249.0749831</v>
      </c>
      <c r="G467" s="45">
        <f t="shared" si="6"/>
        <v>231962.28540953447</v>
      </c>
    </row>
    <row r="468" spans="1:7" x14ac:dyDescent="0.4">
      <c r="A468" s="46">
        <v>448</v>
      </c>
      <c r="B468" s="46" t="s">
        <v>997</v>
      </c>
      <c r="C468" s="46">
        <v>98</v>
      </c>
      <c r="D468" s="50">
        <v>0.91300000000000003</v>
      </c>
      <c r="E468" s="48">
        <v>0</v>
      </c>
      <c r="F468" s="46">
        <v>248.072183</v>
      </c>
      <c r="G468" s="46">
        <f t="shared" ref="G468:G477" si="7">F468*amu-C468*m_e</f>
        <v>231027.6721342344</v>
      </c>
    </row>
    <row r="469" spans="1:7" x14ac:dyDescent="0.4">
      <c r="A469" s="46">
        <v>449</v>
      </c>
      <c r="B469" s="55" t="s">
        <v>998</v>
      </c>
      <c r="C469" s="46">
        <v>98</v>
      </c>
      <c r="D469" s="50">
        <v>351</v>
      </c>
      <c r="E469" s="48">
        <v>0</v>
      </c>
      <c r="F469" s="46">
        <v>249.07485349999999</v>
      </c>
      <c r="G469" s="46">
        <f t="shared" si="7"/>
        <v>231961.65368896138</v>
      </c>
    </row>
    <row r="470" spans="1:7" x14ac:dyDescent="0.4">
      <c r="A470" s="46">
        <v>450</v>
      </c>
      <c r="B470" s="55" t="s">
        <v>999</v>
      </c>
      <c r="C470" s="46">
        <v>98</v>
      </c>
      <c r="D470" s="50">
        <v>13.08</v>
      </c>
      <c r="E470" s="48">
        <v>0</v>
      </c>
      <c r="F470" s="46">
        <v>250.07640610000001</v>
      </c>
      <c r="G470" s="46">
        <f t="shared" si="7"/>
        <v>232894.59392654581</v>
      </c>
    </row>
    <row r="471" spans="1:7" x14ac:dyDescent="0.4">
      <c r="A471" s="46">
        <v>451</v>
      </c>
      <c r="B471" s="55" t="s">
        <v>1000</v>
      </c>
      <c r="C471" s="46">
        <v>98</v>
      </c>
      <c r="D471" s="50">
        <v>898</v>
      </c>
      <c r="E471" s="48">
        <v>0</v>
      </c>
      <c r="F471" s="46">
        <v>251.079587</v>
      </c>
      <c r="G471" s="46">
        <f t="shared" si="7"/>
        <v>233829.0509158104</v>
      </c>
    </row>
    <row r="472" spans="1:7" x14ac:dyDescent="0.4">
      <c r="A472" s="46">
        <v>452</v>
      </c>
      <c r="B472" s="55" t="s">
        <v>1001</v>
      </c>
      <c r="C472" s="46">
        <v>98</v>
      </c>
      <c r="D472" s="50">
        <v>2.645</v>
      </c>
      <c r="E472" s="48">
        <v>0</v>
      </c>
      <c r="F472" s="46">
        <v>252.081626</v>
      </c>
      <c r="G472" s="46">
        <f t="shared" si="7"/>
        <v>234762.44423207638</v>
      </c>
    </row>
    <row r="473" spans="1:7" x14ac:dyDescent="0.4">
      <c r="A473" s="46">
        <v>453</v>
      </c>
      <c r="B473" s="46" t="s">
        <v>1002</v>
      </c>
      <c r="C473" s="46">
        <v>98</v>
      </c>
      <c r="D473" s="50">
        <v>0.1656</v>
      </c>
      <c r="E473" s="48">
        <v>0</v>
      </c>
      <c r="F473" s="46">
        <v>254.087324</v>
      </c>
      <c r="G473" s="46">
        <f t="shared" si="7"/>
        <v>236630.73988488837</v>
      </c>
    </row>
    <row r="474" spans="1:7" x14ac:dyDescent="0.4">
      <c r="A474" s="45">
        <v>454</v>
      </c>
      <c r="B474" s="45" t="s">
        <v>976</v>
      </c>
      <c r="C474" s="45">
        <v>99</v>
      </c>
      <c r="D474" s="49">
        <v>1.2909999999999999</v>
      </c>
      <c r="E474" s="47">
        <v>0</v>
      </c>
      <c r="F474" s="45">
        <v>252.08297999999999</v>
      </c>
      <c r="G474" s="45">
        <f t="shared" si="7"/>
        <v>234763.19447600169</v>
      </c>
    </row>
    <row r="475" spans="1:7" x14ac:dyDescent="0.4">
      <c r="A475" s="45">
        <v>455</v>
      </c>
      <c r="B475" s="45" t="s">
        <v>977</v>
      </c>
      <c r="C475" s="45">
        <v>99</v>
      </c>
      <c r="D475" s="49">
        <v>0.75480000000000003</v>
      </c>
      <c r="E475" s="47">
        <v>0</v>
      </c>
      <c r="F475" s="45">
        <v>254.08802399999999</v>
      </c>
      <c r="G475" s="45">
        <f t="shared" si="7"/>
        <v>236630.88093173769</v>
      </c>
    </row>
    <row r="476" spans="1:7" x14ac:dyDescent="0.4">
      <c r="A476" s="46">
        <v>456</v>
      </c>
      <c r="B476" s="46" t="s">
        <v>978</v>
      </c>
      <c r="C476" s="46">
        <v>100</v>
      </c>
      <c r="D476" s="50">
        <v>0.2752</v>
      </c>
      <c r="E476" s="48">
        <v>0</v>
      </c>
      <c r="F476" s="46">
        <v>257.09510499999999</v>
      </c>
      <c r="G476" s="46">
        <f t="shared" si="7"/>
        <v>239431.44784180101</v>
      </c>
    </row>
    <row r="477" spans="1:7" x14ac:dyDescent="0.4">
      <c r="A477" s="45">
        <v>457</v>
      </c>
      <c r="B477" s="45" t="s">
        <v>979</v>
      </c>
      <c r="C477" s="45">
        <v>101</v>
      </c>
      <c r="D477" s="49">
        <v>0.14130000000000001</v>
      </c>
      <c r="E477" s="47">
        <v>0</v>
      </c>
      <c r="F477" s="45">
        <v>258.09843360000002</v>
      </c>
      <c r="G477" s="45">
        <f t="shared" si="7"/>
        <v>240365.53141377875</v>
      </c>
    </row>
  </sheetData>
  <mergeCells count="4">
    <mergeCell ref="K16:Q17"/>
    <mergeCell ref="A3:G9"/>
    <mergeCell ref="A1:Q2"/>
    <mergeCell ref="A11:G15"/>
  </mergeCells>
  <phoneticPr fontId="13" type="noConversion"/>
  <dataValidations count="2">
    <dataValidation type="list" allowBlank="1" showInputMessage="1" showErrorMessage="1" sqref="L20:L23 N20:N23" xr:uid="{2B984136-BEAB-4A78-9852-D0AC58675823}">
      <formula1>INDIRECT("IsotopeTable[Isotope]")</formula1>
    </dataValidation>
    <dataValidation type="list" allowBlank="1" showInputMessage="1" showErrorMessage="1" sqref="L24:L27 N24:N27" xr:uid="{F9A41445-4AE3-452A-9ED8-9DAE391E8009}">
      <formula1>INDIRECT("ParticleTable[Name]")</formula1>
    </dataValidation>
  </dataValidations>
  <pageMargins left="0.7" right="0.7" top="0.75" bottom="0.75" header="0.3" footer="0.3"/>
  <pageSetup paperSize="9" orientation="portrait" horizontalDpi="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4EBB-16BC-4854-AC0B-22F66DF99D5D}">
  <dimension ref="A1:U497"/>
  <sheetViews>
    <sheetView workbookViewId="0">
      <selection activeCell="A5" sqref="A5"/>
    </sheetView>
  </sheetViews>
  <sheetFormatPr defaultRowHeight="14.6" x14ac:dyDescent="0.4"/>
  <cols>
    <col min="1" max="1" width="29.921875" bestFit="1" customWidth="1"/>
    <col min="2" max="2" width="13.3046875" customWidth="1"/>
    <col min="3" max="3" width="11.15234375" customWidth="1"/>
    <col min="4" max="4" width="16.84375" customWidth="1"/>
    <col min="5" max="5" width="17.23046875" customWidth="1"/>
    <col min="6" max="6" width="13.61328125" customWidth="1"/>
    <col min="7" max="8" width="21" customWidth="1"/>
    <col min="12" max="12" width="15.07421875" bestFit="1" customWidth="1"/>
    <col min="13" max="13" width="21.23046875" bestFit="1" customWidth="1"/>
    <col min="14" max="14" width="23.07421875" bestFit="1" customWidth="1"/>
    <col min="15" max="15" width="15.53515625" bestFit="1" customWidth="1"/>
    <col min="16" max="16" width="11.3046875" bestFit="1" customWidth="1"/>
    <col min="17" max="17" width="13.765625" bestFit="1" customWidth="1"/>
    <col min="18" max="18" width="15.53515625" bestFit="1" customWidth="1"/>
  </cols>
  <sheetData>
    <row r="1" spans="1:20" x14ac:dyDescent="0.4">
      <c r="A1" s="85" t="s">
        <v>206</v>
      </c>
      <c r="B1" s="85"/>
      <c r="C1" s="85"/>
      <c r="D1" s="85"/>
      <c r="E1" s="85"/>
      <c r="F1" s="85"/>
      <c r="G1" s="85"/>
      <c r="H1" s="85"/>
      <c r="M1" s="85" t="s">
        <v>198</v>
      </c>
      <c r="N1" s="85"/>
      <c r="O1" s="85"/>
      <c r="P1" s="85"/>
      <c r="Q1" s="85"/>
      <c r="R1" s="85"/>
      <c r="S1" s="85"/>
      <c r="T1" s="85"/>
    </row>
    <row r="2" spans="1:20" x14ac:dyDescent="0.4">
      <c r="A2" s="85"/>
      <c r="B2" s="85"/>
      <c r="C2" s="85"/>
      <c r="D2" s="85"/>
      <c r="E2" s="85"/>
      <c r="F2" s="85"/>
      <c r="G2" s="85"/>
      <c r="H2" s="85"/>
      <c r="M2" s="85"/>
      <c r="N2" s="85"/>
      <c r="O2" s="85"/>
      <c r="P2" s="85"/>
      <c r="Q2" s="85"/>
      <c r="R2" s="85"/>
      <c r="S2" s="85"/>
      <c r="T2" s="85"/>
    </row>
    <row r="4" spans="1:20" ht="14.6" customHeight="1" x14ac:dyDescent="0.4">
      <c r="A4" s="3" t="s">
        <v>0</v>
      </c>
      <c r="B4" s="3"/>
      <c r="C4" s="3"/>
      <c r="D4" s="3"/>
      <c r="E4" s="3"/>
      <c r="F4" s="3"/>
      <c r="G4" s="3"/>
      <c r="H4" s="1"/>
      <c r="M4" s="92" t="s">
        <v>205</v>
      </c>
      <c r="N4" s="93"/>
      <c r="O4" s="93"/>
      <c r="P4" s="93"/>
      <c r="Q4" s="93"/>
      <c r="R4" s="93"/>
      <c r="S4" s="93"/>
      <c r="T4" s="94"/>
    </row>
    <row r="5" spans="1:20" x14ac:dyDescent="0.4">
      <c r="A5" s="1" t="s">
        <v>1</v>
      </c>
      <c r="B5" s="1" t="s">
        <v>2</v>
      </c>
      <c r="C5" s="1" t="s">
        <v>3</v>
      </c>
      <c r="D5" s="1" t="s">
        <v>4</v>
      </c>
      <c r="E5" s="1" t="s">
        <v>5</v>
      </c>
      <c r="F5" s="1" t="s">
        <v>6</v>
      </c>
      <c r="G5" s="1" t="s">
        <v>7</v>
      </c>
      <c r="H5" s="1" t="s">
        <v>211</v>
      </c>
      <c r="M5" s="95"/>
      <c r="N5" s="96"/>
      <c r="O5" s="96"/>
      <c r="P5" s="96"/>
      <c r="Q5" s="96"/>
      <c r="R5" s="96"/>
      <c r="S5" s="96"/>
      <c r="T5" s="97"/>
    </row>
    <row r="6" spans="1:20" x14ac:dyDescent="0.4">
      <c r="A6" t="s">
        <v>8</v>
      </c>
      <c r="B6" s="18">
        <f t="shared" ref="B6:B37" si="0">mole/F6*(sf_TC/100)</f>
        <v>5000000</v>
      </c>
      <c r="C6">
        <v>0</v>
      </c>
      <c r="D6" s="18">
        <v>400</v>
      </c>
      <c r="E6" s="18">
        <v>900</v>
      </c>
      <c r="F6" s="7">
        <v>0.2</v>
      </c>
      <c r="G6" s="18">
        <v>8680</v>
      </c>
      <c r="H6">
        <f t="shared" ref="H6:H37" si="1">B6/(I_b*20)</f>
        <v>25</v>
      </c>
      <c r="M6" s="95"/>
      <c r="N6" s="96"/>
      <c r="O6" s="96"/>
      <c r="P6" s="96"/>
      <c r="Q6" s="96"/>
      <c r="R6" s="96"/>
      <c r="S6" s="96"/>
      <c r="T6" s="97"/>
    </row>
    <row r="7" spans="1:20" x14ac:dyDescent="0.4">
      <c r="A7" t="s">
        <v>9</v>
      </c>
      <c r="B7" s="18">
        <f t="shared" si="0"/>
        <v>1600000</v>
      </c>
      <c r="C7">
        <v>0</v>
      </c>
      <c r="D7" s="18">
        <v>1000</v>
      </c>
      <c r="E7" s="18">
        <v>7500</v>
      </c>
      <c r="F7" s="7">
        <v>0.625</v>
      </c>
      <c r="G7" s="18">
        <v>2130</v>
      </c>
      <c r="H7">
        <f t="shared" si="1"/>
        <v>8</v>
      </c>
      <c r="M7" s="95"/>
      <c r="N7" s="96"/>
      <c r="O7" s="96"/>
      <c r="P7" s="96"/>
      <c r="Q7" s="96"/>
      <c r="R7" s="96"/>
      <c r="S7" s="96"/>
      <c r="T7" s="97"/>
    </row>
    <row r="8" spans="1:20" x14ac:dyDescent="0.4">
      <c r="A8" t="s">
        <v>10</v>
      </c>
      <c r="B8" s="18">
        <f t="shared" si="0"/>
        <v>50000000</v>
      </c>
      <c r="C8">
        <v>0</v>
      </c>
      <c r="D8" s="18">
        <v>1500</v>
      </c>
      <c r="E8" s="18">
        <v>2000</v>
      </c>
      <c r="F8" s="7">
        <v>0.02</v>
      </c>
      <c r="G8" s="18">
        <v>11600</v>
      </c>
      <c r="H8">
        <f t="shared" si="1"/>
        <v>250</v>
      </c>
      <c r="M8" s="98"/>
      <c r="N8" s="99"/>
      <c r="O8" s="99"/>
      <c r="P8" s="99"/>
      <c r="Q8" s="99"/>
      <c r="R8" s="99"/>
      <c r="S8" s="99"/>
      <c r="T8" s="100"/>
    </row>
    <row r="9" spans="1:20" x14ac:dyDescent="0.4">
      <c r="A9" t="s">
        <v>1020</v>
      </c>
      <c r="B9" s="18">
        <f t="shared" si="0"/>
        <v>2000000</v>
      </c>
      <c r="C9">
        <v>0</v>
      </c>
      <c r="D9" s="18">
        <v>2400</v>
      </c>
      <c r="E9" s="18">
        <v>3600</v>
      </c>
      <c r="F9" s="7">
        <v>0.5</v>
      </c>
      <c r="G9" s="18">
        <v>-764</v>
      </c>
      <c r="H9">
        <f t="shared" si="1"/>
        <v>10</v>
      </c>
    </row>
    <row r="10" spans="1:20" ht="14.6" customHeight="1" x14ac:dyDescent="0.4">
      <c r="A10" t="s">
        <v>12</v>
      </c>
      <c r="B10" s="18">
        <f t="shared" si="0"/>
        <v>2000000</v>
      </c>
      <c r="C10">
        <v>0</v>
      </c>
      <c r="D10" s="18">
        <v>4000</v>
      </c>
      <c r="E10" s="18">
        <v>11000</v>
      </c>
      <c r="F10" s="7">
        <v>0.5</v>
      </c>
      <c r="G10" s="18">
        <v>8110</v>
      </c>
      <c r="H10">
        <f t="shared" si="1"/>
        <v>10</v>
      </c>
      <c r="M10" s="93" t="s">
        <v>208</v>
      </c>
      <c r="N10" s="93"/>
      <c r="O10" s="93"/>
      <c r="P10" s="93"/>
      <c r="Q10" s="93"/>
      <c r="R10" s="93"/>
      <c r="S10" s="93"/>
      <c r="T10" s="93"/>
    </row>
    <row r="11" spans="1:20" x14ac:dyDescent="0.4">
      <c r="A11" t="s">
        <v>11</v>
      </c>
      <c r="B11" s="18">
        <f t="shared" si="0"/>
        <v>1250000</v>
      </c>
      <c r="C11">
        <v>0</v>
      </c>
      <c r="D11" s="18">
        <v>4000</v>
      </c>
      <c r="E11" s="18">
        <v>6000</v>
      </c>
      <c r="F11" s="7">
        <v>0.8</v>
      </c>
      <c r="G11" s="18">
        <v>1150</v>
      </c>
      <c r="H11">
        <f t="shared" si="1"/>
        <v>6.25</v>
      </c>
      <c r="M11" s="96"/>
      <c r="N11" s="96"/>
      <c r="O11" s="96"/>
      <c r="P11" s="96"/>
      <c r="Q11" s="96"/>
      <c r="R11" s="96"/>
      <c r="S11" s="96"/>
      <c r="T11" s="96"/>
    </row>
    <row r="12" spans="1:20" ht="15.9" customHeight="1" x14ac:dyDescent="0.4">
      <c r="A12" t="s">
        <v>13</v>
      </c>
      <c r="B12" s="18">
        <f t="shared" si="0"/>
        <v>25000000</v>
      </c>
      <c r="C12">
        <v>0</v>
      </c>
      <c r="D12" s="18">
        <v>4500</v>
      </c>
      <c r="E12" s="18">
        <v>5900</v>
      </c>
      <c r="F12" s="7">
        <v>0.04</v>
      </c>
      <c r="G12" s="18">
        <v>7710</v>
      </c>
      <c r="H12">
        <f t="shared" si="1"/>
        <v>125</v>
      </c>
      <c r="M12" s="96"/>
      <c r="N12" s="96"/>
      <c r="O12" s="96"/>
      <c r="P12" s="96"/>
      <c r="Q12" s="96"/>
      <c r="R12" s="96"/>
      <c r="S12" s="96"/>
      <c r="T12" s="96"/>
    </row>
    <row r="13" spans="1:20" x14ac:dyDescent="0.4">
      <c r="A13" t="s">
        <v>14</v>
      </c>
      <c r="B13" s="18">
        <f t="shared" si="0"/>
        <v>5000000</v>
      </c>
      <c r="C13">
        <v>0</v>
      </c>
      <c r="D13" s="18">
        <v>4600</v>
      </c>
      <c r="E13" s="18">
        <v>5600</v>
      </c>
      <c r="F13" s="7">
        <v>0.2</v>
      </c>
      <c r="G13" s="18">
        <v>9530</v>
      </c>
      <c r="H13">
        <f t="shared" si="1"/>
        <v>25</v>
      </c>
    </row>
    <row r="14" spans="1:20" ht="14.6" customHeight="1" x14ac:dyDescent="0.4">
      <c r="A14" t="s">
        <v>1021</v>
      </c>
      <c r="B14" s="18">
        <f t="shared" si="0"/>
        <v>50000000</v>
      </c>
      <c r="C14">
        <v>0</v>
      </c>
      <c r="D14" s="18">
        <v>6000</v>
      </c>
      <c r="E14" s="18">
        <v>10000</v>
      </c>
      <c r="F14" s="7">
        <v>0.02</v>
      </c>
      <c r="G14" s="18">
        <v>5490</v>
      </c>
      <c r="H14">
        <f t="shared" si="1"/>
        <v>250</v>
      </c>
      <c r="M14" s="96" t="s">
        <v>209</v>
      </c>
      <c r="N14" s="96"/>
      <c r="O14" s="96"/>
      <c r="P14" s="96"/>
      <c r="Q14" s="96"/>
      <c r="R14" s="96"/>
      <c r="S14" s="96"/>
      <c r="T14" s="96"/>
    </row>
    <row r="15" spans="1:20" x14ac:dyDescent="0.4">
      <c r="A15" t="s">
        <v>15</v>
      </c>
      <c r="B15" s="18">
        <f t="shared" si="0"/>
        <v>6250000</v>
      </c>
      <c r="C15">
        <v>0</v>
      </c>
      <c r="D15" s="18">
        <v>8300</v>
      </c>
      <c r="E15" s="18">
        <v>10300</v>
      </c>
      <c r="F15" s="7">
        <v>0.16</v>
      </c>
      <c r="G15" s="18">
        <v>-1830</v>
      </c>
      <c r="H15">
        <f t="shared" si="1"/>
        <v>31.25</v>
      </c>
      <c r="M15" s="96"/>
      <c r="N15" s="96"/>
      <c r="O15" s="96"/>
      <c r="P15" s="96"/>
      <c r="Q15" s="96"/>
      <c r="R15" s="96"/>
      <c r="S15" s="96"/>
      <c r="T15" s="96"/>
    </row>
    <row r="16" spans="1:20" x14ac:dyDescent="0.4">
      <c r="A16" t="s">
        <v>16</v>
      </c>
      <c r="B16" s="18">
        <f t="shared" si="0"/>
        <v>50000000</v>
      </c>
      <c r="C16">
        <v>0</v>
      </c>
      <c r="D16" s="18">
        <v>10000</v>
      </c>
      <c r="E16" s="18">
        <v>19500</v>
      </c>
      <c r="F16" s="7">
        <v>0.02</v>
      </c>
      <c r="G16" s="18">
        <v>10200</v>
      </c>
      <c r="H16">
        <f t="shared" si="1"/>
        <v>250</v>
      </c>
      <c r="M16" s="96"/>
      <c r="N16" s="96"/>
      <c r="O16" s="96"/>
      <c r="P16" s="96"/>
      <c r="Q16" s="96"/>
      <c r="R16" s="96"/>
      <c r="S16" s="96"/>
      <c r="T16" s="96"/>
    </row>
    <row r="17" spans="1:21" x14ac:dyDescent="0.4">
      <c r="A17" t="s">
        <v>17</v>
      </c>
      <c r="B17" s="18">
        <f t="shared" si="0"/>
        <v>6250000</v>
      </c>
      <c r="C17">
        <v>0</v>
      </c>
      <c r="D17" s="18">
        <v>11000</v>
      </c>
      <c r="E17" s="18">
        <v>20500</v>
      </c>
      <c r="F17" s="7">
        <v>0.16</v>
      </c>
      <c r="G17" s="18">
        <v>-2230</v>
      </c>
      <c r="H17">
        <f t="shared" si="1"/>
        <v>31.25</v>
      </c>
      <c r="M17" s="96"/>
      <c r="N17" s="96"/>
      <c r="O17" s="96"/>
      <c r="P17" s="96"/>
      <c r="Q17" s="96"/>
      <c r="R17" s="96"/>
      <c r="S17" s="96"/>
      <c r="T17" s="96"/>
    </row>
    <row r="18" spans="1:21" ht="14.6" customHeight="1" x14ac:dyDescent="0.4">
      <c r="A18" t="s">
        <v>18</v>
      </c>
      <c r="B18" s="18">
        <f t="shared" si="0"/>
        <v>1600000</v>
      </c>
      <c r="C18">
        <v>0</v>
      </c>
      <c r="D18" s="18">
        <v>11500</v>
      </c>
      <c r="E18" s="18">
        <v>16000</v>
      </c>
      <c r="F18" s="7">
        <v>0.625</v>
      </c>
      <c r="G18" s="18">
        <v>-6830</v>
      </c>
      <c r="H18">
        <f t="shared" si="1"/>
        <v>8</v>
      </c>
      <c r="M18" s="1" t="s">
        <v>201</v>
      </c>
      <c r="N18" s="1" t="s">
        <v>210</v>
      </c>
      <c r="O18" s="1" t="s">
        <v>202</v>
      </c>
      <c r="P18" s="1" t="s">
        <v>203</v>
      </c>
      <c r="Q18" s="1" t="s">
        <v>204</v>
      </c>
    </row>
    <row r="19" spans="1:21" x14ac:dyDescent="0.4">
      <c r="A19" t="s">
        <v>19</v>
      </c>
      <c r="B19" s="18">
        <f t="shared" si="0"/>
        <v>3125000</v>
      </c>
      <c r="C19">
        <v>0</v>
      </c>
      <c r="D19" s="18">
        <v>12000</v>
      </c>
      <c r="E19" s="18">
        <v>16500</v>
      </c>
      <c r="F19" s="7">
        <v>0.32</v>
      </c>
      <c r="G19" s="18">
        <v>-6420</v>
      </c>
      <c r="H19">
        <f t="shared" si="1"/>
        <v>15.625</v>
      </c>
      <c r="M19" s="7">
        <v>1E-3</v>
      </c>
      <c r="N19" s="18">
        <f t="shared" ref="N19:N46" si="2">mole*(sf_TC/100)/M19</f>
        <v>1000000000</v>
      </c>
      <c r="O19">
        <f t="shared" ref="O19:O46" si="3">N19/I_b</f>
        <v>100000</v>
      </c>
      <c r="P19">
        <f>O19/20</f>
        <v>5000</v>
      </c>
      <c r="Q19">
        <f>P19/60</f>
        <v>83.333333333333329</v>
      </c>
    </row>
    <row r="20" spans="1:21" x14ac:dyDescent="0.4">
      <c r="A20" t="s">
        <v>21</v>
      </c>
      <c r="B20" s="18">
        <f t="shared" si="0"/>
        <v>2500000</v>
      </c>
      <c r="C20">
        <v>0</v>
      </c>
      <c r="D20" s="18">
        <v>12500</v>
      </c>
      <c r="E20" s="18">
        <v>16500</v>
      </c>
      <c r="F20" s="7">
        <v>0.4</v>
      </c>
      <c r="G20" s="18">
        <v>-7070</v>
      </c>
      <c r="H20">
        <f t="shared" si="1"/>
        <v>12.5</v>
      </c>
      <c r="M20" s="7">
        <v>2E-3</v>
      </c>
      <c r="N20" s="18">
        <f t="shared" si="2"/>
        <v>500000000</v>
      </c>
      <c r="O20">
        <f t="shared" si="3"/>
        <v>50000</v>
      </c>
      <c r="P20">
        <f t="shared" ref="P20:P46" si="4">O20/20</f>
        <v>2500</v>
      </c>
      <c r="Q20">
        <f t="shared" ref="Q20:Q46" si="5">P20/60</f>
        <v>41.666666666666664</v>
      </c>
    </row>
    <row r="21" spans="1:21" x14ac:dyDescent="0.4">
      <c r="A21" t="s">
        <v>20</v>
      </c>
      <c r="B21" s="18">
        <f t="shared" si="0"/>
        <v>2000000</v>
      </c>
      <c r="C21">
        <v>0</v>
      </c>
      <c r="D21" s="18">
        <v>12500</v>
      </c>
      <c r="E21" s="18">
        <v>14000</v>
      </c>
      <c r="F21" s="7">
        <v>0.5</v>
      </c>
      <c r="G21" s="18">
        <v>-8170</v>
      </c>
      <c r="H21">
        <f t="shared" si="1"/>
        <v>10</v>
      </c>
      <c r="M21" s="7">
        <v>4.0000000000000001E-3</v>
      </c>
      <c r="N21" s="18">
        <f t="shared" si="2"/>
        <v>250000000</v>
      </c>
      <c r="O21">
        <f t="shared" si="3"/>
        <v>25000</v>
      </c>
      <c r="P21">
        <f t="shared" si="4"/>
        <v>1250</v>
      </c>
      <c r="Q21">
        <f t="shared" si="5"/>
        <v>20.833333333333332</v>
      </c>
    </row>
    <row r="22" spans="1:21" x14ac:dyDescent="0.4">
      <c r="A22" t="s">
        <v>22</v>
      </c>
      <c r="B22" s="18">
        <f t="shared" si="0"/>
        <v>50000000</v>
      </c>
      <c r="C22">
        <v>0</v>
      </c>
      <c r="D22" s="18">
        <v>14000</v>
      </c>
      <c r="E22" s="18">
        <v>19000</v>
      </c>
      <c r="F22" s="7">
        <v>0.02</v>
      </c>
      <c r="G22" s="18">
        <v>4980</v>
      </c>
      <c r="H22">
        <f t="shared" si="1"/>
        <v>250</v>
      </c>
      <c r="M22" s="7">
        <v>5.0000000000000001E-3</v>
      </c>
      <c r="N22" s="18">
        <f t="shared" si="2"/>
        <v>200000000</v>
      </c>
      <c r="O22">
        <f t="shared" si="3"/>
        <v>20000</v>
      </c>
      <c r="P22">
        <f t="shared" si="4"/>
        <v>1000</v>
      </c>
      <c r="Q22">
        <f t="shared" si="5"/>
        <v>16.666666666666668</v>
      </c>
    </row>
    <row r="23" spans="1:21" x14ac:dyDescent="0.4">
      <c r="A23" t="s">
        <v>23</v>
      </c>
      <c r="B23" s="18">
        <f t="shared" si="0"/>
        <v>50000000</v>
      </c>
      <c r="C23">
        <v>0</v>
      </c>
      <c r="D23" s="18">
        <v>15500</v>
      </c>
      <c r="E23" s="18">
        <v>26000</v>
      </c>
      <c r="F23" s="7">
        <v>0.02</v>
      </c>
      <c r="G23" s="18">
        <v>16000</v>
      </c>
      <c r="H23">
        <f t="shared" si="1"/>
        <v>250</v>
      </c>
      <c r="M23" s="7">
        <v>8.0000000000000002E-3</v>
      </c>
      <c r="N23" s="18">
        <f t="shared" si="2"/>
        <v>125000000</v>
      </c>
      <c r="O23">
        <f t="shared" si="3"/>
        <v>12500</v>
      </c>
      <c r="P23">
        <f t="shared" si="4"/>
        <v>625</v>
      </c>
      <c r="Q23">
        <f t="shared" si="5"/>
        <v>10.416666666666666</v>
      </c>
      <c r="T23" s="89"/>
      <c r="U23" s="89"/>
    </row>
    <row r="24" spans="1:21" x14ac:dyDescent="0.4">
      <c r="A24" t="s">
        <v>24</v>
      </c>
      <c r="B24" s="18">
        <f t="shared" si="0"/>
        <v>1000000</v>
      </c>
      <c r="C24">
        <v>0</v>
      </c>
      <c r="D24" s="18">
        <v>16500</v>
      </c>
      <c r="E24" s="18">
        <v>25000</v>
      </c>
      <c r="F24" s="7">
        <v>1</v>
      </c>
      <c r="G24" s="18">
        <v>-8330</v>
      </c>
      <c r="H24">
        <f t="shared" si="1"/>
        <v>5</v>
      </c>
      <c r="M24" s="7">
        <v>0.01</v>
      </c>
      <c r="N24" s="18">
        <f t="shared" si="2"/>
        <v>100000000</v>
      </c>
      <c r="O24">
        <f t="shared" si="3"/>
        <v>10000</v>
      </c>
      <c r="P24">
        <f t="shared" si="4"/>
        <v>500</v>
      </c>
      <c r="Q24">
        <f t="shared" si="5"/>
        <v>8.3333333333333339</v>
      </c>
    </row>
    <row r="25" spans="1:21" x14ac:dyDescent="0.4">
      <c r="A25" t="s">
        <v>25</v>
      </c>
      <c r="B25" s="18">
        <f t="shared" si="0"/>
        <v>31250000</v>
      </c>
      <c r="C25">
        <v>0</v>
      </c>
      <c r="D25" s="18">
        <v>17000</v>
      </c>
      <c r="E25" s="18">
        <v>26000</v>
      </c>
      <c r="F25" s="7">
        <v>3.2000000000000001E-2</v>
      </c>
      <c r="G25" s="18">
        <v>-10500</v>
      </c>
      <c r="H25">
        <f t="shared" si="1"/>
        <v>156.25</v>
      </c>
      <c r="M25" s="7">
        <v>1.6E-2</v>
      </c>
      <c r="N25" s="18">
        <f t="shared" si="2"/>
        <v>62500000</v>
      </c>
      <c r="O25">
        <f t="shared" si="3"/>
        <v>6250</v>
      </c>
      <c r="P25">
        <f t="shared" si="4"/>
        <v>312.5</v>
      </c>
      <c r="Q25">
        <f t="shared" si="5"/>
        <v>5.208333333333333</v>
      </c>
    </row>
    <row r="26" spans="1:21" x14ac:dyDescent="0.4">
      <c r="A26" t="s">
        <v>26</v>
      </c>
      <c r="B26" s="18">
        <f t="shared" si="0"/>
        <v>4000000</v>
      </c>
      <c r="C26">
        <v>0</v>
      </c>
      <c r="D26" s="18">
        <v>19000</v>
      </c>
      <c r="E26" s="18">
        <v>25500</v>
      </c>
      <c r="F26" s="7">
        <v>0.25</v>
      </c>
      <c r="G26" s="18">
        <v>-7160</v>
      </c>
      <c r="H26">
        <f t="shared" si="1"/>
        <v>20</v>
      </c>
      <c r="M26" s="7">
        <v>0.02</v>
      </c>
      <c r="N26" s="18">
        <f t="shared" si="2"/>
        <v>50000000</v>
      </c>
      <c r="O26">
        <f t="shared" si="3"/>
        <v>5000</v>
      </c>
      <c r="P26">
        <f t="shared" si="4"/>
        <v>250</v>
      </c>
      <c r="Q26">
        <f t="shared" si="5"/>
        <v>4.166666666666667</v>
      </c>
    </row>
    <row r="27" spans="1:21" x14ac:dyDescent="0.4">
      <c r="A27" t="s">
        <v>27</v>
      </c>
      <c r="B27" s="18">
        <f t="shared" si="0"/>
        <v>1000000</v>
      </c>
      <c r="C27">
        <v>0</v>
      </c>
      <c r="D27" s="18">
        <v>19000</v>
      </c>
      <c r="E27" s="18">
        <v>28000</v>
      </c>
      <c r="F27" s="7">
        <v>1</v>
      </c>
      <c r="G27" s="18">
        <v>-11600</v>
      </c>
      <c r="H27">
        <f t="shared" si="1"/>
        <v>5</v>
      </c>
      <c r="M27" s="7">
        <v>2.5000000000000001E-2</v>
      </c>
      <c r="N27" s="18">
        <f t="shared" si="2"/>
        <v>40000000</v>
      </c>
      <c r="O27">
        <f t="shared" si="3"/>
        <v>4000</v>
      </c>
      <c r="P27">
        <f t="shared" si="4"/>
        <v>200</v>
      </c>
      <c r="Q27">
        <f t="shared" si="5"/>
        <v>3.3333333333333335</v>
      </c>
    </row>
    <row r="28" spans="1:21" x14ac:dyDescent="0.4">
      <c r="A28" t="s">
        <v>28</v>
      </c>
      <c r="B28" s="18">
        <f t="shared" si="0"/>
        <v>1000000</v>
      </c>
      <c r="C28">
        <v>0</v>
      </c>
      <c r="D28" s="18">
        <v>19000</v>
      </c>
      <c r="E28" s="18">
        <v>23000</v>
      </c>
      <c r="F28" s="7">
        <v>1</v>
      </c>
      <c r="G28" s="18">
        <v>-13000</v>
      </c>
      <c r="H28">
        <f t="shared" si="1"/>
        <v>5</v>
      </c>
      <c r="M28" s="7">
        <v>3.2000000000000001E-2</v>
      </c>
      <c r="N28" s="18">
        <f t="shared" si="2"/>
        <v>31250000</v>
      </c>
      <c r="O28">
        <f t="shared" si="3"/>
        <v>3125</v>
      </c>
      <c r="P28">
        <f t="shared" si="4"/>
        <v>156.25</v>
      </c>
      <c r="Q28">
        <f t="shared" si="5"/>
        <v>2.6041666666666665</v>
      </c>
    </row>
    <row r="29" spans="1:21" x14ac:dyDescent="0.4">
      <c r="A29" t="s">
        <v>30</v>
      </c>
      <c r="B29" s="18">
        <f t="shared" si="0"/>
        <v>25000000</v>
      </c>
      <c r="C29">
        <v>0</v>
      </c>
      <c r="D29" s="18">
        <v>20000</v>
      </c>
      <c r="E29" s="18">
        <v>24000</v>
      </c>
      <c r="F29" s="7">
        <v>0.04</v>
      </c>
      <c r="G29" s="18">
        <v>10400</v>
      </c>
      <c r="H29">
        <f t="shared" si="1"/>
        <v>125</v>
      </c>
      <c r="M29" s="7">
        <v>0.04</v>
      </c>
      <c r="N29" s="18">
        <f t="shared" si="2"/>
        <v>25000000</v>
      </c>
      <c r="O29">
        <f t="shared" si="3"/>
        <v>2500</v>
      </c>
      <c r="P29">
        <f t="shared" si="4"/>
        <v>125</v>
      </c>
      <c r="Q29">
        <f t="shared" si="5"/>
        <v>2.0833333333333335</v>
      </c>
    </row>
    <row r="30" spans="1:21" x14ac:dyDescent="0.4">
      <c r="A30" t="s">
        <v>29</v>
      </c>
      <c r="B30" s="18">
        <f t="shared" si="0"/>
        <v>2000000</v>
      </c>
      <c r="C30">
        <v>0</v>
      </c>
      <c r="D30" s="18">
        <v>20000</v>
      </c>
      <c r="E30" s="18">
        <v>28000</v>
      </c>
      <c r="F30" s="7">
        <v>0.5</v>
      </c>
      <c r="G30" s="18">
        <v>-12400</v>
      </c>
      <c r="H30">
        <f t="shared" si="1"/>
        <v>10</v>
      </c>
      <c r="M30" s="7">
        <v>0.05</v>
      </c>
      <c r="N30" s="18">
        <f t="shared" si="2"/>
        <v>20000000</v>
      </c>
      <c r="O30">
        <f t="shared" si="3"/>
        <v>2000</v>
      </c>
      <c r="P30">
        <f t="shared" si="4"/>
        <v>100</v>
      </c>
      <c r="Q30">
        <f t="shared" si="5"/>
        <v>1.6666666666666667</v>
      </c>
    </row>
    <row r="31" spans="1:21" x14ac:dyDescent="0.4">
      <c r="A31" t="s">
        <v>31</v>
      </c>
      <c r="B31" s="18">
        <f t="shared" si="0"/>
        <v>50000000</v>
      </c>
      <c r="C31">
        <v>0</v>
      </c>
      <c r="D31" s="18">
        <v>20500</v>
      </c>
      <c r="E31" s="18">
        <v>30000</v>
      </c>
      <c r="F31" s="7">
        <v>0.02</v>
      </c>
      <c r="G31" s="18">
        <v>4830</v>
      </c>
      <c r="H31">
        <f t="shared" si="1"/>
        <v>250</v>
      </c>
      <c r="M31" s="7">
        <v>6.4000000000000001E-2</v>
      </c>
      <c r="N31" s="18">
        <f t="shared" si="2"/>
        <v>15625000</v>
      </c>
      <c r="O31">
        <f t="shared" si="3"/>
        <v>1562.5</v>
      </c>
      <c r="P31">
        <f t="shared" si="4"/>
        <v>78.125</v>
      </c>
      <c r="Q31">
        <f t="shared" si="5"/>
        <v>1.3020833333333333</v>
      </c>
    </row>
    <row r="32" spans="1:21" x14ac:dyDescent="0.4">
      <c r="A32" t="s">
        <v>32</v>
      </c>
      <c r="B32" s="18">
        <f t="shared" si="0"/>
        <v>15625000</v>
      </c>
      <c r="C32">
        <v>0</v>
      </c>
      <c r="D32" s="18">
        <v>21000</v>
      </c>
      <c r="E32" s="18">
        <v>25000</v>
      </c>
      <c r="F32" s="7">
        <v>6.4000000000000001E-2</v>
      </c>
      <c r="G32" s="18">
        <v>8490</v>
      </c>
      <c r="H32">
        <f t="shared" si="1"/>
        <v>78.125</v>
      </c>
      <c r="M32" s="7">
        <v>0.08</v>
      </c>
      <c r="N32" s="18">
        <f t="shared" si="2"/>
        <v>12500000</v>
      </c>
      <c r="O32">
        <f t="shared" si="3"/>
        <v>1250</v>
      </c>
      <c r="P32">
        <f t="shared" si="4"/>
        <v>62.5</v>
      </c>
      <c r="Q32">
        <f t="shared" si="5"/>
        <v>1.0416666666666667</v>
      </c>
    </row>
    <row r="33" spans="1:17" x14ac:dyDescent="0.4">
      <c r="A33" t="s">
        <v>33</v>
      </c>
      <c r="B33" s="18">
        <f t="shared" si="0"/>
        <v>10000000</v>
      </c>
      <c r="C33">
        <v>0</v>
      </c>
      <c r="D33" s="18">
        <v>23000</v>
      </c>
      <c r="E33" s="18">
        <v>29000</v>
      </c>
      <c r="F33" s="7">
        <v>0.1</v>
      </c>
      <c r="G33" s="18">
        <v>-14200</v>
      </c>
      <c r="H33">
        <f t="shared" si="1"/>
        <v>50</v>
      </c>
      <c r="M33" s="7">
        <v>0.1</v>
      </c>
      <c r="N33" s="18">
        <f t="shared" si="2"/>
        <v>10000000</v>
      </c>
      <c r="O33">
        <f t="shared" si="3"/>
        <v>1000</v>
      </c>
      <c r="P33">
        <f t="shared" si="4"/>
        <v>50</v>
      </c>
      <c r="Q33">
        <f t="shared" si="5"/>
        <v>0.83333333333333337</v>
      </c>
    </row>
    <row r="34" spans="1:17" x14ac:dyDescent="0.4">
      <c r="A34" t="s">
        <v>34</v>
      </c>
      <c r="B34" s="18">
        <f t="shared" si="0"/>
        <v>12500000</v>
      </c>
      <c r="C34">
        <v>0</v>
      </c>
      <c r="D34" s="18">
        <v>27000</v>
      </c>
      <c r="E34" s="18">
        <v>35000</v>
      </c>
      <c r="F34" s="7">
        <v>0.08</v>
      </c>
      <c r="G34" s="18">
        <v>-26300</v>
      </c>
      <c r="H34">
        <f t="shared" si="1"/>
        <v>62.5</v>
      </c>
      <c r="M34" s="7">
        <v>0.125</v>
      </c>
      <c r="N34" s="18">
        <f t="shared" si="2"/>
        <v>8000000</v>
      </c>
      <c r="O34">
        <f t="shared" si="3"/>
        <v>800</v>
      </c>
      <c r="P34">
        <f t="shared" si="4"/>
        <v>40</v>
      </c>
      <c r="Q34">
        <f t="shared" si="5"/>
        <v>0.66666666666666663</v>
      </c>
    </row>
    <row r="35" spans="1:17" x14ac:dyDescent="0.4">
      <c r="A35" t="s">
        <v>35</v>
      </c>
      <c r="B35" s="18">
        <f t="shared" si="0"/>
        <v>20000000</v>
      </c>
      <c r="C35">
        <v>0</v>
      </c>
      <c r="D35" s="18">
        <v>30000</v>
      </c>
      <c r="E35" s="18">
        <v>33000</v>
      </c>
      <c r="F35" s="7">
        <v>0.05</v>
      </c>
      <c r="G35" s="18">
        <v>-31400</v>
      </c>
      <c r="H35">
        <f t="shared" si="1"/>
        <v>100</v>
      </c>
      <c r="M35" s="7">
        <v>0.128</v>
      </c>
      <c r="N35" s="18">
        <f t="shared" si="2"/>
        <v>7812500</v>
      </c>
      <c r="O35">
        <f t="shared" si="3"/>
        <v>781.25</v>
      </c>
      <c r="P35">
        <f t="shared" si="4"/>
        <v>39.0625</v>
      </c>
      <c r="Q35">
        <f t="shared" si="5"/>
        <v>0.65104166666666663</v>
      </c>
    </row>
    <row r="36" spans="1:17" x14ac:dyDescent="0.4">
      <c r="A36" t="s">
        <v>36</v>
      </c>
      <c r="B36" s="18">
        <f t="shared" si="0"/>
        <v>5000000</v>
      </c>
      <c r="C36">
        <v>0</v>
      </c>
      <c r="D36" s="18">
        <v>30000</v>
      </c>
      <c r="E36" s="18">
        <v>43000</v>
      </c>
      <c r="F36" s="7">
        <v>0.2</v>
      </c>
      <c r="G36" s="18">
        <v>-14700</v>
      </c>
      <c r="H36">
        <f t="shared" si="1"/>
        <v>25</v>
      </c>
      <c r="M36" s="7">
        <v>0.16</v>
      </c>
      <c r="N36" s="18">
        <f t="shared" si="2"/>
        <v>6250000</v>
      </c>
      <c r="O36">
        <f t="shared" si="3"/>
        <v>625</v>
      </c>
      <c r="P36">
        <f t="shared" si="4"/>
        <v>31.25</v>
      </c>
      <c r="Q36">
        <f t="shared" si="5"/>
        <v>0.52083333333333337</v>
      </c>
    </row>
    <row r="37" spans="1:17" x14ac:dyDescent="0.4">
      <c r="A37" t="s">
        <v>37</v>
      </c>
      <c r="B37" s="18">
        <f t="shared" si="0"/>
        <v>5000000</v>
      </c>
      <c r="C37">
        <v>0</v>
      </c>
      <c r="D37" s="18">
        <v>32000</v>
      </c>
      <c r="E37" s="18">
        <v>50000</v>
      </c>
      <c r="F37" s="7">
        <v>0.2</v>
      </c>
      <c r="G37" s="18">
        <v>-19900</v>
      </c>
      <c r="H37">
        <f t="shared" si="1"/>
        <v>25</v>
      </c>
      <c r="M37" s="7">
        <v>0.2</v>
      </c>
      <c r="N37" s="18">
        <f t="shared" si="2"/>
        <v>5000000</v>
      </c>
      <c r="O37">
        <f t="shared" si="3"/>
        <v>500</v>
      </c>
      <c r="P37">
        <f t="shared" si="4"/>
        <v>25</v>
      </c>
      <c r="Q37">
        <f t="shared" si="5"/>
        <v>0.41666666666666669</v>
      </c>
    </row>
    <row r="38" spans="1:17" x14ac:dyDescent="0.4">
      <c r="A38" t="s">
        <v>38</v>
      </c>
      <c r="B38" s="18">
        <f t="shared" ref="B38:B69" si="6">mole/F38*(sf_TC/100)</f>
        <v>8000000</v>
      </c>
      <c r="C38">
        <v>0</v>
      </c>
      <c r="D38" s="18">
        <v>33000</v>
      </c>
      <c r="E38" s="18">
        <v>46000</v>
      </c>
      <c r="F38" s="7">
        <v>0.125</v>
      </c>
      <c r="G38" s="18">
        <v>-10300</v>
      </c>
      <c r="H38">
        <f t="shared" ref="H38:H69" si="7">B38/(I_b*20)</f>
        <v>40</v>
      </c>
      <c r="M38" s="7">
        <v>0.25</v>
      </c>
      <c r="N38" s="18">
        <f t="shared" si="2"/>
        <v>4000000</v>
      </c>
      <c r="O38">
        <f t="shared" si="3"/>
        <v>400</v>
      </c>
      <c r="P38">
        <f t="shared" si="4"/>
        <v>20</v>
      </c>
      <c r="Q38">
        <f t="shared" si="5"/>
        <v>0.33333333333333331</v>
      </c>
    </row>
    <row r="39" spans="1:17" x14ac:dyDescent="0.4">
      <c r="A39" t="s">
        <v>39</v>
      </c>
      <c r="B39" s="18">
        <f t="shared" si="6"/>
        <v>3125000</v>
      </c>
      <c r="C39">
        <v>0</v>
      </c>
      <c r="D39" s="18">
        <v>38000</v>
      </c>
      <c r="E39" s="18">
        <v>56000</v>
      </c>
      <c r="F39" s="7">
        <v>0.32</v>
      </c>
      <c r="G39" s="18">
        <v>-24100</v>
      </c>
      <c r="H39">
        <f t="shared" si="7"/>
        <v>15.625</v>
      </c>
      <c r="M39" s="7">
        <v>0.25600000000000001</v>
      </c>
      <c r="N39" s="18">
        <f t="shared" si="2"/>
        <v>3906250</v>
      </c>
      <c r="O39">
        <f t="shared" si="3"/>
        <v>390.625</v>
      </c>
      <c r="P39">
        <f t="shared" si="4"/>
        <v>19.53125</v>
      </c>
      <c r="Q39">
        <f t="shared" si="5"/>
        <v>0.32552083333333331</v>
      </c>
    </row>
    <row r="40" spans="1:17" x14ac:dyDescent="0.4">
      <c r="A40" t="s">
        <v>40</v>
      </c>
      <c r="B40" s="18">
        <f t="shared" si="6"/>
        <v>20000000</v>
      </c>
      <c r="C40">
        <v>0</v>
      </c>
      <c r="D40" s="18">
        <v>40000</v>
      </c>
      <c r="E40" s="18">
        <v>65000</v>
      </c>
      <c r="F40" s="7">
        <v>0.05</v>
      </c>
      <c r="G40" s="18">
        <v>-20700</v>
      </c>
      <c r="H40">
        <f t="shared" si="7"/>
        <v>100</v>
      </c>
      <c r="M40" s="7">
        <v>0.32</v>
      </c>
      <c r="N40" s="18">
        <f t="shared" si="2"/>
        <v>3125000</v>
      </c>
      <c r="O40">
        <f t="shared" si="3"/>
        <v>312.5</v>
      </c>
      <c r="P40">
        <f t="shared" si="4"/>
        <v>15.625</v>
      </c>
      <c r="Q40">
        <f t="shared" si="5"/>
        <v>0.26041666666666669</v>
      </c>
    </row>
    <row r="41" spans="1:17" x14ac:dyDescent="0.4">
      <c r="A41" t="s">
        <v>1291</v>
      </c>
      <c r="B41" s="18">
        <f t="shared" si="6"/>
        <v>15625000</v>
      </c>
      <c r="C41">
        <v>0</v>
      </c>
      <c r="D41" s="18">
        <v>40000</v>
      </c>
      <c r="E41" s="18">
        <v>50000</v>
      </c>
      <c r="F41" s="7">
        <v>6.4000000000000001E-2</v>
      </c>
      <c r="G41" s="18">
        <v>-16000</v>
      </c>
      <c r="H41">
        <f t="shared" si="7"/>
        <v>78.125</v>
      </c>
      <c r="M41" s="7">
        <v>0.4</v>
      </c>
      <c r="N41" s="18">
        <f t="shared" si="2"/>
        <v>2500000</v>
      </c>
      <c r="O41">
        <f t="shared" si="3"/>
        <v>250</v>
      </c>
      <c r="P41">
        <f t="shared" si="4"/>
        <v>12.5</v>
      </c>
      <c r="Q41">
        <f t="shared" si="5"/>
        <v>0.20833333333333334</v>
      </c>
    </row>
    <row r="42" spans="1:17" x14ac:dyDescent="0.4">
      <c r="A42" t="s">
        <v>41</v>
      </c>
      <c r="B42" s="18">
        <f t="shared" si="6"/>
        <v>12500000</v>
      </c>
      <c r="C42">
        <v>0</v>
      </c>
      <c r="D42" s="18">
        <v>40000</v>
      </c>
      <c r="E42" s="18">
        <v>50000</v>
      </c>
      <c r="F42" s="7">
        <v>0.08</v>
      </c>
      <c r="G42" s="18">
        <v>-22500</v>
      </c>
      <c r="H42">
        <f t="shared" si="7"/>
        <v>62.5</v>
      </c>
      <c r="M42" s="7">
        <v>0.5</v>
      </c>
      <c r="N42" s="18">
        <f t="shared" si="2"/>
        <v>2000000</v>
      </c>
      <c r="O42">
        <f t="shared" si="3"/>
        <v>200</v>
      </c>
      <c r="P42">
        <f t="shared" si="4"/>
        <v>10</v>
      </c>
      <c r="Q42">
        <f t="shared" si="5"/>
        <v>0.16666666666666666</v>
      </c>
    </row>
    <row r="43" spans="1:17" x14ac:dyDescent="0.4">
      <c r="A43" t="s">
        <v>42</v>
      </c>
      <c r="B43" s="18">
        <f t="shared" si="6"/>
        <v>1600000</v>
      </c>
      <c r="C43">
        <v>0</v>
      </c>
      <c r="D43" s="18">
        <v>45000</v>
      </c>
      <c r="E43" s="18">
        <v>56000</v>
      </c>
      <c r="F43" s="7">
        <v>0.625</v>
      </c>
      <c r="G43" s="18">
        <v>3760</v>
      </c>
      <c r="H43">
        <f t="shared" si="7"/>
        <v>8</v>
      </c>
      <c r="M43" s="7">
        <v>0.625</v>
      </c>
      <c r="N43" s="18">
        <f t="shared" si="2"/>
        <v>1600000</v>
      </c>
      <c r="O43">
        <f t="shared" si="3"/>
        <v>160</v>
      </c>
      <c r="P43">
        <f t="shared" si="4"/>
        <v>8</v>
      </c>
      <c r="Q43">
        <f t="shared" si="5"/>
        <v>0.13333333333333333</v>
      </c>
    </row>
    <row r="44" spans="1:17" x14ac:dyDescent="0.4">
      <c r="A44" t="s">
        <v>1022</v>
      </c>
      <c r="B44" s="18">
        <f t="shared" si="6"/>
        <v>6250000</v>
      </c>
      <c r="C44">
        <v>0</v>
      </c>
      <c r="D44" s="18">
        <v>51000</v>
      </c>
      <c r="E44" s="18">
        <v>67000</v>
      </c>
      <c r="F44" s="7">
        <v>0.16</v>
      </c>
      <c r="G44" s="18">
        <v>-18500</v>
      </c>
      <c r="H44">
        <f t="shared" si="7"/>
        <v>31.25</v>
      </c>
      <c r="M44" s="7">
        <v>0.64</v>
      </c>
      <c r="N44" s="18">
        <f t="shared" si="2"/>
        <v>1562500</v>
      </c>
      <c r="O44">
        <f t="shared" si="3"/>
        <v>156.25</v>
      </c>
      <c r="P44">
        <f t="shared" si="4"/>
        <v>7.8125</v>
      </c>
      <c r="Q44">
        <f t="shared" si="5"/>
        <v>0.13020833333333334</v>
      </c>
    </row>
    <row r="45" spans="1:17" x14ac:dyDescent="0.4">
      <c r="A45" t="s">
        <v>1292</v>
      </c>
      <c r="B45" s="18">
        <f t="shared" si="6"/>
        <v>12500000</v>
      </c>
      <c r="C45">
        <v>0</v>
      </c>
      <c r="D45" s="18">
        <v>60000</v>
      </c>
      <c r="E45" s="18">
        <v>85000</v>
      </c>
      <c r="F45" s="7">
        <v>0.08</v>
      </c>
      <c r="G45" s="18">
        <v>-25200</v>
      </c>
      <c r="H45">
        <f t="shared" si="7"/>
        <v>62.5</v>
      </c>
      <c r="M45" s="7">
        <v>0.8</v>
      </c>
      <c r="N45" s="18">
        <f t="shared" si="2"/>
        <v>1250000</v>
      </c>
      <c r="O45">
        <f t="shared" si="3"/>
        <v>125</v>
      </c>
      <c r="P45">
        <f t="shared" si="4"/>
        <v>6.25</v>
      </c>
      <c r="Q45">
        <f t="shared" si="5"/>
        <v>0.10416666666666667</v>
      </c>
    </row>
    <row r="46" spans="1:17" x14ac:dyDescent="0.4">
      <c r="A46" t="s">
        <v>460</v>
      </c>
      <c r="B46" s="18">
        <f t="shared" si="6"/>
        <v>5000000</v>
      </c>
      <c r="C46">
        <v>0</v>
      </c>
      <c r="D46" s="18">
        <v>60000</v>
      </c>
      <c r="E46" s="18">
        <v>600000</v>
      </c>
      <c r="F46" s="7">
        <v>0.2</v>
      </c>
      <c r="G46" s="18">
        <v>0</v>
      </c>
      <c r="H46">
        <f t="shared" si="7"/>
        <v>25</v>
      </c>
      <c r="M46" s="7">
        <v>1</v>
      </c>
      <c r="N46" s="18">
        <f t="shared" si="2"/>
        <v>1000000</v>
      </c>
      <c r="O46">
        <f t="shared" si="3"/>
        <v>100</v>
      </c>
      <c r="P46">
        <f t="shared" si="4"/>
        <v>5</v>
      </c>
      <c r="Q46">
        <f t="shared" si="5"/>
        <v>8.3333333333333329E-2</v>
      </c>
    </row>
    <row r="47" spans="1:17" x14ac:dyDescent="0.4">
      <c r="A47" t="s">
        <v>480</v>
      </c>
      <c r="B47" s="18">
        <f t="shared" si="6"/>
        <v>1000000</v>
      </c>
      <c r="C47">
        <v>0</v>
      </c>
      <c r="D47" s="18">
        <v>60000</v>
      </c>
      <c r="E47" s="18">
        <v>600000</v>
      </c>
      <c r="F47" s="7">
        <v>1</v>
      </c>
      <c r="G47" s="18">
        <v>0</v>
      </c>
      <c r="H47">
        <f t="shared" si="7"/>
        <v>5</v>
      </c>
    </row>
    <row r="48" spans="1:17" x14ac:dyDescent="0.4">
      <c r="A48" t="s">
        <v>461</v>
      </c>
      <c r="B48" s="18">
        <f t="shared" si="6"/>
        <v>1000000</v>
      </c>
      <c r="C48">
        <v>0</v>
      </c>
      <c r="D48" s="18">
        <v>60000</v>
      </c>
      <c r="E48" s="18">
        <v>600000</v>
      </c>
      <c r="F48" s="7">
        <v>1</v>
      </c>
      <c r="G48" s="18">
        <v>0</v>
      </c>
      <c r="H48">
        <f t="shared" si="7"/>
        <v>5</v>
      </c>
      <c r="M48" s="90" t="s">
        <v>207</v>
      </c>
      <c r="N48" s="91"/>
      <c r="O48" s="91"/>
      <c r="P48" s="91"/>
      <c r="Q48" s="91"/>
    </row>
    <row r="49" spans="1:17" x14ac:dyDescent="0.4">
      <c r="A49" t="s">
        <v>462</v>
      </c>
      <c r="B49" s="18">
        <f t="shared" si="6"/>
        <v>1000000</v>
      </c>
      <c r="C49">
        <v>0</v>
      </c>
      <c r="D49" s="18">
        <v>60000</v>
      </c>
      <c r="E49" s="18">
        <v>600000</v>
      </c>
      <c r="F49" s="7">
        <v>1</v>
      </c>
      <c r="G49" s="18">
        <v>0</v>
      </c>
      <c r="H49">
        <f t="shared" si="7"/>
        <v>5</v>
      </c>
      <c r="M49" s="1" t="s">
        <v>199</v>
      </c>
      <c r="N49" s="1" t="s">
        <v>200</v>
      </c>
    </row>
    <row r="50" spans="1:17" x14ac:dyDescent="0.4">
      <c r="A50" t="s">
        <v>463</v>
      </c>
      <c r="B50" s="18">
        <f t="shared" si="6"/>
        <v>1000000</v>
      </c>
      <c r="C50">
        <v>0</v>
      </c>
      <c r="D50" s="18">
        <v>60000</v>
      </c>
      <c r="E50" s="18">
        <v>600000</v>
      </c>
      <c r="F50" s="7">
        <v>1</v>
      </c>
      <c r="G50" s="18">
        <v>0</v>
      </c>
      <c r="H50">
        <f t="shared" si="7"/>
        <v>5</v>
      </c>
      <c r="M50" s="4">
        <v>0.25</v>
      </c>
      <c r="N50" s="6" cm="1">
        <f t="array" ref="N50">INDEX(M19:M46,MATCH(MIN(ABS(2*M50-M19:M46)),ABS(2*M50-M19:M46),0))</f>
        <v>0.5</v>
      </c>
    </row>
    <row r="51" spans="1:17" x14ac:dyDescent="0.4">
      <c r="A51" t="s">
        <v>43</v>
      </c>
      <c r="B51" s="18">
        <f t="shared" si="6"/>
        <v>1000000</v>
      </c>
      <c r="C51">
        <v>0</v>
      </c>
      <c r="D51" s="18">
        <v>60000</v>
      </c>
      <c r="E51" s="18">
        <v>600000</v>
      </c>
      <c r="F51" s="7">
        <v>1</v>
      </c>
      <c r="G51" s="18">
        <v>0</v>
      </c>
      <c r="H51">
        <f t="shared" si="7"/>
        <v>5</v>
      </c>
    </row>
    <row r="52" spans="1:17" ht="14.6" customHeight="1" x14ac:dyDescent="0.4">
      <c r="A52" t="s">
        <v>464</v>
      </c>
      <c r="B52" s="18">
        <f t="shared" si="6"/>
        <v>1000000</v>
      </c>
      <c r="C52">
        <v>0</v>
      </c>
      <c r="D52" s="18">
        <v>60000</v>
      </c>
      <c r="E52" s="18">
        <v>600000</v>
      </c>
      <c r="F52" s="7">
        <v>1</v>
      </c>
      <c r="G52" s="18">
        <v>0</v>
      </c>
      <c r="H52">
        <f t="shared" si="7"/>
        <v>5</v>
      </c>
      <c r="M52" s="77" t="s">
        <v>1005</v>
      </c>
      <c r="N52" s="78"/>
      <c r="O52" s="78"/>
      <c r="P52" s="78"/>
      <c r="Q52" s="79"/>
    </row>
    <row r="53" spans="1:17" x14ac:dyDescent="0.4">
      <c r="A53" t="s">
        <v>465</v>
      </c>
      <c r="B53" s="18">
        <f t="shared" si="6"/>
        <v>1000000</v>
      </c>
      <c r="C53">
        <v>0</v>
      </c>
      <c r="D53" s="18">
        <v>60000</v>
      </c>
      <c r="E53" s="18">
        <v>600000</v>
      </c>
      <c r="F53" s="7">
        <v>1</v>
      </c>
      <c r="G53" s="18">
        <v>0</v>
      </c>
      <c r="H53">
        <f t="shared" si="7"/>
        <v>5</v>
      </c>
      <c r="M53" s="80"/>
      <c r="N53" s="75"/>
      <c r="O53" s="75"/>
      <c r="P53" s="75"/>
      <c r="Q53" s="81"/>
    </row>
    <row r="54" spans="1:17" x14ac:dyDescent="0.4">
      <c r="A54" t="s">
        <v>466</v>
      </c>
      <c r="B54" s="18">
        <f t="shared" si="6"/>
        <v>1000000</v>
      </c>
      <c r="C54">
        <v>0</v>
      </c>
      <c r="D54" s="18">
        <v>60000</v>
      </c>
      <c r="E54" s="18">
        <v>600000</v>
      </c>
      <c r="F54" s="7">
        <v>1</v>
      </c>
      <c r="G54" s="18">
        <v>0</v>
      </c>
      <c r="H54">
        <f t="shared" si="7"/>
        <v>5</v>
      </c>
      <c r="M54" s="80"/>
      <c r="N54" s="75"/>
      <c r="O54" s="75"/>
      <c r="P54" s="75"/>
      <c r="Q54" s="81"/>
    </row>
    <row r="55" spans="1:17" x14ac:dyDescent="0.4">
      <c r="A55" t="s">
        <v>467</v>
      </c>
      <c r="B55" s="18">
        <f t="shared" si="6"/>
        <v>1000000</v>
      </c>
      <c r="C55">
        <v>0</v>
      </c>
      <c r="D55" s="18">
        <v>60000</v>
      </c>
      <c r="E55" s="18">
        <v>600000</v>
      </c>
      <c r="F55" s="7">
        <v>1</v>
      </c>
      <c r="G55" s="18">
        <v>0</v>
      </c>
      <c r="H55">
        <f t="shared" si="7"/>
        <v>5</v>
      </c>
      <c r="M55" s="82"/>
      <c r="N55" s="83"/>
      <c r="O55" s="83"/>
      <c r="P55" s="83"/>
      <c r="Q55" s="84"/>
    </row>
    <row r="56" spans="1:17" x14ac:dyDescent="0.4">
      <c r="A56" t="s">
        <v>468</v>
      </c>
      <c r="B56" s="18">
        <f t="shared" si="6"/>
        <v>1000000</v>
      </c>
      <c r="C56">
        <v>0</v>
      </c>
      <c r="D56" s="18">
        <v>60000</v>
      </c>
      <c r="E56" s="18">
        <v>600000</v>
      </c>
      <c r="F56" s="7">
        <v>1</v>
      </c>
      <c r="G56" s="18">
        <v>0</v>
      </c>
      <c r="H56">
        <f t="shared" si="7"/>
        <v>5</v>
      </c>
    </row>
    <row r="57" spans="1:17" x14ac:dyDescent="0.4">
      <c r="A57" t="s">
        <v>469</v>
      </c>
      <c r="B57" s="18">
        <f t="shared" si="6"/>
        <v>1000000</v>
      </c>
      <c r="C57">
        <v>0</v>
      </c>
      <c r="D57" s="18">
        <v>60000</v>
      </c>
      <c r="E57" s="18">
        <v>600000</v>
      </c>
      <c r="F57" s="7">
        <v>1</v>
      </c>
      <c r="G57" s="18">
        <v>0</v>
      </c>
      <c r="H57">
        <f t="shared" si="7"/>
        <v>5</v>
      </c>
      <c r="M57" s="76" t="s">
        <v>1006</v>
      </c>
      <c r="N57" s="76"/>
      <c r="O57" s="76"/>
      <c r="P57" s="76"/>
      <c r="Q57" s="76"/>
    </row>
    <row r="58" spans="1:17" x14ac:dyDescent="0.4">
      <c r="A58" t="s">
        <v>470</v>
      </c>
      <c r="B58" s="18">
        <f t="shared" si="6"/>
        <v>1000000</v>
      </c>
      <c r="C58">
        <v>0</v>
      </c>
      <c r="D58" s="18">
        <v>60000</v>
      </c>
      <c r="E58" s="18">
        <v>600000</v>
      </c>
      <c r="F58" s="7">
        <v>1</v>
      </c>
      <c r="G58" s="18">
        <v>0</v>
      </c>
      <c r="H58">
        <f t="shared" si="7"/>
        <v>5</v>
      </c>
      <c r="M58" s="76"/>
      <c r="N58" s="76"/>
      <c r="O58" s="76"/>
      <c r="P58" s="76"/>
      <c r="Q58" s="76"/>
    </row>
    <row r="59" spans="1:17" x14ac:dyDescent="0.4">
      <c r="A59" t="s">
        <v>1023</v>
      </c>
      <c r="B59" s="18">
        <f t="shared" si="6"/>
        <v>50000000</v>
      </c>
      <c r="C59">
        <v>0</v>
      </c>
      <c r="D59" s="18">
        <v>65000</v>
      </c>
      <c r="E59" s="18">
        <v>150000</v>
      </c>
      <c r="F59" s="7">
        <v>0.02</v>
      </c>
      <c r="G59" s="18">
        <v>-26900</v>
      </c>
      <c r="H59">
        <f t="shared" si="7"/>
        <v>250</v>
      </c>
      <c r="M59" s="76"/>
      <c r="N59" s="76"/>
      <c r="O59" s="76"/>
      <c r="P59" s="76"/>
      <c r="Q59" s="76"/>
    </row>
    <row r="60" spans="1:17" x14ac:dyDescent="0.4">
      <c r="A60" t="s">
        <v>44</v>
      </c>
      <c r="B60" s="18">
        <f t="shared" si="6"/>
        <v>50000000</v>
      </c>
      <c r="C60">
        <v>0</v>
      </c>
      <c r="D60" s="18">
        <v>100000</v>
      </c>
      <c r="E60" s="18">
        <v>200000</v>
      </c>
      <c r="F60" s="7">
        <v>0.02</v>
      </c>
      <c r="G60" s="18">
        <v>-6800</v>
      </c>
      <c r="H60">
        <f t="shared" si="7"/>
        <v>250</v>
      </c>
    </row>
    <row r="61" spans="1:17" x14ac:dyDescent="0.4">
      <c r="A61" t="s">
        <v>471</v>
      </c>
      <c r="B61" s="18">
        <f t="shared" si="6"/>
        <v>2500000</v>
      </c>
      <c r="C61">
        <v>0</v>
      </c>
      <c r="D61" s="18">
        <v>100000</v>
      </c>
      <c r="E61" s="18">
        <v>1000000</v>
      </c>
      <c r="F61" s="7">
        <v>0.4</v>
      </c>
      <c r="G61" s="18">
        <v>0</v>
      </c>
      <c r="H61">
        <f t="shared" si="7"/>
        <v>12.5</v>
      </c>
    </row>
    <row r="62" spans="1:17" x14ac:dyDescent="0.4">
      <c r="A62" t="s">
        <v>45</v>
      </c>
      <c r="B62" s="18">
        <f t="shared" si="6"/>
        <v>50000000</v>
      </c>
      <c r="C62">
        <v>0</v>
      </c>
      <c r="D62" s="18">
        <v>150000</v>
      </c>
      <c r="E62" s="18">
        <v>1000000</v>
      </c>
      <c r="F62" s="7">
        <v>0.02</v>
      </c>
      <c r="G62" s="18">
        <v>-26800</v>
      </c>
      <c r="H62">
        <f t="shared" si="7"/>
        <v>250</v>
      </c>
    </row>
    <row r="63" spans="1:17" x14ac:dyDescent="0.4">
      <c r="A63" t="s">
        <v>46</v>
      </c>
      <c r="B63" s="18">
        <f t="shared" si="6"/>
        <v>50000000</v>
      </c>
      <c r="C63">
        <v>0</v>
      </c>
      <c r="D63" s="18">
        <v>155000</v>
      </c>
      <c r="E63" s="18">
        <v>170000</v>
      </c>
      <c r="F63" s="7">
        <v>0.02</v>
      </c>
      <c r="G63" s="18">
        <v>-38400</v>
      </c>
      <c r="H63">
        <f t="shared" si="7"/>
        <v>250</v>
      </c>
    </row>
    <row r="64" spans="1:17" x14ac:dyDescent="0.4">
      <c r="A64" t="s">
        <v>472</v>
      </c>
      <c r="B64" s="18">
        <f t="shared" si="6"/>
        <v>50000000</v>
      </c>
      <c r="C64">
        <v>0</v>
      </c>
      <c r="D64" s="18">
        <v>200000</v>
      </c>
      <c r="E64" s="18">
        <v>600000</v>
      </c>
      <c r="F64" s="7">
        <v>0.02</v>
      </c>
      <c r="G64" s="18">
        <v>0</v>
      </c>
      <c r="H64">
        <f t="shared" si="7"/>
        <v>250</v>
      </c>
    </row>
    <row r="65" spans="1:8" x14ac:dyDescent="0.4">
      <c r="A65" t="s">
        <v>473</v>
      </c>
      <c r="B65" s="18">
        <f t="shared" si="6"/>
        <v>50000000</v>
      </c>
      <c r="C65">
        <v>0</v>
      </c>
      <c r="D65" s="18">
        <v>200000</v>
      </c>
      <c r="E65" s="18">
        <v>600000</v>
      </c>
      <c r="F65" s="7">
        <v>0.02</v>
      </c>
      <c r="G65" s="18">
        <v>0</v>
      </c>
      <c r="H65">
        <f t="shared" si="7"/>
        <v>250</v>
      </c>
    </row>
    <row r="66" spans="1:8" x14ac:dyDescent="0.4">
      <c r="A66" t="s">
        <v>474</v>
      </c>
      <c r="B66" s="18">
        <f t="shared" si="6"/>
        <v>6250000</v>
      </c>
      <c r="C66">
        <v>0</v>
      </c>
      <c r="D66" s="18">
        <v>200000</v>
      </c>
      <c r="E66" s="18">
        <v>600000</v>
      </c>
      <c r="F66" s="7">
        <v>0.16</v>
      </c>
      <c r="G66" s="18">
        <v>0</v>
      </c>
      <c r="H66">
        <f t="shared" si="7"/>
        <v>31.25</v>
      </c>
    </row>
    <row r="67" spans="1:8" x14ac:dyDescent="0.4">
      <c r="A67" t="s">
        <v>475</v>
      </c>
      <c r="B67" s="18">
        <f t="shared" si="6"/>
        <v>4000000</v>
      </c>
      <c r="C67">
        <v>0</v>
      </c>
      <c r="D67" s="18">
        <v>200000</v>
      </c>
      <c r="E67" s="18">
        <v>600000</v>
      </c>
      <c r="F67" s="7">
        <v>0.25</v>
      </c>
      <c r="G67" s="18">
        <v>0</v>
      </c>
      <c r="H67">
        <f t="shared" si="7"/>
        <v>20</v>
      </c>
    </row>
    <row r="68" spans="1:8" x14ac:dyDescent="0.4">
      <c r="A68" t="s">
        <v>476</v>
      </c>
      <c r="B68" s="18">
        <f t="shared" si="6"/>
        <v>12500000</v>
      </c>
      <c r="C68">
        <v>0</v>
      </c>
      <c r="D68" s="18">
        <v>400000</v>
      </c>
      <c r="E68" s="18">
        <v>600000</v>
      </c>
      <c r="F68" s="7">
        <v>0.08</v>
      </c>
      <c r="G68" s="18">
        <v>0</v>
      </c>
      <c r="H68">
        <f t="shared" si="7"/>
        <v>62.5</v>
      </c>
    </row>
    <row r="69" spans="1:8" x14ac:dyDescent="0.4">
      <c r="A69" t="s">
        <v>1072</v>
      </c>
      <c r="B69" s="18">
        <f t="shared" si="6"/>
        <v>5000000</v>
      </c>
      <c r="C69">
        <v>0</v>
      </c>
      <c r="D69" s="18">
        <v>600000</v>
      </c>
      <c r="E69" s="18">
        <v>5000000</v>
      </c>
      <c r="F69" s="7">
        <v>0.2</v>
      </c>
      <c r="G69" s="18">
        <v>-279000</v>
      </c>
      <c r="H69">
        <f t="shared" si="7"/>
        <v>25</v>
      </c>
    </row>
    <row r="70" spans="1:8" x14ac:dyDescent="0.4">
      <c r="A70" t="s">
        <v>1073</v>
      </c>
      <c r="B70" s="18">
        <f t="shared" ref="B70:B101" si="8">mole/F70*(sf_TC/100)</f>
        <v>5000000</v>
      </c>
      <c r="C70">
        <v>0</v>
      </c>
      <c r="D70" s="18">
        <v>600000</v>
      </c>
      <c r="E70" s="18">
        <v>5000000</v>
      </c>
      <c r="F70" s="7">
        <v>0.2</v>
      </c>
      <c r="G70" s="18">
        <v>-279000</v>
      </c>
      <c r="H70">
        <f t="shared" ref="H70:H101" si="9">B70/(I_b*20)</f>
        <v>25</v>
      </c>
    </row>
    <row r="71" spans="1:8" x14ac:dyDescent="0.4">
      <c r="A71" t="s">
        <v>1074</v>
      </c>
      <c r="B71" s="18">
        <f t="shared" si="8"/>
        <v>5000000</v>
      </c>
      <c r="C71">
        <v>0</v>
      </c>
      <c r="D71" s="18">
        <v>600000</v>
      </c>
      <c r="E71" s="18">
        <v>5000000</v>
      </c>
      <c r="F71" s="7">
        <v>0.2</v>
      </c>
      <c r="G71" s="18">
        <v>-279000</v>
      </c>
      <c r="H71">
        <f t="shared" si="9"/>
        <v>25</v>
      </c>
    </row>
    <row r="72" spans="1:8" x14ac:dyDescent="0.4">
      <c r="A72" t="s">
        <v>1075</v>
      </c>
      <c r="B72" s="18">
        <f t="shared" si="8"/>
        <v>5000000</v>
      </c>
      <c r="C72">
        <v>0</v>
      </c>
      <c r="D72" s="18">
        <v>600000</v>
      </c>
      <c r="E72" s="18">
        <v>5000000</v>
      </c>
      <c r="F72" s="7">
        <v>0.2</v>
      </c>
      <c r="G72" s="18">
        <v>-279000</v>
      </c>
      <c r="H72">
        <f t="shared" si="9"/>
        <v>25</v>
      </c>
    </row>
    <row r="73" spans="1:8" x14ac:dyDescent="0.4">
      <c r="A73" t="s">
        <v>1076</v>
      </c>
      <c r="B73" s="18">
        <f t="shared" si="8"/>
        <v>5000000</v>
      </c>
      <c r="C73">
        <v>0</v>
      </c>
      <c r="D73" s="18">
        <v>600000</v>
      </c>
      <c r="E73" s="18">
        <v>5000000</v>
      </c>
      <c r="F73" s="7">
        <v>0.2</v>
      </c>
      <c r="G73" s="18">
        <v>-279000</v>
      </c>
      <c r="H73">
        <f t="shared" si="9"/>
        <v>25</v>
      </c>
    </row>
    <row r="74" spans="1:8" x14ac:dyDescent="0.4">
      <c r="A74" t="s">
        <v>1077</v>
      </c>
      <c r="B74" s="18">
        <f t="shared" si="8"/>
        <v>5000000</v>
      </c>
      <c r="C74">
        <v>0</v>
      </c>
      <c r="D74" s="18">
        <v>600000</v>
      </c>
      <c r="E74" s="18">
        <v>5000000</v>
      </c>
      <c r="F74" s="7">
        <v>0.2</v>
      </c>
      <c r="G74" s="18">
        <v>-279000</v>
      </c>
      <c r="H74">
        <f t="shared" si="9"/>
        <v>25</v>
      </c>
    </row>
    <row r="75" spans="1:8" x14ac:dyDescent="0.4">
      <c r="A75" t="s">
        <v>1078</v>
      </c>
      <c r="B75" s="18">
        <f t="shared" si="8"/>
        <v>5000000</v>
      </c>
      <c r="C75">
        <v>0</v>
      </c>
      <c r="D75" s="18">
        <v>600000</v>
      </c>
      <c r="E75" s="18">
        <v>5000000</v>
      </c>
      <c r="F75" s="7">
        <v>0.2</v>
      </c>
      <c r="G75" s="18">
        <v>-279000</v>
      </c>
      <c r="H75">
        <f t="shared" si="9"/>
        <v>25</v>
      </c>
    </row>
    <row r="76" spans="1:8" x14ac:dyDescent="0.4">
      <c r="A76" t="s">
        <v>1079</v>
      </c>
      <c r="B76" s="18">
        <f t="shared" si="8"/>
        <v>5000000</v>
      </c>
      <c r="C76">
        <v>0</v>
      </c>
      <c r="D76" s="18">
        <v>600000</v>
      </c>
      <c r="E76" s="18">
        <v>5000000</v>
      </c>
      <c r="F76" s="7">
        <v>0.2</v>
      </c>
      <c r="G76" s="18">
        <v>-279000</v>
      </c>
      <c r="H76">
        <f t="shared" si="9"/>
        <v>25</v>
      </c>
    </row>
    <row r="77" spans="1:8" x14ac:dyDescent="0.4">
      <c r="A77" t="s">
        <v>1080</v>
      </c>
      <c r="B77" s="18">
        <f t="shared" si="8"/>
        <v>5000000</v>
      </c>
      <c r="C77">
        <v>0</v>
      </c>
      <c r="D77" s="18">
        <v>600000</v>
      </c>
      <c r="E77" s="18">
        <v>5000000</v>
      </c>
      <c r="F77" s="7">
        <v>0.2</v>
      </c>
      <c r="G77" s="18">
        <v>-279000</v>
      </c>
      <c r="H77">
        <f t="shared" si="9"/>
        <v>25</v>
      </c>
    </row>
    <row r="78" spans="1:8" x14ac:dyDescent="0.4">
      <c r="A78" t="s">
        <v>1081</v>
      </c>
      <c r="B78" s="18">
        <f t="shared" si="8"/>
        <v>5000000</v>
      </c>
      <c r="C78">
        <v>0</v>
      </c>
      <c r="D78" s="18">
        <v>600000</v>
      </c>
      <c r="E78" s="18">
        <v>5000000</v>
      </c>
      <c r="F78" s="7">
        <v>0.2</v>
      </c>
      <c r="G78" s="18">
        <v>-279000</v>
      </c>
      <c r="H78">
        <f t="shared" si="9"/>
        <v>25</v>
      </c>
    </row>
    <row r="79" spans="1:8" x14ac:dyDescent="0.4">
      <c r="A79" t="s">
        <v>1082</v>
      </c>
      <c r="B79" s="18">
        <f t="shared" si="8"/>
        <v>5000000</v>
      </c>
      <c r="C79">
        <v>0</v>
      </c>
      <c r="D79" s="18">
        <v>600000</v>
      </c>
      <c r="E79" s="18">
        <v>5000000</v>
      </c>
      <c r="F79" s="7">
        <v>0.2</v>
      </c>
      <c r="G79" s="18">
        <v>-279000</v>
      </c>
      <c r="H79">
        <f t="shared" si="9"/>
        <v>25</v>
      </c>
    </row>
    <row r="80" spans="1:8" x14ac:dyDescent="0.4">
      <c r="A80" t="s">
        <v>1083</v>
      </c>
      <c r="B80" s="18">
        <f t="shared" si="8"/>
        <v>5000000</v>
      </c>
      <c r="C80">
        <v>0</v>
      </c>
      <c r="D80" s="18">
        <v>600000</v>
      </c>
      <c r="E80" s="18">
        <v>5000000</v>
      </c>
      <c r="F80" s="7">
        <v>0.2</v>
      </c>
      <c r="G80" s="18">
        <v>-279000</v>
      </c>
      <c r="H80">
        <f t="shared" si="9"/>
        <v>25</v>
      </c>
    </row>
    <row r="81" spans="1:8" x14ac:dyDescent="0.4">
      <c r="A81" t="s">
        <v>1084</v>
      </c>
      <c r="B81" s="18">
        <f t="shared" si="8"/>
        <v>5000000</v>
      </c>
      <c r="C81">
        <v>0</v>
      </c>
      <c r="D81" s="18">
        <v>600000</v>
      </c>
      <c r="E81" s="18">
        <v>5000000</v>
      </c>
      <c r="F81" s="7">
        <v>0.2</v>
      </c>
      <c r="G81" s="18">
        <v>-279000</v>
      </c>
      <c r="H81">
        <f t="shared" si="9"/>
        <v>25</v>
      </c>
    </row>
    <row r="82" spans="1:8" x14ac:dyDescent="0.4">
      <c r="A82" t="s">
        <v>1085</v>
      </c>
      <c r="B82" s="18">
        <f t="shared" si="8"/>
        <v>5000000</v>
      </c>
      <c r="C82">
        <v>0</v>
      </c>
      <c r="D82" s="18">
        <v>600000</v>
      </c>
      <c r="E82" s="18">
        <v>5000000</v>
      </c>
      <c r="F82" s="7">
        <v>0.2</v>
      </c>
      <c r="G82" s="18">
        <v>-279000</v>
      </c>
      <c r="H82">
        <f t="shared" si="9"/>
        <v>25</v>
      </c>
    </row>
    <row r="83" spans="1:8" x14ac:dyDescent="0.4">
      <c r="A83" t="s">
        <v>1086</v>
      </c>
      <c r="B83" s="18">
        <f t="shared" si="8"/>
        <v>5000000</v>
      </c>
      <c r="C83">
        <v>0</v>
      </c>
      <c r="D83" s="18">
        <v>600000</v>
      </c>
      <c r="E83" s="18">
        <v>5000000</v>
      </c>
      <c r="F83" s="7">
        <v>0.2</v>
      </c>
      <c r="G83" s="18">
        <v>-279000</v>
      </c>
      <c r="H83">
        <f t="shared" si="9"/>
        <v>25</v>
      </c>
    </row>
    <row r="84" spans="1:8" x14ac:dyDescent="0.4">
      <c r="A84" t="s">
        <v>1087</v>
      </c>
      <c r="B84" s="18">
        <f t="shared" si="8"/>
        <v>5000000</v>
      </c>
      <c r="C84">
        <v>0</v>
      </c>
      <c r="D84" s="18">
        <v>600000</v>
      </c>
      <c r="E84" s="18">
        <v>5000000</v>
      </c>
      <c r="F84" s="7">
        <v>0.2</v>
      </c>
      <c r="G84" s="18">
        <v>-279000</v>
      </c>
      <c r="H84">
        <f t="shared" si="9"/>
        <v>25</v>
      </c>
    </row>
    <row r="85" spans="1:8" x14ac:dyDescent="0.4">
      <c r="A85" t="s">
        <v>1088</v>
      </c>
      <c r="B85" s="18">
        <f t="shared" si="8"/>
        <v>5000000</v>
      </c>
      <c r="C85">
        <v>0</v>
      </c>
      <c r="D85" s="18">
        <v>600000</v>
      </c>
      <c r="E85" s="18">
        <v>5000000</v>
      </c>
      <c r="F85" s="7">
        <v>0.2</v>
      </c>
      <c r="G85" s="18">
        <v>-279000</v>
      </c>
      <c r="H85">
        <f t="shared" si="9"/>
        <v>25</v>
      </c>
    </row>
    <row r="86" spans="1:8" x14ac:dyDescent="0.4">
      <c r="A86" t="s">
        <v>1089</v>
      </c>
      <c r="B86" s="18">
        <f t="shared" si="8"/>
        <v>5000000</v>
      </c>
      <c r="C86">
        <v>0</v>
      </c>
      <c r="D86" s="18">
        <v>600000</v>
      </c>
      <c r="E86" s="18">
        <v>5000000</v>
      </c>
      <c r="F86" s="7">
        <v>0.2</v>
      </c>
      <c r="G86" s="18">
        <v>-279000</v>
      </c>
      <c r="H86">
        <f t="shared" si="9"/>
        <v>25</v>
      </c>
    </row>
    <row r="87" spans="1:8" x14ac:dyDescent="0.4">
      <c r="A87" t="s">
        <v>1090</v>
      </c>
      <c r="B87" s="18">
        <f t="shared" si="8"/>
        <v>5000000</v>
      </c>
      <c r="C87">
        <v>0</v>
      </c>
      <c r="D87" s="18">
        <v>600000</v>
      </c>
      <c r="E87" s="18">
        <v>5000000</v>
      </c>
      <c r="F87" s="7">
        <v>0.2</v>
      </c>
      <c r="G87" s="18">
        <v>-279000</v>
      </c>
      <c r="H87">
        <f t="shared" si="9"/>
        <v>25</v>
      </c>
    </row>
    <row r="88" spans="1:8" x14ac:dyDescent="0.4">
      <c r="A88" t="s">
        <v>1091</v>
      </c>
      <c r="B88" s="18">
        <f t="shared" si="8"/>
        <v>5000000</v>
      </c>
      <c r="C88">
        <v>0</v>
      </c>
      <c r="D88" s="18">
        <v>600000</v>
      </c>
      <c r="E88" s="18">
        <v>5000000</v>
      </c>
      <c r="F88" s="7">
        <v>0.2</v>
      </c>
      <c r="G88" s="18">
        <v>-279000</v>
      </c>
      <c r="H88">
        <f t="shared" si="9"/>
        <v>25</v>
      </c>
    </row>
    <row r="89" spans="1:8" x14ac:dyDescent="0.4">
      <c r="A89" t="s">
        <v>1092</v>
      </c>
      <c r="B89" s="18">
        <f t="shared" si="8"/>
        <v>5000000</v>
      </c>
      <c r="C89">
        <v>0</v>
      </c>
      <c r="D89" s="18">
        <v>600000</v>
      </c>
      <c r="E89" s="18">
        <v>5000000</v>
      </c>
      <c r="F89" s="7">
        <v>0.2</v>
      </c>
      <c r="G89" s="18">
        <v>-279000</v>
      </c>
      <c r="H89">
        <f t="shared" si="9"/>
        <v>25</v>
      </c>
    </row>
    <row r="90" spans="1:8" x14ac:dyDescent="0.4">
      <c r="A90" t="s">
        <v>1093</v>
      </c>
      <c r="B90" s="18">
        <f t="shared" si="8"/>
        <v>5000000</v>
      </c>
      <c r="C90">
        <v>0</v>
      </c>
      <c r="D90" s="18">
        <v>600000</v>
      </c>
      <c r="E90" s="18">
        <v>5000000</v>
      </c>
      <c r="F90" s="7">
        <v>0.2</v>
      </c>
      <c r="G90" s="18">
        <v>-279000</v>
      </c>
      <c r="H90">
        <f t="shared" si="9"/>
        <v>25</v>
      </c>
    </row>
    <row r="91" spans="1:8" x14ac:dyDescent="0.4">
      <c r="A91" t="s">
        <v>1094</v>
      </c>
      <c r="B91" s="18">
        <f t="shared" si="8"/>
        <v>5000000</v>
      </c>
      <c r="C91">
        <v>0</v>
      </c>
      <c r="D91" s="18">
        <v>600000</v>
      </c>
      <c r="E91" s="18">
        <v>5000000</v>
      </c>
      <c r="F91" s="7">
        <v>0.2</v>
      </c>
      <c r="G91" s="18">
        <v>-279000</v>
      </c>
      <c r="H91">
        <f t="shared" si="9"/>
        <v>25</v>
      </c>
    </row>
    <row r="92" spans="1:8" x14ac:dyDescent="0.4">
      <c r="A92" t="s">
        <v>1095</v>
      </c>
      <c r="B92" s="18">
        <f t="shared" si="8"/>
        <v>5000000</v>
      </c>
      <c r="C92">
        <v>0</v>
      </c>
      <c r="D92" s="18">
        <v>600000</v>
      </c>
      <c r="E92" s="18">
        <v>5000000</v>
      </c>
      <c r="F92" s="7">
        <v>0.2</v>
      </c>
      <c r="G92" s="18">
        <v>-279000</v>
      </c>
      <c r="H92">
        <f t="shared" si="9"/>
        <v>25</v>
      </c>
    </row>
    <row r="93" spans="1:8" x14ac:dyDescent="0.4">
      <c r="A93" t="s">
        <v>1096</v>
      </c>
      <c r="B93" s="18">
        <f t="shared" si="8"/>
        <v>5000000</v>
      </c>
      <c r="C93">
        <v>0</v>
      </c>
      <c r="D93" s="18">
        <v>600000</v>
      </c>
      <c r="E93" s="18">
        <v>5000000</v>
      </c>
      <c r="F93" s="7">
        <v>0.2</v>
      </c>
      <c r="G93" s="18">
        <v>-279000</v>
      </c>
      <c r="H93">
        <f t="shared" si="9"/>
        <v>25</v>
      </c>
    </row>
    <row r="94" spans="1:8" x14ac:dyDescent="0.4">
      <c r="A94" t="s">
        <v>1097</v>
      </c>
      <c r="B94" s="18">
        <f t="shared" si="8"/>
        <v>5000000</v>
      </c>
      <c r="C94">
        <v>0</v>
      </c>
      <c r="D94" s="18">
        <v>600000</v>
      </c>
      <c r="E94" s="18">
        <v>5000000</v>
      </c>
      <c r="F94" s="7">
        <v>0.2</v>
      </c>
      <c r="G94" s="18">
        <v>-279000</v>
      </c>
      <c r="H94">
        <f t="shared" si="9"/>
        <v>25</v>
      </c>
    </row>
    <row r="95" spans="1:8" x14ac:dyDescent="0.4">
      <c r="A95" t="s">
        <v>1098</v>
      </c>
      <c r="B95" s="18">
        <f t="shared" si="8"/>
        <v>5000000</v>
      </c>
      <c r="C95">
        <v>0</v>
      </c>
      <c r="D95" s="18">
        <v>600000</v>
      </c>
      <c r="E95" s="18">
        <v>5000000</v>
      </c>
      <c r="F95" s="7">
        <v>0.2</v>
      </c>
      <c r="G95" s="18">
        <v>-279000</v>
      </c>
      <c r="H95">
        <f t="shared" si="9"/>
        <v>25</v>
      </c>
    </row>
    <row r="96" spans="1:8" x14ac:dyDescent="0.4">
      <c r="A96" t="s">
        <v>1099</v>
      </c>
      <c r="B96" s="18">
        <f t="shared" si="8"/>
        <v>5000000</v>
      </c>
      <c r="C96">
        <v>0</v>
      </c>
      <c r="D96" s="18">
        <v>600000</v>
      </c>
      <c r="E96" s="18">
        <v>5000000</v>
      </c>
      <c r="F96" s="7">
        <v>0.2</v>
      </c>
      <c r="G96" s="18">
        <v>-279000</v>
      </c>
      <c r="H96">
        <f t="shared" si="9"/>
        <v>25</v>
      </c>
    </row>
    <row r="97" spans="1:8" x14ac:dyDescent="0.4">
      <c r="A97" t="s">
        <v>1100</v>
      </c>
      <c r="B97" s="18">
        <f t="shared" si="8"/>
        <v>5000000</v>
      </c>
      <c r="C97">
        <v>0</v>
      </c>
      <c r="D97" s="18">
        <v>600000</v>
      </c>
      <c r="E97" s="18">
        <v>5000000</v>
      </c>
      <c r="F97" s="7">
        <v>0.2</v>
      </c>
      <c r="G97" s="18">
        <v>-279000</v>
      </c>
      <c r="H97">
        <f t="shared" si="9"/>
        <v>25</v>
      </c>
    </row>
    <row r="98" spans="1:8" x14ac:dyDescent="0.4">
      <c r="A98" t="s">
        <v>1101</v>
      </c>
      <c r="B98" s="18">
        <f t="shared" si="8"/>
        <v>5000000</v>
      </c>
      <c r="C98">
        <v>0</v>
      </c>
      <c r="D98" s="18">
        <v>600000</v>
      </c>
      <c r="E98" s="18">
        <v>5000000</v>
      </c>
      <c r="F98" s="7">
        <v>0.2</v>
      </c>
      <c r="G98" s="18">
        <v>-279000</v>
      </c>
      <c r="H98">
        <f t="shared" si="9"/>
        <v>25</v>
      </c>
    </row>
    <row r="99" spans="1:8" x14ac:dyDescent="0.4">
      <c r="A99" t="s">
        <v>1102</v>
      </c>
      <c r="B99" s="18">
        <f t="shared" si="8"/>
        <v>5000000</v>
      </c>
      <c r="C99">
        <v>0</v>
      </c>
      <c r="D99" s="18">
        <v>600000</v>
      </c>
      <c r="E99" s="18">
        <v>5000000</v>
      </c>
      <c r="F99" s="7">
        <v>0.2</v>
      </c>
      <c r="G99" s="18">
        <v>-279000</v>
      </c>
      <c r="H99">
        <f t="shared" si="9"/>
        <v>25</v>
      </c>
    </row>
    <row r="100" spans="1:8" x14ac:dyDescent="0.4">
      <c r="A100" t="s">
        <v>1103</v>
      </c>
      <c r="B100" s="18">
        <f t="shared" si="8"/>
        <v>5000000</v>
      </c>
      <c r="C100">
        <v>0</v>
      </c>
      <c r="D100" s="18">
        <v>600000</v>
      </c>
      <c r="E100" s="18">
        <v>5000000</v>
      </c>
      <c r="F100" s="7">
        <v>0.2</v>
      </c>
      <c r="G100" s="18">
        <v>-279000</v>
      </c>
      <c r="H100">
        <f t="shared" si="9"/>
        <v>25</v>
      </c>
    </row>
    <row r="101" spans="1:8" x14ac:dyDescent="0.4">
      <c r="A101" t="s">
        <v>1104</v>
      </c>
      <c r="B101" s="18">
        <f t="shared" si="8"/>
        <v>5000000</v>
      </c>
      <c r="C101">
        <v>0</v>
      </c>
      <c r="D101" s="18">
        <v>600000</v>
      </c>
      <c r="E101" s="18">
        <v>5000000</v>
      </c>
      <c r="F101" s="7">
        <v>0.2</v>
      </c>
      <c r="G101" s="18">
        <v>-279000</v>
      </c>
      <c r="H101">
        <f t="shared" si="9"/>
        <v>25</v>
      </c>
    </row>
    <row r="102" spans="1:8" x14ac:dyDescent="0.4">
      <c r="A102" t="s">
        <v>1105</v>
      </c>
      <c r="B102" s="18">
        <f t="shared" ref="B102:B133" si="10">mole/F102*(sf_TC/100)</f>
        <v>5000000</v>
      </c>
      <c r="C102">
        <v>0</v>
      </c>
      <c r="D102" s="18">
        <v>600000</v>
      </c>
      <c r="E102" s="18">
        <v>5000000</v>
      </c>
      <c r="F102" s="7">
        <v>0.2</v>
      </c>
      <c r="G102" s="18">
        <v>-279000</v>
      </c>
      <c r="H102">
        <f t="shared" ref="H102:H133" si="11">B102/(I_b*20)</f>
        <v>25</v>
      </c>
    </row>
    <row r="103" spans="1:8" x14ac:dyDescent="0.4">
      <c r="A103" t="s">
        <v>1106</v>
      </c>
      <c r="B103" s="18">
        <f t="shared" si="10"/>
        <v>5000000</v>
      </c>
      <c r="C103">
        <v>0</v>
      </c>
      <c r="D103" s="18">
        <v>600000</v>
      </c>
      <c r="E103" s="18">
        <v>5000000</v>
      </c>
      <c r="F103" s="7">
        <v>0.2</v>
      </c>
      <c r="G103" s="18">
        <v>-279000</v>
      </c>
      <c r="H103">
        <f t="shared" si="11"/>
        <v>25</v>
      </c>
    </row>
    <row r="104" spans="1:8" x14ac:dyDescent="0.4">
      <c r="A104" t="s">
        <v>1107</v>
      </c>
      <c r="B104" s="18">
        <f t="shared" si="10"/>
        <v>5000000</v>
      </c>
      <c r="C104">
        <v>0</v>
      </c>
      <c r="D104" s="18">
        <v>600000</v>
      </c>
      <c r="E104" s="18">
        <v>5000000</v>
      </c>
      <c r="F104" s="7">
        <v>0.2</v>
      </c>
      <c r="G104" s="18">
        <v>-279000</v>
      </c>
      <c r="H104">
        <f t="shared" si="11"/>
        <v>25</v>
      </c>
    </row>
    <row r="105" spans="1:8" x14ac:dyDescent="0.4">
      <c r="A105" t="s">
        <v>1108</v>
      </c>
      <c r="B105" s="18">
        <f t="shared" si="10"/>
        <v>5000000</v>
      </c>
      <c r="C105">
        <v>0</v>
      </c>
      <c r="D105" s="18">
        <v>600000</v>
      </c>
      <c r="E105" s="18">
        <v>5000000</v>
      </c>
      <c r="F105" s="7">
        <v>0.2</v>
      </c>
      <c r="G105" s="18">
        <v>-279000</v>
      </c>
      <c r="H105">
        <f t="shared" si="11"/>
        <v>25</v>
      </c>
    </row>
    <row r="106" spans="1:8" x14ac:dyDescent="0.4">
      <c r="A106" t="s">
        <v>1109</v>
      </c>
      <c r="B106" s="18">
        <f t="shared" si="10"/>
        <v>5000000</v>
      </c>
      <c r="C106">
        <v>0</v>
      </c>
      <c r="D106" s="18">
        <v>600000</v>
      </c>
      <c r="E106" s="18">
        <v>5000000</v>
      </c>
      <c r="F106" s="7">
        <v>0.2</v>
      </c>
      <c r="G106" s="18">
        <v>-279000</v>
      </c>
      <c r="H106">
        <f t="shared" si="11"/>
        <v>25</v>
      </c>
    </row>
    <row r="107" spans="1:8" x14ac:dyDescent="0.4">
      <c r="A107" t="s">
        <v>422</v>
      </c>
      <c r="B107" s="18">
        <f t="shared" si="10"/>
        <v>5000000</v>
      </c>
      <c r="C107">
        <v>0</v>
      </c>
      <c r="D107" s="18">
        <v>5630000</v>
      </c>
      <c r="E107" s="18">
        <v>20000000</v>
      </c>
      <c r="F107" s="7">
        <v>0.2</v>
      </c>
      <c r="G107" s="18">
        <v>-1880000</v>
      </c>
      <c r="H107">
        <f t="shared" si="11"/>
        <v>25</v>
      </c>
    </row>
    <row r="108" spans="1:8" x14ac:dyDescent="0.4">
      <c r="A108" t="s">
        <v>423</v>
      </c>
      <c r="B108" s="18">
        <f t="shared" si="10"/>
        <v>5000000</v>
      </c>
      <c r="C108">
        <v>0</v>
      </c>
      <c r="D108" s="18">
        <v>5630000</v>
      </c>
      <c r="E108" s="18">
        <v>20000000</v>
      </c>
      <c r="F108" s="7">
        <v>0.2</v>
      </c>
      <c r="G108" s="18">
        <v>-1880000</v>
      </c>
      <c r="H108">
        <f t="shared" si="11"/>
        <v>25</v>
      </c>
    </row>
    <row r="109" spans="1:8" x14ac:dyDescent="0.4">
      <c r="A109" t="s">
        <v>424</v>
      </c>
      <c r="B109" s="18">
        <f t="shared" si="10"/>
        <v>5000000</v>
      </c>
      <c r="C109">
        <v>0</v>
      </c>
      <c r="D109" s="18">
        <v>5630000</v>
      </c>
      <c r="E109" s="18">
        <v>20000000</v>
      </c>
      <c r="F109" s="7">
        <v>0.2</v>
      </c>
      <c r="G109" s="18">
        <v>-1880000</v>
      </c>
      <c r="H109">
        <f t="shared" si="11"/>
        <v>25</v>
      </c>
    </row>
    <row r="110" spans="1:8" x14ac:dyDescent="0.4">
      <c r="A110" t="s">
        <v>425</v>
      </c>
      <c r="B110" s="18">
        <f t="shared" si="10"/>
        <v>5000000</v>
      </c>
      <c r="C110">
        <v>0</v>
      </c>
      <c r="D110" s="18">
        <v>5630000</v>
      </c>
      <c r="E110" s="18">
        <v>20000000</v>
      </c>
      <c r="F110" s="7">
        <v>0.2</v>
      </c>
      <c r="G110" s="18">
        <v>-1880000</v>
      </c>
      <c r="H110">
        <f t="shared" si="11"/>
        <v>25</v>
      </c>
    </row>
    <row r="111" spans="1:8" x14ac:dyDescent="0.4">
      <c r="A111" t="s">
        <v>426</v>
      </c>
      <c r="B111" s="18">
        <f t="shared" si="10"/>
        <v>5000000</v>
      </c>
      <c r="C111">
        <v>0</v>
      </c>
      <c r="D111" s="18">
        <v>5630000</v>
      </c>
      <c r="E111" s="18">
        <v>20000000</v>
      </c>
      <c r="F111" s="7">
        <v>0.2</v>
      </c>
      <c r="G111" s="18">
        <v>-1880000</v>
      </c>
      <c r="H111">
        <f t="shared" si="11"/>
        <v>25</v>
      </c>
    </row>
    <row r="112" spans="1:8" x14ac:dyDescent="0.4">
      <c r="A112" t="s">
        <v>427</v>
      </c>
      <c r="B112" s="18">
        <f t="shared" si="10"/>
        <v>5000000</v>
      </c>
      <c r="C112">
        <v>0</v>
      </c>
      <c r="D112" s="18">
        <v>5630000</v>
      </c>
      <c r="E112" s="18">
        <v>20000000</v>
      </c>
      <c r="F112" s="7">
        <v>0.2</v>
      </c>
      <c r="G112" s="18">
        <v>-1880000</v>
      </c>
      <c r="H112">
        <f t="shared" si="11"/>
        <v>25</v>
      </c>
    </row>
    <row r="113" spans="1:8" x14ac:dyDescent="0.4">
      <c r="A113" t="s">
        <v>428</v>
      </c>
      <c r="B113" s="18">
        <f t="shared" si="10"/>
        <v>5000000</v>
      </c>
      <c r="C113">
        <v>0</v>
      </c>
      <c r="D113" s="18">
        <v>5630000</v>
      </c>
      <c r="E113" s="18">
        <v>20000000</v>
      </c>
      <c r="F113" s="7">
        <v>0.2</v>
      </c>
      <c r="G113" s="18">
        <v>-1880000</v>
      </c>
      <c r="H113">
        <f t="shared" si="11"/>
        <v>25</v>
      </c>
    </row>
    <row r="114" spans="1:8" x14ac:dyDescent="0.4">
      <c r="A114" t="s">
        <v>429</v>
      </c>
      <c r="B114" s="18">
        <f t="shared" si="10"/>
        <v>5000000</v>
      </c>
      <c r="C114">
        <v>0</v>
      </c>
      <c r="D114" s="18">
        <v>5630000</v>
      </c>
      <c r="E114" s="18">
        <v>20000000</v>
      </c>
      <c r="F114" s="7">
        <v>0.2</v>
      </c>
      <c r="G114" s="18">
        <v>-1880000</v>
      </c>
      <c r="H114">
        <f t="shared" si="11"/>
        <v>25</v>
      </c>
    </row>
    <row r="115" spans="1:8" x14ac:dyDescent="0.4">
      <c r="A115" t="s">
        <v>430</v>
      </c>
      <c r="B115" s="18">
        <f t="shared" si="10"/>
        <v>5000000</v>
      </c>
      <c r="C115">
        <v>0</v>
      </c>
      <c r="D115" s="18">
        <v>5630000</v>
      </c>
      <c r="E115" s="18">
        <v>20000000</v>
      </c>
      <c r="F115" s="7">
        <v>0.2</v>
      </c>
      <c r="G115" s="18">
        <v>-1880000</v>
      </c>
      <c r="H115">
        <f t="shared" si="11"/>
        <v>25</v>
      </c>
    </row>
    <row r="116" spans="1:8" x14ac:dyDescent="0.4">
      <c r="A116" t="s">
        <v>431</v>
      </c>
      <c r="B116" s="18">
        <f t="shared" si="10"/>
        <v>5000000</v>
      </c>
      <c r="C116">
        <v>0</v>
      </c>
      <c r="D116" s="18">
        <v>5630000</v>
      </c>
      <c r="E116" s="18">
        <v>20000000</v>
      </c>
      <c r="F116" s="7">
        <v>0.2</v>
      </c>
      <c r="G116" s="18">
        <v>-1880000</v>
      </c>
      <c r="H116">
        <f t="shared" si="11"/>
        <v>25</v>
      </c>
    </row>
    <row r="117" spans="1:8" x14ac:dyDescent="0.4">
      <c r="A117" t="s">
        <v>432</v>
      </c>
      <c r="B117" s="18">
        <f t="shared" si="10"/>
        <v>5000000</v>
      </c>
      <c r="C117">
        <v>0</v>
      </c>
      <c r="D117" s="18">
        <v>5630000</v>
      </c>
      <c r="E117" s="18">
        <v>20000000</v>
      </c>
      <c r="F117" s="7">
        <v>0.2</v>
      </c>
      <c r="G117" s="18">
        <v>-1880000</v>
      </c>
      <c r="H117">
        <f t="shared" si="11"/>
        <v>25</v>
      </c>
    </row>
    <row r="118" spans="1:8" x14ac:dyDescent="0.4">
      <c r="A118" t="s">
        <v>433</v>
      </c>
      <c r="B118" s="18">
        <f t="shared" si="10"/>
        <v>5000000</v>
      </c>
      <c r="C118">
        <v>0</v>
      </c>
      <c r="D118" s="18">
        <v>5630000</v>
      </c>
      <c r="E118" s="18">
        <v>20000000</v>
      </c>
      <c r="F118" s="7">
        <v>0.2</v>
      </c>
      <c r="G118" s="18">
        <v>-1880000</v>
      </c>
      <c r="H118">
        <f t="shared" si="11"/>
        <v>25</v>
      </c>
    </row>
    <row r="119" spans="1:8" x14ac:dyDescent="0.4">
      <c r="A119" t="s">
        <v>434</v>
      </c>
      <c r="B119" s="18">
        <f t="shared" si="10"/>
        <v>5000000</v>
      </c>
      <c r="C119">
        <v>0</v>
      </c>
      <c r="D119" s="18">
        <v>5630000</v>
      </c>
      <c r="E119" s="18">
        <v>20000000</v>
      </c>
      <c r="F119" s="7">
        <v>0.2</v>
      </c>
      <c r="G119" s="18">
        <v>-1880000</v>
      </c>
      <c r="H119">
        <f t="shared" si="11"/>
        <v>25</v>
      </c>
    </row>
    <row r="120" spans="1:8" x14ac:dyDescent="0.4">
      <c r="A120" t="s">
        <v>435</v>
      </c>
      <c r="B120" s="18">
        <f t="shared" si="10"/>
        <v>5000000</v>
      </c>
      <c r="C120">
        <v>0</v>
      </c>
      <c r="D120" s="18">
        <v>5630000</v>
      </c>
      <c r="E120" s="18">
        <v>20000000</v>
      </c>
      <c r="F120" s="7">
        <v>0.2</v>
      </c>
      <c r="G120" s="18">
        <v>-1880000</v>
      </c>
      <c r="H120">
        <f t="shared" si="11"/>
        <v>25</v>
      </c>
    </row>
    <row r="121" spans="1:8" x14ac:dyDescent="0.4">
      <c r="A121" t="s">
        <v>436</v>
      </c>
      <c r="B121" s="18">
        <f t="shared" si="10"/>
        <v>5000000</v>
      </c>
      <c r="C121">
        <v>0</v>
      </c>
      <c r="D121" s="18">
        <v>5630000</v>
      </c>
      <c r="E121" s="18">
        <v>20000000</v>
      </c>
      <c r="F121" s="7">
        <v>0.2</v>
      </c>
      <c r="G121" s="18">
        <v>-1880000</v>
      </c>
      <c r="H121">
        <f t="shared" si="11"/>
        <v>25</v>
      </c>
    </row>
    <row r="122" spans="1:8" x14ac:dyDescent="0.4">
      <c r="A122" t="s">
        <v>437</v>
      </c>
      <c r="B122" s="18">
        <f t="shared" si="10"/>
        <v>5000000</v>
      </c>
      <c r="C122">
        <v>0</v>
      </c>
      <c r="D122" s="18">
        <v>5630000</v>
      </c>
      <c r="E122" s="18">
        <v>20000000</v>
      </c>
      <c r="F122" s="7">
        <v>0.2</v>
      </c>
      <c r="G122" s="18">
        <v>-1880000</v>
      </c>
      <c r="H122">
        <f t="shared" si="11"/>
        <v>25</v>
      </c>
    </row>
    <row r="123" spans="1:8" x14ac:dyDescent="0.4">
      <c r="A123" t="s">
        <v>438</v>
      </c>
      <c r="B123" s="18">
        <f t="shared" si="10"/>
        <v>5000000</v>
      </c>
      <c r="C123">
        <v>0</v>
      </c>
      <c r="D123" s="18">
        <v>5630000</v>
      </c>
      <c r="E123" s="18">
        <v>20000000</v>
      </c>
      <c r="F123" s="7">
        <v>0.2</v>
      </c>
      <c r="G123" s="18">
        <v>-1880000</v>
      </c>
      <c r="H123">
        <f t="shared" si="11"/>
        <v>25</v>
      </c>
    </row>
    <row r="124" spans="1:8" x14ac:dyDescent="0.4">
      <c r="A124" t="s">
        <v>439</v>
      </c>
      <c r="B124" s="18">
        <f t="shared" si="10"/>
        <v>5000000</v>
      </c>
      <c r="C124">
        <v>0</v>
      </c>
      <c r="D124" s="18">
        <v>5630000</v>
      </c>
      <c r="E124" s="18">
        <v>20000000</v>
      </c>
      <c r="F124" s="7">
        <v>0.2</v>
      </c>
      <c r="G124" s="18">
        <v>-1880000</v>
      </c>
      <c r="H124">
        <f t="shared" si="11"/>
        <v>25</v>
      </c>
    </row>
    <row r="125" spans="1:8" x14ac:dyDescent="0.4">
      <c r="A125" t="s">
        <v>440</v>
      </c>
      <c r="B125" s="18">
        <f t="shared" si="10"/>
        <v>5000000</v>
      </c>
      <c r="C125">
        <v>0</v>
      </c>
      <c r="D125" s="18">
        <v>5630000</v>
      </c>
      <c r="E125" s="18">
        <v>20000000</v>
      </c>
      <c r="F125" s="7">
        <v>0.2</v>
      </c>
      <c r="G125" s="18">
        <v>-1880000</v>
      </c>
      <c r="H125">
        <f t="shared" si="11"/>
        <v>25</v>
      </c>
    </row>
    <row r="126" spans="1:8" x14ac:dyDescent="0.4">
      <c r="A126" t="s">
        <v>441</v>
      </c>
      <c r="B126" s="18">
        <f t="shared" si="10"/>
        <v>5000000</v>
      </c>
      <c r="C126">
        <v>0</v>
      </c>
      <c r="D126" s="18">
        <v>5630000</v>
      </c>
      <c r="E126" s="18">
        <v>20000000</v>
      </c>
      <c r="F126" s="7">
        <v>0.2</v>
      </c>
      <c r="G126" s="18">
        <v>-1880000</v>
      </c>
      <c r="H126">
        <f t="shared" si="11"/>
        <v>25</v>
      </c>
    </row>
    <row r="127" spans="1:8" x14ac:dyDescent="0.4">
      <c r="A127" t="s">
        <v>442</v>
      </c>
      <c r="B127" s="18">
        <f t="shared" si="10"/>
        <v>5000000</v>
      </c>
      <c r="C127">
        <v>0</v>
      </c>
      <c r="D127" s="18">
        <v>5630000</v>
      </c>
      <c r="E127" s="18">
        <v>20000000</v>
      </c>
      <c r="F127" s="7">
        <v>0.2</v>
      </c>
      <c r="G127" s="18">
        <v>-1880000</v>
      </c>
      <c r="H127">
        <f t="shared" si="11"/>
        <v>25</v>
      </c>
    </row>
    <row r="128" spans="1:8" x14ac:dyDescent="0.4">
      <c r="A128" t="s">
        <v>443</v>
      </c>
      <c r="B128" s="18">
        <f t="shared" si="10"/>
        <v>5000000</v>
      </c>
      <c r="C128">
        <v>0</v>
      </c>
      <c r="D128" s="18">
        <v>5630000</v>
      </c>
      <c r="E128" s="18">
        <v>20000000</v>
      </c>
      <c r="F128" s="7">
        <v>0.2</v>
      </c>
      <c r="G128" s="18">
        <v>-1880000</v>
      </c>
      <c r="H128">
        <f t="shared" si="11"/>
        <v>25</v>
      </c>
    </row>
    <row r="129" spans="1:8" x14ac:dyDescent="0.4">
      <c r="A129" t="s">
        <v>444</v>
      </c>
      <c r="B129" s="18">
        <f t="shared" si="10"/>
        <v>5000000</v>
      </c>
      <c r="C129">
        <v>0</v>
      </c>
      <c r="D129" s="18">
        <v>5630000</v>
      </c>
      <c r="E129" s="18">
        <v>20000000</v>
      </c>
      <c r="F129" s="7">
        <v>0.2</v>
      </c>
      <c r="G129" s="18">
        <v>-1880000</v>
      </c>
      <c r="H129">
        <f t="shared" si="11"/>
        <v>25</v>
      </c>
    </row>
    <row r="130" spans="1:8" x14ac:dyDescent="0.4">
      <c r="A130" t="s">
        <v>445</v>
      </c>
      <c r="B130" s="18">
        <f t="shared" si="10"/>
        <v>5000000</v>
      </c>
      <c r="C130">
        <v>0</v>
      </c>
      <c r="D130" s="18">
        <v>5630000</v>
      </c>
      <c r="E130" s="18">
        <v>20000000</v>
      </c>
      <c r="F130" s="7">
        <v>0.2</v>
      </c>
      <c r="G130" s="18">
        <v>-1880000</v>
      </c>
      <c r="H130">
        <f t="shared" si="11"/>
        <v>25</v>
      </c>
    </row>
    <row r="131" spans="1:8" x14ac:dyDescent="0.4">
      <c r="A131" t="s">
        <v>446</v>
      </c>
      <c r="B131" s="18">
        <f t="shared" si="10"/>
        <v>5000000</v>
      </c>
      <c r="C131">
        <v>0</v>
      </c>
      <c r="D131" s="18">
        <v>5630000</v>
      </c>
      <c r="E131" s="18">
        <v>20000000</v>
      </c>
      <c r="F131" s="7">
        <v>0.2</v>
      </c>
      <c r="G131" s="18">
        <v>-1880000</v>
      </c>
      <c r="H131">
        <f t="shared" si="11"/>
        <v>25</v>
      </c>
    </row>
    <row r="132" spans="1:8" x14ac:dyDescent="0.4">
      <c r="A132" t="s">
        <v>447</v>
      </c>
      <c r="B132" s="18">
        <f t="shared" si="10"/>
        <v>5000000</v>
      </c>
      <c r="C132">
        <v>0</v>
      </c>
      <c r="D132" s="18">
        <v>5630000</v>
      </c>
      <c r="E132" s="18">
        <v>20000000</v>
      </c>
      <c r="F132" s="7">
        <v>0.2</v>
      </c>
      <c r="G132" s="18">
        <v>-1880000</v>
      </c>
      <c r="H132">
        <f t="shared" si="11"/>
        <v>25</v>
      </c>
    </row>
    <row r="133" spans="1:8" x14ac:dyDescent="0.4">
      <c r="A133" t="s">
        <v>448</v>
      </c>
      <c r="B133" s="18">
        <f t="shared" si="10"/>
        <v>5000000</v>
      </c>
      <c r="C133">
        <v>0</v>
      </c>
      <c r="D133" s="18">
        <v>5630000</v>
      </c>
      <c r="E133" s="18">
        <v>20000000</v>
      </c>
      <c r="F133" s="7">
        <v>0.2</v>
      </c>
      <c r="G133" s="18">
        <v>-1880000</v>
      </c>
      <c r="H133">
        <f t="shared" si="11"/>
        <v>25</v>
      </c>
    </row>
    <row r="134" spans="1:8" x14ac:dyDescent="0.4">
      <c r="A134" t="s">
        <v>449</v>
      </c>
      <c r="B134" s="18">
        <f t="shared" ref="B134:B144" si="12">mole/F134*(sf_TC/100)</f>
        <v>5000000</v>
      </c>
      <c r="C134">
        <v>0</v>
      </c>
      <c r="D134" s="18">
        <v>5630000</v>
      </c>
      <c r="E134" s="18">
        <v>20000000</v>
      </c>
      <c r="F134" s="7">
        <v>0.2</v>
      </c>
      <c r="G134" s="18">
        <v>-1880000</v>
      </c>
      <c r="H134">
        <f t="shared" ref="H134:H144" si="13">B134/(I_b*20)</f>
        <v>25</v>
      </c>
    </row>
    <row r="135" spans="1:8" x14ac:dyDescent="0.4">
      <c r="A135" t="s">
        <v>450</v>
      </c>
      <c r="B135" s="18">
        <f t="shared" si="12"/>
        <v>5000000</v>
      </c>
      <c r="C135">
        <v>0</v>
      </c>
      <c r="D135" s="18">
        <v>5630000</v>
      </c>
      <c r="E135" s="18">
        <v>20000000</v>
      </c>
      <c r="F135" s="7">
        <v>0.2</v>
      </c>
      <c r="G135" s="18">
        <v>-1880000</v>
      </c>
      <c r="H135">
        <f t="shared" si="13"/>
        <v>25</v>
      </c>
    </row>
    <row r="136" spans="1:8" x14ac:dyDescent="0.4">
      <c r="A136" t="s">
        <v>451</v>
      </c>
      <c r="B136" s="18">
        <f t="shared" si="12"/>
        <v>5000000</v>
      </c>
      <c r="C136">
        <v>0</v>
      </c>
      <c r="D136" s="18">
        <v>5630000</v>
      </c>
      <c r="E136" s="18">
        <v>20000000</v>
      </c>
      <c r="F136" s="7">
        <v>0.2</v>
      </c>
      <c r="G136" s="18">
        <v>-1880000</v>
      </c>
      <c r="H136">
        <f t="shared" si="13"/>
        <v>25</v>
      </c>
    </row>
    <row r="137" spans="1:8" x14ac:dyDescent="0.4">
      <c r="A137" t="s">
        <v>452</v>
      </c>
      <c r="B137" s="18">
        <f t="shared" si="12"/>
        <v>5000000</v>
      </c>
      <c r="C137">
        <v>0</v>
      </c>
      <c r="D137" s="18">
        <v>5630000</v>
      </c>
      <c r="E137" s="18">
        <v>20000000</v>
      </c>
      <c r="F137" s="7">
        <v>0.2</v>
      </c>
      <c r="G137" s="18">
        <v>-1880000</v>
      </c>
      <c r="H137">
        <f t="shared" si="13"/>
        <v>25</v>
      </c>
    </row>
    <row r="138" spans="1:8" x14ac:dyDescent="0.4">
      <c r="A138" t="s">
        <v>453</v>
      </c>
      <c r="B138" s="18">
        <f t="shared" si="12"/>
        <v>5000000</v>
      </c>
      <c r="C138">
        <v>0</v>
      </c>
      <c r="D138" s="18">
        <v>5630000</v>
      </c>
      <c r="E138" s="18">
        <v>20000000</v>
      </c>
      <c r="F138" s="7">
        <v>0.2</v>
      </c>
      <c r="G138" s="18">
        <v>-1880000</v>
      </c>
      <c r="H138">
        <f t="shared" si="13"/>
        <v>25</v>
      </c>
    </row>
    <row r="139" spans="1:8" x14ac:dyDescent="0.4">
      <c r="A139" t="s">
        <v>454</v>
      </c>
      <c r="B139" s="18">
        <f t="shared" si="12"/>
        <v>5000000</v>
      </c>
      <c r="C139">
        <v>0</v>
      </c>
      <c r="D139" s="18">
        <v>5630000</v>
      </c>
      <c r="E139" s="18">
        <v>20000000</v>
      </c>
      <c r="F139" s="7">
        <v>0.2</v>
      </c>
      <c r="G139" s="18">
        <v>-1880000</v>
      </c>
      <c r="H139">
        <f t="shared" si="13"/>
        <v>25</v>
      </c>
    </row>
    <row r="140" spans="1:8" x14ac:dyDescent="0.4">
      <c r="A140" t="s">
        <v>455</v>
      </c>
      <c r="B140" s="18">
        <f t="shared" si="12"/>
        <v>5000000</v>
      </c>
      <c r="C140">
        <v>0</v>
      </c>
      <c r="D140" s="18">
        <v>5630000</v>
      </c>
      <c r="E140" s="18">
        <v>20000000</v>
      </c>
      <c r="F140" s="7">
        <v>0.2</v>
      </c>
      <c r="G140" s="18">
        <v>-1880000</v>
      </c>
      <c r="H140">
        <f t="shared" si="13"/>
        <v>25</v>
      </c>
    </row>
    <row r="141" spans="1:8" x14ac:dyDescent="0.4">
      <c r="A141" t="s">
        <v>456</v>
      </c>
      <c r="B141" s="18">
        <f t="shared" si="12"/>
        <v>5000000</v>
      </c>
      <c r="C141">
        <v>0</v>
      </c>
      <c r="D141" s="18">
        <v>5630000</v>
      </c>
      <c r="E141" s="18">
        <v>20000000</v>
      </c>
      <c r="F141" s="7">
        <v>0.2</v>
      </c>
      <c r="G141" s="18">
        <v>-1880000</v>
      </c>
      <c r="H141">
        <f t="shared" si="13"/>
        <v>25</v>
      </c>
    </row>
    <row r="142" spans="1:8" x14ac:dyDescent="0.4">
      <c r="A142" t="s">
        <v>457</v>
      </c>
      <c r="B142" s="18">
        <f t="shared" si="12"/>
        <v>5000000</v>
      </c>
      <c r="C142">
        <v>0</v>
      </c>
      <c r="D142" s="18">
        <v>5630000</v>
      </c>
      <c r="E142" s="18">
        <v>20000000</v>
      </c>
      <c r="F142" s="7">
        <v>0.2</v>
      </c>
      <c r="G142" s="18">
        <v>-1880000</v>
      </c>
      <c r="H142">
        <f t="shared" si="13"/>
        <v>25</v>
      </c>
    </row>
    <row r="143" spans="1:8" x14ac:dyDescent="0.4">
      <c r="A143" t="s">
        <v>458</v>
      </c>
      <c r="B143" s="18">
        <f t="shared" si="12"/>
        <v>5000000</v>
      </c>
      <c r="C143">
        <v>0</v>
      </c>
      <c r="D143" s="18">
        <v>5630000</v>
      </c>
      <c r="E143" s="18">
        <v>20000000</v>
      </c>
      <c r="F143" s="7">
        <v>0.2</v>
      </c>
      <c r="G143" s="18">
        <v>-1880000</v>
      </c>
      <c r="H143">
        <f t="shared" si="13"/>
        <v>25</v>
      </c>
    </row>
    <row r="144" spans="1:8" x14ac:dyDescent="0.4">
      <c r="A144" t="s">
        <v>459</v>
      </c>
      <c r="B144" s="18">
        <f t="shared" si="12"/>
        <v>5000000</v>
      </c>
      <c r="C144">
        <v>0</v>
      </c>
      <c r="D144" s="18">
        <v>5630000</v>
      </c>
      <c r="E144" s="18">
        <v>20000000</v>
      </c>
      <c r="F144" s="7">
        <v>0.2</v>
      </c>
      <c r="G144" s="18">
        <v>-1880000</v>
      </c>
      <c r="H144">
        <f t="shared" si="13"/>
        <v>25</v>
      </c>
    </row>
    <row r="145" spans="1:8" x14ac:dyDescent="0.4">
      <c r="F145" s="7"/>
    </row>
    <row r="146" spans="1:8" x14ac:dyDescent="0.4">
      <c r="A146" s="3" t="s">
        <v>47</v>
      </c>
      <c r="B146" s="3"/>
      <c r="C146" s="3"/>
      <c r="D146" s="3"/>
      <c r="E146" s="3"/>
      <c r="F146" s="3"/>
      <c r="G146" s="3"/>
      <c r="H146" s="1"/>
    </row>
    <row r="147" spans="1:8" x14ac:dyDescent="0.4">
      <c r="A147" s="1" t="s">
        <v>1</v>
      </c>
      <c r="B147" s="1" t="s">
        <v>2</v>
      </c>
      <c r="C147" s="1" t="s">
        <v>3</v>
      </c>
      <c r="D147" s="1" t="s">
        <v>4</v>
      </c>
      <c r="E147" s="1" t="s">
        <v>5</v>
      </c>
      <c r="F147" s="1" t="s">
        <v>6</v>
      </c>
      <c r="G147" s="1" t="s">
        <v>7</v>
      </c>
      <c r="H147" s="1" t="s">
        <v>211</v>
      </c>
    </row>
    <row r="148" spans="1:8" x14ac:dyDescent="0.4">
      <c r="A148" t="s">
        <v>48</v>
      </c>
      <c r="B148" s="18">
        <f t="shared" ref="B148:B179" si="14">mole/F148*(sf_TC/100)</f>
        <v>10000000</v>
      </c>
      <c r="C148">
        <v>0</v>
      </c>
      <c r="D148" s="18">
        <v>0</v>
      </c>
      <c r="E148" s="18">
        <v>18000</v>
      </c>
      <c r="F148" s="7">
        <v>0.1</v>
      </c>
      <c r="G148" s="18">
        <v>764</v>
      </c>
      <c r="H148">
        <f t="shared" ref="H148:H179" si="15">B148/(I_b*20)</f>
        <v>50</v>
      </c>
    </row>
    <row r="149" spans="1:8" x14ac:dyDescent="0.4">
      <c r="A149" t="s">
        <v>49</v>
      </c>
      <c r="B149" s="18">
        <f t="shared" si="14"/>
        <v>1000000</v>
      </c>
      <c r="C149">
        <v>0</v>
      </c>
      <c r="D149" s="18">
        <v>0</v>
      </c>
      <c r="E149" s="18">
        <v>10000</v>
      </c>
      <c r="F149" s="7">
        <v>1</v>
      </c>
      <c r="G149" s="18">
        <v>1640</v>
      </c>
      <c r="H149">
        <f t="shared" si="15"/>
        <v>5</v>
      </c>
    </row>
    <row r="150" spans="1:8" x14ac:dyDescent="0.4">
      <c r="A150" t="s">
        <v>50</v>
      </c>
      <c r="B150" s="18">
        <f t="shared" si="14"/>
        <v>50000000</v>
      </c>
      <c r="C150">
        <v>0</v>
      </c>
      <c r="D150" s="18">
        <v>0</v>
      </c>
      <c r="E150" s="18">
        <v>1000</v>
      </c>
      <c r="F150" s="7">
        <v>0.02</v>
      </c>
      <c r="G150" s="18">
        <v>11500</v>
      </c>
      <c r="H150">
        <f t="shared" si="15"/>
        <v>250</v>
      </c>
    </row>
    <row r="151" spans="1:8" x14ac:dyDescent="0.4">
      <c r="A151" t="s">
        <v>51</v>
      </c>
      <c r="B151" s="18">
        <f t="shared" si="14"/>
        <v>4000000</v>
      </c>
      <c r="C151">
        <v>0</v>
      </c>
      <c r="D151" s="18">
        <v>0</v>
      </c>
      <c r="E151" s="18">
        <v>11000</v>
      </c>
      <c r="F151" s="7">
        <v>0.25</v>
      </c>
      <c r="G151" s="18">
        <v>3630</v>
      </c>
      <c r="H151">
        <f t="shared" si="15"/>
        <v>20</v>
      </c>
    </row>
    <row r="152" spans="1:8" x14ac:dyDescent="0.4">
      <c r="A152" t="s">
        <v>52</v>
      </c>
      <c r="B152" s="18">
        <f t="shared" si="14"/>
        <v>2000000</v>
      </c>
      <c r="C152">
        <v>0</v>
      </c>
      <c r="D152" s="18">
        <v>0</v>
      </c>
      <c r="E152" s="18">
        <v>10000</v>
      </c>
      <c r="F152" s="7">
        <v>0.5</v>
      </c>
      <c r="G152" s="18">
        <v>7490</v>
      </c>
      <c r="H152">
        <f t="shared" si="15"/>
        <v>10</v>
      </c>
    </row>
    <row r="153" spans="1:8" x14ac:dyDescent="0.4">
      <c r="A153" t="s">
        <v>53</v>
      </c>
      <c r="B153" s="18">
        <f t="shared" si="14"/>
        <v>1000000</v>
      </c>
      <c r="C153">
        <v>0</v>
      </c>
      <c r="D153" s="18">
        <v>0</v>
      </c>
      <c r="E153" s="18">
        <v>5000</v>
      </c>
      <c r="F153" s="7">
        <v>1</v>
      </c>
      <c r="G153" s="18">
        <v>7770</v>
      </c>
      <c r="H153">
        <f t="shared" si="15"/>
        <v>5</v>
      </c>
    </row>
    <row r="154" spans="1:8" x14ac:dyDescent="0.4">
      <c r="A154" t="s">
        <v>54</v>
      </c>
      <c r="B154" s="18">
        <f t="shared" si="14"/>
        <v>1000000</v>
      </c>
      <c r="C154">
        <v>0</v>
      </c>
      <c r="D154" s="18">
        <v>0</v>
      </c>
      <c r="E154" s="18">
        <v>5000</v>
      </c>
      <c r="F154" s="7">
        <v>1</v>
      </c>
      <c r="G154" s="18">
        <v>6840</v>
      </c>
      <c r="H154">
        <f t="shared" si="15"/>
        <v>5</v>
      </c>
    </row>
    <row r="155" spans="1:8" x14ac:dyDescent="0.4">
      <c r="A155" t="s">
        <v>55</v>
      </c>
      <c r="B155" s="18">
        <f t="shared" si="14"/>
        <v>1000000</v>
      </c>
      <c r="C155">
        <v>0</v>
      </c>
      <c r="D155" s="18">
        <v>0</v>
      </c>
      <c r="E155" s="18">
        <v>5000</v>
      </c>
      <c r="F155" s="7">
        <v>1</v>
      </c>
      <c r="G155" s="18">
        <v>5300</v>
      </c>
      <c r="H155">
        <f t="shared" si="15"/>
        <v>5</v>
      </c>
    </row>
    <row r="156" spans="1:8" x14ac:dyDescent="0.4">
      <c r="A156" t="s">
        <v>56</v>
      </c>
      <c r="B156" s="18">
        <f t="shared" si="14"/>
        <v>1000000</v>
      </c>
      <c r="C156">
        <v>0</v>
      </c>
      <c r="D156" s="18">
        <v>0</v>
      </c>
      <c r="E156" s="18">
        <v>5000</v>
      </c>
      <c r="F156" s="7">
        <v>1</v>
      </c>
      <c r="G156" s="18">
        <v>6580</v>
      </c>
      <c r="H156">
        <f t="shared" si="15"/>
        <v>5</v>
      </c>
    </row>
    <row r="157" spans="1:8" x14ac:dyDescent="0.4">
      <c r="A157" t="s">
        <v>57</v>
      </c>
      <c r="B157" s="18">
        <f t="shared" si="14"/>
        <v>1000000</v>
      </c>
      <c r="C157">
        <v>0</v>
      </c>
      <c r="D157" s="18">
        <v>0</v>
      </c>
      <c r="E157" s="18">
        <v>5000</v>
      </c>
      <c r="F157" s="7">
        <v>1</v>
      </c>
      <c r="G157" s="18">
        <v>5650</v>
      </c>
      <c r="H157">
        <f t="shared" si="15"/>
        <v>5</v>
      </c>
    </row>
    <row r="158" spans="1:8" x14ac:dyDescent="0.4">
      <c r="A158" t="s">
        <v>58</v>
      </c>
      <c r="B158" s="18">
        <f t="shared" si="14"/>
        <v>1000000</v>
      </c>
      <c r="C158">
        <v>0</v>
      </c>
      <c r="D158" s="18">
        <v>0</v>
      </c>
      <c r="E158" s="18">
        <v>5000</v>
      </c>
      <c r="F158" s="7">
        <v>1</v>
      </c>
      <c r="G158" s="18">
        <v>6310</v>
      </c>
      <c r="H158">
        <f t="shared" si="15"/>
        <v>5</v>
      </c>
    </row>
    <row r="159" spans="1:8" x14ac:dyDescent="0.4">
      <c r="A159" t="s">
        <v>59</v>
      </c>
      <c r="B159" s="18">
        <f t="shared" si="14"/>
        <v>1000000</v>
      </c>
      <c r="C159">
        <v>0</v>
      </c>
      <c r="D159" s="18">
        <v>0</v>
      </c>
      <c r="E159" s="18">
        <v>5000</v>
      </c>
      <c r="F159" s="7">
        <v>1</v>
      </c>
      <c r="G159" s="18">
        <v>5540</v>
      </c>
      <c r="H159">
        <f t="shared" si="15"/>
        <v>5</v>
      </c>
    </row>
    <row r="160" spans="1:8" x14ac:dyDescent="0.4">
      <c r="A160" t="s">
        <v>60</v>
      </c>
      <c r="B160" s="18">
        <f t="shared" si="14"/>
        <v>1000000</v>
      </c>
      <c r="C160">
        <v>0</v>
      </c>
      <c r="D160" s="18">
        <v>0</v>
      </c>
      <c r="E160" s="18">
        <v>5000</v>
      </c>
      <c r="F160" s="7">
        <v>1</v>
      </c>
      <c r="G160" s="18">
        <v>5540</v>
      </c>
      <c r="H160">
        <f t="shared" si="15"/>
        <v>5</v>
      </c>
    </row>
    <row r="161" spans="1:8" x14ac:dyDescent="0.4">
      <c r="A161" t="s">
        <v>61</v>
      </c>
      <c r="B161" s="18">
        <f t="shared" si="14"/>
        <v>5000000</v>
      </c>
      <c r="C161">
        <v>0</v>
      </c>
      <c r="D161" s="18">
        <v>2800</v>
      </c>
      <c r="E161" s="18">
        <v>4000</v>
      </c>
      <c r="F161" s="7">
        <v>0.2</v>
      </c>
      <c r="G161" s="18">
        <v>1530</v>
      </c>
      <c r="H161">
        <f t="shared" si="15"/>
        <v>25</v>
      </c>
    </row>
    <row r="162" spans="1:8" x14ac:dyDescent="0.4">
      <c r="A162" t="s">
        <v>62</v>
      </c>
      <c r="B162" s="18">
        <f t="shared" si="14"/>
        <v>5000000</v>
      </c>
      <c r="C162">
        <v>0</v>
      </c>
      <c r="D162" s="18">
        <v>3000</v>
      </c>
      <c r="E162" s="18">
        <v>21000</v>
      </c>
      <c r="F162" s="7">
        <v>0.2</v>
      </c>
      <c r="G162" s="18">
        <v>-1470</v>
      </c>
      <c r="H162">
        <f t="shared" si="15"/>
        <v>25</v>
      </c>
    </row>
    <row r="163" spans="1:8" x14ac:dyDescent="0.4">
      <c r="A163" t="s">
        <v>63</v>
      </c>
      <c r="B163" s="18">
        <f t="shared" si="14"/>
        <v>5000000</v>
      </c>
      <c r="C163">
        <v>0</v>
      </c>
      <c r="D163" s="18">
        <v>3000</v>
      </c>
      <c r="E163" s="18">
        <v>13500</v>
      </c>
      <c r="F163" s="7">
        <v>0.2</v>
      </c>
      <c r="G163" s="18">
        <v>2650</v>
      </c>
      <c r="H163">
        <f t="shared" si="15"/>
        <v>25</v>
      </c>
    </row>
    <row r="164" spans="1:8" x14ac:dyDescent="0.4">
      <c r="A164" t="s">
        <v>64</v>
      </c>
      <c r="B164" s="18">
        <f t="shared" si="14"/>
        <v>10000000</v>
      </c>
      <c r="C164">
        <v>0</v>
      </c>
      <c r="D164" s="18">
        <v>3000</v>
      </c>
      <c r="E164" s="18">
        <v>15500</v>
      </c>
      <c r="F164" s="7">
        <v>0.1</v>
      </c>
      <c r="G164" s="18">
        <v>2050</v>
      </c>
      <c r="H164">
        <f t="shared" si="15"/>
        <v>50</v>
      </c>
    </row>
    <row r="165" spans="1:8" x14ac:dyDescent="0.4">
      <c r="A165" t="s">
        <v>65</v>
      </c>
      <c r="B165" s="18">
        <f t="shared" si="14"/>
        <v>2000000</v>
      </c>
      <c r="C165">
        <v>0</v>
      </c>
      <c r="D165" s="18">
        <v>4000</v>
      </c>
      <c r="E165" s="18">
        <v>14000</v>
      </c>
      <c r="F165" s="7">
        <v>0.5</v>
      </c>
      <c r="G165" s="18">
        <v>-1570</v>
      </c>
      <c r="H165">
        <f t="shared" si="15"/>
        <v>10</v>
      </c>
    </row>
    <row r="166" spans="1:8" x14ac:dyDescent="0.4">
      <c r="A166" t="s">
        <v>66</v>
      </c>
      <c r="B166" s="18">
        <f t="shared" si="14"/>
        <v>4000000</v>
      </c>
      <c r="C166">
        <v>0</v>
      </c>
      <c r="D166" s="18">
        <v>5000</v>
      </c>
      <c r="E166" s="18">
        <v>17000</v>
      </c>
      <c r="F166" s="7">
        <v>0.25</v>
      </c>
      <c r="G166" s="18">
        <v>-2470</v>
      </c>
      <c r="H166">
        <f t="shared" si="15"/>
        <v>20</v>
      </c>
    </row>
    <row r="167" spans="1:8" x14ac:dyDescent="0.4">
      <c r="A167" t="s">
        <v>67</v>
      </c>
      <c r="B167" s="18">
        <f t="shared" si="14"/>
        <v>4000000</v>
      </c>
      <c r="C167">
        <v>0</v>
      </c>
      <c r="D167" s="18">
        <v>5500</v>
      </c>
      <c r="E167" s="18">
        <v>13000</v>
      </c>
      <c r="F167" s="7">
        <v>0.25</v>
      </c>
      <c r="G167" s="18">
        <v>3860</v>
      </c>
      <c r="H167">
        <f t="shared" si="15"/>
        <v>20</v>
      </c>
    </row>
    <row r="168" spans="1:8" x14ac:dyDescent="0.4">
      <c r="A168" t="s">
        <v>68</v>
      </c>
      <c r="B168" s="18">
        <f t="shared" si="14"/>
        <v>50000000</v>
      </c>
      <c r="C168">
        <v>0</v>
      </c>
      <c r="D168" s="18">
        <v>6000</v>
      </c>
      <c r="E168" s="18">
        <v>16000</v>
      </c>
      <c r="F168" s="7">
        <v>0.02</v>
      </c>
      <c r="G168" s="18">
        <v>-4010</v>
      </c>
      <c r="H168">
        <f t="shared" si="15"/>
        <v>250</v>
      </c>
    </row>
    <row r="169" spans="1:8" x14ac:dyDescent="0.4">
      <c r="A169" t="s">
        <v>69</v>
      </c>
      <c r="B169" s="18">
        <f t="shared" si="14"/>
        <v>1000000</v>
      </c>
      <c r="C169">
        <v>0</v>
      </c>
      <c r="D169" s="18">
        <v>8500</v>
      </c>
      <c r="E169" s="18">
        <v>13000</v>
      </c>
      <c r="F169" s="7">
        <v>1</v>
      </c>
      <c r="G169" s="18">
        <v>-6310</v>
      </c>
      <c r="H169">
        <f t="shared" si="15"/>
        <v>5</v>
      </c>
    </row>
    <row r="170" spans="1:8" x14ac:dyDescent="0.4">
      <c r="A170" t="s">
        <v>70</v>
      </c>
      <c r="B170" s="18">
        <f t="shared" si="14"/>
        <v>1000000</v>
      </c>
      <c r="C170">
        <v>0</v>
      </c>
      <c r="D170" s="18">
        <v>9000</v>
      </c>
      <c r="E170" s="18">
        <v>19500</v>
      </c>
      <c r="F170" s="7">
        <v>1</v>
      </c>
      <c r="G170" s="18">
        <v>-7770</v>
      </c>
      <c r="H170">
        <f t="shared" si="15"/>
        <v>5</v>
      </c>
    </row>
    <row r="171" spans="1:8" x14ac:dyDescent="0.4">
      <c r="A171" t="s">
        <v>71</v>
      </c>
      <c r="B171" s="18">
        <f t="shared" si="14"/>
        <v>3125000</v>
      </c>
      <c r="C171">
        <v>0</v>
      </c>
      <c r="D171" s="18">
        <v>9000</v>
      </c>
      <c r="E171" s="18">
        <v>14000</v>
      </c>
      <c r="F171" s="7">
        <v>0.32</v>
      </c>
      <c r="G171" s="18">
        <v>-5650</v>
      </c>
      <c r="H171">
        <f t="shared" si="15"/>
        <v>15.625</v>
      </c>
    </row>
    <row r="172" spans="1:8" x14ac:dyDescent="0.4">
      <c r="A172" t="s">
        <v>72</v>
      </c>
      <c r="B172" s="18">
        <f t="shared" si="14"/>
        <v>1000000</v>
      </c>
      <c r="C172">
        <v>0</v>
      </c>
      <c r="D172" s="18">
        <v>9000</v>
      </c>
      <c r="E172" s="18">
        <v>14500</v>
      </c>
      <c r="F172" s="7">
        <v>1</v>
      </c>
      <c r="G172" s="18">
        <v>-5540</v>
      </c>
      <c r="H172">
        <f t="shared" si="15"/>
        <v>5</v>
      </c>
    </row>
    <row r="173" spans="1:8" x14ac:dyDescent="0.4">
      <c r="A173" t="s">
        <v>73</v>
      </c>
      <c r="B173" s="18">
        <f t="shared" si="14"/>
        <v>25000000</v>
      </c>
      <c r="C173">
        <v>0</v>
      </c>
      <c r="D173" s="18">
        <v>10000</v>
      </c>
      <c r="E173" s="18">
        <v>18000</v>
      </c>
      <c r="F173" s="7">
        <v>0.04</v>
      </c>
      <c r="G173" s="18">
        <v>-6260</v>
      </c>
      <c r="H173">
        <f t="shared" si="15"/>
        <v>125</v>
      </c>
    </row>
    <row r="174" spans="1:8" x14ac:dyDescent="0.4">
      <c r="A174" t="s">
        <v>74</v>
      </c>
      <c r="B174" s="18">
        <f t="shared" si="14"/>
        <v>1000000</v>
      </c>
      <c r="C174">
        <v>0</v>
      </c>
      <c r="D174" s="18">
        <v>10000</v>
      </c>
      <c r="E174" s="18">
        <v>14000</v>
      </c>
      <c r="F174" s="7">
        <v>1</v>
      </c>
      <c r="G174" s="18">
        <v>-6580</v>
      </c>
      <c r="H174">
        <f t="shared" si="15"/>
        <v>5</v>
      </c>
    </row>
    <row r="175" spans="1:8" x14ac:dyDescent="0.4">
      <c r="A175" t="s">
        <v>75</v>
      </c>
      <c r="B175" s="18">
        <f t="shared" si="14"/>
        <v>6250000</v>
      </c>
      <c r="C175">
        <v>0</v>
      </c>
      <c r="D175" s="18">
        <v>11000</v>
      </c>
      <c r="E175" s="18">
        <v>54000</v>
      </c>
      <c r="F175" s="7">
        <v>0.16</v>
      </c>
      <c r="G175" s="18">
        <v>-2230</v>
      </c>
      <c r="H175">
        <f t="shared" si="15"/>
        <v>31.25</v>
      </c>
    </row>
    <row r="176" spans="1:8" x14ac:dyDescent="0.4">
      <c r="A176" t="s">
        <v>76</v>
      </c>
      <c r="B176" s="18">
        <f t="shared" si="14"/>
        <v>10000000</v>
      </c>
      <c r="C176">
        <v>0</v>
      </c>
      <c r="D176" s="18">
        <v>11000</v>
      </c>
      <c r="E176" s="18">
        <v>22000</v>
      </c>
      <c r="F176" s="7">
        <v>0.1</v>
      </c>
      <c r="G176" s="18">
        <v>324</v>
      </c>
      <c r="H176">
        <f t="shared" si="15"/>
        <v>50</v>
      </c>
    </row>
    <row r="177" spans="1:8" x14ac:dyDescent="0.4">
      <c r="A177" t="s">
        <v>77</v>
      </c>
      <c r="B177" s="18">
        <f t="shared" si="14"/>
        <v>1000000</v>
      </c>
      <c r="C177">
        <v>0</v>
      </c>
      <c r="D177" s="18">
        <v>11000</v>
      </c>
      <c r="E177" s="18">
        <v>15000</v>
      </c>
      <c r="F177" s="7">
        <v>1</v>
      </c>
      <c r="G177" s="18">
        <v>-6120</v>
      </c>
      <c r="H177">
        <f t="shared" si="15"/>
        <v>5</v>
      </c>
    </row>
    <row r="178" spans="1:8" x14ac:dyDescent="0.4">
      <c r="A178" t="s">
        <v>78</v>
      </c>
      <c r="B178" s="18">
        <f t="shared" si="14"/>
        <v>6250000</v>
      </c>
      <c r="C178">
        <v>0</v>
      </c>
      <c r="D178" s="18">
        <v>12000</v>
      </c>
      <c r="E178" s="18">
        <v>20000</v>
      </c>
      <c r="F178" s="7">
        <v>0.16</v>
      </c>
      <c r="G178" s="18">
        <v>-1210</v>
      </c>
      <c r="H178">
        <f t="shared" si="15"/>
        <v>31.25</v>
      </c>
    </row>
    <row r="179" spans="1:8" x14ac:dyDescent="0.4">
      <c r="A179" t="s">
        <v>79</v>
      </c>
      <c r="B179" s="18">
        <f t="shared" si="14"/>
        <v>25000000</v>
      </c>
      <c r="C179">
        <v>0</v>
      </c>
      <c r="D179" s="18">
        <v>12500</v>
      </c>
      <c r="E179" s="18">
        <v>20000</v>
      </c>
      <c r="F179" s="7">
        <v>0.04</v>
      </c>
      <c r="G179" s="18">
        <v>-9560</v>
      </c>
      <c r="H179">
        <f t="shared" si="15"/>
        <v>125</v>
      </c>
    </row>
    <row r="180" spans="1:8" x14ac:dyDescent="0.4">
      <c r="A180" t="s">
        <v>80</v>
      </c>
      <c r="B180" s="18">
        <f t="shared" ref="B180:B210" si="16">mole/F180*(sf_TC/100)</f>
        <v>1250000</v>
      </c>
      <c r="C180">
        <v>0</v>
      </c>
      <c r="D180" s="18">
        <v>13000</v>
      </c>
      <c r="E180" s="18">
        <v>30000</v>
      </c>
      <c r="F180" s="7">
        <v>0.8</v>
      </c>
      <c r="G180" s="18">
        <v>-8270</v>
      </c>
      <c r="H180">
        <f t="shared" ref="H180:H210" si="17">B180/(I_b*20)</f>
        <v>6.25</v>
      </c>
    </row>
    <row r="181" spans="1:8" x14ac:dyDescent="0.4">
      <c r="A181" t="s">
        <v>81</v>
      </c>
      <c r="B181" s="18">
        <f t="shared" si="16"/>
        <v>10000000</v>
      </c>
      <c r="C181">
        <v>0</v>
      </c>
      <c r="D181" s="18">
        <v>14000</v>
      </c>
      <c r="E181" s="18">
        <v>32000</v>
      </c>
      <c r="F181" s="7">
        <v>0.1</v>
      </c>
      <c r="G181" s="18">
        <v>-9320</v>
      </c>
      <c r="H181">
        <f t="shared" si="17"/>
        <v>50</v>
      </c>
    </row>
    <row r="182" spans="1:8" x14ac:dyDescent="0.4">
      <c r="A182" t="s">
        <v>82</v>
      </c>
      <c r="B182" s="18">
        <f t="shared" si="16"/>
        <v>1000000</v>
      </c>
      <c r="C182">
        <v>0</v>
      </c>
      <c r="D182" s="18">
        <v>14000</v>
      </c>
      <c r="E182" s="18">
        <v>24000</v>
      </c>
      <c r="F182" s="7">
        <v>1</v>
      </c>
      <c r="G182" s="18">
        <v>-8330</v>
      </c>
      <c r="H182">
        <f t="shared" si="17"/>
        <v>5</v>
      </c>
    </row>
    <row r="183" spans="1:8" x14ac:dyDescent="0.4">
      <c r="A183" t="s">
        <v>83</v>
      </c>
      <c r="B183" s="18">
        <f t="shared" si="16"/>
        <v>1000000</v>
      </c>
      <c r="C183">
        <v>0</v>
      </c>
      <c r="D183" s="18">
        <v>14000</v>
      </c>
      <c r="E183" s="18">
        <v>24500</v>
      </c>
      <c r="F183" s="7">
        <v>1</v>
      </c>
      <c r="G183" s="18">
        <v>-7710</v>
      </c>
      <c r="H183">
        <f t="shared" si="17"/>
        <v>5</v>
      </c>
    </row>
    <row r="184" spans="1:8" x14ac:dyDescent="0.4">
      <c r="A184" t="s">
        <v>84</v>
      </c>
      <c r="B184" s="18">
        <f t="shared" si="16"/>
        <v>15625000</v>
      </c>
      <c r="C184">
        <v>0</v>
      </c>
      <c r="D184" s="18">
        <v>15000</v>
      </c>
      <c r="E184" s="18">
        <v>26000</v>
      </c>
      <c r="F184" s="7">
        <v>6.4000000000000001E-2</v>
      </c>
      <c r="G184" s="18">
        <v>-10400</v>
      </c>
      <c r="H184">
        <f t="shared" si="17"/>
        <v>78.125</v>
      </c>
    </row>
    <row r="185" spans="1:8" x14ac:dyDescent="0.4">
      <c r="A185" t="s">
        <v>85</v>
      </c>
      <c r="B185" s="18">
        <f t="shared" si="16"/>
        <v>10000000</v>
      </c>
      <c r="C185">
        <v>0</v>
      </c>
      <c r="D185" s="18">
        <v>15000</v>
      </c>
      <c r="E185" s="18">
        <v>32000</v>
      </c>
      <c r="F185" s="7">
        <v>0.1</v>
      </c>
      <c r="G185" s="18">
        <v>-7220</v>
      </c>
      <c r="H185">
        <f t="shared" si="17"/>
        <v>50</v>
      </c>
    </row>
    <row r="186" spans="1:8" x14ac:dyDescent="0.4">
      <c r="A186" t="s">
        <v>1293</v>
      </c>
      <c r="B186" s="18">
        <f t="shared" si="16"/>
        <v>25000000</v>
      </c>
      <c r="C186">
        <v>0</v>
      </c>
      <c r="D186" s="18">
        <v>15000</v>
      </c>
      <c r="E186" s="18">
        <v>20000</v>
      </c>
      <c r="F186" s="7">
        <v>0.04</v>
      </c>
      <c r="G186" s="18">
        <v>1760</v>
      </c>
      <c r="H186">
        <f t="shared" si="17"/>
        <v>125</v>
      </c>
    </row>
    <row r="187" spans="1:8" x14ac:dyDescent="0.4">
      <c r="A187" t="s">
        <v>86</v>
      </c>
      <c r="B187" s="18">
        <f t="shared" si="16"/>
        <v>20000000</v>
      </c>
      <c r="C187">
        <v>0</v>
      </c>
      <c r="D187" s="18">
        <v>17000</v>
      </c>
      <c r="E187" s="18">
        <v>29000</v>
      </c>
      <c r="F187" s="7">
        <v>0.05</v>
      </c>
      <c r="G187" s="18">
        <v>-11500</v>
      </c>
      <c r="H187">
        <f t="shared" si="17"/>
        <v>100</v>
      </c>
    </row>
    <row r="188" spans="1:8" x14ac:dyDescent="0.4">
      <c r="A188" t="s">
        <v>87</v>
      </c>
      <c r="B188" s="18">
        <f t="shared" si="16"/>
        <v>4000000</v>
      </c>
      <c r="C188">
        <v>0</v>
      </c>
      <c r="D188" s="18">
        <v>17000</v>
      </c>
      <c r="E188" s="18">
        <v>28000</v>
      </c>
      <c r="F188" s="7">
        <v>0.25</v>
      </c>
      <c r="G188" s="18">
        <v>-12400</v>
      </c>
      <c r="H188">
        <f t="shared" si="17"/>
        <v>20</v>
      </c>
    </row>
    <row r="189" spans="1:8" x14ac:dyDescent="0.4">
      <c r="A189" t="s">
        <v>88</v>
      </c>
      <c r="B189" s="18">
        <f t="shared" si="16"/>
        <v>1600000</v>
      </c>
      <c r="C189">
        <v>0</v>
      </c>
      <c r="D189" s="18">
        <v>17000</v>
      </c>
      <c r="E189" s="18">
        <v>23500</v>
      </c>
      <c r="F189" s="7">
        <v>0.625</v>
      </c>
      <c r="G189" s="18">
        <v>-12100</v>
      </c>
      <c r="H189">
        <f t="shared" si="17"/>
        <v>8</v>
      </c>
    </row>
    <row r="190" spans="1:8" x14ac:dyDescent="0.4">
      <c r="A190" t="s">
        <v>89</v>
      </c>
      <c r="B190" s="18">
        <f t="shared" si="16"/>
        <v>1250000</v>
      </c>
      <c r="C190">
        <v>0</v>
      </c>
      <c r="D190" s="18">
        <v>18000</v>
      </c>
      <c r="E190" s="18">
        <v>27000</v>
      </c>
      <c r="F190" s="7">
        <v>0.8</v>
      </c>
      <c r="G190" s="18">
        <v>-11600</v>
      </c>
      <c r="H190">
        <f t="shared" si="17"/>
        <v>6.25</v>
      </c>
    </row>
    <row r="191" spans="1:8" x14ac:dyDescent="0.4">
      <c r="A191" t="s">
        <v>1294</v>
      </c>
      <c r="B191" s="18">
        <f t="shared" si="16"/>
        <v>62500000</v>
      </c>
      <c r="C191">
        <v>0</v>
      </c>
      <c r="D191" s="18">
        <v>18200</v>
      </c>
      <c r="E191" s="18">
        <v>34000</v>
      </c>
      <c r="F191" s="7">
        <v>1.6E-2</v>
      </c>
      <c r="G191" s="18">
        <v>-393</v>
      </c>
      <c r="H191">
        <f t="shared" si="17"/>
        <v>312.5</v>
      </c>
    </row>
    <row r="192" spans="1:8" x14ac:dyDescent="0.4">
      <c r="A192" t="s">
        <v>90</v>
      </c>
      <c r="B192" s="18">
        <f t="shared" si="16"/>
        <v>1250000</v>
      </c>
      <c r="C192">
        <v>0</v>
      </c>
      <c r="D192" s="18">
        <v>19000</v>
      </c>
      <c r="E192" s="18">
        <v>30000</v>
      </c>
      <c r="F192" s="7">
        <v>0.8</v>
      </c>
      <c r="G192" s="18">
        <v>-6400</v>
      </c>
      <c r="H192">
        <f t="shared" si="17"/>
        <v>6.25</v>
      </c>
    </row>
    <row r="193" spans="1:8" x14ac:dyDescent="0.4">
      <c r="A193" t="s">
        <v>91</v>
      </c>
      <c r="B193" s="18">
        <f t="shared" si="16"/>
        <v>40000000</v>
      </c>
      <c r="C193">
        <v>0</v>
      </c>
      <c r="D193" s="18">
        <v>19000</v>
      </c>
      <c r="E193" s="18">
        <v>27000</v>
      </c>
      <c r="F193" s="7">
        <v>2.5000000000000001E-2</v>
      </c>
      <c r="G193" s="18">
        <v>8730</v>
      </c>
      <c r="H193">
        <f t="shared" si="17"/>
        <v>200</v>
      </c>
    </row>
    <row r="194" spans="1:8" x14ac:dyDescent="0.4">
      <c r="A194" t="s">
        <v>92</v>
      </c>
      <c r="B194" s="18">
        <f t="shared" si="16"/>
        <v>20000000</v>
      </c>
      <c r="C194">
        <v>0</v>
      </c>
      <c r="D194" s="18">
        <v>20800</v>
      </c>
      <c r="E194" s="18">
        <v>34000</v>
      </c>
      <c r="F194" s="7">
        <v>0.05</v>
      </c>
      <c r="G194" s="18">
        <v>-140</v>
      </c>
      <c r="H194">
        <f t="shared" si="17"/>
        <v>100</v>
      </c>
    </row>
    <row r="195" spans="1:8" x14ac:dyDescent="0.4">
      <c r="A195" t="s">
        <v>93</v>
      </c>
      <c r="B195" s="18">
        <f t="shared" si="16"/>
        <v>1600000</v>
      </c>
      <c r="C195">
        <v>0</v>
      </c>
      <c r="D195" s="18">
        <v>21000</v>
      </c>
      <c r="E195" s="18">
        <v>36000</v>
      </c>
      <c r="F195" s="7">
        <v>0.625</v>
      </c>
      <c r="G195" s="18">
        <v>-6130</v>
      </c>
      <c r="H195">
        <f t="shared" si="17"/>
        <v>8</v>
      </c>
    </row>
    <row r="196" spans="1:8" x14ac:dyDescent="0.4">
      <c r="A196" t="s">
        <v>94</v>
      </c>
      <c r="B196" s="18">
        <f t="shared" si="16"/>
        <v>50000000</v>
      </c>
      <c r="C196">
        <v>0</v>
      </c>
      <c r="D196" s="18">
        <v>22000</v>
      </c>
      <c r="E196" s="18">
        <v>35000</v>
      </c>
      <c r="F196" s="7">
        <v>0.02</v>
      </c>
      <c r="G196" s="18">
        <v>-12900</v>
      </c>
      <c r="H196">
        <f t="shared" si="17"/>
        <v>250</v>
      </c>
    </row>
    <row r="197" spans="1:8" x14ac:dyDescent="0.4">
      <c r="A197" t="s">
        <v>95</v>
      </c>
      <c r="B197" s="18">
        <f t="shared" si="16"/>
        <v>8000000</v>
      </c>
      <c r="C197">
        <v>0</v>
      </c>
      <c r="D197" s="18">
        <v>22000</v>
      </c>
      <c r="E197" s="18">
        <v>34000</v>
      </c>
      <c r="F197" s="7">
        <v>0.125</v>
      </c>
      <c r="G197" s="18">
        <v>-1930</v>
      </c>
      <c r="H197">
        <f t="shared" si="17"/>
        <v>40</v>
      </c>
    </row>
    <row r="198" spans="1:8" x14ac:dyDescent="0.4">
      <c r="A198" t="s">
        <v>96</v>
      </c>
      <c r="B198" s="18">
        <f t="shared" si="16"/>
        <v>1000000</v>
      </c>
      <c r="C198">
        <v>0</v>
      </c>
      <c r="D198" s="18">
        <v>26000</v>
      </c>
      <c r="E198" s="18">
        <v>34000</v>
      </c>
      <c r="F198" s="7">
        <v>1</v>
      </c>
      <c r="G198" s="18">
        <v>-17800</v>
      </c>
      <c r="H198">
        <f t="shared" si="17"/>
        <v>5</v>
      </c>
    </row>
    <row r="199" spans="1:8" x14ac:dyDescent="0.4">
      <c r="A199" t="s">
        <v>97</v>
      </c>
      <c r="B199" s="18">
        <f t="shared" si="16"/>
        <v>1600000</v>
      </c>
      <c r="C199">
        <v>0</v>
      </c>
      <c r="D199" s="18">
        <v>29000</v>
      </c>
      <c r="E199" s="18">
        <v>46000</v>
      </c>
      <c r="F199" s="7">
        <v>0.625</v>
      </c>
      <c r="G199" s="18">
        <v>-9300</v>
      </c>
      <c r="H199">
        <f t="shared" si="17"/>
        <v>8</v>
      </c>
    </row>
    <row r="200" spans="1:8" x14ac:dyDescent="0.4">
      <c r="A200" t="s">
        <v>98</v>
      </c>
      <c r="B200" s="18">
        <f t="shared" si="16"/>
        <v>5000000</v>
      </c>
      <c r="C200">
        <v>0</v>
      </c>
      <c r="D200" s="18">
        <v>29500</v>
      </c>
      <c r="E200" s="18">
        <v>60000</v>
      </c>
      <c r="F200" s="7">
        <v>0.2</v>
      </c>
      <c r="G200" s="18">
        <v>-13700</v>
      </c>
      <c r="H200">
        <f t="shared" si="17"/>
        <v>25</v>
      </c>
    </row>
    <row r="201" spans="1:8" x14ac:dyDescent="0.4">
      <c r="A201" t="s">
        <v>99</v>
      </c>
      <c r="B201" s="18">
        <f t="shared" si="16"/>
        <v>2500000</v>
      </c>
      <c r="C201">
        <v>0</v>
      </c>
      <c r="D201" s="18">
        <v>30000</v>
      </c>
      <c r="E201" s="18">
        <v>50000</v>
      </c>
      <c r="F201" s="7">
        <v>0.4</v>
      </c>
      <c r="G201" s="18">
        <v>-8930</v>
      </c>
      <c r="H201">
        <f t="shared" si="17"/>
        <v>12.5</v>
      </c>
    </row>
    <row r="202" spans="1:8" x14ac:dyDescent="0.4">
      <c r="A202" t="s">
        <v>100</v>
      </c>
      <c r="B202" s="18">
        <f t="shared" si="16"/>
        <v>3125000</v>
      </c>
      <c r="C202">
        <v>0</v>
      </c>
      <c r="D202" s="18">
        <v>30000</v>
      </c>
      <c r="E202" s="18">
        <v>49000</v>
      </c>
      <c r="F202" s="7">
        <v>0.32</v>
      </c>
      <c r="G202" s="18">
        <v>-4840</v>
      </c>
      <c r="H202">
        <f t="shared" si="17"/>
        <v>15.625</v>
      </c>
    </row>
    <row r="203" spans="1:8" x14ac:dyDescent="0.4">
      <c r="A203" t="s">
        <v>101</v>
      </c>
      <c r="B203" s="18">
        <f t="shared" si="16"/>
        <v>10000000</v>
      </c>
      <c r="C203">
        <v>0</v>
      </c>
      <c r="D203" s="18">
        <v>30000</v>
      </c>
      <c r="E203" s="18">
        <v>60000</v>
      </c>
      <c r="F203" s="7">
        <v>0.1</v>
      </c>
      <c r="G203" s="18">
        <v>-10700</v>
      </c>
      <c r="H203">
        <f t="shared" si="17"/>
        <v>50</v>
      </c>
    </row>
    <row r="204" spans="1:8" x14ac:dyDescent="0.4">
      <c r="A204" t="s">
        <v>102</v>
      </c>
      <c r="B204" s="18">
        <f t="shared" si="16"/>
        <v>20000000</v>
      </c>
      <c r="C204">
        <v>0</v>
      </c>
      <c r="D204" s="18">
        <v>30000</v>
      </c>
      <c r="E204" s="18">
        <v>45000</v>
      </c>
      <c r="F204" s="7">
        <v>0.05</v>
      </c>
      <c r="G204" s="18">
        <v>967</v>
      </c>
      <c r="H204">
        <f t="shared" si="17"/>
        <v>100</v>
      </c>
    </row>
    <row r="205" spans="1:8" x14ac:dyDescent="0.4">
      <c r="A205" t="s">
        <v>103</v>
      </c>
      <c r="B205" s="18">
        <f t="shared" si="16"/>
        <v>4000000</v>
      </c>
      <c r="C205">
        <v>0</v>
      </c>
      <c r="D205" s="18">
        <v>35000</v>
      </c>
      <c r="E205" s="18">
        <v>60000</v>
      </c>
      <c r="F205" s="7">
        <v>0.25</v>
      </c>
      <c r="G205" s="18">
        <v>-21900</v>
      </c>
      <c r="H205">
        <f t="shared" si="17"/>
        <v>20</v>
      </c>
    </row>
    <row r="206" spans="1:8" x14ac:dyDescent="0.4">
      <c r="A206" t="s">
        <v>1024</v>
      </c>
      <c r="B206" s="18">
        <f t="shared" si="16"/>
        <v>50000000</v>
      </c>
      <c r="C206">
        <v>0</v>
      </c>
      <c r="D206" s="18">
        <v>40000</v>
      </c>
      <c r="E206" s="18">
        <v>60000</v>
      </c>
      <c r="F206" s="7">
        <v>0.02</v>
      </c>
      <c r="G206" s="18">
        <v>-20600</v>
      </c>
      <c r="H206">
        <f t="shared" si="17"/>
        <v>250</v>
      </c>
    </row>
    <row r="207" spans="1:8" x14ac:dyDescent="0.4">
      <c r="A207" t="s">
        <v>1025</v>
      </c>
      <c r="B207" s="18">
        <f t="shared" si="16"/>
        <v>20000000</v>
      </c>
      <c r="C207">
        <v>0</v>
      </c>
      <c r="D207" s="18">
        <v>44000</v>
      </c>
      <c r="E207" s="18">
        <v>80000</v>
      </c>
      <c r="F207" s="7">
        <v>0.05</v>
      </c>
      <c r="G207" s="18">
        <v>-43100</v>
      </c>
      <c r="H207">
        <f t="shared" si="17"/>
        <v>100</v>
      </c>
    </row>
    <row r="208" spans="1:8" x14ac:dyDescent="0.4">
      <c r="A208" t="s">
        <v>104</v>
      </c>
      <c r="B208" s="18">
        <f t="shared" si="16"/>
        <v>1000000</v>
      </c>
      <c r="C208">
        <v>0</v>
      </c>
      <c r="D208" s="18">
        <v>60000</v>
      </c>
      <c r="E208" s="18">
        <v>100000</v>
      </c>
      <c r="F208" s="7">
        <v>1</v>
      </c>
      <c r="G208" s="18">
        <v>0</v>
      </c>
      <c r="H208">
        <f t="shared" si="17"/>
        <v>5</v>
      </c>
    </row>
    <row r="209" spans="1:8" x14ac:dyDescent="0.4">
      <c r="A209" t="s">
        <v>105</v>
      </c>
      <c r="B209" s="18">
        <f t="shared" si="16"/>
        <v>5000000</v>
      </c>
      <c r="C209">
        <v>0</v>
      </c>
      <c r="D209" s="18">
        <v>70000</v>
      </c>
      <c r="E209" s="18">
        <v>150000</v>
      </c>
      <c r="F209" s="7">
        <v>0.2</v>
      </c>
      <c r="G209" s="18">
        <v>-2680</v>
      </c>
      <c r="H209">
        <f t="shared" si="17"/>
        <v>25</v>
      </c>
    </row>
    <row r="210" spans="1:8" x14ac:dyDescent="0.4">
      <c r="A210" t="s">
        <v>1026</v>
      </c>
      <c r="B210" s="18">
        <f t="shared" si="16"/>
        <v>31250000</v>
      </c>
      <c r="C210">
        <v>0</v>
      </c>
      <c r="D210" s="18">
        <v>105000</v>
      </c>
      <c r="E210" s="18">
        <v>150000</v>
      </c>
      <c r="F210" s="7">
        <v>3.2000000000000001E-2</v>
      </c>
      <c r="G210" s="18">
        <v>-46800</v>
      </c>
      <c r="H210">
        <f t="shared" si="17"/>
        <v>156.25</v>
      </c>
    </row>
    <row r="213" spans="1:8" x14ac:dyDescent="0.4">
      <c r="A213" s="3" t="s">
        <v>106</v>
      </c>
      <c r="B213" s="3"/>
      <c r="C213" s="3"/>
      <c r="D213" s="3"/>
      <c r="E213" s="3"/>
      <c r="F213" s="3"/>
      <c r="G213" s="3"/>
      <c r="H213" s="1"/>
    </row>
    <row r="214" spans="1:8" x14ac:dyDescent="0.4">
      <c r="A214" s="1" t="s">
        <v>1</v>
      </c>
      <c r="B214" s="1" t="s">
        <v>2</v>
      </c>
      <c r="C214" s="1" t="s">
        <v>3</v>
      </c>
      <c r="D214" s="1" t="s">
        <v>4</v>
      </c>
      <c r="E214" s="1" t="s">
        <v>5</v>
      </c>
      <c r="F214" s="1" t="s">
        <v>6</v>
      </c>
      <c r="G214" s="1" t="s">
        <v>7</v>
      </c>
      <c r="H214" s="1" t="s">
        <v>211</v>
      </c>
    </row>
    <row r="215" spans="1:8" x14ac:dyDescent="0.4">
      <c r="A215" t="s">
        <v>107</v>
      </c>
      <c r="B215" s="18">
        <f t="shared" ref="B215:B241" si="18">mole/F215*(sf_TC/100)</f>
        <v>50000000</v>
      </c>
      <c r="C215">
        <v>0</v>
      </c>
      <c r="D215" s="18">
        <v>2500</v>
      </c>
      <c r="E215" s="18">
        <v>14000</v>
      </c>
      <c r="F215" s="7">
        <v>0.02</v>
      </c>
      <c r="G215" s="18">
        <v>-2230</v>
      </c>
      <c r="H215">
        <f t="shared" ref="H215:H241" si="19">B215/(I_b*20)</f>
        <v>250</v>
      </c>
    </row>
    <row r="216" spans="1:8" x14ac:dyDescent="0.4">
      <c r="A216" t="s">
        <v>108</v>
      </c>
      <c r="B216" s="18">
        <f t="shared" si="18"/>
        <v>50000000</v>
      </c>
      <c r="C216">
        <v>0</v>
      </c>
      <c r="D216" s="18">
        <v>5500</v>
      </c>
      <c r="E216" s="18">
        <v>17000</v>
      </c>
      <c r="F216" s="7">
        <v>0.02</v>
      </c>
      <c r="G216" s="18">
        <v>-3700</v>
      </c>
      <c r="H216">
        <f t="shared" si="19"/>
        <v>250</v>
      </c>
    </row>
    <row r="217" spans="1:8" x14ac:dyDescent="0.4">
      <c r="A217" t="s">
        <v>109</v>
      </c>
      <c r="B217" s="18">
        <f t="shared" si="18"/>
        <v>50000000</v>
      </c>
      <c r="C217">
        <v>0</v>
      </c>
      <c r="D217" s="18">
        <v>9000</v>
      </c>
      <c r="E217" s="18">
        <v>36000</v>
      </c>
      <c r="F217" s="7">
        <v>0.02</v>
      </c>
      <c r="G217" s="18">
        <v>-7720</v>
      </c>
      <c r="H217">
        <f t="shared" si="19"/>
        <v>250</v>
      </c>
    </row>
    <row r="218" spans="1:8" x14ac:dyDescent="0.4">
      <c r="A218" t="s">
        <v>110</v>
      </c>
      <c r="B218" s="18">
        <f t="shared" si="18"/>
        <v>1000000</v>
      </c>
      <c r="C218">
        <v>0</v>
      </c>
      <c r="D218" s="18">
        <v>9750</v>
      </c>
      <c r="E218" s="18">
        <v>14500</v>
      </c>
      <c r="F218" s="7">
        <v>1</v>
      </c>
      <c r="G218" s="18">
        <v>-6580</v>
      </c>
      <c r="H218">
        <f t="shared" si="19"/>
        <v>5</v>
      </c>
    </row>
    <row r="219" spans="1:8" x14ac:dyDescent="0.4">
      <c r="A219" t="s">
        <v>111</v>
      </c>
      <c r="B219" s="18">
        <f t="shared" si="18"/>
        <v>2500000</v>
      </c>
      <c r="C219">
        <v>0</v>
      </c>
      <c r="D219" s="18">
        <v>10000</v>
      </c>
      <c r="E219" s="18">
        <v>13500</v>
      </c>
      <c r="F219" s="7">
        <v>0.4</v>
      </c>
      <c r="G219" s="18">
        <v>-5650</v>
      </c>
      <c r="H219">
        <f t="shared" si="19"/>
        <v>12.5</v>
      </c>
    </row>
    <row r="220" spans="1:8" x14ac:dyDescent="0.4">
      <c r="A220" t="s">
        <v>112</v>
      </c>
      <c r="B220" s="18">
        <f t="shared" si="18"/>
        <v>1000000</v>
      </c>
      <c r="C220">
        <v>0</v>
      </c>
      <c r="D220" s="18">
        <v>10000</v>
      </c>
      <c r="E220" s="18">
        <v>12500</v>
      </c>
      <c r="F220" s="7">
        <v>1</v>
      </c>
      <c r="G220" s="18">
        <v>-6360</v>
      </c>
      <c r="H220">
        <f t="shared" si="19"/>
        <v>5</v>
      </c>
    </row>
    <row r="221" spans="1:8" x14ac:dyDescent="0.4">
      <c r="A221" t="s">
        <v>113</v>
      </c>
      <c r="B221" s="18">
        <f t="shared" si="18"/>
        <v>4000000</v>
      </c>
      <c r="C221">
        <v>0</v>
      </c>
      <c r="D221" s="18">
        <v>11000</v>
      </c>
      <c r="E221" s="18">
        <v>16500</v>
      </c>
      <c r="F221" s="7">
        <v>0.25</v>
      </c>
      <c r="G221" s="18">
        <v>1660</v>
      </c>
      <c r="H221">
        <f t="shared" si="19"/>
        <v>20</v>
      </c>
    </row>
    <row r="222" spans="1:8" x14ac:dyDescent="0.4">
      <c r="A222" t="s">
        <v>114</v>
      </c>
      <c r="B222" s="18">
        <f t="shared" si="18"/>
        <v>25000000</v>
      </c>
      <c r="C222">
        <v>0</v>
      </c>
      <c r="D222" s="18">
        <v>11500</v>
      </c>
      <c r="E222" s="18">
        <v>19000</v>
      </c>
      <c r="F222" s="7">
        <v>0.04</v>
      </c>
      <c r="G222" s="18">
        <v>-8350</v>
      </c>
      <c r="H222">
        <f t="shared" si="19"/>
        <v>125</v>
      </c>
    </row>
    <row r="223" spans="1:8" x14ac:dyDescent="0.4">
      <c r="A223" t="s">
        <v>115</v>
      </c>
      <c r="B223" s="18">
        <f t="shared" si="18"/>
        <v>2000000</v>
      </c>
      <c r="C223">
        <v>0</v>
      </c>
      <c r="D223" s="18">
        <v>12000</v>
      </c>
      <c r="E223" s="18">
        <v>16000</v>
      </c>
      <c r="F223" s="7">
        <v>0.5</v>
      </c>
      <c r="G223" s="18">
        <v>-7770</v>
      </c>
      <c r="H223">
        <f t="shared" si="19"/>
        <v>10</v>
      </c>
    </row>
    <row r="224" spans="1:8" x14ac:dyDescent="0.4">
      <c r="A224" t="s">
        <v>116</v>
      </c>
      <c r="B224" s="18">
        <f t="shared" si="18"/>
        <v>2000000</v>
      </c>
      <c r="C224">
        <v>0</v>
      </c>
      <c r="D224" s="18">
        <v>12000</v>
      </c>
      <c r="E224" s="18">
        <v>15000</v>
      </c>
      <c r="F224" s="7">
        <v>0.5</v>
      </c>
      <c r="G224" s="18">
        <v>-11200</v>
      </c>
      <c r="H224">
        <f t="shared" si="19"/>
        <v>10</v>
      </c>
    </row>
    <row r="225" spans="1:8" x14ac:dyDescent="0.4">
      <c r="A225" t="s">
        <v>117</v>
      </c>
      <c r="B225" s="18">
        <f t="shared" si="18"/>
        <v>50000000</v>
      </c>
      <c r="C225">
        <v>0</v>
      </c>
      <c r="D225" s="18">
        <v>13000</v>
      </c>
      <c r="E225" s="18">
        <v>21000</v>
      </c>
      <c r="F225" s="7">
        <v>0.02</v>
      </c>
      <c r="G225" s="18">
        <v>-1930</v>
      </c>
      <c r="H225">
        <f t="shared" si="19"/>
        <v>250</v>
      </c>
    </row>
    <row r="226" spans="1:8" x14ac:dyDescent="0.4">
      <c r="A226" t="s">
        <v>118</v>
      </c>
      <c r="B226" s="18">
        <f t="shared" si="18"/>
        <v>3125000</v>
      </c>
      <c r="C226">
        <v>0</v>
      </c>
      <c r="D226" s="18">
        <v>13500</v>
      </c>
      <c r="E226" s="18">
        <v>18000</v>
      </c>
      <c r="F226" s="7">
        <v>0.32</v>
      </c>
      <c r="G226" s="18">
        <v>-12100</v>
      </c>
      <c r="H226">
        <f t="shared" si="19"/>
        <v>15.625</v>
      </c>
    </row>
    <row r="227" spans="1:8" x14ac:dyDescent="0.4">
      <c r="A227" t="s">
        <v>119</v>
      </c>
      <c r="B227" s="18">
        <f t="shared" si="18"/>
        <v>8000000</v>
      </c>
      <c r="C227">
        <v>0</v>
      </c>
      <c r="D227" s="18">
        <v>14500</v>
      </c>
      <c r="E227" s="18">
        <v>21000</v>
      </c>
      <c r="F227" s="7">
        <v>0.125</v>
      </c>
      <c r="G227" s="18">
        <v>-10200</v>
      </c>
      <c r="H227">
        <f t="shared" si="19"/>
        <v>40</v>
      </c>
    </row>
    <row r="228" spans="1:8" x14ac:dyDescent="0.4">
      <c r="A228" t="s">
        <v>120</v>
      </c>
      <c r="B228" s="18">
        <f t="shared" si="18"/>
        <v>62500000</v>
      </c>
      <c r="C228">
        <v>0</v>
      </c>
      <c r="D228" s="18">
        <v>16000</v>
      </c>
      <c r="E228" s="18">
        <v>23000</v>
      </c>
      <c r="F228" s="7">
        <v>1.6E-2</v>
      </c>
      <c r="G228" s="18">
        <v>-7070</v>
      </c>
      <c r="H228">
        <f t="shared" si="19"/>
        <v>312.5</v>
      </c>
    </row>
    <row r="229" spans="1:8" x14ac:dyDescent="0.4">
      <c r="A229" t="s">
        <v>121</v>
      </c>
      <c r="B229" s="18">
        <f t="shared" si="18"/>
        <v>31250000</v>
      </c>
      <c r="C229">
        <v>0</v>
      </c>
      <c r="D229" s="18">
        <v>17500</v>
      </c>
      <c r="E229" s="18">
        <v>23000</v>
      </c>
      <c r="F229" s="7">
        <v>3.2000000000000001E-2</v>
      </c>
      <c r="G229" s="18">
        <v>-8270</v>
      </c>
      <c r="H229">
        <f t="shared" si="19"/>
        <v>156.25</v>
      </c>
    </row>
    <row r="230" spans="1:8" x14ac:dyDescent="0.4">
      <c r="A230" t="s">
        <v>122</v>
      </c>
      <c r="B230" s="18">
        <f t="shared" si="18"/>
        <v>12500000</v>
      </c>
      <c r="C230">
        <v>0</v>
      </c>
      <c r="D230" s="18">
        <v>18000</v>
      </c>
      <c r="E230" s="18">
        <v>23000</v>
      </c>
      <c r="F230" s="7">
        <v>0.08</v>
      </c>
      <c r="G230" s="18">
        <v>-11600</v>
      </c>
      <c r="H230">
        <f t="shared" si="19"/>
        <v>62.5</v>
      </c>
    </row>
    <row r="231" spans="1:8" x14ac:dyDescent="0.4">
      <c r="A231" t="s">
        <v>123</v>
      </c>
      <c r="B231" s="18">
        <f t="shared" si="18"/>
        <v>20000000</v>
      </c>
      <c r="C231">
        <v>0</v>
      </c>
      <c r="D231" s="18">
        <v>18000</v>
      </c>
      <c r="E231" s="18">
        <v>22000</v>
      </c>
      <c r="F231" s="7">
        <v>0.05</v>
      </c>
      <c r="G231" s="18">
        <v>-8330</v>
      </c>
      <c r="H231">
        <f t="shared" si="19"/>
        <v>100</v>
      </c>
    </row>
    <row r="232" spans="1:8" x14ac:dyDescent="0.4">
      <c r="A232" t="s">
        <v>124</v>
      </c>
      <c r="B232" s="18">
        <f t="shared" si="18"/>
        <v>50000000</v>
      </c>
      <c r="C232">
        <v>0</v>
      </c>
      <c r="D232" s="18">
        <v>18500</v>
      </c>
      <c r="E232" s="18">
        <v>24000</v>
      </c>
      <c r="F232" s="7">
        <v>0.02</v>
      </c>
      <c r="G232" s="18">
        <v>-7250</v>
      </c>
      <c r="H232">
        <f t="shared" si="19"/>
        <v>250</v>
      </c>
    </row>
    <row r="233" spans="1:8" x14ac:dyDescent="0.4">
      <c r="A233" t="s">
        <v>1027</v>
      </c>
      <c r="B233" s="18">
        <f t="shared" si="18"/>
        <v>50000000</v>
      </c>
      <c r="C233">
        <v>0</v>
      </c>
      <c r="D233" s="18">
        <v>18500</v>
      </c>
      <c r="E233" s="18">
        <v>25500</v>
      </c>
      <c r="F233" s="7">
        <v>0.02</v>
      </c>
      <c r="G233" s="18">
        <v>-15800</v>
      </c>
      <c r="H233">
        <f t="shared" si="19"/>
        <v>250</v>
      </c>
    </row>
    <row r="234" spans="1:8" x14ac:dyDescent="0.4">
      <c r="A234" t="s">
        <v>125</v>
      </c>
      <c r="B234" s="18">
        <f t="shared" si="18"/>
        <v>20000000</v>
      </c>
      <c r="C234">
        <v>0</v>
      </c>
      <c r="D234" s="18">
        <v>19500</v>
      </c>
      <c r="E234" s="18">
        <v>27000</v>
      </c>
      <c r="F234" s="7">
        <v>0.05</v>
      </c>
      <c r="G234" s="18">
        <v>-16700</v>
      </c>
      <c r="H234">
        <f t="shared" si="19"/>
        <v>100</v>
      </c>
    </row>
    <row r="235" spans="1:8" x14ac:dyDescent="0.4">
      <c r="A235" t="s">
        <v>126</v>
      </c>
      <c r="B235" s="18">
        <f t="shared" si="18"/>
        <v>50000000</v>
      </c>
      <c r="C235">
        <v>0</v>
      </c>
      <c r="D235" s="18">
        <v>20000</v>
      </c>
      <c r="E235" s="18">
        <v>27000</v>
      </c>
      <c r="F235" s="7">
        <v>0.02</v>
      </c>
      <c r="G235" s="18">
        <v>-12500</v>
      </c>
      <c r="H235">
        <f t="shared" si="19"/>
        <v>250</v>
      </c>
    </row>
    <row r="236" spans="1:8" x14ac:dyDescent="0.4">
      <c r="A236" t="s">
        <v>127</v>
      </c>
      <c r="B236" s="18">
        <f t="shared" si="18"/>
        <v>25000000</v>
      </c>
      <c r="C236">
        <v>0</v>
      </c>
      <c r="D236" s="18">
        <v>21000</v>
      </c>
      <c r="E236" s="18">
        <v>28000</v>
      </c>
      <c r="F236" s="7">
        <v>0.04</v>
      </c>
      <c r="G236" s="18">
        <v>-18400</v>
      </c>
      <c r="H236">
        <f t="shared" si="19"/>
        <v>125</v>
      </c>
    </row>
    <row r="237" spans="1:8" x14ac:dyDescent="0.4">
      <c r="A237" t="s">
        <v>128</v>
      </c>
      <c r="B237" s="18">
        <f t="shared" si="18"/>
        <v>50000000</v>
      </c>
      <c r="C237">
        <v>0</v>
      </c>
      <c r="D237" s="18">
        <v>24500</v>
      </c>
      <c r="E237" s="18">
        <v>30500</v>
      </c>
      <c r="F237" s="7">
        <v>0.02</v>
      </c>
      <c r="G237" s="18">
        <v>-17400</v>
      </c>
      <c r="H237">
        <f t="shared" si="19"/>
        <v>250</v>
      </c>
    </row>
    <row r="238" spans="1:8" x14ac:dyDescent="0.4">
      <c r="A238" t="s">
        <v>129</v>
      </c>
      <c r="B238" s="18">
        <f t="shared" si="18"/>
        <v>50000000</v>
      </c>
      <c r="C238">
        <v>0</v>
      </c>
      <c r="D238" s="18">
        <v>26000</v>
      </c>
      <c r="E238" s="18">
        <v>46000</v>
      </c>
      <c r="F238" s="7">
        <v>0.02</v>
      </c>
      <c r="G238" s="18">
        <v>-1570</v>
      </c>
      <c r="H238">
        <f t="shared" si="19"/>
        <v>250</v>
      </c>
    </row>
    <row r="239" spans="1:8" x14ac:dyDescent="0.4">
      <c r="A239" t="s">
        <v>130</v>
      </c>
      <c r="B239" s="18">
        <f t="shared" si="18"/>
        <v>50000000</v>
      </c>
      <c r="C239">
        <v>0</v>
      </c>
      <c r="D239" s="18">
        <v>29000</v>
      </c>
      <c r="E239" s="18">
        <v>41000</v>
      </c>
      <c r="F239" s="7">
        <v>0.02</v>
      </c>
      <c r="G239" s="18">
        <v>-23000</v>
      </c>
      <c r="H239">
        <f t="shared" si="19"/>
        <v>250</v>
      </c>
    </row>
    <row r="240" spans="1:8" x14ac:dyDescent="0.4">
      <c r="A240" t="s">
        <v>131</v>
      </c>
      <c r="B240" s="18">
        <f t="shared" si="18"/>
        <v>50000000</v>
      </c>
      <c r="C240">
        <v>0</v>
      </c>
      <c r="D240" s="18">
        <v>31500</v>
      </c>
      <c r="E240" s="18">
        <v>42500</v>
      </c>
      <c r="F240" s="7">
        <v>0.02</v>
      </c>
      <c r="G240" s="18">
        <v>-26300</v>
      </c>
      <c r="H240">
        <f t="shared" si="19"/>
        <v>250</v>
      </c>
    </row>
    <row r="241" spans="1:8" x14ac:dyDescent="0.4">
      <c r="A241" t="s">
        <v>132</v>
      </c>
      <c r="B241" s="18">
        <f t="shared" si="18"/>
        <v>50000000</v>
      </c>
      <c r="C241">
        <v>0</v>
      </c>
      <c r="D241" s="18">
        <v>42500</v>
      </c>
      <c r="E241" s="18">
        <v>55000</v>
      </c>
      <c r="F241" s="7">
        <v>0.02</v>
      </c>
      <c r="G241" s="18">
        <v>-31900</v>
      </c>
      <c r="H241">
        <f t="shared" si="19"/>
        <v>250</v>
      </c>
    </row>
    <row r="244" spans="1:8" x14ac:dyDescent="0.4">
      <c r="A244" s="3" t="s">
        <v>197</v>
      </c>
      <c r="B244" s="3"/>
      <c r="C244" s="3"/>
      <c r="D244" s="3"/>
      <c r="E244" s="3"/>
      <c r="F244" s="3"/>
      <c r="G244" s="3"/>
      <c r="H244" s="1"/>
    </row>
    <row r="245" spans="1:8" x14ac:dyDescent="0.4">
      <c r="A245" s="1" t="s">
        <v>1</v>
      </c>
      <c r="B245" s="1" t="s">
        <v>2</v>
      </c>
      <c r="C245" s="1" t="s">
        <v>3</v>
      </c>
      <c r="D245" s="1" t="s">
        <v>4</v>
      </c>
      <c r="E245" s="1" t="s">
        <v>5</v>
      </c>
      <c r="F245" s="1" t="s">
        <v>6</v>
      </c>
      <c r="G245" s="1" t="s">
        <v>7</v>
      </c>
      <c r="H245" s="1" t="s">
        <v>211</v>
      </c>
    </row>
    <row r="246" spans="1:8" x14ac:dyDescent="0.4">
      <c r="A246" t="s">
        <v>133</v>
      </c>
      <c r="B246" s="18">
        <f t="shared" ref="B246:B256" si="20">mole/F246*(sf_TC/100)</f>
        <v>100000000</v>
      </c>
      <c r="C246">
        <v>0</v>
      </c>
      <c r="D246" s="18">
        <v>50000</v>
      </c>
      <c r="E246" s="18">
        <v>100000</v>
      </c>
      <c r="F246" s="7">
        <v>0.01</v>
      </c>
      <c r="G246" s="18">
        <v>-7610</v>
      </c>
      <c r="H246">
        <f t="shared" ref="H246:H256" si="21">B246/(I_b*20)</f>
        <v>500</v>
      </c>
    </row>
    <row r="247" spans="1:8" x14ac:dyDescent="0.4">
      <c r="A247" t="s">
        <v>134</v>
      </c>
      <c r="B247" s="18">
        <f t="shared" si="20"/>
        <v>100000000</v>
      </c>
      <c r="C247">
        <v>0</v>
      </c>
      <c r="D247" s="18">
        <v>50000</v>
      </c>
      <c r="E247" s="18">
        <v>100000</v>
      </c>
      <c r="F247" s="7">
        <v>0.01</v>
      </c>
      <c r="G247" s="18">
        <v>-6940</v>
      </c>
      <c r="H247">
        <f t="shared" si="21"/>
        <v>500</v>
      </c>
    </row>
    <row r="248" spans="1:8" x14ac:dyDescent="0.4">
      <c r="A248" t="s">
        <v>135</v>
      </c>
      <c r="B248" s="18">
        <f t="shared" si="20"/>
        <v>100000000</v>
      </c>
      <c r="C248">
        <v>0</v>
      </c>
      <c r="D248" s="18">
        <v>50000</v>
      </c>
      <c r="E248" s="18">
        <v>100000</v>
      </c>
      <c r="F248" s="7">
        <v>0.01</v>
      </c>
      <c r="G248" s="18">
        <v>-3960</v>
      </c>
      <c r="H248">
        <f t="shared" si="21"/>
        <v>500</v>
      </c>
    </row>
    <row r="249" spans="1:8" x14ac:dyDescent="0.4">
      <c r="A249" t="s">
        <v>136</v>
      </c>
      <c r="B249" s="18">
        <f t="shared" si="20"/>
        <v>100000000</v>
      </c>
      <c r="C249">
        <v>0</v>
      </c>
      <c r="D249" s="18">
        <v>60000</v>
      </c>
      <c r="E249" s="18">
        <v>130000</v>
      </c>
      <c r="F249" s="7">
        <v>0.01</v>
      </c>
      <c r="G249" s="18">
        <v>-8350</v>
      </c>
      <c r="H249">
        <f t="shared" si="21"/>
        <v>500</v>
      </c>
    </row>
    <row r="250" spans="1:8" x14ac:dyDescent="0.4">
      <c r="A250" t="s">
        <v>477</v>
      </c>
      <c r="B250" s="18">
        <f t="shared" si="20"/>
        <v>100000000</v>
      </c>
      <c r="C250">
        <v>0</v>
      </c>
      <c r="D250" s="18">
        <v>170000</v>
      </c>
      <c r="E250" s="18">
        <v>300000</v>
      </c>
      <c r="F250" s="7">
        <v>0.01</v>
      </c>
      <c r="G250" s="18">
        <v>0</v>
      </c>
      <c r="H250">
        <f t="shared" si="21"/>
        <v>500</v>
      </c>
    </row>
    <row r="251" spans="1:8" x14ac:dyDescent="0.4">
      <c r="A251" t="s">
        <v>478</v>
      </c>
      <c r="B251" s="18">
        <f t="shared" si="20"/>
        <v>100000000</v>
      </c>
      <c r="C251">
        <v>0</v>
      </c>
      <c r="D251" s="18">
        <v>170000</v>
      </c>
      <c r="E251" s="18">
        <v>300000</v>
      </c>
      <c r="F251" s="7">
        <v>0.01</v>
      </c>
      <c r="G251" s="18">
        <v>0</v>
      </c>
      <c r="H251">
        <f t="shared" si="21"/>
        <v>500</v>
      </c>
    </row>
    <row r="252" spans="1:8" x14ac:dyDescent="0.4">
      <c r="A252" t="s">
        <v>1295</v>
      </c>
      <c r="B252" s="18">
        <f t="shared" si="20"/>
        <v>100000000</v>
      </c>
      <c r="C252">
        <v>0</v>
      </c>
      <c r="D252" s="18">
        <v>170000</v>
      </c>
      <c r="E252" s="18">
        <v>300000</v>
      </c>
      <c r="F252" s="7">
        <v>0.01</v>
      </c>
      <c r="G252" s="18">
        <v>0</v>
      </c>
      <c r="H252">
        <f t="shared" si="21"/>
        <v>500</v>
      </c>
    </row>
    <row r="253" spans="1:8" x14ac:dyDescent="0.4">
      <c r="A253" t="s">
        <v>1296</v>
      </c>
      <c r="B253" s="18">
        <f t="shared" si="20"/>
        <v>100000000</v>
      </c>
      <c r="C253">
        <v>0</v>
      </c>
      <c r="D253" s="18">
        <v>180000</v>
      </c>
      <c r="E253" s="18">
        <v>300000</v>
      </c>
      <c r="F253" s="7">
        <v>0.01</v>
      </c>
      <c r="G253" s="18">
        <v>0</v>
      </c>
      <c r="H253">
        <f t="shared" si="21"/>
        <v>500</v>
      </c>
    </row>
    <row r="254" spans="1:8" x14ac:dyDescent="0.4">
      <c r="A254" t="s">
        <v>1297</v>
      </c>
      <c r="B254" s="18">
        <f t="shared" si="20"/>
        <v>100000000</v>
      </c>
      <c r="C254">
        <v>0</v>
      </c>
      <c r="D254" s="18">
        <v>200000</v>
      </c>
      <c r="E254" s="18">
        <v>300000</v>
      </c>
      <c r="F254" s="7">
        <v>0.01</v>
      </c>
      <c r="G254" s="18">
        <v>0</v>
      </c>
      <c r="H254">
        <f t="shared" si="21"/>
        <v>500</v>
      </c>
    </row>
    <row r="255" spans="1:8" x14ac:dyDescent="0.4">
      <c r="A255" t="s">
        <v>1298</v>
      </c>
      <c r="B255" s="18">
        <f t="shared" si="20"/>
        <v>100000000</v>
      </c>
      <c r="C255">
        <v>0</v>
      </c>
      <c r="D255" s="18">
        <v>200000</v>
      </c>
      <c r="E255" s="18">
        <v>300000</v>
      </c>
      <c r="F255" s="7">
        <v>0.01</v>
      </c>
      <c r="G255" s="18">
        <v>0</v>
      </c>
      <c r="H255">
        <f t="shared" si="21"/>
        <v>500</v>
      </c>
    </row>
    <row r="256" spans="1:8" x14ac:dyDescent="0.4">
      <c r="A256" t="s">
        <v>479</v>
      </c>
      <c r="B256" s="18">
        <f t="shared" si="20"/>
        <v>100000000</v>
      </c>
      <c r="C256">
        <v>0</v>
      </c>
      <c r="D256" s="18">
        <v>220000</v>
      </c>
      <c r="E256" s="18">
        <v>300000</v>
      </c>
      <c r="F256" s="7">
        <v>0.01</v>
      </c>
      <c r="G256" s="18">
        <v>0</v>
      </c>
      <c r="H256">
        <f t="shared" si="21"/>
        <v>500</v>
      </c>
    </row>
    <row r="259" spans="1:8" x14ac:dyDescent="0.4">
      <c r="A259" s="3" t="s">
        <v>137</v>
      </c>
      <c r="B259" s="3"/>
      <c r="C259" s="3"/>
      <c r="D259" s="3"/>
      <c r="E259" s="3"/>
      <c r="F259" s="3"/>
      <c r="G259" s="3"/>
      <c r="H259" s="1"/>
    </row>
    <row r="260" spans="1:8" x14ac:dyDescent="0.4">
      <c r="A260" s="32" t="s">
        <v>1</v>
      </c>
      <c r="B260" s="21" t="s">
        <v>2</v>
      </c>
      <c r="C260" s="21" t="s">
        <v>3</v>
      </c>
      <c r="D260" s="21" t="s">
        <v>4</v>
      </c>
      <c r="E260" s="21" t="s">
        <v>5</v>
      </c>
      <c r="F260" s="21" t="s">
        <v>6</v>
      </c>
      <c r="G260" s="21" t="s">
        <v>7</v>
      </c>
      <c r="H260" s="21" t="s">
        <v>211</v>
      </c>
    </row>
    <row r="261" spans="1:8" x14ac:dyDescent="0.4">
      <c r="A261" t="s">
        <v>138</v>
      </c>
      <c r="B261" s="18">
        <f t="shared" ref="B261:B286" si="22">mole/F261*(sf_TC/100)</f>
        <v>2000000</v>
      </c>
      <c r="C261">
        <v>0</v>
      </c>
      <c r="D261" s="18">
        <v>50</v>
      </c>
      <c r="E261" s="18">
        <v>600</v>
      </c>
      <c r="F261" s="7">
        <v>0.5</v>
      </c>
      <c r="G261" s="18">
        <v>17100</v>
      </c>
      <c r="H261">
        <f t="shared" ref="H261:H286" si="23">B261/(I_b*20)</f>
        <v>10</v>
      </c>
    </row>
    <row r="262" spans="1:8" x14ac:dyDescent="0.4">
      <c r="A262" t="s">
        <v>139</v>
      </c>
      <c r="B262" s="18">
        <f t="shared" si="22"/>
        <v>12500000</v>
      </c>
      <c r="C262">
        <v>0</v>
      </c>
      <c r="D262" s="18">
        <v>500</v>
      </c>
      <c r="E262" s="18">
        <v>12000</v>
      </c>
      <c r="F262" s="7">
        <v>0.08</v>
      </c>
      <c r="G262" s="18">
        <v>2740</v>
      </c>
      <c r="H262">
        <f t="shared" si="23"/>
        <v>62.5</v>
      </c>
    </row>
    <row r="263" spans="1:8" x14ac:dyDescent="0.4">
      <c r="A263" t="s">
        <v>140</v>
      </c>
      <c r="B263" s="18">
        <f t="shared" si="22"/>
        <v>6250000</v>
      </c>
      <c r="C263">
        <v>0</v>
      </c>
      <c r="D263" s="18">
        <v>500</v>
      </c>
      <c r="E263" s="18">
        <v>3000</v>
      </c>
      <c r="F263" s="7">
        <v>0.16</v>
      </c>
      <c r="G263" s="18">
        <v>3380</v>
      </c>
      <c r="H263">
        <f t="shared" si="23"/>
        <v>31.25</v>
      </c>
    </row>
    <row r="264" spans="1:8" x14ac:dyDescent="0.4">
      <c r="A264" t="s">
        <v>141</v>
      </c>
      <c r="B264" s="18">
        <f t="shared" si="22"/>
        <v>1600000</v>
      </c>
      <c r="C264">
        <v>0</v>
      </c>
      <c r="D264" s="18">
        <v>1500</v>
      </c>
      <c r="E264" s="18">
        <v>5000</v>
      </c>
      <c r="F264" s="7">
        <v>0.625</v>
      </c>
      <c r="G264" s="18">
        <v>7150</v>
      </c>
      <c r="H264">
        <f t="shared" si="23"/>
        <v>8</v>
      </c>
    </row>
    <row r="265" spans="1:8" x14ac:dyDescent="0.4">
      <c r="A265" t="s">
        <v>142</v>
      </c>
      <c r="B265" s="18">
        <f t="shared" si="22"/>
        <v>2000000</v>
      </c>
      <c r="C265">
        <v>0</v>
      </c>
      <c r="D265" s="18">
        <v>1500</v>
      </c>
      <c r="E265" s="18">
        <v>3000</v>
      </c>
      <c r="F265" s="7">
        <v>0.5</v>
      </c>
      <c r="G265" s="18">
        <v>13700</v>
      </c>
      <c r="H265">
        <f t="shared" si="23"/>
        <v>10</v>
      </c>
    </row>
    <row r="266" spans="1:8" x14ac:dyDescent="0.4">
      <c r="A266" t="s">
        <v>143</v>
      </c>
      <c r="B266" s="18">
        <f t="shared" si="22"/>
        <v>1000000</v>
      </c>
      <c r="C266">
        <v>0</v>
      </c>
      <c r="D266" s="18">
        <v>3500</v>
      </c>
      <c r="E266" s="18">
        <v>9000</v>
      </c>
      <c r="F266" s="7">
        <v>1</v>
      </c>
      <c r="G266" s="18">
        <v>15100</v>
      </c>
      <c r="H266">
        <f t="shared" si="23"/>
        <v>5</v>
      </c>
    </row>
    <row r="267" spans="1:8" x14ac:dyDescent="0.4">
      <c r="A267" t="s">
        <v>144</v>
      </c>
      <c r="B267" s="18">
        <f t="shared" si="22"/>
        <v>4000000</v>
      </c>
      <c r="C267">
        <v>0</v>
      </c>
      <c r="D267" s="18">
        <v>3500</v>
      </c>
      <c r="E267" s="18">
        <v>10000</v>
      </c>
      <c r="F267" s="7">
        <v>0.25</v>
      </c>
      <c r="G267" s="18">
        <v>3110</v>
      </c>
      <c r="H267">
        <f t="shared" si="23"/>
        <v>20</v>
      </c>
    </row>
    <row r="268" spans="1:8" x14ac:dyDescent="0.4">
      <c r="A268" t="s">
        <v>145</v>
      </c>
      <c r="B268" s="18">
        <f t="shared" si="22"/>
        <v>4000000</v>
      </c>
      <c r="C268">
        <v>0</v>
      </c>
      <c r="D268" s="18">
        <v>5000</v>
      </c>
      <c r="E268" s="18">
        <v>13000</v>
      </c>
      <c r="F268" s="7">
        <v>0.25</v>
      </c>
      <c r="G268" s="18">
        <v>-1340</v>
      </c>
      <c r="H268">
        <f t="shared" si="23"/>
        <v>20</v>
      </c>
    </row>
    <row r="269" spans="1:8" x14ac:dyDescent="0.4">
      <c r="A269" t="s">
        <v>146</v>
      </c>
      <c r="B269" s="18">
        <f t="shared" si="22"/>
        <v>2500000</v>
      </c>
      <c r="C269">
        <v>0</v>
      </c>
      <c r="D269" s="18">
        <v>5000</v>
      </c>
      <c r="E269" s="18">
        <v>10000</v>
      </c>
      <c r="F269" s="7">
        <v>0.4</v>
      </c>
      <c r="G269" s="18">
        <v>5270</v>
      </c>
      <c r="H269">
        <f t="shared" si="23"/>
        <v>12.5</v>
      </c>
    </row>
    <row r="270" spans="1:8" x14ac:dyDescent="0.4">
      <c r="A270" t="s">
        <v>147</v>
      </c>
      <c r="B270" s="18">
        <f t="shared" si="22"/>
        <v>2500000</v>
      </c>
      <c r="C270">
        <v>0</v>
      </c>
      <c r="D270" s="18">
        <v>6000</v>
      </c>
      <c r="E270" s="18">
        <v>11000</v>
      </c>
      <c r="F270" s="7">
        <v>0.4</v>
      </c>
      <c r="G270" s="18">
        <v>1960</v>
      </c>
      <c r="H270">
        <f t="shared" si="23"/>
        <v>12.5</v>
      </c>
    </row>
    <row r="271" spans="1:8" x14ac:dyDescent="0.4">
      <c r="A271" t="s">
        <v>148</v>
      </c>
      <c r="B271" s="18">
        <f t="shared" si="22"/>
        <v>12500000</v>
      </c>
      <c r="C271">
        <v>0</v>
      </c>
      <c r="D271" s="18">
        <v>10000</v>
      </c>
      <c r="E271" s="18">
        <v>15000</v>
      </c>
      <c r="F271" s="7">
        <v>0.08</v>
      </c>
      <c r="G271" s="18">
        <v>2760</v>
      </c>
      <c r="H271">
        <f t="shared" si="23"/>
        <v>62.5</v>
      </c>
    </row>
    <row r="272" spans="1:8" x14ac:dyDescent="0.4">
      <c r="A272" t="s">
        <v>149</v>
      </c>
      <c r="B272" s="18">
        <f t="shared" si="22"/>
        <v>12500000</v>
      </c>
      <c r="C272">
        <v>0</v>
      </c>
      <c r="D272" s="18">
        <v>10000</v>
      </c>
      <c r="E272" s="18">
        <v>16000</v>
      </c>
      <c r="F272" s="7">
        <v>0.08</v>
      </c>
      <c r="G272" s="18">
        <v>4620</v>
      </c>
      <c r="H272">
        <f t="shared" si="23"/>
        <v>62.5</v>
      </c>
    </row>
    <row r="273" spans="1:8" x14ac:dyDescent="0.4">
      <c r="A273" t="s">
        <v>150</v>
      </c>
      <c r="B273" s="18">
        <f t="shared" si="22"/>
        <v>2000000</v>
      </c>
      <c r="C273">
        <v>0</v>
      </c>
      <c r="D273" s="18">
        <v>10500</v>
      </c>
      <c r="E273" s="18">
        <v>19500</v>
      </c>
      <c r="F273" s="7">
        <v>0.5</v>
      </c>
      <c r="G273" s="18">
        <v>-2990</v>
      </c>
      <c r="H273">
        <f t="shared" si="23"/>
        <v>10</v>
      </c>
    </row>
    <row r="274" spans="1:8" x14ac:dyDescent="0.4">
      <c r="A274" t="s">
        <v>151</v>
      </c>
      <c r="B274" s="18">
        <f t="shared" si="22"/>
        <v>3125000</v>
      </c>
      <c r="C274">
        <v>0</v>
      </c>
      <c r="D274" s="18">
        <v>11000</v>
      </c>
      <c r="E274" s="18">
        <v>17000</v>
      </c>
      <c r="F274" s="7">
        <v>0.32</v>
      </c>
      <c r="G274" s="18">
        <v>3070</v>
      </c>
      <c r="H274">
        <f t="shared" si="23"/>
        <v>15.625</v>
      </c>
    </row>
    <row r="275" spans="1:8" x14ac:dyDescent="0.4">
      <c r="A275" t="s">
        <v>152</v>
      </c>
      <c r="B275" s="18">
        <f t="shared" si="22"/>
        <v>5000000</v>
      </c>
      <c r="C275">
        <v>0</v>
      </c>
      <c r="D275" s="18">
        <v>11000</v>
      </c>
      <c r="E275" s="18">
        <v>17000</v>
      </c>
      <c r="F275" s="7">
        <v>0.2</v>
      </c>
      <c r="G275" s="18">
        <v>3420</v>
      </c>
      <c r="H275">
        <f t="shared" si="23"/>
        <v>25</v>
      </c>
    </row>
    <row r="276" spans="1:8" x14ac:dyDescent="0.4">
      <c r="A276" t="s">
        <v>153</v>
      </c>
      <c r="B276" s="18">
        <f t="shared" si="22"/>
        <v>31250000</v>
      </c>
      <c r="C276">
        <v>0</v>
      </c>
      <c r="D276" s="18">
        <v>11500</v>
      </c>
      <c r="E276" s="18">
        <v>19500</v>
      </c>
      <c r="F276" s="7">
        <v>3.2000000000000001E-2</v>
      </c>
      <c r="G276" s="18">
        <v>2610</v>
      </c>
      <c r="H276">
        <f t="shared" si="23"/>
        <v>156.25</v>
      </c>
    </row>
    <row r="277" spans="1:8" x14ac:dyDescent="0.4">
      <c r="A277" t="s">
        <v>154</v>
      </c>
      <c r="B277" s="18">
        <f t="shared" si="22"/>
        <v>1000000</v>
      </c>
      <c r="C277">
        <v>0</v>
      </c>
      <c r="D277" s="18">
        <v>12000</v>
      </c>
      <c r="E277" s="18">
        <v>14500</v>
      </c>
      <c r="F277" s="7">
        <v>1</v>
      </c>
      <c r="G277" s="18">
        <v>-4050</v>
      </c>
      <c r="H277">
        <f t="shared" si="23"/>
        <v>5</v>
      </c>
    </row>
    <row r="278" spans="1:8" x14ac:dyDescent="0.4">
      <c r="A278" t="s">
        <v>155</v>
      </c>
      <c r="B278" s="18">
        <f t="shared" si="22"/>
        <v>4000000</v>
      </c>
      <c r="C278">
        <v>0</v>
      </c>
      <c r="D278" s="18">
        <v>12000</v>
      </c>
      <c r="E278" s="18">
        <v>16000</v>
      </c>
      <c r="F278" s="7">
        <v>0.25</v>
      </c>
      <c r="G278" s="18">
        <v>-3760</v>
      </c>
      <c r="H278">
        <f t="shared" si="23"/>
        <v>20</v>
      </c>
    </row>
    <row r="279" spans="1:8" x14ac:dyDescent="0.4">
      <c r="A279" t="s">
        <v>156</v>
      </c>
      <c r="B279" s="18">
        <f t="shared" si="22"/>
        <v>5000000</v>
      </c>
      <c r="C279">
        <v>0</v>
      </c>
      <c r="D279" s="18">
        <v>12000</v>
      </c>
      <c r="E279" s="18">
        <v>15000</v>
      </c>
      <c r="F279" s="7">
        <v>0.2</v>
      </c>
      <c r="G279" s="18">
        <v>-3010</v>
      </c>
      <c r="H279">
        <f t="shared" si="23"/>
        <v>25</v>
      </c>
    </row>
    <row r="280" spans="1:8" x14ac:dyDescent="0.4">
      <c r="A280" t="s">
        <v>157</v>
      </c>
      <c r="B280" s="18">
        <f t="shared" si="22"/>
        <v>2000000</v>
      </c>
      <c r="C280">
        <v>0</v>
      </c>
      <c r="D280" s="18">
        <v>18000</v>
      </c>
      <c r="E280" s="18">
        <v>24000</v>
      </c>
      <c r="F280" s="7">
        <v>0.5</v>
      </c>
      <c r="G280" s="18">
        <v>-10400</v>
      </c>
      <c r="H280">
        <f t="shared" si="23"/>
        <v>10</v>
      </c>
    </row>
    <row r="281" spans="1:8" x14ac:dyDescent="0.4">
      <c r="A281" t="s">
        <v>158</v>
      </c>
      <c r="B281" s="18">
        <f t="shared" si="22"/>
        <v>1000000</v>
      </c>
      <c r="C281">
        <v>0</v>
      </c>
      <c r="D281" s="18">
        <v>24000</v>
      </c>
      <c r="E281" s="18">
        <v>30000</v>
      </c>
      <c r="F281" s="7">
        <v>1</v>
      </c>
      <c r="G281" s="18">
        <v>-15200</v>
      </c>
      <c r="H281">
        <f t="shared" si="23"/>
        <v>5</v>
      </c>
    </row>
    <row r="282" spans="1:8" x14ac:dyDescent="0.4">
      <c r="A282" t="s">
        <v>159</v>
      </c>
      <c r="B282" s="18">
        <f t="shared" si="22"/>
        <v>2500000</v>
      </c>
      <c r="C282">
        <v>0</v>
      </c>
      <c r="D282" s="18">
        <v>30000</v>
      </c>
      <c r="E282" s="18">
        <v>55000</v>
      </c>
      <c r="F282" s="7">
        <v>0.4</v>
      </c>
      <c r="G282" s="18">
        <v>-12400</v>
      </c>
      <c r="H282">
        <f t="shared" si="23"/>
        <v>12.5</v>
      </c>
    </row>
    <row r="283" spans="1:8" x14ac:dyDescent="0.4">
      <c r="A283" t="s">
        <v>160</v>
      </c>
      <c r="B283" s="18">
        <f t="shared" si="22"/>
        <v>15625000</v>
      </c>
      <c r="C283">
        <v>0</v>
      </c>
      <c r="D283" s="18">
        <v>34000</v>
      </c>
      <c r="E283" s="18">
        <v>53000</v>
      </c>
      <c r="F283" s="7">
        <v>6.4000000000000001E-2</v>
      </c>
      <c r="G283" s="18">
        <v>-20600</v>
      </c>
      <c r="H283">
        <f t="shared" si="23"/>
        <v>78.125</v>
      </c>
    </row>
    <row r="284" spans="1:8" x14ac:dyDescent="0.4">
      <c r="A284" t="s">
        <v>161</v>
      </c>
      <c r="B284" s="18">
        <f t="shared" si="22"/>
        <v>1000000</v>
      </c>
      <c r="C284">
        <v>0</v>
      </c>
      <c r="D284" s="18">
        <v>55000</v>
      </c>
      <c r="E284" s="18">
        <v>150000</v>
      </c>
      <c r="F284" s="7">
        <v>1</v>
      </c>
      <c r="G284" s="18">
        <v>-1570</v>
      </c>
      <c r="H284">
        <f t="shared" si="23"/>
        <v>5</v>
      </c>
    </row>
    <row r="285" spans="1:8" x14ac:dyDescent="0.4">
      <c r="A285" t="s">
        <v>162</v>
      </c>
      <c r="B285" s="18">
        <f t="shared" si="22"/>
        <v>12500000</v>
      </c>
      <c r="C285">
        <v>0</v>
      </c>
      <c r="D285" s="18">
        <v>56000</v>
      </c>
      <c r="E285" s="18">
        <v>200000</v>
      </c>
      <c r="F285" s="7">
        <v>0.08</v>
      </c>
      <c r="G285" s="18">
        <v>-16300</v>
      </c>
      <c r="H285">
        <f t="shared" si="23"/>
        <v>62.5</v>
      </c>
    </row>
    <row r="286" spans="1:8" x14ac:dyDescent="0.4">
      <c r="A286" t="s">
        <v>163</v>
      </c>
      <c r="B286" s="18">
        <f t="shared" si="22"/>
        <v>15625000</v>
      </c>
      <c r="C286">
        <v>0</v>
      </c>
      <c r="D286" s="18">
        <v>60000</v>
      </c>
      <c r="E286" s="18">
        <v>200000</v>
      </c>
      <c r="F286" s="7">
        <v>6.4000000000000001E-2</v>
      </c>
      <c r="G286" s="18">
        <v>7890</v>
      </c>
      <c r="H286">
        <f t="shared" si="23"/>
        <v>78.125</v>
      </c>
    </row>
    <row r="287" spans="1:8" x14ac:dyDescent="0.4">
      <c r="A287" t="s">
        <v>481</v>
      </c>
      <c r="B287" s="18">
        <f t="shared" ref="B287:B324" si="24">mole/F287*(sf_TC/100)</f>
        <v>10000000</v>
      </c>
      <c r="C287">
        <v>0</v>
      </c>
      <c r="D287" s="18">
        <v>11300000</v>
      </c>
      <c r="E287" s="18">
        <v>20000000</v>
      </c>
      <c r="F287" s="7">
        <v>0.1</v>
      </c>
      <c r="G287" s="18">
        <v>-3750000</v>
      </c>
      <c r="H287">
        <f t="shared" ref="H287:H324" si="25">B287/(I_b*20)</f>
        <v>50</v>
      </c>
    </row>
    <row r="288" spans="1:8" x14ac:dyDescent="0.4">
      <c r="A288" t="s">
        <v>482</v>
      </c>
      <c r="B288" s="18">
        <f t="shared" si="24"/>
        <v>10000000</v>
      </c>
      <c r="C288">
        <v>0</v>
      </c>
      <c r="D288" s="18">
        <v>11300000</v>
      </c>
      <c r="E288" s="18">
        <v>20000000</v>
      </c>
      <c r="F288" s="7">
        <v>0.1</v>
      </c>
      <c r="G288" s="18">
        <v>-3750000</v>
      </c>
      <c r="H288">
        <f t="shared" si="25"/>
        <v>50</v>
      </c>
    </row>
    <row r="289" spans="1:8" x14ac:dyDescent="0.4">
      <c r="A289" t="s">
        <v>483</v>
      </c>
      <c r="B289" s="18">
        <f t="shared" si="24"/>
        <v>10000000</v>
      </c>
      <c r="C289">
        <v>0</v>
      </c>
      <c r="D289" s="18">
        <v>11300000</v>
      </c>
      <c r="E289" s="18">
        <v>20000000</v>
      </c>
      <c r="F289" s="7">
        <v>0.1</v>
      </c>
      <c r="G289" s="18">
        <v>-3750000</v>
      </c>
      <c r="H289">
        <f t="shared" si="25"/>
        <v>50</v>
      </c>
    </row>
    <row r="290" spans="1:8" x14ac:dyDescent="0.4">
      <c r="A290" t="s">
        <v>1299</v>
      </c>
      <c r="B290" s="18">
        <f t="shared" si="24"/>
        <v>10000000</v>
      </c>
      <c r="C290">
        <v>0</v>
      </c>
      <c r="D290" s="18">
        <v>11300000</v>
      </c>
      <c r="E290" s="18">
        <v>20000000</v>
      </c>
      <c r="F290" s="7">
        <v>0.1</v>
      </c>
      <c r="G290" s="18">
        <v>-3750000</v>
      </c>
      <c r="H290">
        <f t="shared" si="25"/>
        <v>50</v>
      </c>
    </row>
    <row r="291" spans="1:8" x14ac:dyDescent="0.4">
      <c r="A291" t="s">
        <v>484</v>
      </c>
      <c r="B291" s="18">
        <f t="shared" si="24"/>
        <v>10000000</v>
      </c>
      <c r="C291">
        <v>0</v>
      </c>
      <c r="D291" s="18">
        <v>11300000</v>
      </c>
      <c r="E291" s="18">
        <v>20000000</v>
      </c>
      <c r="F291" s="7">
        <v>0.1</v>
      </c>
      <c r="G291" s="18">
        <v>-3750000</v>
      </c>
      <c r="H291">
        <f t="shared" si="25"/>
        <v>50</v>
      </c>
    </row>
    <row r="292" spans="1:8" x14ac:dyDescent="0.4">
      <c r="A292" t="s">
        <v>485</v>
      </c>
      <c r="B292" s="18">
        <f t="shared" si="24"/>
        <v>10000000</v>
      </c>
      <c r="C292">
        <v>0</v>
      </c>
      <c r="D292" s="18">
        <v>11300000</v>
      </c>
      <c r="E292" s="18">
        <v>20000000</v>
      </c>
      <c r="F292" s="7">
        <v>0.1</v>
      </c>
      <c r="G292" s="18">
        <v>-3750000</v>
      </c>
      <c r="H292">
        <f t="shared" si="25"/>
        <v>50</v>
      </c>
    </row>
    <row r="293" spans="1:8" x14ac:dyDescent="0.4">
      <c r="A293" t="s">
        <v>486</v>
      </c>
      <c r="B293" s="18">
        <f t="shared" si="24"/>
        <v>10000000</v>
      </c>
      <c r="C293">
        <v>0</v>
      </c>
      <c r="D293" s="18">
        <v>11300000</v>
      </c>
      <c r="E293" s="18">
        <v>20000000</v>
      </c>
      <c r="F293" s="7">
        <v>0.1</v>
      </c>
      <c r="G293" s="18">
        <v>-3750000</v>
      </c>
      <c r="H293">
        <f t="shared" si="25"/>
        <v>50</v>
      </c>
    </row>
    <row r="294" spans="1:8" x14ac:dyDescent="0.4">
      <c r="A294" t="s">
        <v>487</v>
      </c>
      <c r="B294" s="18">
        <f t="shared" si="24"/>
        <v>10000000</v>
      </c>
      <c r="C294">
        <v>0</v>
      </c>
      <c r="D294" s="18">
        <v>11300000</v>
      </c>
      <c r="E294" s="18">
        <v>20000000</v>
      </c>
      <c r="F294" s="7">
        <v>0.1</v>
      </c>
      <c r="G294" s="18">
        <v>-3750000</v>
      </c>
      <c r="H294">
        <f t="shared" si="25"/>
        <v>50</v>
      </c>
    </row>
    <row r="295" spans="1:8" x14ac:dyDescent="0.4">
      <c r="A295" t="s">
        <v>488</v>
      </c>
      <c r="B295" s="18">
        <f t="shared" si="24"/>
        <v>10000000</v>
      </c>
      <c r="C295">
        <v>0</v>
      </c>
      <c r="D295" s="18">
        <v>11300000</v>
      </c>
      <c r="E295" s="18">
        <v>20000000</v>
      </c>
      <c r="F295" s="7">
        <v>0.1</v>
      </c>
      <c r="G295" s="18">
        <v>-3750000</v>
      </c>
      <c r="H295">
        <f t="shared" si="25"/>
        <v>50</v>
      </c>
    </row>
    <row r="296" spans="1:8" x14ac:dyDescent="0.4">
      <c r="A296" t="s">
        <v>489</v>
      </c>
      <c r="B296" s="18">
        <f t="shared" si="24"/>
        <v>10000000</v>
      </c>
      <c r="C296">
        <v>0</v>
      </c>
      <c r="D296" s="18">
        <v>11300000</v>
      </c>
      <c r="E296" s="18">
        <v>20000000</v>
      </c>
      <c r="F296" s="7">
        <v>0.1</v>
      </c>
      <c r="G296" s="18">
        <v>-3750000</v>
      </c>
      <c r="H296">
        <f t="shared" si="25"/>
        <v>50</v>
      </c>
    </row>
    <row r="297" spans="1:8" x14ac:dyDescent="0.4">
      <c r="A297" t="s">
        <v>490</v>
      </c>
      <c r="B297" s="18">
        <f t="shared" si="24"/>
        <v>10000000</v>
      </c>
      <c r="C297">
        <v>0</v>
      </c>
      <c r="D297" s="18">
        <v>11300000</v>
      </c>
      <c r="E297" s="18">
        <v>20000000</v>
      </c>
      <c r="F297" s="7">
        <v>0.1</v>
      </c>
      <c r="G297" s="18">
        <v>-3750000</v>
      </c>
      <c r="H297">
        <f t="shared" si="25"/>
        <v>50</v>
      </c>
    </row>
    <row r="298" spans="1:8" x14ac:dyDescent="0.4">
      <c r="A298" t="s">
        <v>491</v>
      </c>
      <c r="B298" s="18">
        <f t="shared" si="24"/>
        <v>10000000</v>
      </c>
      <c r="C298">
        <v>0</v>
      </c>
      <c r="D298" s="18">
        <v>11300000</v>
      </c>
      <c r="E298" s="18">
        <v>20000000</v>
      </c>
      <c r="F298" s="7">
        <v>0.1</v>
      </c>
      <c r="G298" s="18">
        <v>-3750000</v>
      </c>
      <c r="H298">
        <f t="shared" si="25"/>
        <v>50</v>
      </c>
    </row>
    <row r="299" spans="1:8" x14ac:dyDescent="0.4">
      <c r="A299" t="s">
        <v>492</v>
      </c>
      <c r="B299" s="18">
        <f t="shared" si="24"/>
        <v>10000000</v>
      </c>
      <c r="C299">
        <v>0</v>
      </c>
      <c r="D299" s="18">
        <v>11300000</v>
      </c>
      <c r="E299" s="18">
        <v>20000000</v>
      </c>
      <c r="F299" s="7">
        <v>0.1</v>
      </c>
      <c r="G299" s="18">
        <v>-3750000</v>
      </c>
      <c r="H299">
        <f t="shared" si="25"/>
        <v>50</v>
      </c>
    </row>
    <row r="300" spans="1:8" x14ac:dyDescent="0.4">
      <c r="A300" t="s">
        <v>517</v>
      </c>
      <c r="B300" s="18">
        <f t="shared" si="24"/>
        <v>10000000</v>
      </c>
      <c r="C300">
        <v>0</v>
      </c>
      <c r="D300" s="18">
        <v>11300000</v>
      </c>
      <c r="E300" s="18">
        <v>20000000</v>
      </c>
      <c r="F300" s="7">
        <v>0.1</v>
      </c>
      <c r="G300" s="18">
        <v>-3750000</v>
      </c>
      <c r="H300">
        <f t="shared" si="25"/>
        <v>50</v>
      </c>
    </row>
    <row r="301" spans="1:8" x14ac:dyDescent="0.4">
      <c r="A301" t="s">
        <v>516</v>
      </c>
      <c r="B301" s="18">
        <f t="shared" si="24"/>
        <v>10000000</v>
      </c>
      <c r="C301">
        <v>0</v>
      </c>
      <c r="D301" s="18">
        <v>11300000</v>
      </c>
      <c r="E301" s="18">
        <v>20000000</v>
      </c>
      <c r="F301" s="7">
        <v>0.1</v>
      </c>
      <c r="G301" s="18">
        <v>-3750000</v>
      </c>
      <c r="H301">
        <f t="shared" si="25"/>
        <v>50</v>
      </c>
    </row>
    <row r="302" spans="1:8" x14ac:dyDescent="0.4">
      <c r="A302" t="s">
        <v>515</v>
      </c>
      <c r="B302" s="18">
        <f t="shared" si="24"/>
        <v>10000000</v>
      </c>
      <c r="C302">
        <v>0</v>
      </c>
      <c r="D302" s="18">
        <v>11300000</v>
      </c>
      <c r="E302" s="18">
        <v>20000000</v>
      </c>
      <c r="F302" s="7">
        <v>0.1</v>
      </c>
      <c r="G302" s="18">
        <v>-3750000</v>
      </c>
      <c r="H302">
        <f t="shared" si="25"/>
        <v>50</v>
      </c>
    </row>
    <row r="303" spans="1:8" x14ac:dyDescent="0.4">
      <c r="A303" t="s">
        <v>514</v>
      </c>
      <c r="B303" s="18">
        <f t="shared" si="24"/>
        <v>10000000</v>
      </c>
      <c r="C303">
        <v>0</v>
      </c>
      <c r="D303" s="18">
        <v>11300000</v>
      </c>
      <c r="E303" s="18">
        <v>20000000</v>
      </c>
      <c r="F303" s="7">
        <v>0.1</v>
      </c>
      <c r="G303" s="18">
        <v>-3750000</v>
      </c>
      <c r="H303">
        <f t="shared" si="25"/>
        <v>50</v>
      </c>
    </row>
    <row r="304" spans="1:8" x14ac:dyDescent="0.4">
      <c r="A304" t="s">
        <v>513</v>
      </c>
      <c r="B304" s="18">
        <f t="shared" si="24"/>
        <v>10000000</v>
      </c>
      <c r="C304">
        <v>0</v>
      </c>
      <c r="D304" s="18">
        <v>11300000</v>
      </c>
      <c r="E304" s="18">
        <v>20000000</v>
      </c>
      <c r="F304" s="7">
        <v>0.1</v>
      </c>
      <c r="G304" s="18">
        <v>-3750000</v>
      </c>
      <c r="H304">
        <f t="shared" si="25"/>
        <v>50</v>
      </c>
    </row>
    <row r="305" spans="1:8" x14ac:dyDescent="0.4">
      <c r="A305" t="s">
        <v>512</v>
      </c>
      <c r="B305" s="18">
        <f t="shared" si="24"/>
        <v>10000000</v>
      </c>
      <c r="C305">
        <v>0</v>
      </c>
      <c r="D305" s="18">
        <v>11300000</v>
      </c>
      <c r="E305" s="18">
        <v>20000000</v>
      </c>
      <c r="F305" s="7">
        <v>0.1</v>
      </c>
      <c r="G305" s="18">
        <v>-3750000</v>
      </c>
      <c r="H305">
        <f t="shared" si="25"/>
        <v>50</v>
      </c>
    </row>
    <row r="306" spans="1:8" x14ac:dyDescent="0.4">
      <c r="A306" t="s">
        <v>493</v>
      </c>
      <c r="B306" s="18">
        <f t="shared" si="24"/>
        <v>10000000</v>
      </c>
      <c r="C306">
        <v>0</v>
      </c>
      <c r="D306" s="18">
        <v>11300000</v>
      </c>
      <c r="E306" s="18">
        <v>20000000</v>
      </c>
      <c r="F306" s="7">
        <v>0.1</v>
      </c>
      <c r="G306" s="18">
        <v>-3750000</v>
      </c>
      <c r="H306">
        <f t="shared" si="25"/>
        <v>50</v>
      </c>
    </row>
    <row r="307" spans="1:8" x14ac:dyDescent="0.4">
      <c r="A307" t="s">
        <v>494</v>
      </c>
      <c r="B307" s="18">
        <f t="shared" si="24"/>
        <v>10000000</v>
      </c>
      <c r="C307">
        <v>0</v>
      </c>
      <c r="D307" s="18">
        <v>11300000</v>
      </c>
      <c r="E307" s="18">
        <v>20000000</v>
      </c>
      <c r="F307" s="7">
        <v>0.1</v>
      </c>
      <c r="G307" s="18">
        <v>-3750000</v>
      </c>
      <c r="H307">
        <f t="shared" si="25"/>
        <v>50</v>
      </c>
    </row>
    <row r="308" spans="1:8" x14ac:dyDescent="0.4">
      <c r="A308" t="s">
        <v>495</v>
      </c>
      <c r="B308" s="18">
        <f t="shared" si="24"/>
        <v>10000000</v>
      </c>
      <c r="C308">
        <v>0</v>
      </c>
      <c r="D308" s="18">
        <v>11300000</v>
      </c>
      <c r="E308" s="18">
        <v>20000000</v>
      </c>
      <c r="F308" s="7">
        <v>0.1</v>
      </c>
      <c r="G308" s="18">
        <v>-3750000</v>
      </c>
      <c r="H308">
        <f t="shared" si="25"/>
        <v>50</v>
      </c>
    </row>
    <row r="309" spans="1:8" x14ac:dyDescent="0.4">
      <c r="A309" t="s">
        <v>496</v>
      </c>
      <c r="B309" s="18">
        <f t="shared" si="24"/>
        <v>10000000</v>
      </c>
      <c r="C309">
        <v>0</v>
      </c>
      <c r="D309" s="18">
        <v>11300000</v>
      </c>
      <c r="E309" s="18">
        <v>20000000</v>
      </c>
      <c r="F309" s="7">
        <v>0.1</v>
      </c>
      <c r="G309" s="18">
        <v>-3750000</v>
      </c>
      <c r="H309">
        <f t="shared" si="25"/>
        <v>50</v>
      </c>
    </row>
    <row r="310" spans="1:8" x14ac:dyDescent="0.4">
      <c r="A310" t="s">
        <v>511</v>
      </c>
      <c r="B310" s="18">
        <f t="shared" si="24"/>
        <v>10000000</v>
      </c>
      <c r="C310">
        <v>0</v>
      </c>
      <c r="D310" s="18">
        <v>11300000</v>
      </c>
      <c r="E310" s="18">
        <v>20000000</v>
      </c>
      <c r="F310" s="7">
        <v>0.1</v>
      </c>
      <c r="G310" s="18">
        <v>-3750000</v>
      </c>
      <c r="H310">
        <f t="shared" si="25"/>
        <v>50</v>
      </c>
    </row>
    <row r="311" spans="1:8" x14ac:dyDescent="0.4">
      <c r="A311" t="s">
        <v>510</v>
      </c>
      <c r="B311" s="18">
        <f t="shared" si="24"/>
        <v>10000000</v>
      </c>
      <c r="C311">
        <v>0</v>
      </c>
      <c r="D311" s="18">
        <v>11300000</v>
      </c>
      <c r="E311" s="18">
        <v>20000000</v>
      </c>
      <c r="F311" s="7">
        <v>0.1</v>
      </c>
      <c r="G311" s="18">
        <v>-3750000</v>
      </c>
      <c r="H311">
        <f t="shared" si="25"/>
        <v>50</v>
      </c>
    </row>
    <row r="312" spans="1:8" x14ac:dyDescent="0.4">
      <c r="A312" t="s">
        <v>497</v>
      </c>
      <c r="B312" s="18">
        <f t="shared" si="24"/>
        <v>10000000</v>
      </c>
      <c r="C312">
        <v>0</v>
      </c>
      <c r="D312" s="18">
        <v>11300000</v>
      </c>
      <c r="E312" s="18">
        <v>20000000</v>
      </c>
      <c r="F312" s="7">
        <v>0.1</v>
      </c>
      <c r="G312" s="18">
        <v>-3750000</v>
      </c>
      <c r="H312">
        <f t="shared" si="25"/>
        <v>50</v>
      </c>
    </row>
    <row r="313" spans="1:8" x14ac:dyDescent="0.4">
      <c r="A313" t="s">
        <v>498</v>
      </c>
      <c r="B313" s="18">
        <f t="shared" si="24"/>
        <v>10000000</v>
      </c>
      <c r="C313">
        <v>0</v>
      </c>
      <c r="D313" s="18">
        <v>11300000</v>
      </c>
      <c r="E313" s="18">
        <v>20000000</v>
      </c>
      <c r="F313" s="7">
        <v>0.1</v>
      </c>
      <c r="G313" s="18">
        <v>-3750000</v>
      </c>
      <c r="H313">
        <f t="shared" si="25"/>
        <v>50</v>
      </c>
    </row>
    <row r="314" spans="1:8" x14ac:dyDescent="0.4">
      <c r="A314" t="s">
        <v>509</v>
      </c>
      <c r="B314" s="18">
        <f t="shared" si="24"/>
        <v>10000000</v>
      </c>
      <c r="C314">
        <v>0</v>
      </c>
      <c r="D314" s="18">
        <v>11300000</v>
      </c>
      <c r="E314" s="18">
        <v>20000000</v>
      </c>
      <c r="F314" s="7">
        <v>0.1</v>
      </c>
      <c r="G314" s="18">
        <v>-3750000</v>
      </c>
      <c r="H314">
        <f t="shared" si="25"/>
        <v>50</v>
      </c>
    </row>
    <row r="315" spans="1:8" x14ac:dyDescent="0.4">
      <c r="A315" t="s">
        <v>499</v>
      </c>
      <c r="B315" s="18">
        <f t="shared" si="24"/>
        <v>10000000</v>
      </c>
      <c r="C315">
        <v>0</v>
      </c>
      <c r="D315" s="18">
        <v>11300000</v>
      </c>
      <c r="E315" s="18">
        <v>20000000</v>
      </c>
      <c r="F315" s="7">
        <v>0.1</v>
      </c>
      <c r="G315" s="18">
        <v>-3750000</v>
      </c>
      <c r="H315">
        <f t="shared" si="25"/>
        <v>50</v>
      </c>
    </row>
    <row r="316" spans="1:8" x14ac:dyDescent="0.4">
      <c r="A316" t="s">
        <v>508</v>
      </c>
      <c r="B316" s="18">
        <f t="shared" si="24"/>
        <v>10000000</v>
      </c>
      <c r="C316">
        <v>0</v>
      </c>
      <c r="D316" s="18">
        <v>11300000</v>
      </c>
      <c r="E316" s="18">
        <v>20000000</v>
      </c>
      <c r="F316" s="7">
        <v>0.1</v>
      </c>
      <c r="G316" s="18">
        <v>-3750000</v>
      </c>
      <c r="H316">
        <f t="shared" si="25"/>
        <v>50</v>
      </c>
    </row>
    <row r="317" spans="1:8" x14ac:dyDescent="0.4">
      <c r="A317" t="s">
        <v>500</v>
      </c>
      <c r="B317" s="18">
        <f t="shared" si="24"/>
        <v>10000000</v>
      </c>
      <c r="C317">
        <v>0</v>
      </c>
      <c r="D317" s="18">
        <v>11300000</v>
      </c>
      <c r="E317" s="18">
        <v>20000000</v>
      </c>
      <c r="F317" s="7">
        <v>0.1</v>
      </c>
      <c r="G317" s="18">
        <v>-3750000</v>
      </c>
      <c r="H317">
        <f t="shared" si="25"/>
        <v>50</v>
      </c>
    </row>
    <row r="318" spans="1:8" x14ac:dyDescent="0.4">
      <c r="A318" t="s">
        <v>507</v>
      </c>
      <c r="B318" s="18">
        <f t="shared" si="24"/>
        <v>10000000</v>
      </c>
      <c r="C318">
        <v>0</v>
      </c>
      <c r="D318" s="18">
        <v>11300000</v>
      </c>
      <c r="E318" s="18">
        <v>20000000</v>
      </c>
      <c r="F318" s="7">
        <v>0.1</v>
      </c>
      <c r="G318" s="18">
        <v>-3750000</v>
      </c>
      <c r="H318">
        <f t="shared" si="25"/>
        <v>50</v>
      </c>
    </row>
    <row r="319" spans="1:8" x14ac:dyDescent="0.4">
      <c r="A319" t="s">
        <v>501</v>
      </c>
      <c r="B319" s="18">
        <f t="shared" si="24"/>
        <v>10000000</v>
      </c>
      <c r="C319">
        <v>0</v>
      </c>
      <c r="D319" s="18">
        <v>11300000</v>
      </c>
      <c r="E319" s="18">
        <v>20000000</v>
      </c>
      <c r="F319" s="7">
        <v>0.1</v>
      </c>
      <c r="G319" s="18">
        <v>-3750000</v>
      </c>
      <c r="H319">
        <f t="shared" si="25"/>
        <v>50</v>
      </c>
    </row>
    <row r="320" spans="1:8" x14ac:dyDescent="0.4">
      <c r="A320" t="s">
        <v>502</v>
      </c>
      <c r="B320" s="18">
        <f t="shared" si="24"/>
        <v>10000000</v>
      </c>
      <c r="C320">
        <v>0</v>
      </c>
      <c r="D320" s="18">
        <v>11300000</v>
      </c>
      <c r="E320" s="18">
        <v>20000000</v>
      </c>
      <c r="F320" s="7">
        <v>0.1</v>
      </c>
      <c r="G320" s="18">
        <v>-3750000</v>
      </c>
      <c r="H320">
        <f t="shared" si="25"/>
        <v>50</v>
      </c>
    </row>
    <row r="321" spans="1:8" x14ac:dyDescent="0.4">
      <c r="A321" t="s">
        <v>503</v>
      </c>
      <c r="B321" s="18">
        <f t="shared" si="24"/>
        <v>10000000</v>
      </c>
      <c r="C321">
        <v>0</v>
      </c>
      <c r="D321" s="18">
        <v>11300000</v>
      </c>
      <c r="E321" s="18">
        <v>20000000</v>
      </c>
      <c r="F321" s="7">
        <v>0.1</v>
      </c>
      <c r="G321" s="18">
        <v>-3750000</v>
      </c>
      <c r="H321">
        <f t="shared" si="25"/>
        <v>50</v>
      </c>
    </row>
    <row r="322" spans="1:8" x14ac:dyDescent="0.4">
      <c r="A322" t="s">
        <v>504</v>
      </c>
      <c r="B322" s="18">
        <f t="shared" si="24"/>
        <v>10000000</v>
      </c>
      <c r="C322">
        <v>0</v>
      </c>
      <c r="D322" s="18">
        <v>11300000</v>
      </c>
      <c r="E322" s="18">
        <v>20000000</v>
      </c>
      <c r="F322" s="7">
        <v>0.1</v>
      </c>
      <c r="G322" s="18">
        <v>-3750000</v>
      </c>
      <c r="H322">
        <f t="shared" si="25"/>
        <v>50</v>
      </c>
    </row>
    <row r="323" spans="1:8" x14ac:dyDescent="0.4">
      <c r="A323" t="s">
        <v>505</v>
      </c>
      <c r="B323" s="18">
        <f t="shared" si="24"/>
        <v>10000000</v>
      </c>
      <c r="C323">
        <v>0</v>
      </c>
      <c r="D323" s="18">
        <v>11300000</v>
      </c>
      <c r="E323" s="18">
        <v>20000000</v>
      </c>
      <c r="F323" s="7">
        <v>0.1</v>
      </c>
      <c r="G323" s="18">
        <v>-3750000</v>
      </c>
      <c r="H323">
        <f t="shared" si="25"/>
        <v>50</v>
      </c>
    </row>
    <row r="324" spans="1:8" x14ac:dyDescent="0.4">
      <c r="A324" t="s">
        <v>506</v>
      </c>
      <c r="B324" s="18">
        <f t="shared" si="24"/>
        <v>10000000</v>
      </c>
      <c r="C324">
        <v>0</v>
      </c>
      <c r="D324" s="18">
        <v>11300000</v>
      </c>
      <c r="E324" s="18">
        <v>20000000</v>
      </c>
      <c r="F324" s="7">
        <v>0.1</v>
      </c>
      <c r="G324" s="18">
        <v>-3750000</v>
      </c>
      <c r="H324">
        <f t="shared" si="25"/>
        <v>50</v>
      </c>
    </row>
    <row r="327" spans="1:8" x14ac:dyDescent="0.4">
      <c r="A327" s="3" t="s">
        <v>1304</v>
      </c>
      <c r="B327" s="3"/>
      <c r="C327" s="3"/>
      <c r="D327" s="3"/>
      <c r="E327" s="3"/>
      <c r="F327" s="3"/>
      <c r="G327" s="3"/>
      <c r="H327" s="1"/>
    </row>
    <row r="328" spans="1:8" ht="15" thickBot="1" x14ac:dyDescent="0.45">
      <c r="A328" s="1" t="s">
        <v>1</v>
      </c>
      <c r="B328" s="1" t="s">
        <v>2</v>
      </c>
      <c r="C328" s="1" t="s">
        <v>3</v>
      </c>
      <c r="D328" s="1" t="s">
        <v>4</v>
      </c>
      <c r="E328" s="1" t="s">
        <v>5</v>
      </c>
      <c r="F328" s="1" t="s">
        <v>6</v>
      </c>
      <c r="G328" s="1" t="s">
        <v>7</v>
      </c>
      <c r="H328" s="66" t="s">
        <v>211</v>
      </c>
    </row>
    <row r="329" spans="1:8" ht="15" thickTop="1" x14ac:dyDescent="0.4">
      <c r="A329" t="s">
        <v>1305</v>
      </c>
      <c r="B329" s="18">
        <f>mole/F329*(sf_TC/100)</f>
        <v>1000000</v>
      </c>
      <c r="C329">
        <v>0</v>
      </c>
      <c r="D329" s="18">
        <v>1000</v>
      </c>
      <c r="E329" s="18">
        <v>7000</v>
      </c>
      <c r="F329" s="7">
        <v>1</v>
      </c>
      <c r="G329" s="18">
        <v>9560</v>
      </c>
      <c r="H329">
        <f>B329/(I_b*20)</f>
        <v>5</v>
      </c>
    </row>
    <row r="330" spans="1:8" x14ac:dyDescent="0.4">
      <c r="A330" t="s">
        <v>1306</v>
      </c>
      <c r="B330" s="18">
        <f>mole/F330*(sf_TC/100)</f>
        <v>10000000</v>
      </c>
      <c r="C330">
        <v>0</v>
      </c>
      <c r="D330" s="18">
        <v>1200</v>
      </c>
      <c r="E330" s="18">
        <v>3000</v>
      </c>
      <c r="F330" s="7">
        <v>0.1</v>
      </c>
      <c r="G330" s="18">
        <v>10800</v>
      </c>
      <c r="H330">
        <f>B330/(I_b*20)</f>
        <v>50</v>
      </c>
    </row>
    <row r="331" spans="1:8" x14ac:dyDescent="0.4">
      <c r="A331" t="s">
        <v>1307</v>
      </c>
      <c r="B331" s="18">
        <f>mole/F331*(sf_TC/100)</f>
        <v>1600000</v>
      </c>
      <c r="C331">
        <v>0</v>
      </c>
      <c r="D331" s="18">
        <v>2500</v>
      </c>
      <c r="E331" s="18">
        <v>7500</v>
      </c>
      <c r="F331" s="7">
        <v>0.625</v>
      </c>
      <c r="G331" s="18">
        <v>3860</v>
      </c>
      <c r="H331">
        <f>B331/(I_b*20)</f>
        <v>8</v>
      </c>
    </row>
    <row r="332" spans="1:8" x14ac:dyDescent="0.4">
      <c r="A332" t="s">
        <v>1308</v>
      </c>
      <c r="B332" s="18">
        <f>mole/F332*(sf_TC/100)</f>
        <v>15625000</v>
      </c>
      <c r="C332">
        <v>0</v>
      </c>
      <c r="D332" s="18">
        <v>8000</v>
      </c>
      <c r="E332" s="18">
        <v>12000</v>
      </c>
      <c r="F332" s="7">
        <v>6.4000000000000001E-2</v>
      </c>
      <c r="G332" s="18">
        <v>-2520</v>
      </c>
      <c r="H332">
        <f>B332/(I_b*20)</f>
        <v>78.125</v>
      </c>
    </row>
    <row r="335" spans="1:8" x14ac:dyDescent="0.4">
      <c r="A335" s="3" t="s">
        <v>164</v>
      </c>
      <c r="B335" s="3"/>
      <c r="C335" s="3"/>
      <c r="D335" s="3"/>
      <c r="E335" s="3"/>
      <c r="F335" s="3"/>
      <c r="G335" s="3"/>
      <c r="H335" s="1"/>
    </row>
    <row r="336" spans="1:8" x14ac:dyDescent="0.4">
      <c r="A336" s="1" t="s">
        <v>1</v>
      </c>
      <c r="B336" s="1" t="s">
        <v>2</v>
      </c>
      <c r="C336" s="1" t="s">
        <v>3</v>
      </c>
      <c r="D336" s="1" t="s">
        <v>4</v>
      </c>
      <c r="E336" s="1" t="s">
        <v>5</v>
      </c>
      <c r="F336" s="1" t="s">
        <v>6</v>
      </c>
      <c r="G336" s="1" t="s">
        <v>7</v>
      </c>
      <c r="H336" s="1" t="s">
        <v>211</v>
      </c>
    </row>
    <row r="337" spans="1:8" x14ac:dyDescent="0.4">
      <c r="A337" t="s">
        <v>1028</v>
      </c>
      <c r="B337" s="18">
        <f t="shared" ref="B337:B346" si="26">mole/F337*(sf_TC/100)</f>
        <v>2000000</v>
      </c>
      <c r="C337">
        <v>0</v>
      </c>
      <c r="D337" s="18">
        <v>11000</v>
      </c>
      <c r="E337" s="18">
        <v>30000</v>
      </c>
      <c r="F337" s="7">
        <v>0.5</v>
      </c>
      <c r="G337" s="18">
        <v>113</v>
      </c>
      <c r="H337">
        <f t="shared" ref="H337:H346" si="27">B337/(I_b*20)</f>
        <v>10</v>
      </c>
    </row>
    <row r="338" spans="1:8" x14ac:dyDescent="0.4">
      <c r="A338" t="s">
        <v>1029</v>
      </c>
      <c r="B338" s="18">
        <f t="shared" si="26"/>
        <v>10000000</v>
      </c>
      <c r="C338">
        <v>0</v>
      </c>
      <c r="D338" s="18">
        <v>14000</v>
      </c>
      <c r="E338" s="18">
        <v>24000</v>
      </c>
      <c r="F338" s="7">
        <v>0.1</v>
      </c>
      <c r="G338" s="18">
        <v>-226</v>
      </c>
      <c r="H338">
        <f t="shared" si="27"/>
        <v>50</v>
      </c>
    </row>
    <row r="339" spans="1:8" x14ac:dyDescent="0.4">
      <c r="A339" t="s">
        <v>1030</v>
      </c>
      <c r="B339" s="18">
        <f t="shared" si="26"/>
        <v>8000000</v>
      </c>
      <c r="C339">
        <v>0</v>
      </c>
      <c r="D339" s="18">
        <v>22000</v>
      </c>
      <c r="E339" s="18">
        <v>31000</v>
      </c>
      <c r="F339" s="7">
        <v>0.125</v>
      </c>
      <c r="G339" s="18">
        <v>-5690</v>
      </c>
      <c r="H339">
        <f t="shared" si="27"/>
        <v>40</v>
      </c>
    </row>
    <row r="340" spans="1:8" x14ac:dyDescent="0.4">
      <c r="A340" t="s">
        <v>1031</v>
      </c>
      <c r="B340" s="18">
        <f t="shared" si="26"/>
        <v>6250000</v>
      </c>
      <c r="C340">
        <v>0</v>
      </c>
      <c r="D340" s="18">
        <v>23000</v>
      </c>
      <c r="E340" s="18">
        <v>28000</v>
      </c>
      <c r="F340" s="7">
        <v>0.16</v>
      </c>
      <c r="G340" s="18">
        <v>14</v>
      </c>
      <c r="H340">
        <f t="shared" si="27"/>
        <v>31.25</v>
      </c>
    </row>
    <row r="341" spans="1:8" x14ac:dyDescent="0.4">
      <c r="A341" t="s">
        <v>1032</v>
      </c>
      <c r="B341" s="18">
        <f t="shared" si="26"/>
        <v>50000000</v>
      </c>
      <c r="C341">
        <v>0</v>
      </c>
      <c r="D341" s="18">
        <v>23000</v>
      </c>
      <c r="E341" s="18">
        <v>30000</v>
      </c>
      <c r="F341" s="7">
        <v>0.02</v>
      </c>
      <c r="G341" s="18">
        <v>1060</v>
      </c>
      <c r="H341">
        <f t="shared" si="27"/>
        <v>250</v>
      </c>
    </row>
    <row r="342" spans="1:8" x14ac:dyDescent="0.4">
      <c r="A342" t="s">
        <v>1033</v>
      </c>
      <c r="B342" s="18">
        <f t="shared" si="26"/>
        <v>50000000</v>
      </c>
      <c r="C342">
        <v>0</v>
      </c>
      <c r="D342" s="18">
        <v>23500</v>
      </c>
      <c r="E342" s="18">
        <v>30000</v>
      </c>
      <c r="F342" s="7">
        <v>0.02</v>
      </c>
      <c r="G342" s="18">
        <v>-1720</v>
      </c>
      <c r="H342">
        <f t="shared" si="27"/>
        <v>250</v>
      </c>
    </row>
    <row r="343" spans="1:8" x14ac:dyDescent="0.4">
      <c r="A343" t="s">
        <v>1034</v>
      </c>
      <c r="B343" s="18">
        <f t="shared" si="26"/>
        <v>1600000</v>
      </c>
      <c r="C343">
        <v>0</v>
      </c>
      <c r="D343" s="18">
        <v>30000</v>
      </c>
      <c r="E343" s="18">
        <v>150000</v>
      </c>
      <c r="F343" s="7">
        <v>0.625</v>
      </c>
      <c r="G343" s="18">
        <v>16900</v>
      </c>
      <c r="H343">
        <f t="shared" si="27"/>
        <v>8</v>
      </c>
    </row>
    <row r="344" spans="1:8" x14ac:dyDescent="0.4">
      <c r="A344" t="s">
        <v>1035</v>
      </c>
      <c r="B344" s="18">
        <f t="shared" si="26"/>
        <v>5000000</v>
      </c>
      <c r="C344">
        <v>0</v>
      </c>
      <c r="D344" s="18">
        <v>30000</v>
      </c>
      <c r="E344" s="18">
        <v>47000</v>
      </c>
      <c r="F344" s="7">
        <v>0.2</v>
      </c>
      <c r="G344" s="18">
        <v>-6570</v>
      </c>
      <c r="H344">
        <f t="shared" si="27"/>
        <v>25</v>
      </c>
    </row>
    <row r="345" spans="1:8" x14ac:dyDescent="0.4">
      <c r="A345" t="s">
        <v>1036</v>
      </c>
      <c r="B345" s="18">
        <f t="shared" si="26"/>
        <v>5000000</v>
      </c>
      <c r="C345">
        <v>0</v>
      </c>
      <c r="D345" s="18">
        <v>30000</v>
      </c>
      <c r="E345" s="18">
        <v>43000</v>
      </c>
      <c r="F345" s="7">
        <v>0.2</v>
      </c>
      <c r="G345" s="18">
        <v>-2730</v>
      </c>
      <c r="H345">
        <f t="shared" si="27"/>
        <v>25</v>
      </c>
    </row>
    <row r="346" spans="1:8" x14ac:dyDescent="0.4">
      <c r="A346" t="s">
        <v>1300</v>
      </c>
      <c r="B346" s="18">
        <f t="shared" si="26"/>
        <v>6250000</v>
      </c>
      <c r="C346">
        <v>0</v>
      </c>
      <c r="D346" s="18">
        <v>90000</v>
      </c>
      <c r="E346" s="18">
        <v>165000</v>
      </c>
      <c r="F346" s="7">
        <v>0.16</v>
      </c>
      <c r="G346" s="18">
        <v>-1930</v>
      </c>
      <c r="H346">
        <f t="shared" si="27"/>
        <v>31.25</v>
      </c>
    </row>
    <row r="349" spans="1:8" x14ac:dyDescent="0.4">
      <c r="A349" s="3" t="s">
        <v>165</v>
      </c>
      <c r="B349" s="3"/>
      <c r="C349" s="3"/>
      <c r="D349" s="3"/>
      <c r="E349" s="3"/>
      <c r="F349" s="3"/>
      <c r="G349" s="3"/>
      <c r="H349" s="1"/>
    </row>
    <row r="350" spans="1:8" x14ac:dyDescent="0.4">
      <c r="A350" s="1" t="s">
        <v>1</v>
      </c>
      <c r="B350" s="1" t="s">
        <v>2</v>
      </c>
      <c r="C350" s="1" t="s">
        <v>3</v>
      </c>
      <c r="D350" s="1" t="s">
        <v>4</v>
      </c>
      <c r="E350" s="1" t="s">
        <v>5</v>
      </c>
      <c r="F350" s="1" t="s">
        <v>6</v>
      </c>
      <c r="G350" s="1" t="s">
        <v>7</v>
      </c>
      <c r="H350" s="1" t="s">
        <v>211</v>
      </c>
    </row>
    <row r="351" spans="1:8" x14ac:dyDescent="0.4">
      <c r="A351" t="s">
        <v>166</v>
      </c>
      <c r="B351" s="18">
        <f t="shared" ref="B351:B375" si="28">mole/F351*(sf_TC/100)</f>
        <v>1000000</v>
      </c>
      <c r="C351">
        <v>0</v>
      </c>
      <c r="D351" s="18">
        <v>4000</v>
      </c>
      <c r="E351" s="18">
        <v>6500</v>
      </c>
      <c r="F351" s="7">
        <v>1</v>
      </c>
      <c r="G351" s="18">
        <v>5700</v>
      </c>
      <c r="H351">
        <f t="shared" ref="H351:H375" si="29">B351/(I_b*20)</f>
        <v>5</v>
      </c>
    </row>
    <row r="352" spans="1:8" x14ac:dyDescent="0.4">
      <c r="A352" t="s">
        <v>167</v>
      </c>
      <c r="B352" s="18">
        <f t="shared" si="28"/>
        <v>3125000</v>
      </c>
      <c r="C352">
        <v>0</v>
      </c>
      <c r="D352" s="18">
        <v>4000</v>
      </c>
      <c r="E352" s="18">
        <v>6000</v>
      </c>
      <c r="F352" s="7">
        <v>0.32</v>
      </c>
      <c r="G352" s="18">
        <v>35</v>
      </c>
      <c r="H352">
        <f t="shared" si="29"/>
        <v>15.625</v>
      </c>
    </row>
    <row r="353" spans="1:8" x14ac:dyDescent="0.4">
      <c r="A353" t="s">
        <v>1301</v>
      </c>
      <c r="B353" s="18">
        <f t="shared" si="28"/>
        <v>6250000</v>
      </c>
      <c r="C353">
        <v>0</v>
      </c>
      <c r="D353" s="18">
        <v>4500</v>
      </c>
      <c r="E353" s="18">
        <v>6000</v>
      </c>
      <c r="F353" s="7">
        <v>0.16</v>
      </c>
      <c r="G353" s="18">
        <v>1820</v>
      </c>
      <c r="H353">
        <f t="shared" si="29"/>
        <v>31.25</v>
      </c>
    </row>
    <row r="354" spans="1:8" x14ac:dyDescent="0.4">
      <c r="A354" t="s">
        <v>168</v>
      </c>
      <c r="B354" s="18">
        <f t="shared" si="28"/>
        <v>4000000</v>
      </c>
      <c r="C354">
        <v>0</v>
      </c>
      <c r="D354" s="18">
        <v>6000</v>
      </c>
      <c r="E354" s="18">
        <v>11000</v>
      </c>
      <c r="F354" s="7">
        <v>0.25</v>
      </c>
      <c r="G354" s="18">
        <v>-1950</v>
      </c>
      <c r="H354">
        <f t="shared" si="29"/>
        <v>20</v>
      </c>
    </row>
    <row r="355" spans="1:8" x14ac:dyDescent="0.4">
      <c r="A355" t="s">
        <v>169</v>
      </c>
      <c r="B355" s="18">
        <f t="shared" si="28"/>
        <v>6250000</v>
      </c>
      <c r="C355">
        <v>0</v>
      </c>
      <c r="D355" s="18">
        <v>11000</v>
      </c>
      <c r="E355" s="18">
        <v>17500</v>
      </c>
      <c r="F355" s="7">
        <v>0.16</v>
      </c>
      <c r="G355" s="18">
        <v>1670</v>
      </c>
      <c r="H355">
        <f t="shared" si="29"/>
        <v>31.25</v>
      </c>
    </row>
    <row r="356" spans="1:8" x14ac:dyDescent="0.4">
      <c r="A356" t="s">
        <v>170</v>
      </c>
      <c r="B356" s="18">
        <f t="shared" si="28"/>
        <v>2000000</v>
      </c>
      <c r="C356">
        <v>0</v>
      </c>
      <c r="D356" s="18">
        <v>6500</v>
      </c>
      <c r="E356" s="18">
        <v>7600</v>
      </c>
      <c r="F356" s="7">
        <v>0.5</v>
      </c>
      <c r="G356" s="18">
        <v>-2790</v>
      </c>
      <c r="H356">
        <f t="shared" si="29"/>
        <v>10</v>
      </c>
    </row>
    <row r="357" spans="1:8" x14ac:dyDescent="0.4">
      <c r="A357" t="s">
        <v>1288</v>
      </c>
      <c r="B357" s="18">
        <f t="shared" si="28"/>
        <v>2500000</v>
      </c>
      <c r="C357">
        <v>0</v>
      </c>
      <c r="D357" s="18">
        <v>12000</v>
      </c>
      <c r="E357" s="18">
        <v>17500</v>
      </c>
      <c r="F357" s="7">
        <v>0.4</v>
      </c>
      <c r="G357" s="18">
        <v>568</v>
      </c>
      <c r="H357">
        <f t="shared" si="29"/>
        <v>12.5</v>
      </c>
    </row>
    <row r="358" spans="1:8" x14ac:dyDescent="0.4">
      <c r="A358" t="s">
        <v>171</v>
      </c>
      <c r="B358" s="18">
        <f t="shared" si="28"/>
        <v>10000000</v>
      </c>
      <c r="C358">
        <v>0</v>
      </c>
      <c r="D358" s="18">
        <v>14000</v>
      </c>
      <c r="E358" s="18">
        <v>26000</v>
      </c>
      <c r="F358" s="7">
        <v>0.1</v>
      </c>
      <c r="G358" s="18">
        <v>-5330</v>
      </c>
      <c r="H358">
        <f t="shared" si="29"/>
        <v>50</v>
      </c>
    </row>
    <row r="359" spans="1:8" x14ac:dyDescent="0.4">
      <c r="A359" t="s">
        <v>172</v>
      </c>
      <c r="B359" s="18">
        <f t="shared" si="28"/>
        <v>6250000</v>
      </c>
      <c r="C359">
        <v>0</v>
      </c>
      <c r="D359" s="18">
        <v>16000</v>
      </c>
      <c r="E359" s="18">
        <v>20000</v>
      </c>
      <c r="F359" s="7">
        <v>0.16</v>
      </c>
      <c r="G359" s="18">
        <v>-1540</v>
      </c>
      <c r="H359">
        <f t="shared" si="29"/>
        <v>31.25</v>
      </c>
    </row>
    <row r="360" spans="1:8" x14ac:dyDescent="0.4">
      <c r="A360" t="s">
        <v>1287</v>
      </c>
      <c r="B360" s="18">
        <f t="shared" si="28"/>
        <v>31250000</v>
      </c>
      <c r="C360">
        <v>0</v>
      </c>
      <c r="D360" s="18">
        <v>18000</v>
      </c>
      <c r="E360" s="18">
        <v>25000</v>
      </c>
      <c r="F360" s="7">
        <v>3.2000000000000001E-2</v>
      </c>
      <c r="G360" s="18">
        <v>-9920</v>
      </c>
      <c r="H360">
        <f t="shared" si="29"/>
        <v>156.25</v>
      </c>
    </row>
    <row r="361" spans="1:8" x14ac:dyDescent="0.4">
      <c r="A361" t="s">
        <v>173</v>
      </c>
      <c r="B361" s="18">
        <f t="shared" si="28"/>
        <v>40000000</v>
      </c>
      <c r="C361">
        <v>0</v>
      </c>
      <c r="D361" s="18">
        <v>19000</v>
      </c>
      <c r="E361" s="18">
        <v>27500</v>
      </c>
      <c r="F361" s="7">
        <v>2.5000000000000001E-2</v>
      </c>
      <c r="G361" s="18">
        <v>-8730</v>
      </c>
      <c r="H361">
        <f t="shared" si="29"/>
        <v>200</v>
      </c>
    </row>
    <row r="362" spans="1:8" x14ac:dyDescent="0.4">
      <c r="A362" t="s">
        <v>174</v>
      </c>
      <c r="B362" s="18">
        <f t="shared" si="28"/>
        <v>50000000</v>
      </c>
      <c r="C362">
        <v>0</v>
      </c>
      <c r="D362" s="18">
        <v>21000</v>
      </c>
      <c r="E362" s="18">
        <v>30000</v>
      </c>
      <c r="F362" s="7">
        <v>0.02</v>
      </c>
      <c r="G362" s="18">
        <v>-10900</v>
      </c>
      <c r="H362">
        <f t="shared" si="29"/>
        <v>250</v>
      </c>
    </row>
    <row r="363" spans="1:8" x14ac:dyDescent="0.4">
      <c r="A363" t="s">
        <v>175</v>
      </c>
      <c r="B363" s="18">
        <f t="shared" si="28"/>
        <v>1000000</v>
      </c>
      <c r="C363">
        <v>0</v>
      </c>
      <c r="D363" s="18">
        <v>21200</v>
      </c>
      <c r="E363" s="18">
        <v>26600</v>
      </c>
      <c r="F363" s="7">
        <v>1</v>
      </c>
      <c r="G363" s="18">
        <v>-14800</v>
      </c>
      <c r="H363">
        <f t="shared" si="29"/>
        <v>5</v>
      </c>
    </row>
    <row r="364" spans="1:8" x14ac:dyDescent="0.4">
      <c r="A364" t="s">
        <v>176</v>
      </c>
      <c r="B364" s="18">
        <f t="shared" si="28"/>
        <v>1000000</v>
      </c>
      <c r="C364">
        <v>0</v>
      </c>
      <c r="D364" s="18">
        <v>26000</v>
      </c>
      <c r="E364" s="18">
        <v>32000</v>
      </c>
      <c r="F364" s="7">
        <v>1</v>
      </c>
      <c r="G364" s="18">
        <v>-19500</v>
      </c>
      <c r="H364">
        <f t="shared" si="29"/>
        <v>5</v>
      </c>
    </row>
    <row r="365" spans="1:8" x14ac:dyDescent="0.4">
      <c r="A365" t="s">
        <v>177</v>
      </c>
      <c r="B365" s="18">
        <f t="shared" si="28"/>
        <v>50000000</v>
      </c>
      <c r="C365">
        <v>0</v>
      </c>
      <c r="D365" s="18">
        <v>27000</v>
      </c>
      <c r="E365" s="18">
        <v>45000</v>
      </c>
      <c r="F365" s="7">
        <v>0.02</v>
      </c>
      <c r="G365" s="18">
        <v>4460</v>
      </c>
      <c r="H365">
        <f t="shared" si="29"/>
        <v>250</v>
      </c>
    </row>
    <row r="366" spans="1:8" x14ac:dyDescent="0.4">
      <c r="A366" t="s">
        <v>178</v>
      </c>
      <c r="B366" s="18">
        <f t="shared" si="28"/>
        <v>50000000</v>
      </c>
      <c r="C366">
        <v>0</v>
      </c>
      <c r="D366" s="18">
        <v>27000</v>
      </c>
      <c r="E366" s="18">
        <v>30000</v>
      </c>
      <c r="F366" s="7">
        <v>0.02</v>
      </c>
      <c r="G366" s="18">
        <v>-11300</v>
      </c>
      <c r="H366">
        <f t="shared" si="29"/>
        <v>250</v>
      </c>
    </row>
    <row r="367" spans="1:8" x14ac:dyDescent="0.4">
      <c r="A367" t="s">
        <v>179</v>
      </c>
      <c r="B367" s="18">
        <f t="shared" si="28"/>
        <v>1600000</v>
      </c>
      <c r="C367">
        <v>0</v>
      </c>
      <c r="D367" s="18">
        <v>27000</v>
      </c>
      <c r="E367" s="18">
        <v>30000</v>
      </c>
      <c r="F367" s="7">
        <v>0.625</v>
      </c>
      <c r="G367" s="18">
        <v>-23100</v>
      </c>
      <c r="H367">
        <f t="shared" si="29"/>
        <v>8</v>
      </c>
    </row>
    <row r="368" spans="1:8" x14ac:dyDescent="0.4">
      <c r="A368" t="s">
        <v>180</v>
      </c>
      <c r="B368" s="18">
        <f t="shared" si="28"/>
        <v>50000000</v>
      </c>
      <c r="C368">
        <v>0</v>
      </c>
      <c r="D368" s="18">
        <v>28000</v>
      </c>
      <c r="E368" s="18">
        <v>30000</v>
      </c>
      <c r="F368" s="7">
        <v>0.02</v>
      </c>
      <c r="G368" s="18">
        <v>-11700</v>
      </c>
      <c r="H368">
        <f t="shared" si="29"/>
        <v>250</v>
      </c>
    </row>
    <row r="369" spans="1:8" x14ac:dyDescent="0.4">
      <c r="A369" t="s">
        <v>181</v>
      </c>
      <c r="B369" s="18">
        <f t="shared" si="28"/>
        <v>4000000</v>
      </c>
      <c r="C369">
        <v>0</v>
      </c>
      <c r="D369" s="18">
        <v>30000</v>
      </c>
      <c r="E369" s="18">
        <v>56000</v>
      </c>
      <c r="F369" s="7">
        <v>0.25</v>
      </c>
      <c r="G369" s="18">
        <v>-12500</v>
      </c>
      <c r="H369">
        <f t="shared" si="29"/>
        <v>20</v>
      </c>
    </row>
    <row r="370" spans="1:8" x14ac:dyDescent="0.4">
      <c r="A370" t="s">
        <v>182</v>
      </c>
      <c r="B370" s="18">
        <f t="shared" si="28"/>
        <v>62500000</v>
      </c>
      <c r="C370">
        <v>0</v>
      </c>
      <c r="D370" s="18">
        <v>30000</v>
      </c>
      <c r="E370" s="18">
        <v>35000</v>
      </c>
      <c r="F370" s="7">
        <v>1.6E-2</v>
      </c>
      <c r="G370" s="18">
        <v>-15500</v>
      </c>
      <c r="H370">
        <f t="shared" si="29"/>
        <v>312.5</v>
      </c>
    </row>
    <row r="371" spans="1:8" x14ac:dyDescent="0.4">
      <c r="A371" t="s">
        <v>1302</v>
      </c>
      <c r="B371" s="18">
        <f t="shared" si="28"/>
        <v>7812500</v>
      </c>
      <c r="C371">
        <v>0</v>
      </c>
      <c r="D371" s="18">
        <v>34500</v>
      </c>
      <c r="E371" s="18">
        <v>42000</v>
      </c>
      <c r="F371" s="7">
        <v>0.128</v>
      </c>
      <c r="G371" s="18">
        <v>-28700</v>
      </c>
      <c r="H371">
        <f t="shared" si="29"/>
        <v>39.0625</v>
      </c>
    </row>
    <row r="372" spans="1:8" x14ac:dyDescent="0.4">
      <c r="A372" t="s">
        <v>183</v>
      </c>
      <c r="B372" s="18">
        <f t="shared" si="28"/>
        <v>4000000</v>
      </c>
      <c r="C372">
        <v>0</v>
      </c>
      <c r="D372" s="18">
        <v>38000</v>
      </c>
      <c r="E372" s="18">
        <v>50000</v>
      </c>
      <c r="F372" s="7">
        <v>0.25</v>
      </c>
      <c r="G372" s="18">
        <v>-16000</v>
      </c>
      <c r="H372">
        <f t="shared" si="29"/>
        <v>20</v>
      </c>
    </row>
    <row r="373" spans="1:8" x14ac:dyDescent="0.4">
      <c r="A373" t="s">
        <v>1303</v>
      </c>
      <c r="B373" s="18">
        <f t="shared" si="28"/>
        <v>6250000</v>
      </c>
      <c r="C373">
        <v>0</v>
      </c>
      <c r="D373" s="18">
        <v>38000</v>
      </c>
      <c r="E373" s="18">
        <v>54000</v>
      </c>
      <c r="F373" s="7">
        <v>0.16</v>
      </c>
      <c r="G373" s="18">
        <v>-20800</v>
      </c>
      <c r="H373">
        <f t="shared" si="29"/>
        <v>31.25</v>
      </c>
    </row>
    <row r="374" spans="1:8" x14ac:dyDescent="0.4">
      <c r="A374" t="s">
        <v>184</v>
      </c>
      <c r="B374" s="18">
        <f t="shared" si="28"/>
        <v>6250000</v>
      </c>
      <c r="C374">
        <v>0</v>
      </c>
      <c r="D374" s="18">
        <v>53000</v>
      </c>
      <c r="E374" s="18">
        <v>69000</v>
      </c>
      <c r="F374" s="7">
        <v>0.16</v>
      </c>
      <c r="G374" s="18">
        <v>-27400</v>
      </c>
      <c r="H374">
        <f t="shared" si="29"/>
        <v>31.25</v>
      </c>
    </row>
    <row r="375" spans="1:8" x14ac:dyDescent="0.4">
      <c r="A375" t="s">
        <v>185</v>
      </c>
      <c r="B375" s="18">
        <f t="shared" si="28"/>
        <v>15625000</v>
      </c>
      <c r="C375">
        <v>0</v>
      </c>
      <c r="D375" s="18">
        <v>100000</v>
      </c>
      <c r="E375" s="18">
        <v>145000</v>
      </c>
      <c r="F375" s="7">
        <v>6.4000000000000001E-2</v>
      </c>
      <c r="G375" s="18">
        <v>-20500</v>
      </c>
      <c r="H375">
        <f t="shared" si="29"/>
        <v>78.125</v>
      </c>
    </row>
    <row r="378" spans="1:8" x14ac:dyDescent="0.4">
      <c r="A378" s="3" t="s">
        <v>398</v>
      </c>
      <c r="B378" s="3"/>
      <c r="C378" s="3"/>
      <c r="D378" s="3"/>
      <c r="E378" s="3"/>
      <c r="F378" s="3"/>
      <c r="G378" s="3"/>
      <c r="H378" s="1"/>
    </row>
    <row r="379" spans="1:8" x14ac:dyDescent="0.4">
      <c r="A379" s="1" t="s">
        <v>1</v>
      </c>
      <c r="B379" s="1" t="s">
        <v>2</v>
      </c>
      <c r="C379" s="1" t="s">
        <v>3</v>
      </c>
      <c r="D379" s="1" t="s">
        <v>4</v>
      </c>
      <c r="E379" s="1" t="s">
        <v>5</v>
      </c>
      <c r="F379" s="1" t="s">
        <v>6</v>
      </c>
      <c r="G379" s="1" t="s">
        <v>7</v>
      </c>
      <c r="H379" s="1" t="s">
        <v>211</v>
      </c>
    </row>
    <row r="380" spans="1:8" x14ac:dyDescent="0.4">
      <c r="A380" t="s">
        <v>1286</v>
      </c>
      <c r="B380" s="18">
        <f>mole/F380*(sf_TC/100)</f>
        <v>1000000</v>
      </c>
      <c r="C380">
        <v>2</v>
      </c>
      <c r="D380" s="18">
        <v>600</v>
      </c>
      <c r="E380" s="18">
        <v>1000</v>
      </c>
      <c r="F380" s="7">
        <v>1</v>
      </c>
      <c r="G380" s="18">
        <v>0</v>
      </c>
      <c r="H380">
        <f>B380/(I_b*20)</f>
        <v>5</v>
      </c>
    </row>
    <row r="381" spans="1:8" x14ac:dyDescent="0.4">
      <c r="A381" t="s">
        <v>186</v>
      </c>
      <c r="B381" s="18">
        <f>mole/F381*(sf_TC/100)</f>
        <v>5000000</v>
      </c>
      <c r="C381">
        <v>0</v>
      </c>
      <c r="D381" s="18">
        <v>6000</v>
      </c>
      <c r="E381" s="18">
        <v>12000</v>
      </c>
      <c r="F381" s="7">
        <v>0.2</v>
      </c>
      <c r="G381" s="18">
        <v>5010</v>
      </c>
      <c r="H381">
        <f>B381/(I_b*20)</f>
        <v>25</v>
      </c>
    </row>
    <row r="384" spans="1:8" x14ac:dyDescent="0.4">
      <c r="A384" s="3" t="s">
        <v>397</v>
      </c>
      <c r="B384" s="3"/>
      <c r="C384" s="3"/>
      <c r="D384" s="3"/>
      <c r="E384" s="3"/>
      <c r="F384" s="3"/>
      <c r="G384" s="3"/>
      <c r="H384" s="1"/>
    </row>
    <row r="385" spans="1:8" x14ac:dyDescent="0.4">
      <c r="A385" s="1" t="s">
        <v>1</v>
      </c>
      <c r="B385" s="1" t="s">
        <v>2</v>
      </c>
      <c r="C385" s="1" t="s">
        <v>3</v>
      </c>
      <c r="D385" s="1" t="s">
        <v>4</v>
      </c>
      <c r="E385" s="1" t="s">
        <v>5</v>
      </c>
      <c r="F385" s="1" t="s">
        <v>6</v>
      </c>
      <c r="G385" s="1" t="s">
        <v>7</v>
      </c>
      <c r="H385" s="1" t="s">
        <v>211</v>
      </c>
    </row>
    <row r="386" spans="1:8" x14ac:dyDescent="0.4">
      <c r="A386" t="s">
        <v>187</v>
      </c>
      <c r="B386" s="18">
        <f>mole/F386*(sf_TC/100)</f>
        <v>50000000</v>
      </c>
      <c r="C386">
        <v>2</v>
      </c>
      <c r="D386" s="18">
        <v>40000</v>
      </c>
      <c r="E386" s="18">
        <v>50000</v>
      </c>
      <c r="F386" s="7">
        <v>0.02</v>
      </c>
      <c r="G386" s="18">
        <v>-24400</v>
      </c>
      <c r="H386">
        <f>B386/(I_b*20)</f>
        <v>250</v>
      </c>
    </row>
    <row r="389" spans="1:8" x14ac:dyDescent="0.4">
      <c r="A389" s="3" t="s">
        <v>396</v>
      </c>
      <c r="B389" s="3"/>
      <c r="C389" s="3"/>
      <c r="D389" s="3"/>
      <c r="E389" s="3"/>
      <c r="F389" s="3"/>
      <c r="G389" s="3"/>
      <c r="H389" s="1"/>
    </row>
    <row r="390" spans="1:8" x14ac:dyDescent="0.4">
      <c r="A390" s="1" t="s">
        <v>1</v>
      </c>
      <c r="B390" s="1" t="s">
        <v>2</v>
      </c>
      <c r="C390" s="1" t="s">
        <v>3</v>
      </c>
      <c r="D390" s="1" t="s">
        <v>4</v>
      </c>
      <c r="E390" s="1" t="s">
        <v>5</v>
      </c>
      <c r="F390" s="1" t="s">
        <v>6</v>
      </c>
      <c r="G390" s="1" t="s">
        <v>7</v>
      </c>
      <c r="H390" s="1" t="s">
        <v>211</v>
      </c>
    </row>
    <row r="391" spans="1:8" x14ac:dyDescent="0.4">
      <c r="A391" t="s">
        <v>188</v>
      </c>
      <c r="B391" s="18">
        <f>mole/F391*(sf_TC/100)</f>
        <v>100000000</v>
      </c>
      <c r="C391">
        <v>0</v>
      </c>
      <c r="D391" s="18">
        <v>0</v>
      </c>
      <c r="E391" s="18">
        <v>30000</v>
      </c>
      <c r="F391" s="7">
        <v>0.01</v>
      </c>
      <c r="G391" s="18">
        <v>25</v>
      </c>
      <c r="H391">
        <f>B391/(I_b*20)</f>
        <v>500</v>
      </c>
    </row>
    <row r="392" spans="1:8" x14ac:dyDescent="0.4">
      <c r="A392" t="s">
        <v>192</v>
      </c>
      <c r="B392" s="18">
        <f>mole/F392*(sf_TC/100)</f>
        <v>100000000</v>
      </c>
      <c r="C392">
        <v>0</v>
      </c>
      <c r="D392" s="18">
        <v>200</v>
      </c>
      <c r="E392" s="18">
        <v>30000</v>
      </c>
      <c r="F392" s="7">
        <v>0.01</v>
      </c>
      <c r="G392" s="18">
        <v>-117</v>
      </c>
      <c r="H392">
        <f>B392/(I_b*20)</f>
        <v>500</v>
      </c>
    </row>
    <row r="393" spans="1:8" x14ac:dyDescent="0.4">
      <c r="A393" t="s">
        <v>189</v>
      </c>
      <c r="B393" s="18">
        <f>mole/F393*(sf_TC/100)</f>
        <v>100000000</v>
      </c>
      <c r="C393">
        <v>0</v>
      </c>
      <c r="D393" s="18">
        <v>300</v>
      </c>
      <c r="E393" s="18">
        <v>30000</v>
      </c>
      <c r="F393" s="7">
        <v>0.01</v>
      </c>
      <c r="G393" s="18">
        <v>-271</v>
      </c>
      <c r="H393">
        <f>B393/(I_b*20)</f>
        <v>500</v>
      </c>
    </row>
    <row r="394" spans="1:8" x14ac:dyDescent="0.4">
      <c r="A394" t="s">
        <v>190</v>
      </c>
      <c r="B394" s="18">
        <f>mole/F394*(sf_TC/100)</f>
        <v>100000000</v>
      </c>
      <c r="C394">
        <v>0</v>
      </c>
      <c r="D394" s="18">
        <v>1100</v>
      </c>
      <c r="E394" s="18">
        <v>30000</v>
      </c>
      <c r="F394" s="7">
        <v>0.01</v>
      </c>
      <c r="G394" s="18">
        <v>-1010</v>
      </c>
      <c r="H394">
        <f>B394/(I_b*20)</f>
        <v>500</v>
      </c>
    </row>
    <row r="395" spans="1:8" x14ac:dyDescent="0.4">
      <c r="A395" t="s">
        <v>191</v>
      </c>
      <c r="B395" s="18">
        <f>mole/F395*(sf_TC/100)</f>
        <v>100000000</v>
      </c>
      <c r="C395">
        <v>0</v>
      </c>
      <c r="D395" s="18">
        <v>1100</v>
      </c>
      <c r="E395" s="18">
        <v>30000</v>
      </c>
      <c r="F395" s="7">
        <v>0.01</v>
      </c>
      <c r="G395" s="18">
        <v>-1070</v>
      </c>
      <c r="H395">
        <f>B395/(I_b*20)</f>
        <v>500</v>
      </c>
    </row>
    <row r="398" spans="1:8" x14ac:dyDescent="0.4">
      <c r="A398" s="3" t="s">
        <v>1007</v>
      </c>
      <c r="B398" s="3"/>
      <c r="C398" s="3"/>
      <c r="D398" s="3"/>
      <c r="E398" s="3"/>
      <c r="F398" s="3"/>
      <c r="G398" s="3"/>
      <c r="H398" s="1"/>
    </row>
    <row r="399" spans="1:8" x14ac:dyDescent="0.4">
      <c r="A399" s="1" t="s">
        <v>1</v>
      </c>
      <c r="B399" s="1" t="s">
        <v>2</v>
      </c>
      <c r="C399" s="1" t="s">
        <v>3</v>
      </c>
      <c r="D399" s="1" t="s">
        <v>4</v>
      </c>
      <c r="E399" s="1" t="s">
        <v>5</v>
      </c>
      <c r="F399" s="1" t="s">
        <v>6</v>
      </c>
      <c r="G399" s="1" t="s">
        <v>7</v>
      </c>
      <c r="H399" s="1" t="s">
        <v>211</v>
      </c>
    </row>
    <row r="400" spans="1:8" x14ac:dyDescent="0.4">
      <c r="A400" t="s">
        <v>193</v>
      </c>
      <c r="B400" s="18">
        <f>mole/F400*(sf_TC/100)</f>
        <v>100000000</v>
      </c>
      <c r="C400">
        <v>0</v>
      </c>
      <c r="D400" s="18">
        <v>0</v>
      </c>
      <c r="E400" s="18">
        <v>30000</v>
      </c>
      <c r="F400" s="7">
        <v>0.01</v>
      </c>
      <c r="G400" s="18">
        <v>44</v>
      </c>
      <c r="H400">
        <f>B400/(I_b*20)</f>
        <v>500</v>
      </c>
    </row>
    <row r="401" spans="1:8" x14ac:dyDescent="0.4">
      <c r="A401" t="s">
        <v>194</v>
      </c>
      <c r="B401" s="18">
        <f>mole/F401*(sf_TC/100)</f>
        <v>100000000</v>
      </c>
      <c r="C401">
        <v>0</v>
      </c>
      <c r="D401" s="18">
        <v>100</v>
      </c>
      <c r="E401" s="18">
        <v>30000</v>
      </c>
      <c r="F401" s="7">
        <v>0.01</v>
      </c>
      <c r="G401" s="18">
        <v>-8</v>
      </c>
      <c r="H401">
        <f>B401/(I_b*20)</f>
        <v>500</v>
      </c>
    </row>
    <row r="402" spans="1:8" x14ac:dyDescent="0.4">
      <c r="A402" t="s">
        <v>195</v>
      </c>
      <c r="B402" s="18">
        <f>mole/F402*(sf_TC/100)</f>
        <v>100000000</v>
      </c>
      <c r="C402">
        <v>0</v>
      </c>
      <c r="D402" s="18">
        <v>800</v>
      </c>
      <c r="E402" s="18">
        <v>30000</v>
      </c>
      <c r="F402" s="7">
        <v>0.01</v>
      </c>
      <c r="G402" s="18">
        <v>-751</v>
      </c>
      <c r="H402">
        <f>B402/(I_b*20)</f>
        <v>500</v>
      </c>
    </row>
    <row r="403" spans="1:8" x14ac:dyDescent="0.4">
      <c r="A403" t="s">
        <v>196</v>
      </c>
      <c r="B403" s="18">
        <f>mole/F403*(sf_TC/100)</f>
        <v>100000000</v>
      </c>
      <c r="C403">
        <v>0</v>
      </c>
      <c r="D403" s="18">
        <v>1100</v>
      </c>
      <c r="E403" s="18">
        <v>30000</v>
      </c>
      <c r="F403" s="7">
        <v>0.01</v>
      </c>
      <c r="G403" s="18">
        <v>-1050</v>
      </c>
      <c r="H403">
        <f>B403/(I_b*20)</f>
        <v>500</v>
      </c>
    </row>
    <row r="406" spans="1:8" x14ac:dyDescent="0.4">
      <c r="A406" s="3" t="s">
        <v>400</v>
      </c>
      <c r="B406" s="3"/>
      <c r="C406" s="3"/>
      <c r="D406" s="3"/>
      <c r="E406" s="3"/>
      <c r="F406" s="3"/>
      <c r="G406" s="3"/>
      <c r="H406" s="1"/>
    </row>
    <row r="407" spans="1:8" x14ac:dyDescent="0.4">
      <c r="A407" s="1" t="s">
        <v>1</v>
      </c>
      <c r="B407" s="1" t="s">
        <v>2</v>
      </c>
      <c r="C407" s="1" t="s">
        <v>3</v>
      </c>
      <c r="D407" s="1" t="s">
        <v>4</v>
      </c>
      <c r="E407" s="1" t="s">
        <v>5</v>
      </c>
      <c r="F407" s="1" t="s">
        <v>6</v>
      </c>
      <c r="G407" s="1" t="s">
        <v>7</v>
      </c>
      <c r="H407" s="1" t="s">
        <v>211</v>
      </c>
    </row>
    <row r="408" spans="1:8" x14ac:dyDescent="0.4">
      <c r="A408" t="s">
        <v>1071</v>
      </c>
      <c r="B408" s="18">
        <f>mole/F408*(sf_TC/100)</f>
        <v>25000000</v>
      </c>
      <c r="C408">
        <v>0</v>
      </c>
      <c r="D408" s="18">
        <v>70000</v>
      </c>
      <c r="E408" s="18">
        <v>320000</v>
      </c>
      <c r="F408" s="5">
        <v>0.04</v>
      </c>
      <c r="G408" s="18">
        <v>114000</v>
      </c>
      <c r="H408">
        <f>B408/(I_b*20)</f>
        <v>125</v>
      </c>
    </row>
    <row r="409" spans="1:8" x14ac:dyDescent="0.4">
      <c r="F409" s="7"/>
    </row>
    <row r="410" spans="1:8" x14ac:dyDescent="0.4">
      <c r="F410" s="7"/>
    </row>
    <row r="411" spans="1:8" ht="14.15" customHeight="1" x14ac:dyDescent="0.4">
      <c r="A411" s="3" t="s">
        <v>399</v>
      </c>
      <c r="B411" s="3"/>
      <c r="C411" s="3"/>
      <c r="D411" s="3"/>
      <c r="E411" s="3"/>
      <c r="F411" s="3"/>
      <c r="G411" s="3"/>
      <c r="H411" s="1"/>
    </row>
    <row r="412" spans="1:8" ht="14.15" customHeight="1" x14ac:dyDescent="0.4">
      <c r="A412" s="1" t="s">
        <v>1</v>
      </c>
      <c r="B412" s="1" t="s">
        <v>2</v>
      </c>
      <c r="C412" s="1" t="s">
        <v>3</v>
      </c>
      <c r="D412" s="1" t="s">
        <v>4</v>
      </c>
      <c r="E412" s="1" t="s">
        <v>5</v>
      </c>
      <c r="F412" s="1" t="s">
        <v>6</v>
      </c>
      <c r="G412" s="1" t="s">
        <v>7</v>
      </c>
      <c r="H412" s="1" t="s">
        <v>211</v>
      </c>
    </row>
    <row r="413" spans="1:8" x14ac:dyDescent="0.4">
      <c r="A413" t="s">
        <v>1110</v>
      </c>
      <c r="B413" s="18">
        <f>mole/F413*(sf_TC/100)</f>
        <v>40000000</v>
      </c>
      <c r="C413">
        <v>0</v>
      </c>
      <c r="D413" s="18">
        <v>150000</v>
      </c>
      <c r="E413" s="18">
        <v>250000</v>
      </c>
      <c r="F413" s="7">
        <v>2.5000000000000001E-2</v>
      </c>
      <c r="G413" s="18">
        <v>87500</v>
      </c>
      <c r="H413">
        <f>B413/(I_b*20)</f>
        <v>200</v>
      </c>
    </row>
    <row r="416" spans="1:8" x14ac:dyDescent="0.4">
      <c r="A416" s="3" t="s">
        <v>395</v>
      </c>
      <c r="B416" s="3"/>
      <c r="C416" s="3"/>
      <c r="D416" s="3"/>
      <c r="E416" s="3"/>
      <c r="F416" s="3"/>
      <c r="G416" s="3"/>
      <c r="H416" s="1"/>
    </row>
    <row r="417" spans="1:8" x14ac:dyDescent="0.4">
      <c r="A417" s="1" t="s">
        <v>1</v>
      </c>
      <c r="B417" s="1" t="s">
        <v>2</v>
      </c>
      <c r="C417" s="1" t="s">
        <v>3</v>
      </c>
      <c r="D417" s="1" t="s">
        <v>4</v>
      </c>
      <c r="E417" s="1" t="s">
        <v>5</v>
      </c>
      <c r="F417" s="1" t="s">
        <v>6</v>
      </c>
      <c r="G417" s="1" t="s">
        <v>7</v>
      </c>
      <c r="H417" s="1" t="s">
        <v>211</v>
      </c>
    </row>
    <row r="418" spans="1:8" x14ac:dyDescent="0.4">
      <c r="A418" t="s">
        <v>1111</v>
      </c>
      <c r="B418" s="18">
        <f>mole/F418*(sf_TC/100)</f>
        <v>1000000</v>
      </c>
      <c r="C418">
        <v>0</v>
      </c>
      <c r="D418" s="18">
        <v>0</v>
      </c>
      <c r="E418" s="18">
        <v>10000000</v>
      </c>
      <c r="F418" s="7">
        <v>1</v>
      </c>
      <c r="G418" s="18">
        <v>1460000</v>
      </c>
      <c r="H418">
        <f>B418/(I_b*20)</f>
        <v>5</v>
      </c>
    </row>
    <row r="419" spans="1:8" x14ac:dyDescent="0.4">
      <c r="A419" t="s">
        <v>1112</v>
      </c>
      <c r="B419" s="18">
        <f>mole/F419*(sf_TC/100)</f>
        <v>1000000</v>
      </c>
      <c r="C419">
        <v>0</v>
      </c>
      <c r="D419" s="18">
        <v>0</v>
      </c>
      <c r="E419" s="18">
        <v>10000000</v>
      </c>
      <c r="F419" s="7">
        <v>1</v>
      </c>
      <c r="G419" s="18">
        <v>1460000</v>
      </c>
      <c r="H419">
        <f>B419/(I_b*20)</f>
        <v>5</v>
      </c>
    </row>
    <row r="420" spans="1:8" x14ac:dyDescent="0.4">
      <c r="A420" t="s">
        <v>1113</v>
      </c>
      <c r="B420" s="18">
        <f t="shared" ref="B420:B455" si="30">mole/F420*(sf_TC/100)</f>
        <v>1000000</v>
      </c>
      <c r="C420">
        <v>0</v>
      </c>
      <c r="D420" s="18">
        <v>0</v>
      </c>
      <c r="E420" s="18">
        <v>10000000</v>
      </c>
      <c r="F420" s="7">
        <v>1</v>
      </c>
      <c r="G420" s="18">
        <v>1460000</v>
      </c>
      <c r="H420">
        <f t="shared" ref="H420:H455" si="31">B420/(I_b*20)</f>
        <v>5</v>
      </c>
    </row>
    <row r="421" spans="1:8" x14ac:dyDescent="0.4">
      <c r="A421" t="s">
        <v>1114</v>
      </c>
      <c r="B421" s="18">
        <f t="shared" si="30"/>
        <v>1000000</v>
      </c>
      <c r="C421">
        <v>0</v>
      </c>
      <c r="D421" s="18">
        <v>0</v>
      </c>
      <c r="E421" s="18">
        <v>10000000</v>
      </c>
      <c r="F421" s="7">
        <v>1</v>
      </c>
      <c r="G421" s="18">
        <v>1460000</v>
      </c>
      <c r="H421">
        <f t="shared" si="31"/>
        <v>5</v>
      </c>
    </row>
    <row r="422" spans="1:8" x14ac:dyDescent="0.4">
      <c r="A422" t="s">
        <v>1115</v>
      </c>
      <c r="B422" s="18">
        <f t="shared" si="30"/>
        <v>1000000</v>
      </c>
      <c r="C422">
        <v>0</v>
      </c>
      <c r="D422" s="18">
        <v>0</v>
      </c>
      <c r="E422" s="18">
        <v>10000000</v>
      </c>
      <c r="F422" s="7">
        <v>1</v>
      </c>
      <c r="G422" s="18">
        <v>1460000</v>
      </c>
      <c r="H422">
        <f t="shared" si="31"/>
        <v>5</v>
      </c>
    </row>
    <row r="423" spans="1:8" x14ac:dyDescent="0.4">
      <c r="A423" t="s">
        <v>1116</v>
      </c>
      <c r="B423" s="18">
        <f t="shared" si="30"/>
        <v>1000000</v>
      </c>
      <c r="C423">
        <v>0</v>
      </c>
      <c r="D423" s="18">
        <v>0</v>
      </c>
      <c r="E423" s="18">
        <v>10000000</v>
      </c>
      <c r="F423" s="7">
        <v>1</v>
      </c>
      <c r="G423" s="18">
        <v>1460000</v>
      </c>
      <c r="H423">
        <f t="shared" si="31"/>
        <v>5</v>
      </c>
    </row>
    <row r="424" spans="1:8" x14ac:dyDescent="0.4">
      <c r="A424" t="s">
        <v>1117</v>
      </c>
      <c r="B424" s="18">
        <f t="shared" si="30"/>
        <v>1000000</v>
      </c>
      <c r="C424">
        <v>0</v>
      </c>
      <c r="D424" s="18">
        <v>0</v>
      </c>
      <c r="E424" s="18">
        <v>10000000</v>
      </c>
      <c r="F424" s="7">
        <v>1</v>
      </c>
      <c r="G424" s="18">
        <v>1460000</v>
      </c>
      <c r="H424">
        <f t="shared" si="31"/>
        <v>5</v>
      </c>
    </row>
    <row r="425" spans="1:8" x14ac:dyDescent="0.4">
      <c r="A425" t="s">
        <v>1118</v>
      </c>
      <c r="B425" s="18">
        <f t="shared" si="30"/>
        <v>1000000</v>
      </c>
      <c r="C425">
        <v>0</v>
      </c>
      <c r="D425" s="18">
        <v>0</v>
      </c>
      <c r="E425" s="18">
        <v>10000000</v>
      </c>
      <c r="F425" s="7">
        <v>1</v>
      </c>
      <c r="G425" s="18">
        <v>1460000</v>
      </c>
      <c r="H425">
        <f t="shared" si="31"/>
        <v>5</v>
      </c>
    </row>
    <row r="426" spans="1:8" x14ac:dyDescent="0.4">
      <c r="A426" t="s">
        <v>1119</v>
      </c>
      <c r="B426" s="18">
        <f t="shared" si="30"/>
        <v>1000000</v>
      </c>
      <c r="C426">
        <v>0</v>
      </c>
      <c r="D426" s="18">
        <v>0</v>
      </c>
      <c r="E426" s="18">
        <v>10000000</v>
      </c>
      <c r="F426" s="7">
        <v>1</v>
      </c>
      <c r="G426" s="18">
        <v>1460000</v>
      </c>
      <c r="H426">
        <f t="shared" si="31"/>
        <v>5</v>
      </c>
    </row>
    <row r="427" spans="1:8" x14ac:dyDescent="0.4">
      <c r="A427" t="s">
        <v>1120</v>
      </c>
      <c r="B427" s="18">
        <f t="shared" si="30"/>
        <v>1000000</v>
      </c>
      <c r="C427">
        <v>0</v>
      </c>
      <c r="D427" s="18">
        <v>0</v>
      </c>
      <c r="E427" s="18">
        <v>10000000</v>
      </c>
      <c r="F427" s="7">
        <v>1</v>
      </c>
      <c r="G427" s="18">
        <v>1460000</v>
      </c>
      <c r="H427">
        <f t="shared" si="31"/>
        <v>5</v>
      </c>
    </row>
    <row r="428" spans="1:8" x14ac:dyDescent="0.4">
      <c r="A428" t="s">
        <v>1121</v>
      </c>
      <c r="B428" s="18">
        <f t="shared" si="30"/>
        <v>1000000</v>
      </c>
      <c r="C428">
        <v>0</v>
      </c>
      <c r="D428" s="18">
        <v>0</v>
      </c>
      <c r="E428" s="18">
        <v>10000000</v>
      </c>
      <c r="F428" s="7">
        <v>1</v>
      </c>
      <c r="G428" s="18">
        <v>1460000</v>
      </c>
      <c r="H428">
        <f t="shared" si="31"/>
        <v>5</v>
      </c>
    </row>
    <row r="429" spans="1:8" x14ac:dyDescent="0.4">
      <c r="A429" t="s">
        <v>1122</v>
      </c>
      <c r="B429" s="18">
        <f t="shared" si="30"/>
        <v>1000000</v>
      </c>
      <c r="C429">
        <v>0</v>
      </c>
      <c r="D429" s="18">
        <v>0</v>
      </c>
      <c r="E429" s="18">
        <v>10000000</v>
      </c>
      <c r="F429" s="7">
        <v>1</v>
      </c>
      <c r="G429" s="18">
        <v>1460000</v>
      </c>
      <c r="H429">
        <f t="shared" si="31"/>
        <v>5</v>
      </c>
    </row>
    <row r="430" spans="1:8" x14ac:dyDescent="0.4">
      <c r="A430" t="s">
        <v>1123</v>
      </c>
      <c r="B430" s="18">
        <f t="shared" si="30"/>
        <v>1000000</v>
      </c>
      <c r="C430">
        <v>0</v>
      </c>
      <c r="D430" s="18">
        <v>0</v>
      </c>
      <c r="E430" s="18">
        <v>10000000</v>
      </c>
      <c r="F430" s="7">
        <v>1</v>
      </c>
      <c r="G430" s="18">
        <v>1460000</v>
      </c>
      <c r="H430">
        <f t="shared" si="31"/>
        <v>5</v>
      </c>
    </row>
    <row r="431" spans="1:8" x14ac:dyDescent="0.4">
      <c r="A431" t="s">
        <v>1124</v>
      </c>
      <c r="B431" s="18">
        <f t="shared" si="30"/>
        <v>1000000</v>
      </c>
      <c r="C431">
        <v>0</v>
      </c>
      <c r="D431" s="18">
        <v>0</v>
      </c>
      <c r="E431" s="18">
        <v>10000000</v>
      </c>
      <c r="F431" s="7">
        <v>1</v>
      </c>
      <c r="G431" s="18">
        <v>1460000</v>
      </c>
      <c r="H431">
        <f t="shared" si="31"/>
        <v>5</v>
      </c>
    </row>
    <row r="432" spans="1:8" x14ac:dyDescent="0.4">
      <c r="A432" t="s">
        <v>1125</v>
      </c>
      <c r="B432" s="18">
        <f t="shared" si="30"/>
        <v>1000000</v>
      </c>
      <c r="C432">
        <v>0</v>
      </c>
      <c r="D432" s="18">
        <v>0</v>
      </c>
      <c r="E432" s="18">
        <v>10000000</v>
      </c>
      <c r="F432" s="7">
        <v>1</v>
      </c>
      <c r="G432" s="18">
        <v>1460000</v>
      </c>
      <c r="H432">
        <f t="shared" si="31"/>
        <v>5</v>
      </c>
    </row>
    <row r="433" spans="1:8" x14ac:dyDescent="0.4">
      <c r="A433" t="s">
        <v>1126</v>
      </c>
      <c r="B433" s="18">
        <f t="shared" si="30"/>
        <v>1000000</v>
      </c>
      <c r="C433">
        <v>0</v>
      </c>
      <c r="D433" s="18">
        <v>0</v>
      </c>
      <c r="E433" s="18">
        <v>10000000</v>
      </c>
      <c r="F433" s="7">
        <v>1</v>
      </c>
      <c r="G433" s="18">
        <v>1460000</v>
      </c>
      <c r="H433">
        <f t="shared" si="31"/>
        <v>5</v>
      </c>
    </row>
    <row r="434" spans="1:8" x14ac:dyDescent="0.4">
      <c r="A434" t="s">
        <v>1127</v>
      </c>
      <c r="B434" s="18">
        <f t="shared" si="30"/>
        <v>1000000</v>
      </c>
      <c r="C434">
        <v>0</v>
      </c>
      <c r="D434" s="18">
        <v>0</v>
      </c>
      <c r="E434" s="18">
        <v>10000000</v>
      </c>
      <c r="F434" s="7">
        <v>1</v>
      </c>
      <c r="G434" s="18">
        <v>1460000</v>
      </c>
      <c r="H434">
        <f t="shared" si="31"/>
        <v>5</v>
      </c>
    </row>
    <row r="435" spans="1:8" x14ac:dyDescent="0.4">
      <c r="A435" t="s">
        <v>1128</v>
      </c>
      <c r="B435" s="18">
        <f t="shared" si="30"/>
        <v>1000000</v>
      </c>
      <c r="C435">
        <v>0</v>
      </c>
      <c r="D435" s="18">
        <v>0</v>
      </c>
      <c r="E435" s="18">
        <v>10000000</v>
      </c>
      <c r="F435" s="7">
        <v>1</v>
      </c>
      <c r="G435" s="18">
        <v>1460000</v>
      </c>
      <c r="H435">
        <f t="shared" si="31"/>
        <v>5</v>
      </c>
    </row>
    <row r="436" spans="1:8" x14ac:dyDescent="0.4">
      <c r="A436" t="s">
        <v>1129</v>
      </c>
      <c r="B436" s="18">
        <f t="shared" si="30"/>
        <v>1000000</v>
      </c>
      <c r="C436">
        <v>0</v>
      </c>
      <c r="D436" s="18">
        <v>0</v>
      </c>
      <c r="E436" s="18">
        <v>10000000</v>
      </c>
      <c r="F436" s="7">
        <v>1</v>
      </c>
      <c r="G436" s="18">
        <v>1460000</v>
      </c>
      <c r="H436">
        <f t="shared" si="31"/>
        <v>5</v>
      </c>
    </row>
    <row r="437" spans="1:8" x14ac:dyDescent="0.4">
      <c r="A437" t="s">
        <v>1130</v>
      </c>
      <c r="B437" s="18">
        <f t="shared" si="30"/>
        <v>1000000</v>
      </c>
      <c r="C437">
        <v>0</v>
      </c>
      <c r="D437" s="18">
        <v>0</v>
      </c>
      <c r="E437" s="18">
        <v>10000000</v>
      </c>
      <c r="F437" s="7">
        <v>1</v>
      </c>
      <c r="G437" s="18">
        <v>1460000</v>
      </c>
      <c r="H437">
        <f t="shared" si="31"/>
        <v>5</v>
      </c>
    </row>
    <row r="438" spans="1:8" x14ac:dyDescent="0.4">
      <c r="A438" t="s">
        <v>1131</v>
      </c>
      <c r="B438" s="18">
        <f t="shared" si="30"/>
        <v>1000000</v>
      </c>
      <c r="C438">
        <v>0</v>
      </c>
      <c r="D438" s="18">
        <v>0</v>
      </c>
      <c r="E438" s="18">
        <v>10000000</v>
      </c>
      <c r="F438" s="7">
        <v>1</v>
      </c>
      <c r="G438" s="18">
        <v>1460000</v>
      </c>
      <c r="H438">
        <f t="shared" si="31"/>
        <v>5</v>
      </c>
    </row>
    <row r="439" spans="1:8" x14ac:dyDescent="0.4">
      <c r="A439" t="s">
        <v>1132</v>
      </c>
      <c r="B439" s="18">
        <f t="shared" si="30"/>
        <v>1000000</v>
      </c>
      <c r="C439">
        <v>0</v>
      </c>
      <c r="D439" s="18">
        <v>0</v>
      </c>
      <c r="E439" s="18">
        <v>10000000</v>
      </c>
      <c r="F439" s="7">
        <v>1</v>
      </c>
      <c r="G439" s="18">
        <v>1460000</v>
      </c>
      <c r="H439">
        <f t="shared" si="31"/>
        <v>5</v>
      </c>
    </row>
    <row r="440" spans="1:8" x14ac:dyDescent="0.4">
      <c r="A440" t="s">
        <v>1133</v>
      </c>
      <c r="B440" s="18">
        <f t="shared" si="30"/>
        <v>1000000</v>
      </c>
      <c r="C440">
        <v>0</v>
      </c>
      <c r="D440" s="18">
        <v>0</v>
      </c>
      <c r="E440" s="18">
        <v>10000000</v>
      </c>
      <c r="F440" s="7">
        <v>1</v>
      </c>
      <c r="G440" s="18">
        <v>1460000</v>
      </c>
      <c r="H440">
        <f t="shared" si="31"/>
        <v>5</v>
      </c>
    </row>
    <row r="441" spans="1:8" x14ac:dyDescent="0.4">
      <c r="A441" t="s">
        <v>1134</v>
      </c>
      <c r="B441" s="18">
        <f t="shared" si="30"/>
        <v>1000000</v>
      </c>
      <c r="C441">
        <v>0</v>
      </c>
      <c r="D441" s="18">
        <v>0</v>
      </c>
      <c r="E441" s="18">
        <v>10000000</v>
      </c>
      <c r="F441" s="7">
        <v>1</v>
      </c>
      <c r="G441" s="18">
        <v>1460000</v>
      </c>
      <c r="H441">
        <f t="shared" si="31"/>
        <v>5</v>
      </c>
    </row>
    <row r="442" spans="1:8" x14ac:dyDescent="0.4">
      <c r="A442" t="s">
        <v>1135</v>
      </c>
      <c r="B442" s="18">
        <f t="shared" si="30"/>
        <v>1000000</v>
      </c>
      <c r="C442">
        <v>0</v>
      </c>
      <c r="D442" s="18">
        <v>0</v>
      </c>
      <c r="E442" s="18">
        <v>10000000</v>
      </c>
      <c r="F442" s="7">
        <v>1</v>
      </c>
      <c r="G442" s="18">
        <v>1460000</v>
      </c>
      <c r="H442">
        <f t="shared" si="31"/>
        <v>5</v>
      </c>
    </row>
    <row r="443" spans="1:8" x14ac:dyDescent="0.4">
      <c r="A443" t="s">
        <v>1136</v>
      </c>
      <c r="B443" s="18">
        <f t="shared" si="30"/>
        <v>1000000</v>
      </c>
      <c r="C443">
        <v>0</v>
      </c>
      <c r="D443" s="18">
        <v>0</v>
      </c>
      <c r="E443" s="18">
        <v>10000000</v>
      </c>
      <c r="F443" s="7">
        <v>1</v>
      </c>
      <c r="G443" s="18">
        <v>1460000</v>
      </c>
      <c r="H443">
        <f t="shared" si="31"/>
        <v>5</v>
      </c>
    </row>
    <row r="444" spans="1:8" x14ac:dyDescent="0.4">
      <c r="A444" t="s">
        <v>1137</v>
      </c>
      <c r="B444" s="18">
        <f t="shared" si="30"/>
        <v>1000000</v>
      </c>
      <c r="C444">
        <v>0</v>
      </c>
      <c r="D444" s="18">
        <v>0</v>
      </c>
      <c r="E444" s="18">
        <v>10000000</v>
      </c>
      <c r="F444" s="7">
        <v>1</v>
      </c>
      <c r="G444" s="18">
        <v>1460000</v>
      </c>
      <c r="H444">
        <f t="shared" si="31"/>
        <v>5</v>
      </c>
    </row>
    <row r="445" spans="1:8" x14ac:dyDescent="0.4">
      <c r="A445" t="s">
        <v>1138</v>
      </c>
      <c r="B445" s="18">
        <f t="shared" si="30"/>
        <v>1000000</v>
      </c>
      <c r="C445">
        <v>0</v>
      </c>
      <c r="D445" s="18">
        <v>0</v>
      </c>
      <c r="E445" s="18">
        <v>10000000</v>
      </c>
      <c r="F445" s="7">
        <v>1</v>
      </c>
      <c r="G445" s="18">
        <v>1460000</v>
      </c>
      <c r="H445">
        <f t="shared" si="31"/>
        <v>5</v>
      </c>
    </row>
    <row r="446" spans="1:8" x14ac:dyDescent="0.4">
      <c r="A446" t="s">
        <v>1139</v>
      </c>
      <c r="B446" s="18">
        <f t="shared" si="30"/>
        <v>1000000</v>
      </c>
      <c r="C446">
        <v>0</v>
      </c>
      <c r="D446" s="18">
        <v>0</v>
      </c>
      <c r="E446" s="18">
        <v>10000000</v>
      </c>
      <c r="F446" s="7">
        <v>1</v>
      </c>
      <c r="G446" s="18">
        <v>1460000</v>
      </c>
      <c r="H446">
        <f t="shared" si="31"/>
        <v>5</v>
      </c>
    </row>
    <row r="447" spans="1:8" x14ac:dyDescent="0.4">
      <c r="A447" t="s">
        <v>1140</v>
      </c>
      <c r="B447" s="18">
        <f t="shared" si="30"/>
        <v>1000000</v>
      </c>
      <c r="C447">
        <v>0</v>
      </c>
      <c r="D447" s="18">
        <v>0</v>
      </c>
      <c r="E447" s="18">
        <v>10000000</v>
      </c>
      <c r="F447" s="7">
        <v>1</v>
      </c>
      <c r="G447" s="18">
        <v>1460000</v>
      </c>
      <c r="H447">
        <f t="shared" si="31"/>
        <v>5</v>
      </c>
    </row>
    <row r="448" spans="1:8" x14ac:dyDescent="0.4">
      <c r="A448" t="s">
        <v>1141</v>
      </c>
      <c r="B448" s="18">
        <f t="shared" si="30"/>
        <v>1000000</v>
      </c>
      <c r="C448">
        <v>0</v>
      </c>
      <c r="D448" s="18">
        <v>0</v>
      </c>
      <c r="E448" s="18">
        <v>10000000</v>
      </c>
      <c r="F448" s="7">
        <v>1</v>
      </c>
      <c r="G448" s="18">
        <v>1460000</v>
      </c>
      <c r="H448">
        <f t="shared" si="31"/>
        <v>5</v>
      </c>
    </row>
    <row r="449" spans="1:8" x14ac:dyDescent="0.4">
      <c r="A449" t="s">
        <v>1142</v>
      </c>
      <c r="B449" s="18">
        <f t="shared" si="30"/>
        <v>1000000</v>
      </c>
      <c r="C449">
        <v>0</v>
      </c>
      <c r="D449" s="18">
        <v>0</v>
      </c>
      <c r="E449" s="18">
        <v>10000000</v>
      </c>
      <c r="F449" s="7">
        <v>1</v>
      </c>
      <c r="G449" s="18">
        <v>1460000</v>
      </c>
      <c r="H449">
        <f t="shared" si="31"/>
        <v>5</v>
      </c>
    </row>
    <row r="450" spans="1:8" x14ac:dyDescent="0.4">
      <c r="A450" t="s">
        <v>1143</v>
      </c>
      <c r="B450" s="18">
        <f t="shared" si="30"/>
        <v>1000000</v>
      </c>
      <c r="C450">
        <v>0</v>
      </c>
      <c r="D450" s="18">
        <v>0</v>
      </c>
      <c r="E450" s="18">
        <v>10000000</v>
      </c>
      <c r="F450" s="7">
        <v>1</v>
      </c>
      <c r="G450" s="18">
        <v>1460000</v>
      </c>
      <c r="H450">
        <f t="shared" si="31"/>
        <v>5</v>
      </c>
    </row>
    <row r="451" spans="1:8" x14ac:dyDescent="0.4">
      <c r="A451" t="s">
        <v>1144</v>
      </c>
      <c r="B451" s="18">
        <f t="shared" si="30"/>
        <v>1000000</v>
      </c>
      <c r="C451">
        <v>0</v>
      </c>
      <c r="D451" s="18">
        <v>0</v>
      </c>
      <c r="E451" s="18">
        <v>10000000</v>
      </c>
      <c r="F451" s="7">
        <v>1</v>
      </c>
      <c r="G451" s="18">
        <v>1460000</v>
      </c>
      <c r="H451">
        <f t="shared" si="31"/>
        <v>5</v>
      </c>
    </row>
    <row r="452" spans="1:8" x14ac:dyDescent="0.4">
      <c r="A452" t="s">
        <v>1145</v>
      </c>
      <c r="B452" s="18">
        <f t="shared" si="30"/>
        <v>1000000</v>
      </c>
      <c r="C452">
        <v>0</v>
      </c>
      <c r="D452" s="18">
        <v>0</v>
      </c>
      <c r="E452" s="18">
        <v>10000000</v>
      </c>
      <c r="F452" s="7">
        <v>1</v>
      </c>
      <c r="G452" s="18">
        <v>1460000</v>
      </c>
      <c r="H452">
        <f t="shared" si="31"/>
        <v>5</v>
      </c>
    </row>
    <row r="453" spans="1:8" x14ac:dyDescent="0.4">
      <c r="A453" t="s">
        <v>1146</v>
      </c>
      <c r="B453" s="18">
        <f t="shared" si="30"/>
        <v>1000000</v>
      </c>
      <c r="C453">
        <v>0</v>
      </c>
      <c r="D453" s="18">
        <v>0</v>
      </c>
      <c r="E453" s="18">
        <v>10000000</v>
      </c>
      <c r="F453" s="7">
        <v>1</v>
      </c>
      <c r="G453" s="18">
        <v>1460000</v>
      </c>
      <c r="H453">
        <f t="shared" si="31"/>
        <v>5</v>
      </c>
    </row>
    <row r="454" spans="1:8" x14ac:dyDescent="0.4">
      <c r="A454" t="s">
        <v>1147</v>
      </c>
      <c r="B454" s="18">
        <f t="shared" si="30"/>
        <v>1000000</v>
      </c>
      <c r="C454">
        <v>0</v>
      </c>
      <c r="D454" s="18">
        <v>0</v>
      </c>
      <c r="E454" s="18">
        <v>10000000</v>
      </c>
      <c r="F454" s="7">
        <v>1</v>
      </c>
      <c r="G454" s="18">
        <v>1460000</v>
      </c>
      <c r="H454">
        <f t="shared" si="31"/>
        <v>5</v>
      </c>
    </row>
    <row r="455" spans="1:8" x14ac:dyDescent="0.4">
      <c r="A455" t="s">
        <v>1148</v>
      </c>
      <c r="B455" s="18">
        <f t="shared" si="30"/>
        <v>1000000</v>
      </c>
      <c r="C455">
        <v>0</v>
      </c>
      <c r="D455" s="18">
        <v>0</v>
      </c>
      <c r="E455" s="18">
        <v>10000000</v>
      </c>
      <c r="F455" s="7">
        <v>1</v>
      </c>
      <c r="G455" s="18">
        <v>1460000</v>
      </c>
      <c r="H455">
        <f t="shared" si="31"/>
        <v>5</v>
      </c>
    </row>
    <row r="458" spans="1:8" x14ac:dyDescent="0.4">
      <c r="A458" s="3" t="s">
        <v>421</v>
      </c>
      <c r="B458" s="3"/>
      <c r="C458" s="3"/>
      <c r="D458" s="3"/>
      <c r="E458" s="3"/>
      <c r="F458" s="3"/>
      <c r="G458" s="3"/>
      <c r="H458" s="1"/>
    </row>
    <row r="459" spans="1:8" x14ac:dyDescent="0.4">
      <c r="A459" s="1" t="s">
        <v>1</v>
      </c>
      <c r="B459" s="1" t="s">
        <v>2</v>
      </c>
      <c r="C459" s="1" t="s">
        <v>3</v>
      </c>
      <c r="D459" s="1" t="s">
        <v>4</v>
      </c>
      <c r="E459" s="1" t="s">
        <v>5</v>
      </c>
      <c r="F459" s="1" t="s">
        <v>6</v>
      </c>
      <c r="G459" s="1" t="s">
        <v>7</v>
      </c>
      <c r="H459" s="1" t="s">
        <v>211</v>
      </c>
    </row>
    <row r="460" spans="1:8" x14ac:dyDescent="0.4">
      <c r="A460" t="s">
        <v>1149</v>
      </c>
      <c r="B460" s="18">
        <f>mole/F460*(sf_TC/100)</f>
        <v>1000000</v>
      </c>
      <c r="C460">
        <v>0</v>
      </c>
      <c r="D460" s="18">
        <v>0</v>
      </c>
      <c r="E460" s="18">
        <v>10000000</v>
      </c>
      <c r="F460" s="7">
        <v>1</v>
      </c>
      <c r="G460" s="18">
        <v>2090000</v>
      </c>
      <c r="H460">
        <f>B460/(I_b*20)</f>
        <v>5</v>
      </c>
    </row>
    <row r="461" spans="1:8" x14ac:dyDescent="0.4">
      <c r="A461" t="s">
        <v>1150</v>
      </c>
      <c r="B461" s="18">
        <f>mole/F461*(sf_TC/100)</f>
        <v>1000000</v>
      </c>
      <c r="C461">
        <v>0</v>
      </c>
      <c r="D461" s="18">
        <v>0</v>
      </c>
      <c r="E461" s="18">
        <v>10000000</v>
      </c>
      <c r="F461" s="7">
        <v>1</v>
      </c>
      <c r="G461" s="18">
        <v>2090000</v>
      </c>
      <c r="H461">
        <f>B461/(I_b*20)</f>
        <v>5</v>
      </c>
    </row>
    <row r="462" spans="1:8" x14ac:dyDescent="0.4">
      <c r="A462" t="s">
        <v>1151</v>
      </c>
      <c r="B462" s="18">
        <f t="shared" ref="B462:B497" si="32">mole/F462*(sf_TC/100)</f>
        <v>1000000</v>
      </c>
      <c r="C462">
        <v>0</v>
      </c>
      <c r="D462" s="18">
        <v>0</v>
      </c>
      <c r="E462" s="18">
        <v>10000000</v>
      </c>
      <c r="F462" s="7">
        <v>1</v>
      </c>
      <c r="G462" s="18">
        <v>2090000</v>
      </c>
      <c r="H462">
        <f t="shared" ref="H462:H497" si="33">B462/(I_b*20)</f>
        <v>5</v>
      </c>
    </row>
    <row r="463" spans="1:8" x14ac:dyDescent="0.4">
      <c r="A463" t="s">
        <v>1152</v>
      </c>
      <c r="B463" s="18">
        <f t="shared" si="32"/>
        <v>1000000</v>
      </c>
      <c r="C463">
        <v>0</v>
      </c>
      <c r="D463" s="18">
        <v>0</v>
      </c>
      <c r="E463" s="18">
        <v>10000000</v>
      </c>
      <c r="F463" s="7">
        <v>1</v>
      </c>
      <c r="G463" s="18">
        <v>2090000</v>
      </c>
      <c r="H463">
        <f t="shared" si="33"/>
        <v>5</v>
      </c>
    </row>
    <row r="464" spans="1:8" x14ac:dyDescent="0.4">
      <c r="A464" t="s">
        <v>1153</v>
      </c>
      <c r="B464" s="18">
        <f t="shared" si="32"/>
        <v>1000000</v>
      </c>
      <c r="C464">
        <v>0</v>
      </c>
      <c r="D464" s="18">
        <v>0</v>
      </c>
      <c r="E464" s="18">
        <v>10000000</v>
      </c>
      <c r="F464" s="7">
        <v>1</v>
      </c>
      <c r="G464" s="18">
        <v>2090000</v>
      </c>
      <c r="H464">
        <f t="shared" si="33"/>
        <v>5</v>
      </c>
    </row>
    <row r="465" spans="1:8" x14ac:dyDescent="0.4">
      <c r="A465" t="s">
        <v>1154</v>
      </c>
      <c r="B465" s="18">
        <f t="shared" si="32"/>
        <v>1000000</v>
      </c>
      <c r="C465">
        <v>0</v>
      </c>
      <c r="D465" s="18">
        <v>0</v>
      </c>
      <c r="E465" s="18">
        <v>10000000</v>
      </c>
      <c r="F465" s="7">
        <v>1</v>
      </c>
      <c r="G465" s="18">
        <v>2090000</v>
      </c>
      <c r="H465">
        <f t="shared" si="33"/>
        <v>5</v>
      </c>
    </row>
    <row r="466" spans="1:8" x14ac:dyDescent="0.4">
      <c r="A466" t="s">
        <v>1155</v>
      </c>
      <c r="B466" s="18">
        <f t="shared" si="32"/>
        <v>1000000</v>
      </c>
      <c r="C466">
        <v>0</v>
      </c>
      <c r="D466" s="18">
        <v>0</v>
      </c>
      <c r="E466" s="18">
        <v>10000000</v>
      </c>
      <c r="F466" s="7">
        <v>1</v>
      </c>
      <c r="G466" s="18">
        <v>2090000</v>
      </c>
      <c r="H466">
        <f t="shared" si="33"/>
        <v>5</v>
      </c>
    </row>
    <row r="467" spans="1:8" x14ac:dyDescent="0.4">
      <c r="A467" t="s">
        <v>1156</v>
      </c>
      <c r="B467" s="18">
        <f t="shared" si="32"/>
        <v>1000000</v>
      </c>
      <c r="C467">
        <v>0</v>
      </c>
      <c r="D467" s="18">
        <v>0</v>
      </c>
      <c r="E467" s="18">
        <v>10000000</v>
      </c>
      <c r="F467" s="7">
        <v>1</v>
      </c>
      <c r="G467" s="18">
        <v>2090000</v>
      </c>
      <c r="H467">
        <f t="shared" si="33"/>
        <v>5</v>
      </c>
    </row>
    <row r="468" spans="1:8" x14ac:dyDescent="0.4">
      <c r="A468" t="s">
        <v>1157</v>
      </c>
      <c r="B468" s="18">
        <f t="shared" si="32"/>
        <v>1000000</v>
      </c>
      <c r="C468">
        <v>0</v>
      </c>
      <c r="D468" s="18">
        <v>0</v>
      </c>
      <c r="E468" s="18">
        <v>10000000</v>
      </c>
      <c r="F468" s="7">
        <v>1</v>
      </c>
      <c r="G468" s="18">
        <v>2090000</v>
      </c>
      <c r="H468">
        <f t="shared" si="33"/>
        <v>5</v>
      </c>
    </row>
    <row r="469" spans="1:8" x14ac:dyDescent="0.4">
      <c r="A469" t="s">
        <v>1158</v>
      </c>
      <c r="B469" s="18">
        <f t="shared" si="32"/>
        <v>1000000</v>
      </c>
      <c r="C469">
        <v>0</v>
      </c>
      <c r="D469" s="18">
        <v>0</v>
      </c>
      <c r="E469" s="18">
        <v>10000000</v>
      </c>
      <c r="F469" s="7">
        <v>1</v>
      </c>
      <c r="G469" s="18">
        <v>2090000</v>
      </c>
      <c r="H469">
        <f t="shared" si="33"/>
        <v>5</v>
      </c>
    </row>
    <row r="470" spans="1:8" x14ac:dyDescent="0.4">
      <c r="A470" t="s">
        <v>1159</v>
      </c>
      <c r="B470" s="18">
        <f t="shared" si="32"/>
        <v>1000000</v>
      </c>
      <c r="C470">
        <v>0</v>
      </c>
      <c r="D470" s="18">
        <v>0</v>
      </c>
      <c r="E470" s="18">
        <v>10000000</v>
      </c>
      <c r="F470" s="7">
        <v>1</v>
      </c>
      <c r="G470" s="18">
        <v>2090000</v>
      </c>
      <c r="H470">
        <f t="shared" si="33"/>
        <v>5</v>
      </c>
    </row>
    <row r="471" spans="1:8" x14ac:dyDescent="0.4">
      <c r="A471" t="s">
        <v>1160</v>
      </c>
      <c r="B471" s="18">
        <f t="shared" si="32"/>
        <v>1000000</v>
      </c>
      <c r="C471">
        <v>0</v>
      </c>
      <c r="D471" s="18">
        <v>0</v>
      </c>
      <c r="E471" s="18">
        <v>10000000</v>
      </c>
      <c r="F471" s="7">
        <v>1</v>
      </c>
      <c r="G471" s="18">
        <v>2090000</v>
      </c>
      <c r="H471">
        <f t="shared" si="33"/>
        <v>5</v>
      </c>
    </row>
    <row r="472" spans="1:8" x14ac:dyDescent="0.4">
      <c r="A472" t="s">
        <v>1161</v>
      </c>
      <c r="B472" s="18">
        <f t="shared" si="32"/>
        <v>1000000</v>
      </c>
      <c r="C472">
        <v>0</v>
      </c>
      <c r="D472" s="18">
        <v>0</v>
      </c>
      <c r="E472" s="18">
        <v>10000000</v>
      </c>
      <c r="F472" s="7">
        <v>1</v>
      </c>
      <c r="G472" s="18">
        <v>2090000</v>
      </c>
      <c r="H472">
        <f t="shared" si="33"/>
        <v>5</v>
      </c>
    </row>
    <row r="473" spans="1:8" x14ac:dyDescent="0.4">
      <c r="A473" t="s">
        <v>1162</v>
      </c>
      <c r="B473" s="18">
        <f t="shared" si="32"/>
        <v>1000000</v>
      </c>
      <c r="C473">
        <v>0</v>
      </c>
      <c r="D473" s="18">
        <v>0</v>
      </c>
      <c r="E473" s="18">
        <v>10000000</v>
      </c>
      <c r="F473" s="7">
        <v>1</v>
      </c>
      <c r="G473" s="18">
        <v>2090000</v>
      </c>
      <c r="H473">
        <f t="shared" si="33"/>
        <v>5</v>
      </c>
    </row>
    <row r="474" spans="1:8" x14ac:dyDescent="0.4">
      <c r="A474" t="s">
        <v>1163</v>
      </c>
      <c r="B474" s="18">
        <f t="shared" si="32"/>
        <v>1000000</v>
      </c>
      <c r="C474">
        <v>0</v>
      </c>
      <c r="D474" s="18">
        <v>0</v>
      </c>
      <c r="E474" s="18">
        <v>10000000</v>
      </c>
      <c r="F474" s="7">
        <v>1</v>
      </c>
      <c r="G474" s="18">
        <v>2090000</v>
      </c>
      <c r="H474">
        <f t="shared" si="33"/>
        <v>5</v>
      </c>
    </row>
    <row r="475" spans="1:8" x14ac:dyDescent="0.4">
      <c r="A475" t="s">
        <v>1164</v>
      </c>
      <c r="B475" s="18">
        <f t="shared" si="32"/>
        <v>1000000</v>
      </c>
      <c r="C475">
        <v>0</v>
      </c>
      <c r="D475" s="18">
        <v>0</v>
      </c>
      <c r="E475" s="18">
        <v>10000000</v>
      </c>
      <c r="F475" s="7">
        <v>1</v>
      </c>
      <c r="G475" s="18">
        <v>2090000</v>
      </c>
      <c r="H475">
        <f t="shared" si="33"/>
        <v>5</v>
      </c>
    </row>
    <row r="476" spans="1:8" x14ac:dyDescent="0.4">
      <c r="A476" t="s">
        <v>1165</v>
      </c>
      <c r="B476" s="18">
        <f t="shared" si="32"/>
        <v>1000000</v>
      </c>
      <c r="C476">
        <v>0</v>
      </c>
      <c r="D476" s="18">
        <v>0</v>
      </c>
      <c r="E476" s="18">
        <v>10000000</v>
      </c>
      <c r="F476" s="7">
        <v>1</v>
      </c>
      <c r="G476" s="18">
        <v>2090000</v>
      </c>
      <c r="H476">
        <f t="shared" si="33"/>
        <v>5</v>
      </c>
    </row>
    <row r="477" spans="1:8" x14ac:dyDescent="0.4">
      <c r="A477" t="s">
        <v>1166</v>
      </c>
      <c r="B477" s="18">
        <f t="shared" si="32"/>
        <v>1000000</v>
      </c>
      <c r="C477">
        <v>0</v>
      </c>
      <c r="D477" s="18">
        <v>0</v>
      </c>
      <c r="E477" s="18">
        <v>10000000</v>
      </c>
      <c r="F477" s="7">
        <v>1</v>
      </c>
      <c r="G477" s="18">
        <v>2090000</v>
      </c>
      <c r="H477">
        <f t="shared" si="33"/>
        <v>5</v>
      </c>
    </row>
    <row r="478" spans="1:8" x14ac:dyDescent="0.4">
      <c r="A478" t="s">
        <v>1167</v>
      </c>
      <c r="B478" s="18">
        <f t="shared" si="32"/>
        <v>1000000</v>
      </c>
      <c r="C478">
        <v>0</v>
      </c>
      <c r="D478" s="18">
        <v>0</v>
      </c>
      <c r="E478" s="18">
        <v>10000000</v>
      </c>
      <c r="F478" s="7">
        <v>1</v>
      </c>
      <c r="G478" s="18">
        <v>2090000</v>
      </c>
      <c r="H478">
        <f t="shared" si="33"/>
        <v>5</v>
      </c>
    </row>
    <row r="479" spans="1:8" x14ac:dyDescent="0.4">
      <c r="A479" t="s">
        <v>1168</v>
      </c>
      <c r="B479" s="18">
        <f t="shared" si="32"/>
        <v>1000000</v>
      </c>
      <c r="C479">
        <v>0</v>
      </c>
      <c r="D479" s="18">
        <v>0</v>
      </c>
      <c r="E479" s="18">
        <v>10000000</v>
      </c>
      <c r="F479" s="7">
        <v>1</v>
      </c>
      <c r="G479" s="18">
        <v>2090000</v>
      </c>
      <c r="H479">
        <f t="shared" si="33"/>
        <v>5</v>
      </c>
    </row>
    <row r="480" spans="1:8" x14ac:dyDescent="0.4">
      <c r="A480" t="s">
        <v>1169</v>
      </c>
      <c r="B480" s="18">
        <f t="shared" si="32"/>
        <v>1000000</v>
      </c>
      <c r="C480">
        <v>0</v>
      </c>
      <c r="D480" s="18">
        <v>0</v>
      </c>
      <c r="E480" s="18">
        <v>10000000</v>
      </c>
      <c r="F480" s="7">
        <v>1</v>
      </c>
      <c r="G480" s="18">
        <v>2090000</v>
      </c>
      <c r="H480">
        <f t="shared" si="33"/>
        <v>5</v>
      </c>
    </row>
    <row r="481" spans="1:8" x14ac:dyDescent="0.4">
      <c r="A481" t="s">
        <v>1170</v>
      </c>
      <c r="B481" s="18">
        <f t="shared" si="32"/>
        <v>1000000</v>
      </c>
      <c r="C481">
        <v>0</v>
      </c>
      <c r="D481" s="18">
        <v>0</v>
      </c>
      <c r="E481" s="18">
        <v>10000000</v>
      </c>
      <c r="F481" s="7">
        <v>1</v>
      </c>
      <c r="G481" s="18">
        <v>2090000</v>
      </c>
      <c r="H481">
        <f t="shared" si="33"/>
        <v>5</v>
      </c>
    </row>
    <row r="482" spans="1:8" x14ac:dyDescent="0.4">
      <c r="A482" t="s">
        <v>1171</v>
      </c>
      <c r="B482" s="18">
        <f t="shared" si="32"/>
        <v>1000000</v>
      </c>
      <c r="C482">
        <v>0</v>
      </c>
      <c r="D482" s="18">
        <v>0</v>
      </c>
      <c r="E482" s="18">
        <v>10000000</v>
      </c>
      <c r="F482" s="7">
        <v>1</v>
      </c>
      <c r="G482" s="18">
        <v>2090000</v>
      </c>
      <c r="H482">
        <f t="shared" si="33"/>
        <v>5</v>
      </c>
    </row>
    <row r="483" spans="1:8" x14ac:dyDescent="0.4">
      <c r="A483" t="s">
        <v>1172</v>
      </c>
      <c r="B483" s="18">
        <f t="shared" si="32"/>
        <v>1000000</v>
      </c>
      <c r="C483">
        <v>0</v>
      </c>
      <c r="D483" s="18">
        <v>0</v>
      </c>
      <c r="E483" s="18">
        <v>10000000</v>
      </c>
      <c r="F483" s="7">
        <v>1</v>
      </c>
      <c r="G483" s="18">
        <v>2090000</v>
      </c>
      <c r="H483">
        <f t="shared" si="33"/>
        <v>5</v>
      </c>
    </row>
    <row r="484" spans="1:8" x14ac:dyDescent="0.4">
      <c r="A484" t="s">
        <v>1173</v>
      </c>
      <c r="B484" s="18">
        <f t="shared" si="32"/>
        <v>1000000</v>
      </c>
      <c r="C484">
        <v>0</v>
      </c>
      <c r="D484" s="18">
        <v>0</v>
      </c>
      <c r="E484" s="18">
        <v>10000000</v>
      </c>
      <c r="F484" s="7">
        <v>1</v>
      </c>
      <c r="G484" s="18">
        <v>2090000</v>
      </c>
      <c r="H484">
        <f t="shared" si="33"/>
        <v>5</v>
      </c>
    </row>
    <row r="485" spans="1:8" x14ac:dyDescent="0.4">
      <c r="A485" t="s">
        <v>1174</v>
      </c>
      <c r="B485" s="18">
        <f t="shared" si="32"/>
        <v>1000000</v>
      </c>
      <c r="C485">
        <v>0</v>
      </c>
      <c r="D485" s="18">
        <v>0</v>
      </c>
      <c r="E485" s="18">
        <v>10000000</v>
      </c>
      <c r="F485" s="7">
        <v>1</v>
      </c>
      <c r="G485" s="18">
        <v>2090000</v>
      </c>
      <c r="H485">
        <f t="shared" si="33"/>
        <v>5</v>
      </c>
    </row>
    <row r="486" spans="1:8" x14ac:dyDescent="0.4">
      <c r="A486" t="s">
        <v>1175</v>
      </c>
      <c r="B486" s="18">
        <f t="shared" si="32"/>
        <v>1000000</v>
      </c>
      <c r="C486">
        <v>0</v>
      </c>
      <c r="D486" s="18">
        <v>0</v>
      </c>
      <c r="E486" s="18">
        <v>10000000</v>
      </c>
      <c r="F486" s="7">
        <v>1</v>
      </c>
      <c r="G486" s="18">
        <v>2090000</v>
      </c>
      <c r="H486">
        <f t="shared" si="33"/>
        <v>5</v>
      </c>
    </row>
    <row r="487" spans="1:8" x14ac:dyDescent="0.4">
      <c r="A487" t="s">
        <v>1176</v>
      </c>
      <c r="B487" s="18">
        <f t="shared" si="32"/>
        <v>1000000</v>
      </c>
      <c r="C487">
        <v>0</v>
      </c>
      <c r="D487" s="18">
        <v>0</v>
      </c>
      <c r="E487" s="18">
        <v>10000000</v>
      </c>
      <c r="F487" s="7">
        <v>1</v>
      </c>
      <c r="G487" s="18">
        <v>2090000</v>
      </c>
      <c r="H487">
        <f t="shared" si="33"/>
        <v>5</v>
      </c>
    </row>
    <row r="488" spans="1:8" x14ac:dyDescent="0.4">
      <c r="A488" t="s">
        <v>1177</v>
      </c>
      <c r="B488" s="18">
        <f t="shared" si="32"/>
        <v>1000000</v>
      </c>
      <c r="C488">
        <v>0</v>
      </c>
      <c r="D488" s="18">
        <v>0</v>
      </c>
      <c r="E488" s="18">
        <v>10000000</v>
      </c>
      <c r="F488" s="7">
        <v>1</v>
      </c>
      <c r="G488" s="18">
        <v>2090000</v>
      </c>
      <c r="H488">
        <f t="shared" si="33"/>
        <v>5</v>
      </c>
    </row>
    <row r="489" spans="1:8" x14ac:dyDescent="0.4">
      <c r="A489" t="s">
        <v>1178</v>
      </c>
      <c r="B489" s="18">
        <f t="shared" si="32"/>
        <v>1000000</v>
      </c>
      <c r="C489">
        <v>0</v>
      </c>
      <c r="D489" s="18">
        <v>0</v>
      </c>
      <c r="E489" s="18">
        <v>10000000</v>
      </c>
      <c r="F489" s="7">
        <v>1</v>
      </c>
      <c r="G489" s="18">
        <v>2090000</v>
      </c>
      <c r="H489">
        <f t="shared" si="33"/>
        <v>5</v>
      </c>
    </row>
    <row r="490" spans="1:8" x14ac:dyDescent="0.4">
      <c r="A490" t="s">
        <v>1179</v>
      </c>
      <c r="B490" s="18">
        <f t="shared" si="32"/>
        <v>1000000</v>
      </c>
      <c r="C490">
        <v>0</v>
      </c>
      <c r="D490" s="18">
        <v>0</v>
      </c>
      <c r="E490" s="18">
        <v>10000000</v>
      </c>
      <c r="F490" s="7">
        <v>1</v>
      </c>
      <c r="G490" s="18">
        <v>2090000</v>
      </c>
      <c r="H490">
        <f t="shared" si="33"/>
        <v>5</v>
      </c>
    </row>
    <row r="491" spans="1:8" x14ac:dyDescent="0.4">
      <c r="A491" t="s">
        <v>1180</v>
      </c>
      <c r="B491" s="18">
        <f t="shared" si="32"/>
        <v>1000000</v>
      </c>
      <c r="C491">
        <v>0</v>
      </c>
      <c r="D491" s="18">
        <v>0</v>
      </c>
      <c r="E491" s="18">
        <v>10000000</v>
      </c>
      <c r="F491" s="7">
        <v>1</v>
      </c>
      <c r="G491" s="18">
        <v>2090000</v>
      </c>
      <c r="H491">
        <f t="shared" si="33"/>
        <v>5</v>
      </c>
    </row>
    <row r="492" spans="1:8" x14ac:dyDescent="0.4">
      <c r="A492" t="s">
        <v>1181</v>
      </c>
      <c r="B492" s="18">
        <f t="shared" si="32"/>
        <v>1000000</v>
      </c>
      <c r="C492">
        <v>0</v>
      </c>
      <c r="D492" s="18">
        <v>0</v>
      </c>
      <c r="E492" s="18">
        <v>10000000</v>
      </c>
      <c r="F492" s="7">
        <v>1</v>
      </c>
      <c r="G492" s="18">
        <v>2090000</v>
      </c>
      <c r="H492">
        <f t="shared" si="33"/>
        <v>5</v>
      </c>
    </row>
    <row r="493" spans="1:8" x14ac:dyDescent="0.4">
      <c r="A493" t="s">
        <v>1182</v>
      </c>
      <c r="B493" s="18">
        <f t="shared" si="32"/>
        <v>1000000</v>
      </c>
      <c r="C493">
        <v>0</v>
      </c>
      <c r="D493" s="18">
        <v>0</v>
      </c>
      <c r="E493" s="18">
        <v>10000000</v>
      </c>
      <c r="F493" s="7">
        <v>1</v>
      </c>
      <c r="G493" s="18">
        <v>2090000</v>
      </c>
      <c r="H493">
        <f t="shared" si="33"/>
        <v>5</v>
      </c>
    </row>
    <row r="494" spans="1:8" x14ac:dyDescent="0.4">
      <c r="A494" t="s">
        <v>1183</v>
      </c>
      <c r="B494" s="18">
        <f t="shared" si="32"/>
        <v>1000000</v>
      </c>
      <c r="C494">
        <v>0</v>
      </c>
      <c r="D494" s="18">
        <v>0</v>
      </c>
      <c r="E494" s="18">
        <v>10000000</v>
      </c>
      <c r="F494" s="7">
        <v>1</v>
      </c>
      <c r="G494" s="18">
        <v>2090000</v>
      </c>
      <c r="H494">
        <f t="shared" si="33"/>
        <v>5</v>
      </c>
    </row>
    <row r="495" spans="1:8" x14ac:dyDescent="0.4">
      <c r="A495" t="s">
        <v>1184</v>
      </c>
      <c r="B495" s="18">
        <f t="shared" si="32"/>
        <v>1000000</v>
      </c>
      <c r="C495">
        <v>0</v>
      </c>
      <c r="D495" s="18">
        <v>0</v>
      </c>
      <c r="E495" s="18">
        <v>10000000</v>
      </c>
      <c r="F495" s="7">
        <v>1</v>
      </c>
      <c r="G495" s="18">
        <v>2090000</v>
      </c>
      <c r="H495">
        <f t="shared" si="33"/>
        <v>5</v>
      </c>
    </row>
    <row r="496" spans="1:8" x14ac:dyDescent="0.4">
      <c r="A496" t="s">
        <v>1185</v>
      </c>
      <c r="B496" s="18">
        <f t="shared" si="32"/>
        <v>1000000</v>
      </c>
      <c r="C496">
        <v>0</v>
      </c>
      <c r="D496" s="18">
        <v>0</v>
      </c>
      <c r="E496" s="18">
        <v>10000000</v>
      </c>
      <c r="F496" s="7">
        <v>1</v>
      </c>
      <c r="G496" s="18">
        <v>2090000</v>
      </c>
      <c r="H496">
        <f t="shared" si="33"/>
        <v>5</v>
      </c>
    </row>
    <row r="497" spans="1:8" x14ac:dyDescent="0.4">
      <c r="A497" t="s">
        <v>1186</v>
      </c>
      <c r="B497" s="18">
        <f t="shared" si="32"/>
        <v>1000000</v>
      </c>
      <c r="C497">
        <v>0</v>
      </c>
      <c r="D497" s="18">
        <v>0</v>
      </c>
      <c r="E497" s="18">
        <v>10000000</v>
      </c>
      <c r="F497" s="7">
        <v>1</v>
      </c>
      <c r="G497" s="18">
        <v>2090000</v>
      </c>
      <c r="H497">
        <f t="shared" si="33"/>
        <v>5</v>
      </c>
    </row>
  </sheetData>
  <mergeCells count="9">
    <mergeCell ref="M57:Q59"/>
    <mergeCell ref="A1:H2"/>
    <mergeCell ref="M1:T2"/>
    <mergeCell ref="T23:U23"/>
    <mergeCell ref="M48:Q48"/>
    <mergeCell ref="M4:T8"/>
    <mergeCell ref="M10:T12"/>
    <mergeCell ref="M14:T17"/>
    <mergeCell ref="M52:Q55"/>
  </mergeCells>
  <pageMargins left="0.7" right="0.7" top="0.75" bottom="0.75" header="0.3" footer="0.3"/>
  <pageSetup paperSize="9" orientation="portrait" horizontalDpi="0" verticalDpi="0"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B533D-AEB9-4145-ABC8-EFE0F16FDCCD}">
  <dimension ref="A1:AE86"/>
  <sheetViews>
    <sheetView workbookViewId="0">
      <selection activeCell="G9" sqref="G9"/>
    </sheetView>
  </sheetViews>
  <sheetFormatPr defaultRowHeight="14.6" x14ac:dyDescent="0.4"/>
  <cols>
    <col min="1" max="1" width="26.15234375" bestFit="1" customWidth="1"/>
    <col min="2" max="2" width="21" customWidth="1"/>
    <col min="3" max="3" width="14.84375" bestFit="1" customWidth="1"/>
    <col min="4" max="4" width="10.765625" customWidth="1"/>
    <col min="5" max="5" width="13.3828125" bestFit="1" customWidth="1"/>
    <col min="6" max="6" width="14" bestFit="1" customWidth="1"/>
    <col min="7" max="7" width="13.53515625" bestFit="1" customWidth="1"/>
    <col min="8" max="8" width="17.3828125" customWidth="1"/>
    <col min="9" max="9" width="13.61328125" customWidth="1"/>
    <col min="10" max="10" width="21.4609375" bestFit="1" customWidth="1"/>
    <col min="11" max="11" width="23.4609375" bestFit="1" customWidth="1"/>
    <col min="12" max="12" width="18.23046875" customWidth="1"/>
    <col min="13" max="13" width="20.921875" customWidth="1"/>
    <col min="14" max="14" width="22.84375" customWidth="1"/>
    <col min="18" max="18" width="12.3046875" bestFit="1" customWidth="1"/>
    <col min="19" max="19" width="19.15234375" bestFit="1" customWidth="1"/>
    <col min="20" max="21" width="3" bestFit="1" customWidth="1"/>
    <col min="22" max="22" width="11.84375" bestFit="1" customWidth="1"/>
    <col min="23" max="23" width="11.765625" bestFit="1" customWidth="1"/>
    <col min="24" max="24" width="11.84375" bestFit="1" customWidth="1"/>
    <col min="25" max="25" width="15.4609375" bestFit="1" customWidth="1"/>
    <col min="26" max="26" width="11.765625" bestFit="1" customWidth="1"/>
    <col min="27" max="27" width="7.3046875" bestFit="1" customWidth="1"/>
    <col min="28" max="28" width="15.4609375" bestFit="1" customWidth="1"/>
    <col min="29" max="29" width="16.3828125" bestFit="1" customWidth="1"/>
    <col min="30" max="30" width="19" bestFit="1" customWidth="1"/>
    <col min="31" max="31" width="20.765625" bestFit="1" customWidth="1"/>
  </cols>
  <sheetData>
    <row r="1" spans="1:31" ht="14.6" customHeight="1" x14ac:dyDescent="0.4">
      <c r="A1" s="85" t="s">
        <v>206</v>
      </c>
      <c r="B1" s="85"/>
      <c r="C1" s="85"/>
      <c r="D1" s="85"/>
      <c r="E1" s="85"/>
      <c r="F1" s="85"/>
      <c r="G1" s="85"/>
      <c r="H1" s="85"/>
      <c r="I1" s="85"/>
      <c r="J1" s="85"/>
      <c r="K1" s="85"/>
      <c r="L1" s="85"/>
      <c r="M1" s="85"/>
      <c r="N1" s="85"/>
      <c r="R1" s="85" t="s">
        <v>198</v>
      </c>
      <c r="S1" s="85"/>
      <c r="T1" s="85"/>
      <c r="U1" s="85"/>
      <c r="V1" s="85"/>
      <c r="W1" s="85"/>
      <c r="X1" s="85"/>
      <c r="Y1" s="85"/>
      <c r="Z1" s="85"/>
      <c r="AA1" s="85"/>
      <c r="AB1" s="85"/>
      <c r="AC1" s="85"/>
      <c r="AD1" s="85"/>
      <c r="AE1" s="85"/>
    </row>
    <row r="2" spans="1:31" ht="14.6" customHeight="1" x14ac:dyDescent="0.4">
      <c r="A2" s="85"/>
      <c r="B2" s="85"/>
      <c r="C2" s="85"/>
      <c r="D2" s="85"/>
      <c r="E2" s="85"/>
      <c r="F2" s="85"/>
      <c r="G2" s="85"/>
      <c r="H2" s="85"/>
      <c r="I2" s="85"/>
      <c r="J2" s="85"/>
      <c r="K2" s="85"/>
      <c r="L2" s="85"/>
      <c r="M2" s="85"/>
      <c r="N2" s="85"/>
      <c r="R2" s="85"/>
      <c r="S2" s="85"/>
      <c r="T2" s="85"/>
      <c r="U2" s="85"/>
      <c r="V2" s="85"/>
      <c r="W2" s="85"/>
      <c r="X2" s="85"/>
      <c r="Y2" s="85"/>
      <c r="Z2" s="85"/>
      <c r="AA2" s="85"/>
      <c r="AB2" s="85"/>
      <c r="AC2" s="85"/>
      <c r="AD2" s="85"/>
      <c r="AE2" s="85"/>
    </row>
    <row r="4" spans="1:31" ht="14.6" customHeight="1" x14ac:dyDescent="0.4">
      <c r="A4" s="102" t="s">
        <v>254</v>
      </c>
      <c r="B4" s="102"/>
      <c r="C4" s="102"/>
      <c r="D4" s="102"/>
      <c r="E4" s="102"/>
      <c r="F4" s="102"/>
      <c r="G4" s="102"/>
      <c r="H4" s="102"/>
      <c r="I4" s="102"/>
      <c r="J4" s="102"/>
      <c r="K4" s="102"/>
      <c r="L4" s="102"/>
      <c r="M4" s="102"/>
      <c r="N4" s="102"/>
      <c r="R4" s="77" t="s">
        <v>389</v>
      </c>
      <c r="S4" s="78"/>
      <c r="T4" s="78"/>
      <c r="U4" s="78"/>
      <c r="V4" s="78"/>
      <c r="W4" s="78"/>
      <c r="X4" s="78"/>
      <c r="Y4" s="78"/>
      <c r="Z4" s="78"/>
      <c r="AA4" s="78"/>
      <c r="AB4" s="78"/>
      <c r="AC4" s="78"/>
      <c r="AD4" s="78"/>
      <c r="AE4" s="79"/>
    </row>
    <row r="5" spans="1:31" ht="14.6" customHeight="1" x14ac:dyDescent="0.4">
      <c r="A5" s="76" t="s">
        <v>1004</v>
      </c>
      <c r="B5" s="76"/>
      <c r="C5" s="76"/>
      <c r="D5" s="76"/>
      <c r="E5" s="76"/>
      <c r="F5" s="76"/>
      <c r="G5" s="76"/>
      <c r="H5" s="76"/>
      <c r="I5" s="76"/>
      <c r="J5" s="76"/>
      <c r="K5" s="76"/>
      <c r="L5" s="76"/>
      <c r="M5" s="76"/>
      <c r="N5" s="76"/>
      <c r="R5" s="80"/>
      <c r="S5" s="75"/>
      <c r="T5" s="75"/>
      <c r="U5" s="75"/>
      <c r="V5" s="75"/>
      <c r="W5" s="75"/>
      <c r="X5" s="75"/>
      <c r="Y5" s="75"/>
      <c r="Z5" s="75"/>
      <c r="AA5" s="75"/>
      <c r="AB5" s="75"/>
      <c r="AC5" s="75"/>
      <c r="AD5" s="75"/>
      <c r="AE5" s="81"/>
    </row>
    <row r="6" spans="1:31" x14ac:dyDescent="0.4">
      <c r="A6" s="76"/>
      <c r="B6" s="76"/>
      <c r="C6" s="76"/>
      <c r="D6" s="76"/>
      <c r="E6" s="76"/>
      <c r="F6" s="76"/>
      <c r="G6" s="76"/>
      <c r="H6" s="76"/>
      <c r="I6" s="76"/>
      <c r="J6" s="76"/>
      <c r="K6" s="76"/>
      <c r="L6" s="76"/>
      <c r="M6" s="76"/>
      <c r="N6" s="76"/>
      <c r="R6" s="80"/>
      <c r="S6" s="75"/>
      <c r="T6" s="75"/>
      <c r="U6" s="75"/>
      <c r="V6" s="75"/>
      <c r="W6" s="75"/>
      <c r="X6" s="75"/>
      <c r="Y6" s="75"/>
      <c r="Z6" s="75"/>
      <c r="AA6" s="75"/>
      <c r="AB6" s="75"/>
      <c r="AC6" s="75"/>
      <c r="AD6" s="75"/>
      <c r="AE6" s="81"/>
    </row>
    <row r="7" spans="1:31" x14ac:dyDescent="0.4">
      <c r="A7" s="76"/>
      <c r="B7" s="76"/>
      <c r="C7" s="76"/>
      <c r="D7" s="76"/>
      <c r="E7" s="76"/>
      <c r="F7" s="76"/>
      <c r="G7" s="76"/>
      <c r="H7" s="76"/>
      <c r="I7" s="76"/>
      <c r="J7" s="76"/>
      <c r="K7" s="76"/>
      <c r="L7" s="76"/>
      <c r="M7" s="76"/>
      <c r="N7" s="76"/>
      <c r="R7" s="82"/>
      <c r="S7" s="83"/>
      <c r="T7" s="83"/>
      <c r="U7" s="83"/>
      <c r="V7" s="83"/>
      <c r="W7" s="83"/>
      <c r="X7" s="83"/>
      <c r="Y7" s="83"/>
      <c r="Z7" s="83"/>
      <c r="AA7" s="83"/>
      <c r="AB7" s="83"/>
      <c r="AC7" s="83"/>
      <c r="AD7" s="83"/>
      <c r="AE7" s="84"/>
    </row>
    <row r="8" spans="1:31" x14ac:dyDescent="0.4">
      <c r="A8" s="76"/>
      <c r="B8" s="76"/>
      <c r="C8" s="76"/>
      <c r="D8" s="76"/>
      <c r="E8" s="76"/>
      <c r="F8" s="76"/>
      <c r="G8" s="76"/>
      <c r="H8" s="76"/>
      <c r="I8" s="76"/>
      <c r="J8" s="76"/>
      <c r="K8" s="76"/>
      <c r="L8" s="76"/>
      <c r="M8" s="76"/>
      <c r="N8" s="76"/>
    </row>
    <row r="9" spans="1:31" x14ac:dyDescent="0.4">
      <c r="A9" s="1" t="s">
        <v>250</v>
      </c>
      <c r="C9" s="1" t="s">
        <v>253</v>
      </c>
      <c r="R9" s="103" t="s">
        <v>254</v>
      </c>
      <c r="S9" s="103"/>
      <c r="T9" s="103"/>
      <c r="U9" s="103"/>
      <c r="V9" s="103"/>
      <c r="W9" s="103"/>
      <c r="X9" s="103"/>
      <c r="Y9" s="103"/>
      <c r="Z9" s="103"/>
      <c r="AA9" s="103"/>
      <c r="AB9" s="103"/>
      <c r="AC9" s="103"/>
      <c r="AD9" s="103"/>
      <c r="AE9" s="103"/>
    </row>
    <row r="10" spans="1:31" x14ac:dyDescent="0.4">
      <c r="A10">
        <v>10</v>
      </c>
      <c r="C10">
        <v>1000</v>
      </c>
      <c r="R10" s="8" t="s">
        <v>390</v>
      </c>
      <c r="S10" s="8"/>
      <c r="T10" s="8"/>
      <c r="U10" s="8"/>
      <c r="V10" s="8"/>
      <c r="W10" s="8"/>
      <c r="X10" s="8"/>
      <c r="Y10" s="8"/>
      <c r="Z10" s="8"/>
      <c r="AA10" s="8"/>
      <c r="AB10" s="8"/>
      <c r="AC10" s="8"/>
      <c r="AD10" s="8"/>
      <c r="AE10" s="8"/>
    </row>
    <row r="11" spans="1:31" x14ac:dyDescent="0.4">
      <c r="R11" s="1" t="s">
        <v>1</v>
      </c>
      <c r="S11" s="1" t="s">
        <v>7</v>
      </c>
      <c r="T11" s="1" t="s">
        <v>212</v>
      </c>
      <c r="U11" s="1" t="s">
        <v>213</v>
      </c>
      <c r="V11" s="1" t="s">
        <v>214</v>
      </c>
      <c r="W11" s="1" t="s">
        <v>215</v>
      </c>
      <c r="X11" s="1" t="s">
        <v>296</v>
      </c>
      <c r="Y11" s="1" t="s">
        <v>216</v>
      </c>
      <c r="Z11" s="1" t="s">
        <v>6</v>
      </c>
      <c r="AA11" s="1" t="s">
        <v>217</v>
      </c>
      <c r="AB11" s="1" t="s">
        <v>391</v>
      </c>
      <c r="AC11" s="1" t="s">
        <v>294</v>
      </c>
      <c r="AD11" s="1" t="s">
        <v>251</v>
      </c>
      <c r="AE11" s="1" t="s">
        <v>252</v>
      </c>
    </row>
    <row r="12" spans="1:31" x14ac:dyDescent="0.4">
      <c r="A12" s="1" t="s">
        <v>1</v>
      </c>
      <c r="B12" s="1" t="s">
        <v>7</v>
      </c>
      <c r="C12" s="1" t="s">
        <v>212</v>
      </c>
      <c r="D12" s="1" t="s">
        <v>213</v>
      </c>
      <c r="E12" s="1" t="s">
        <v>214</v>
      </c>
      <c r="F12" s="1" t="s">
        <v>215</v>
      </c>
      <c r="G12" s="1" t="s">
        <v>296</v>
      </c>
      <c r="H12" s="1" t="s">
        <v>216</v>
      </c>
      <c r="I12" s="1" t="s">
        <v>6</v>
      </c>
      <c r="J12" s="1" t="s">
        <v>217</v>
      </c>
      <c r="K12" s="1" t="s">
        <v>391</v>
      </c>
      <c r="L12" s="1" t="s">
        <v>2</v>
      </c>
      <c r="M12" s="1" t="s">
        <v>251</v>
      </c>
      <c r="N12" s="1" t="s">
        <v>252</v>
      </c>
      <c r="R12" s="2" t="s">
        <v>298</v>
      </c>
      <c r="S12" s="2">
        <v>1950</v>
      </c>
      <c r="T12" s="2">
        <v>1</v>
      </c>
      <c r="U12" s="2">
        <v>1</v>
      </c>
      <c r="V12" s="2">
        <v>1</v>
      </c>
      <c r="W12" s="2">
        <v>1</v>
      </c>
      <c r="X12" s="2">
        <v>41</v>
      </c>
      <c r="Y12">
        <f>-V12*W12*SQRT(T12*U12/(T12+U12))-X12</f>
        <v>-41.707106781186546</v>
      </c>
      <c r="Z12" s="5">
        <f>1/((ABS(Y12)+1)^(0.6))</f>
        <v>0.10512352361001563</v>
      </c>
      <c r="AA12" s="9">
        <f>(mole/muon_ratio)/Z12</f>
        <v>951261.87332701345</v>
      </c>
      <c r="AB12" s="10">
        <f>S12*keV_to_H</f>
        <v>1950000</v>
      </c>
      <c r="AC12" s="11">
        <f>ROUND(AA12,4-(1+INT(LOG10(ABS(AA12)))))*(sf_NSC/100)</f>
        <v>951300</v>
      </c>
      <c r="AD12" s="10">
        <f>AC12/I_b</f>
        <v>95.13</v>
      </c>
      <c r="AE12" s="10">
        <f>AB12/AD12</f>
        <v>20498.265531378114</v>
      </c>
    </row>
    <row r="13" spans="1:31" x14ac:dyDescent="0.4">
      <c r="A13" t="s">
        <v>221</v>
      </c>
      <c r="B13" s="18">
        <v>1950</v>
      </c>
      <c r="C13">
        <v>1</v>
      </c>
      <c r="D13">
        <v>1</v>
      </c>
      <c r="E13">
        <v>1</v>
      </c>
      <c r="F13">
        <v>1</v>
      </c>
      <c r="G13">
        <v>41</v>
      </c>
      <c r="H13">
        <f>-E13*F13*SQRT(C13*D13/(C13+D13))-G13</f>
        <v>-41.707106781186546</v>
      </c>
      <c r="I13" s="5">
        <f>1/((ABS(H13)+1)^(0.6))</f>
        <v>0.10512352361001563</v>
      </c>
      <c r="J13" s="17">
        <f t="shared" ref="J13:J41" si="0">(mole/muon_ratio)/I13</f>
        <v>951261.87332701345</v>
      </c>
      <c r="K13" s="34">
        <f t="shared" ref="K13:K41" si="1">B13*keV_to_H</f>
        <v>1950000</v>
      </c>
      <c r="L13" s="34">
        <f t="shared" ref="L13:L41" si="2">ROUND(J13,4-(1+INT(LOG10(ABS(J13)))))*(sf_NSC/100)</f>
        <v>951300</v>
      </c>
      <c r="M13" s="33">
        <f t="shared" ref="M13:M41" si="3">L13/I_b</f>
        <v>95.13</v>
      </c>
      <c r="N13" s="35">
        <f t="shared" ref="N13:N41" si="4">K13/M13</f>
        <v>20498.265531378114</v>
      </c>
      <c r="Z13" s="5"/>
      <c r="AA13" s="9"/>
    </row>
    <row r="14" spans="1:31" x14ac:dyDescent="0.4">
      <c r="A14" t="s">
        <v>222</v>
      </c>
      <c r="B14" s="18">
        <v>5490</v>
      </c>
      <c r="C14">
        <v>2</v>
      </c>
      <c r="D14">
        <v>1</v>
      </c>
      <c r="E14">
        <v>1</v>
      </c>
      <c r="F14">
        <v>1</v>
      </c>
      <c r="G14">
        <v>0</v>
      </c>
      <c r="H14">
        <f>-E14*F14*SQRT(C14*D14/(C14+D14))-G14</f>
        <v>-0.81649658092772603</v>
      </c>
      <c r="I14" s="5">
        <f t="shared" ref="I14:I41" si="5">1/((ABS(H14)+1)^(0.6))</f>
        <v>0.6989711476092858</v>
      </c>
      <c r="J14" s="17">
        <f t="shared" si="0"/>
        <v>143067.42179850102</v>
      </c>
      <c r="K14" s="34">
        <f t="shared" si="1"/>
        <v>5490000</v>
      </c>
      <c r="L14" s="34">
        <f t="shared" si="2"/>
        <v>143100</v>
      </c>
      <c r="M14" s="33">
        <f t="shared" si="3"/>
        <v>14.31</v>
      </c>
      <c r="N14" s="35">
        <f t="shared" si="4"/>
        <v>383647.79874213837</v>
      </c>
    </row>
    <row r="15" spans="1:31" x14ac:dyDescent="0.4">
      <c r="A15" t="s">
        <v>223</v>
      </c>
      <c r="B15" s="18">
        <v>12900</v>
      </c>
      <c r="C15">
        <v>3</v>
      </c>
      <c r="D15">
        <v>3</v>
      </c>
      <c r="E15">
        <v>2</v>
      </c>
      <c r="F15">
        <v>2</v>
      </c>
      <c r="G15">
        <v>0</v>
      </c>
      <c r="H15">
        <f>-E15*F15*SQRT(C15*D15/(C15+D15))-G15</f>
        <v>-4.8989794855663558</v>
      </c>
      <c r="I15" s="5">
        <f t="shared" si="5"/>
        <v>0.34477349270907059</v>
      </c>
      <c r="J15" s="17">
        <f t="shared" si="0"/>
        <v>290045.49976927246</v>
      </c>
      <c r="K15" s="34">
        <f t="shared" si="1"/>
        <v>12900000</v>
      </c>
      <c r="L15" s="34">
        <f t="shared" si="2"/>
        <v>290000</v>
      </c>
      <c r="M15" s="33">
        <f t="shared" si="3"/>
        <v>29</v>
      </c>
      <c r="N15" s="35">
        <f t="shared" si="4"/>
        <v>444827.58620689658</v>
      </c>
      <c r="R15" s="103" t="s">
        <v>299</v>
      </c>
      <c r="S15" s="103"/>
      <c r="T15" s="103"/>
      <c r="U15" s="103"/>
      <c r="V15" s="103"/>
      <c r="W15" s="103"/>
      <c r="X15" s="103"/>
      <c r="Y15" s="103"/>
      <c r="Z15" s="103"/>
      <c r="AA15" s="103"/>
      <c r="AB15" s="103"/>
      <c r="AC15" s="103"/>
      <c r="AD15" s="103"/>
      <c r="AE15" s="103"/>
    </row>
    <row r="16" spans="1:31" x14ac:dyDescent="0.4">
      <c r="A16" t="s">
        <v>224</v>
      </c>
      <c r="B16" s="18">
        <v>17600</v>
      </c>
      <c r="C16">
        <v>2</v>
      </c>
      <c r="D16">
        <v>3</v>
      </c>
      <c r="E16">
        <v>1</v>
      </c>
      <c r="F16">
        <v>1</v>
      </c>
      <c r="G16">
        <v>0</v>
      </c>
      <c r="H16">
        <f t="shared" ref="H16:H25" si="6">-E16*F16*SQRT(C16*D16/(C16+D16))-G16</f>
        <v>-1.0954451150103321</v>
      </c>
      <c r="I16" s="5">
        <f t="shared" si="5"/>
        <v>0.64155549035575954</v>
      </c>
      <c r="J16" s="17">
        <f t="shared" si="0"/>
        <v>155871.16235970071</v>
      </c>
      <c r="K16" s="34">
        <f t="shared" si="1"/>
        <v>17600000</v>
      </c>
      <c r="L16" s="34">
        <f t="shared" si="2"/>
        <v>155900</v>
      </c>
      <c r="M16" s="33">
        <f t="shared" si="3"/>
        <v>15.59</v>
      </c>
      <c r="N16" s="35">
        <f t="shared" si="4"/>
        <v>1128928.8005131495</v>
      </c>
      <c r="R16" s="8" t="s">
        <v>392</v>
      </c>
      <c r="S16" s="8"/>
      <c r="T16" s="8"/>
      <c r="U16" s="8"/>
      <c r="V16" s="8"/>
      <c r="W16" s="8"/>
      <c r="X16" s="8"/>
      <c r="Y16" s="8"/>
      <c r="Z16" s="8"/>
      <c r="AA16" s="8"/>
      <c r="AB16" s="8"/>
      <c r="AC16" s="8"/>
      <c r="AD16" s="8"/>
      <c r="AE16" s="8"/>
    </row>
    <row r="17" spans="1:28" x14ac:dyDescent="0.4">
      <c r="A17" t="s">
        <v>225</v>
      </c>
      <c r="B17" s="18">
        <v>11300</v>
      </c>
      <c r="C17">
        <v>3</v>
      </c>
      <c r="D17">
        <v>3</v>
      </c>
      <c r="E17">
        <v>1</v>
      </c>
      <c r="F17">
        <v>1</v>
      </c>
      <c r="G17">
        <v>0</v>
      </c>
      <c r="H17">
        <f t="shared" si="6"/>
        <v>-1.2247448713915889</v>
      </c>
      <c r="I17" s="5">
        <f t="shared" si="5"/>
        <v>0.61891622995951245</v>
      </c>
      <c r="J17" s="17">
        <f t="shared" si="0"/>
        <v>161572.75437185043</v>
      </c>
      <c r="K17" s="34">
        <f t="shared" si="1"/>
        <v>11300000</v>
      </c>
      <c r="L17" s="34">
        <f t="shared" si="2"/>
        <v>161600</v>
      </c>
      <c r="M17" s="33">
        <f t="shared" si="3"/>
        <v>16.16</v>
      </c>
      <c r="N17" s="35">
        <f t="shared" si="4"/>
        <v>699257.42574257427</v>
      </c>
      <c r="R17" s="1" t="s">
        <v>1</v>
      </c>
      <c r="S17" s="1" t="s">
        <v>7</v>
      </c>
      <c r="T17" s="1" t="s">
        <v>255</v>
      </c>
      <c r="U17" s="1" t="s">
        <v>256</v>
      </c>
      <c r="V17" s="1" t="s">
        <v>297</v>
      </c>
      <c r="W17" s="1" t="s">
        <v>6</v>
      </c>
      <c r="X17" s="1" t="s">
        <v>217</v>
      </c>
      <c r="Y17" s="1" t="s">
        <v>295</v>
      </c>
      <c r="Z17" s="1" t="s">
        <v>218</v>
      </c>
      <c r="AA17" s="1" t="s">
        <v>219</v>
      </c>
      <c r="AB17" s="1" t="s">
        <v>220</v>
      </c>
    </row>
    <row r="18" spans="1:28" x14ac:dyDescent="0.4">
      <c r="A18" t="s">
        <v>226</v>
      </c>
      <c r="B18" s="18">
        <v>18400</v>
      </c>
      <c r="C18">
        <v>2</v>
      </c>
      <c r="D18">
        <v>3</v>
      </c>
      <c r="E18">
        <v>1</v>
      </c>
      <c r="F18">
        <v>2</v>
      </c>
      <c r="G18">
        <v>0</v>
      </c>
      <c r="H18">
        <f t="shared" si="6"/>
        <v>-2.1908902300206643</v>
      </c>
      <c r="I18" s="5">
        <f>1/((ABS(H18)+1)^(0.6))</f>
        <v>0.49848590335634763</v>
      </c>
      <c r="J18" s="17">
        <f t="shared" si="0"/>
        <v>200607.47821892568</v>
      </c>
      <c r="K18" s="34">
        <f t="shared" si="1"/>
        <v>18400000</v>
      </c>
      <c r="L18" s="34">
        <f t="shared" si="2"/>
        <v>200600</v>
      </c>
      <c r="M18" s="33">
        <f t="shared" si="3"/>
        <v>20.059999999999999</v>
      </c>
      <c r="N18" s="35">
        <f t="shared" si="4"/>
        <v>917248.25523429713</v>
      </c>
      <c r="R18" s="2" t="s">
        <v>298</v>
      </c>
      <c r="S18" s="2">
        <v>25300</v>
      </c>
      <c r="T18" s="2">
        <v>3</v>
      </c>
      <c r="U18" s="2">
        <v>56</v>
      </c>
      <c r="V18">
        <f>LN(1+U18)^2</f>
        <v>16.346263554338563</v>
      </c>
      <c r="W18" s="5">
        <f>10/(V18)</f>
        <v>0.61176060001466437</v>
      </c>
      <c r="X18">
        <f>T18*mole/W18</f>
        <v>4903879.0663015693</v>
      </c>
      <c r="Y18" s="10">
        <f>S18*keV_to_H/r_debuff</f>
        <v>2530000</v>
      </c>
      <c r="Z18" s="11">
        <f>ROUND(X18,4-(1+INT(LOG10(ABS(X18)))))*(sf_NSC/100)</f>
        <v>4904000</v>
      </c>
      <c r="AA18" s="10">
        <f>Z18/I_b</f>
        <v>490.4</v>
      </c>
      <c r="AB18" s="10">
        <f>Y18/AA18</f>
        <v>5159.0538336052205</v>
      </c>
    </row>
    <row r="19" spans="1:28" x14ac:dyDescent="0.4">
      <c r="A19" t="s">
        <v>227</v>
      </c>
      <c r="B19" s="18">
        <v>17300</v>
      </c>
      <c r="C19">
        <v>1</v>
      </c>
      <c r="D19">
        <v>7</v>
      </c>
      <c r="E19">
        <v>1</v>
      </c>
      <c r="F19">
        <v>3</v>
      </c>
      <c r="G19">
        <v>0</v>
      </c>
      <c r="H19">
        <f t="shared" si="6"/>
        <v>-2.8062430400804561</v>
      </c>
      <c r="I19" s="5">
        <f t="shared" si="5"/>
        <v>0.44843767320436845</v>
      </c>
      <c r="J19" s="17">
        <f t="shared" si="0"/>
        <v>222996.42954936696</v>
      </c>
      <c r="K19" s="34">
        <f t="shared" si="1"/>
        <v>17300000</v>
      </c>
      <c r="L19" s="34">
        <f t="shared" si="2"/>
        <v>223000</v>
      </c>
      <c r="M19" s="33">
        <f t="shared" si="3"/>
        <v>22.3</v>
      </c>
      <c r="N19" s="35">
        <f t="shared" si="4"/>
        <v>775784.75336322864</v>
      </c>
    </row>
    <row r="20" spans="1:28" x14ac:dyDescent="0.4">
      <c r="A20" t="s">
        <v>228</v>
      </c>
      <c r="B20" s="18">
        <v>22400</v>
      </c>
      <c r="C20">
        <v>2</v>
      </c>
      <c r="D20">
        <v>6</v>
      </c>
      <c r="E20">
        <v>1</v>
      </c>
      <c r="F20">
        <v>3</v>
      </c>
      <c r="G20">
        <v>0</v>
      </c>
      <c r="H20">
        <f t="shared" si="6"/>
        <v>-3.6742346141747668</v>
      </c>
      <c r="I20" s="5">
        <f t="shared" si="5"/>
        <v>0.39643655700377578</v>
      </c>
      <c r="J20" s="17">
        <f t="shared" si="0"/>
        <v>252247.17103737628</v>
      </c>
      <c r="K20" s="34">
        <f t="shared" si="1"/>
        <v>22400000</v>
      </c>
      <c r="L20" s="34">
        <f t="shared" si="2"/>
        <v>252200</v>
      </c>
      <c r="M20" s="33">
        <f t="shared" si="3"/>
        <v>25.22</v>
      </c>
      <c r="N20" s="35">
        <f t="shared" si="4"/>
        <v>888183.98096748616</v>
      </c>
    </row>
    <row r="21" spans="1:28" x14ac:dyDescent="0.4">
      <c r="A21" t="s">
        <v>229</v>
      </c>
      <c r="B21" s="18">
        <v>12100</v>
      </c>
      <c r="C21">
        <v>3</v>
      </c>
      <c r="D21">
        <v>3</v>
      </c>
      <c r="E21">
        <v>2</v>
      </c>
      <c r="F21">
        <v>1</v>
      </c>
      <c r="G21">
        <v>0</v>
      </c>
      <c r="H21">
        <f t="shared" si="6"/>
        <v>-2.4494897427831779</v>
      </c>
      <c r="I21" s="5">
        <f t="shared" si="5"/>
        <v>0.47571526254013424</v>
      </c>
      <c r="J21" s="17">
        <f t="shared" si="0"/>
        <v>210209.77856804288</v>
      </c>
      <c r="K21" s="34">
        <f t="shared" si="1"/>
        <v>12100000</v>
      </c>
      <c r="L21" s="34">
        <f t="shared" si="2"/>
        <v>210200</v>
      </c>
      <c r="M21" s="33">
        <f>L21/I_b</f>
        <v>21.02</v>
      </c>
      <c r="N21" s="35">
        <f t="shared" si="4"/>
        <v>575642.24548049481</v>
      </c>
    </row>
    <row r="22" spans="1:28" x14ac:dyDescent="0.4">
      <c r="A22" t="s">
        <v>230</v>
      </c>
      <c r="B22" s="18">
        <v>4030</v>
      </c>
      <c r="C22">
        <v>2</v>
      </c>
      <c r="D22">
        <v>2</v>
      </c>
      <c r="E22">
        <v>1</v>
      </c>
      <c r="F22">
        <v>1</v>
      </c>
      <c r="G22">
        <v>0</v>
      </c>
      <c r="H22">
        <f t="shared" si="6"/>
        <v>-1</v>
      </c>
      <c r="I22" s="5">
        <f t="shared" si="5"/>
        <v>0.65975395538644721</v>
      </c>
      <c r="J22" s="17">
        <f t="shared" si="0"/>
        <v>151571.65665103978</v>
      </c>
      <c r="K22" s="34">
        <f t="shared" si="1"/>
        <v>4030000</v>
      </c>
      <c r="L22" s="34">
        <f t="shared" si="2"/>
        <v>151600</v>
      </c>
      <c r="M22" s="33">
        <f t="shared" si="3"/>
        <v>15.16</v>
      </c>
      <c r="N22" s="35">
        <f t="shared" si="4"/>
        <v>265831.13456464378</v>
      </c>
    </row>
    <row r="23" spans="1:28" x14ac:dyDescent="0.4">
      <c r="A23" t="s">
        <v>231</v>
      </c>
      <c r="B23" s="18">
        <v>16900</v>
      </c>
      <c r="C23">
        <v>3</v>
      </c>
      <c r="D23">
        <v>6</v>
      </c>
      <c r="E23">
        <v>2</v>
      </c>
      <c r="F23">
        <v>3</v>
      </c>
      <c r="G23">
        <v>0</v>
      </c>
      <c r="H23">
        <f t="shared" si="6"/>
        <v>-8.4852813742385713</v>
      </c>
      <c r="I23" s="5">
        <f t="shared" si="5"/>
        <v>0.25928050800061014</v>
      </c>
      <c r="J23" s="17">
        <f t="shared" si="0"/>
        <v>385682.67538169387</v>
      </c>
      <c r="K23" s="34">
        <f t="shared" si="1"/>
        <v>16900000</v>
      </c>
      <c r="L23" s="34">
        <f t="shared" si="2"/>
        <v>385700</v>
      </c>
      <c r="M23" s="33">
        <f t="shared" si="3"/>
        <v>38.57</v>
      </c>
      <c r="N23" s="35">
        <f t="shared" si="4"/>
        <v>438164.37645838736</v>
      </c>
    </row>
    <row r="24" spans="1:28" x14ac:dyDescent="0.4">
      <c r="A24" t="s">
        <v>232</v>
      </c>
      <c r="B24" s="18">
        <v>8680</v>
      </c>
      <c r="C24">
        <v>1</v>
      </c>
      <c r="D24">
        <v>11</v>
      </c>
      <c r="E24">
        <v>1</v>
      </c>
      <c r="F24">
        <v>5</v>
      </c>
      <c r="G24">
        <v>0</v>
      </c>
      <c r="H24">
        <f t="shared" si="6"/>
        <v>-4.7871355387816905</v>
      </c>
      <c r="I24" s="5">
        <f t="shared" si="5"/>
        <v>0.34875609610049574</v>
      </c>
      <c r="J24" s="17">
        <f t="shared" si="0"/>
        <v>286733.3391964123</v>
      </c>
      <c r="K24" s="34">
        <f t="shared" si="1"/>
        <v>8680000</v>
      </c>
      <c r="L24" s="34">
        <f t="shared" si="2"/>
        <v>286700</v>
      </c>
      <c r="M24" s="33">
        <f t="shared" si="3"/>
        <v>28.67</v>
      </c>
      <c r="N24" s="35">
        <f t="shared" si="4"/>
        <v>302755.49354726193</v>
      </c>
    </row>
    <row r="25" spans="1:28" x14ac:dyDescent="0.4">
      <c r="A25" t="s">
        <v>233</v>
      </c>
      <c r="B25" s="18">
        <v>4020</v>
      </c>
      <c r="C25">
        <v>1</v>
      </c>
      <c r="D25">
        <v>6</v>
      </c>
      <c r="E25">
        <v>1</v>
      </c>
      <c r="F25">
        <v>3</v>
      </c>
      <c r="G25">
        <v>0</v>
      </c>
      <c r="H25">
        <f t="shared" si="6"/>
        <v>-2.7774602993176543</v>
      </c>
      <c r="I25" s="5">
        <f t="shared" si="5"/>
        <v>0.45048470971923688</v>
      </c>
      <c r="J25" s="17">
        <f t="shared" si="0"/>
        <v>221983.11694602171</v>
      </c>
      <c r="K25" s="34">
        <f t="shared" si="1"/>
        <v>4020000</v>
      </c>
      <c r="L25" s="34">
        <f t="shared" si="2"/>
        <v>222000</v>
      </c>
      <c r="M25" s="33">
        <f t="shared" si="3"/>
        <v>22.2</v>
      </c>
      <c r="N25" s="35">
        <f t="shared" si="4"/>
        <v>181081.08108108109</v>
      </c>
    </row>
    <row r="26" spans="1:28" x14ac:dyDescent="0.4">
      <c r="A26" t="s">
        <v>234</v>
      </c>
      <c r="B26" s="18">
        <v>10700</v>
      </c>
      <c r="C26">
        <v>12</v>
      </c>
      <c r="D26">
        <v>2</v>
      </c>
      <c r="E26">
        <v>6</v>
      </c>
      <c r="F26">
        <v>2</v>
      </c>
      <c r="G26">
        <v>0</v>
      </c>
      <c r="H26">
        <f>-E26*F26*SQRT(C26*D26/(C26+D26))-G26</f>
        <v>-15.71168809699145</v>
      </c>
      <c r="I26" s="5">
        <f t="shared" si="5"/>
        <v>0.18458134536168738</v>
      </c>
      <c r="J26" s="17">
        <f t="shared" si="0"/>
        <v>541766.55720029492</v>
      </c>
      <c r="K26" s="34">
        <f t="shared" si="1"/>
        <v>10700000</v>
      </c>
      <c r="L26" s="34">
        <f t="shared" si="2"/>
        <v>541800</v>
      </c>
      <c r="M26" s="33">
        <f t="shared" si="3"/>
        <v>54.18</v>
      </c>
      <c r="N26" s="35">
        <f t="shared" si="4"/>
        <v>197489.84865263934</v>
      </c>
    </row>
    <row r="27" spans="1:28" x14ac:dyDescent="0.4">
      <c r="A27" t="s">
        <v>235</v>
      </c>
      <c r="B27" s="18">
        <v>14000</v>
      </c>
      <c r="C27">
        <v>14</v>
      </c>
      <c r="D27">
        <v>2</v>
      </c>
      <c r="E27">
        <v>7</v>
      </c>
      <c r="F27">
        <v>2</v>
      </c>
      <c r="G27">
        <v>0</v>
      </c>
      <c r="H27">
        <f>-E27*F27*SQRT(C27*D27/(C27+D27))-G27</f>
        <v>-18.520259177452136</v>
      </c>
      <c r="I27" s="5">
        <f t="shared" si="5"/>
        <v>0.16815456125466322</v>
      </c>
      <c r="J27" s="17">
        <f t="shared" si="0"/>
        <v>594690.97509971249</v>
      </c>
      <c r="K27" s="34">
        <f t="shared" si="1"/>
        <v>14000000</v>
      </c>
      <c r="L27" s="34">
        <f t="shared" si="2"/>
        <v>594700</v>
      </c>
      <c r="M27" s="33">
        <f t="shared" si="3"/>
        <v>59.47</v>
      </c>
      <c r="N27" s="35">
        <f t="shared" si="4"/>
        <v>235412.81318311754</v>
      </c>
    </row>
    <row r="28" spans="1:28" x14ac:dyDescent="0.4">
      <c r="A28" t="s">
        <v>236</v>
      </c>
      <c r="B28" s="18">
        <v>7160</v>
      </c>
      <c r="C28">
        <v>4</v>
      </c>
      <c r="D28">
        <v>8</v>
      </c>
      <c r="E28">
        <v>2</v>
      </c>
      <c r="F28">
        <v>4</v>
      </c>
      <c r="G28">
        <v>6</v>
      </c>
      <c r="H28">
        <f t="shared" ref="H28:H39" si="7">-E28*F28*SQRT(C28*D28/(C28+D28))-G28</f>
        <v>-19.063945294843617</v>
      </c>
      <c r="I28" s="5">
        <f t="shared" si="5"/>
        <v>0.16540559617942277</v>
      </c>
      <c r="J28" s="17">
        <f t="shared" si="0"/>
        <v>604574.46609923383</v>
      </c>
      <c r="K28" s="34">
        <f t="shared" si="1"/>
        <v>7160000</v>
      </c>
      <c r="L28" s="34">
        <f t="shared" si="2"/>
        <v>604600</v>
      </c>
      <c r="M28" s="33">
        <f t="shared" si="3"/>
        <v>60.46</v>
      </c>
      <c r="N28" s="35">
        <f t="shared" si="4"/>
        <v>118425.40522659609</v>
      </c>
    </row>
    <row r="29" spans="1:28" x14ac:dyDescent="0.4">
      <c r="A29" t="s">
        <v>237</v>
      </c>
      <c r="B29" s="18">
        <v>4730</v>
      </c>
      <c r="C29">
        <v>12</v>
      </c>
      <c r="D29">
        <v>4</v>
      </c>
      <c r="E29">
        <v>6</v>
      </c>
      <c r="F29">
        <v>2</v>
      </c>
      <c r="G29">
        <v>0</v>
      </c>
      <c r="H29">
        <f t="shared" si="7"/>
        <v>-20.784609690826528</v>
      </c>
      <c r="I29" s="5">
        <f t="shared" si="5"/>
        <v>0.15743820517594448</v>
      </c>
      <c r="J29" s="17">
        <f t="shared" si="0"/>
        <v>635169.84259472077</v>
      </c>
      <c r="K29" s="34">
        <f t="shared" si="1"/>
        <v>4730000</v>
      </c>
      <c r="L29" s="34">
        <f t="shared" si="2"/>
        <v>635200</v>
      </c>
      <c r="M29" s="33">
        <f t="shared" si="3"/>
        <v>63.52</v>
      </c>
      <c r="N29" s="35">
        <f t="shared" si="4"/>
        <v>74464.735516372792</v>
      </c>
    </row>
    <row r="30" spans="1:28" x14ac:dyDescent="0.4">
      <c r="A30" t="s">
        <v>238</v>
      </c>
      <c r="B30" s="18">
        <v>9320</v>
      </c>
      <c r="C30">
        <v>16</v>
      </c>
      <c r="D30">
        <v>4</v>
      </c>
      <c r="E30">
        <v>8</v>
      </c>
      <c r="F30">
        <v>2</v>
      </c>
      <c r="G30">
        <v>0</v>
      </c>
      <c r="H30">
        <f t="shared" si="7"/>
        <v>-28.621670111997307</v>
      </c>
      <c r="I30" s="5">
        <f t="shared" si="5"/>
        <v>0.13092852503334468</v>
      </c>
      <c r="J30" s="17">
        <f t="shared" si="0"/>
        <v>763775.50250819791</v>
      </c>
      <c r="K30" s="34">
        <f t="shared" si="1"/>
        <v>9320000</v>
      </c>
      <c r="L30" s="34">
        <f t="shared" si="2"/>
        <v>763800</v>
      </c>
      <c r="M30" s="33">
        <f t="shared" si="3"/>
        <v>76.38</v>
      </c>
      <c r="N30" s="35">
        <f t="shared" si="4"/>
        <v>122021.47158942132</v>
      </c>
    </row>
    <row r="31" spans="1:28" x14ac:dyDescent="0.4">
      <c r="A31" t="s">
        <v>239</v>
      </c>
      <c r="B31" s="18">
        <v>6980</v>
      </c>
      <c r="C31">
        <v>20</v>
      </c>
      <c r="D31">
        <v>4</v>
      </c>
      <c r="E31">
        <v>10</v>
      </c>
      <c r="F31">
        <v>2</v>
      </c>
      <c r="G31">
        <v>0</v>
      </c>
      <c r="H31">
        <f t="shared" si="7"/>
        <v>-36.514837167011073</v>
      </c>
      <c r="I31" s="5">
        <f t="shared" si="5"/>
        <v>0.11362611568681172</v>
      </c>
      <c r="J31" s="17">
        <f t="shared" si="0"/>
        <v>880079.36727882654</v>
      </c>
      <c r="K31" s="34">
        <f t="shared" si="1"/>
        <v>6980000</v>
      </c>
      <c r="L31" s="34">
        <f t="shared" si="2"/>
        <v>880100</v>
      </c>
      <c r="M31" s="33">
        <f t="shared" si="3"/>
        <v>88.01</v>
      </c>
      <c r="N31" s="35">
        <f t="shared" si="4"/>
        <v>79309.169412566756</v>
      </c>
    </row>
    <row r="32" spans="1:28" x14ac:dyDescent="0.4">
      <c r="A32" t="s">
        <v>240</v>
      </c>
      <c r="B32" s="18">
        <v>6980</v>
      </c>
      <c r="C32">
        <v>24</v>
      </c>
      <c r="D32">
        <v>4</v>
      </c>
      <c r="E32">
        <v>12</v>
      </c>
      <c r="F32">
        <v>2</v>
      </c>
      <c r="G32">
        <v>0</v>
      </c>
      <c r="H32">
        <f t="shared" si="7"/>
        <v>-44.439364789082468</v>
      </c>
      <c r="I32" s="5">
        <f t="shared" si="5"/>
        <v>0.10128395439935778</v>
      </c>
      <c r="J32" s="17">
        <f t="shared" si="0"/>
        <v>987323.22007990326</v>
      </c>
      <c r="K32" s="34">
        <f t="shared" si="1"/>
        <v>6980000</v>
      </c>
      <c r="L32" s="34">
        <f t="shared" si="2"/>
        <v>987300</v>
      </c>
      <c r="M32" s="33">
        <f t="shared" si="3"/>
        <v>98.73</v>
      </c>
      <c r="N32" s="35">
        <f t="shared" si="4"/>
        <v>70697.862858300417</v>
      </c>
    </row>
    <row r="33" spans="1:15" x14ac:dyDescent="0.4">
      <c r="A33" t="s">
        <v>241</v>
      </c>
      <c r="B33" s="18">
        <v>6950</v>
      </c>
      <c r="C33">
        <v>28</v>
      </c>
      <c r="D33">
        <v>4</v>
      </c>
      <c r="E33">
        <v>14</v>
      </c>
      <c r="F33">
        <v>2</v>
      </c>
      <c r="G33">
        <v>0</v>
      </c>
      <c r="H33">
        <f t="shared" si="7"/>
        <v>-52.38320341483518</v>
      </c>
      <c r="I33" s="5">
        <f t="shared" si="5"/>
        <v>9.1951161861380942E-2</v>
      </c>
      <c r="J33" s="17">
        <f t="shared" si="0"/>
        <v>1087533.8383516341</v>
      </c>
      <c r="K33" s="34">
        <f t="shared" si="1"/>
        <v>6950000</v>
      </c>
      <c r="L33" s="34">
        <f t="shared" si="2"/>
        <v>1088000</v>
      </c>
      <c r="M33" s="33">
        <f t="shared" si="3"/>
        <v>108.8</v>
      </c>
      <c r="N33" s="35">
        <f t="shared" si="4"/>
        <v>63878.676470588238</v>
      </c>
    </row>
    <row r="34" spans="1:15" x14ac:dyDescent="0.4">
      <c r="A34" t="s">
        <v>242</v>
      </c>
      <c r="B34" s="18">
        <v>6640</v>
      </c>
      <c r="C34">
        <v>32</v>
      </c>
      <c r="D34">
        <v>4</v>
      </c>
      <c r="E34">
        <v>16</v>
      </c>
      <c r="F34">
        <v>2</v>
      </c>
      <c r="G34">
        <v>0</v>
      </c>
      <c r="H34">
        <f t="shared" si="7"/>
        <v>-60.339778661252055</v>
      </c>
      <c r="I34" s="5">
        <f t="shared" si="5"/>
        <v>8.4596944489065407E-2</v>
      </c>
      <c r="J34" s="17">
        <f t="shared" si="0"/>
        <v>1182075.7901359608</v>
      </c>
      <c r="K34" s="34">
        <f t="shared" si="1"/>
        <v>6640000</v>
      </c>
      <c r="L34" s="34">
        <f t="shared" si="2"/>
        <v>1182000</v>
      </c>
      <c r="M34" s="33">
        <f t="shared" si="3"/>
        <v>118.2</v>
      </c>
      <c r="N34" s="35">
        <f t="shared" si="4"/>
        <v>56175.972927241964</v>
      </c>
    </row>
    <row r="35" spans="1:15" x14ac:dyDescent="0.4">
      <c r="A35" t="s">
        <v>243</v>
      </c>
      <c r="B35" s="18">
        <v>7040</v>
      </c>
      <c r="C35">
        <v>36</v>
      </c>
      <c r="D35">
        <v>4</v>
      </c>
      <c r="E35">
        <v>18</v>
      </c>
      <c r="F35">
        <v>2</v>
      </c>
      <c r="G35">
        <v>0</v>
      </c>
      <c r="H35">
        <f t="shared" si="7"/>
        <v>-68.305197459636986</v>
      </c>
      <c r="I35" s="5">
        <f t="shared" si="5"/>
        <v>7.8621353636389113E-2</v>
      </c>
      <c r="J35" s="17">
        <f t="shared" si="0"/>
        <v>1271919.0827276215</v>
      </c>
      <c r="K35" s="34">
        <f t="shared" si="1"/>
        <v>7040000</v>
      </c>
      <c r="L35" s="34">
        <f t="shared" si="2"/>
        <v>1272000</v>
      </c>
      <c r="M35" s="33">
        <f t="shared" si="3"/>
        <v>127.2</v>
      </c>
      <c r="N35" s="35">
        <f t="shared" si="4"/>
        <v>55345.911949685535</v>
      </c>
    </row>
    <row r="36" spans="1:15" x14ac:dyDescent="0.4">
      <c r="A36" t="s">
        <v>244</v>
      </c>
      <c r="B36" s="18">
        <v>18500</v>
      </c>
      <c r="C36">
        <v>40</v>
      </c>
      <c r="D36">
        <v>8</v>
      </c>
      <c r="E36">
        <v>20</v>
      </c>
      <c r="F36">
        <v>4</v>
      </c>
      <c r="G36">
        <v>0</v>
      </c>
      <c r="H36">
        <f t="shared" si="7"/>
        <v>-206.55911179772889</v>
      </c>
      <c r="I36" s="5">
        <f t="shared" si="5"/>
        <v>4.0711295059693113E-2</v>
      </c>
      <c r="J36" s="17">
        <f t="shared" si="0"/>
        <v>2456320.7791197645</v>
      </c>
      <c r="K36" s="34">
        <f t="shared" si="1"/>
        <v>18500000</v>
      </c>
      <c r="L36" s="34">
        <f t="shared" si="2"/>
        <v>2456000</v>
      </c>
      <c r="M36" s="33">
        <f t="shared" si="3"/>
        <v>245.6</v>
      </c>
      <c r="N36" s="35">
        <f t="shared" si="4"/>
        <v>75325.732899022798</v>
      </c>
    </row>
    <row r="37" spans="1:15" x14ac:dyDescent="0.4">
      <c r="A37" t="s">
        <v>245</v>
      </c>
      <c r="B37" s="18">
        <v>9350</v>
      </c>
      <c r="C37">
        <v>48</v>
      </c>
      <c r="D37">
        <v>4</v>
      </c>
      <c r="E37">
        <v>22</v>
      </c>
      <c r="F37">
        <v>2</v>
      </c>
      <c r="G37">
        <v>0</v>
      </c>
      <c r="H37">
        <f t="shared" si="7"/>
        <v>-84.547665209086006</v>
      </c>
      <c r="I37" s="5">
        <f t="shared" si="5"/>
        <v>6.9290724658359962E-2</v>
      </c>
      <c r="J37" s="17">
        <f t="shared" si="0"/>
        <v>1443194.6049496965</v>
      </c>
      <c r="K37" s="34">
        <f t="shared" si="1"/>
        <v>9350000</v>
      </c>
      <c r="L37" s="34">
        <f t="shared" si="2"/>
        <v>1443000</v>
      </c>
      <c r="M37" s="33">
        <f t="shared" si="3"/>
        <v>144.30000000000001</v>
      </c>
      <c r="N37" s="35">
        <f t="shared" si="4"/>
        <v>64795.564795564787</v>
      </c>
    </row>
    <row r="38" spans="1:15" x14ac:dyDescent="0.4">
      <c r="A38" t="s">
        <v>246</v>
      </c>
      <c r="B38" s="18">
        <v>7610</v>
      </c>
      <c r="C38">
        <v>52</v>
      </c>
      <c r="D38">
        <v>4</v>
      </c>
      <c r="E38">
        <v>24</v>
      </c>
      <c r="F38">
        <v>2</v>
      </c>
      <c r="G38">
        <v>0</v>
      </c>
      <c r="H38">
        <f t="shared" si="7"/>
        <v>-92.507914719305433</v>
      </c>
      <c r="I38" s="5">
        <f t="shared" si="5"/>
        <v>6.5688746831204736E-2</v>
      </c>
      <c r="J38" s="17">
        <f t="shared" si="0"/>
        <v>1522330.7617203023</v>
      </c>
      <c r="K38" s="34">
        <f t="shared" si="1"/>
        <v>7610000</v>
      </c>
      <c r="L38" s="34">
        <f t="shared" si="2"/>
        <v>1522000</v>
      </c>
      <c r="M38" s="33">
        <f t="shared" si="3"/>
        <v>152.19999999999999</v>
      </c>
      <c r="N38" s="35">
        <f t="shared" si="4"/>
        <v>50000.000000000007</v>
      </c>
    </row>
    <row r="39" spans="1:15" x14ac:dyDescent="0.4">
      <c r="A39" t="s">
        <v>247</v>
      </c>
      <c r="B39" s="18">
        <v>6290</v>
      </c>
      <c r="C39">
        <v>56</v>
      </c>
      <c r="D39">
        <v>4</v>
      </c>
      <c r="E39">
        <v>26</v>
      </c>
      <c r="F39">
        <v>2</v>
      </c>
      <c r="G39">
        <v>0</v>
      </c>
      <c r="H39">
        <f t="shared" si="7"/>
        <v>-100.47354544024677</v>
      </c>
      <c r="I39" s="5">
        <f t="shared" si="5"/>
        <v>6.254438107295486E-2</v>
      </c>
      <c r="J39" s="17">
        <f t="shared" si="0"/>
        <v>1598864.6507406486</v>
      </c>
      <c r="K39" s="34">
        <f t="shared" si="1"/>
        <v>6290000</v>
      </c>
      <c r="L39" s="34">
        <f t="shared" si="2"/>
        <v>1599000</v>
      </c>
      <c r="M39" s="33">
        <f t="shared" si="3"/>
        <v>159.9</v>
      </c>
      <c r="N39" s="35">
        <f t="shared" si="4"/>
        <v>39337.085678549091</v>
      </c>
    </row>
    <row r="40" spans="1:15" x14ac:dyDescent="0.4">
      <c r="A40" t="s">
        <v>248</v>
      </c>
      <c r="B40" s="18">
        <v>9590</v>
      </c>
      <c r="C40">
        <v>16</v>
      </c>
      <c r="D40">
        <v>16</v>
      </c>
      <c r="E40">
        <v>8</v>
      </c>
      <c r="F40">
        <v>8</v>
      </c>
      <c r="G40">
        <v>0</v>
      </c>
      <c r="H40">
        <f>-E40*F40*SQRT(C40*D40/(C40+D40))-G40</f>
        <v>-181.01933598375618</v>
      </c>
      <c r="I40" s="5">
        <f t="shared" si="5"/>
        <v>4.4048333740642841E-2</v>
      </c>
      <c r="J40" s="17">
        <f t="shared" si="0"/>
        <v>2270233.4346811231</v>
      </c>
      <c r="K40" s="34">
        <f t="shared" si="1"/>
        <v>9590000</v>
      </c>
      <c r="L40" s="34">
        <f t="shared" si="2"/>
        <v>2270000</v>
      </c>
      <c r="M40" s="33">
        <f t="shared" si="3"/>
        <v>227</v>
      </c>
      <c r="N40" s="35">
        <f t="shared" si="4"/>
        <v>42246.69603524229</v>
      </c>
    </row>
    <row r="41" spans="1:15" x14ac:dyDescent="0.4">
      <c r="A41" t="s">
        <v>249</v>
      </c>
      <c r="B41" s="18">
        <v>2240</v>
      </c>
      <c r="C41">
        <v>12</v>
      </c>
      <c r="D41">
        <v>12</v>
      </c>
      <c r="E41">
        <v>6</v>
      </c>
      <c r="F41">
        <v>6</v>
      </c>
      <c r="G41">
        <v>0</v>
      </c>
      <c r="H41">
        <f>-E41*F41*SQRT(C41*D41/(C41+D41))-G41</f>
        <v>-88.181630740194407</v>
      </c>
      <c r="I41" s="5">
        <f t="shared" si="5"/>
        <v>6.7582578003985899E-2</v>
      </c>
      <c r="J41" s="17">
        <f t="shared" si="0"/>
        <v>1479671.2844263234</v>
      </c>
      <c r="K41" s="34">
        <f t="shared" si="1"/>
        <v>2240000</v>
      </c>
      <c r="L41" s="34">
        <f t="shared" si="2"/>
        <v>1480000</v>
      </c>
      <c r="M41" s="33">
        <f t="shared" si="3"/>
        <v>148</v>
      </c>
      <c r="N41" s="35">
        <f t="shared" si="4"/>
        <v>15135.135135135135</v>
      </c>
    </row>
    <row r="42" spans="1:15" x14ac:dyDescent="0.4">
      <c r="J42" s="9"/>
    </row>
    <row r="43" spans="1:15" x14ac:dyDescent="0.4">
      <c r="J43" s="9"/>
    </row>
    <row r="44" spans="1:15" x14ac:dyDescent="0.4">
      <c r="J44" s="9"/>
    </row>
    <row r="46" spans="1:15" x14ac:dyDescent="0.4">
      <c r="A46" s="102" t="s">
        <v>293</v>
      </c>
      <c r="B46" s="102"/>
      <c r="C46" s="102"/>
      <c r="D46" s="102"/>
      <c r="E46" s="102"/>
      <c r="F46" s="102"/>
      <c r="G46" s="102"/>
      <c r="H46" s="102"/>
      <c r="I46" s="102"/>
      <c r="J46" s="102"/>
      <c r="K46" s="102"/>
      <c r="L46" s="102"/>
      <c r="M46" s="102"/>
      <c r="N46" s="102"/>
      <c r="O46" s="102"/>
    </row>
    <row r="47" spans="1:15" x14ac:dyDescent="0.4">
      <c r="A47" s="101" t="s">
        <v>393</v>
      </c>
      <c r="B47" s="101"/>
      <c r="C47" s="101"/>
      <c r="D47" s="101"/>
      <c r="E47" s="101"/>
      <c r="F47" s="101"/>
      <c r="G47" s="101"/>
      <c r="H47" s="101"/>
      <c r="I47" s="101"/>
      <c r="J47" s="101"/>
      <c r="K47" s="101"/>
      <c r="L47" s="101"/>
      <c r="M47" s="101"/>
      <c r="N47" s="101"/>
      <c r="O47" s="101"/>
    </row>
    <row r="48" spans="1:15" x14ac:dyDescent="0.4">
      <c r="A48" s="101"/>
      <c r="B48" s="101"/>
      <c r="C48" s="101"/>
      <c r="D48" s="101"/>
      <c r="E48" s="101"/>
      <c r="F48" s="101"/>
      <c r="G48" s="101"/>
      <c r="H48" s="101"/>
      <c r="I48" s="101"/>
      <c r="J48" s="101"/>
      <c r="K48" s="101"/>
      <c r="L48" s="101"/>
      <c r="M48" s="101"/>
      <c r="N48" s="101"/>
      <c r="O48" s="101"/>
    </row>
    <row r="49" spans="1:11" x14ac:dyDescent="0.4">
      <c r="A49" s="1" t="s">
        <v>292</v>
      </c>
    </row>
    <row r="50" spans="1:11" x14ac:dyDescent="0.4">
      <c r="A50">
        <v>10</v>
      </c>
    </row>
    <row r="51" spans="1:11" x14ac:dyDescent="0.4">
      <c r="A51" s="1" t="s">
        <v>1</v>
      </c>
      <c r="B51" s="1" t="s">
        <v>7</v>
      </c>
      <c r="C51" s="1" t="s">
        <v>255</v>
      </c>
      <c r="D51" s="1" t="s">
        <v>256</v>
      </c>
      <c r="E51" s="1" t="s">
        <v>297</v>
      </c>
      <c r="F51" s="1" t="s">
        <v>6</v>
      </c>
      <c r="G51" s="1" t="s">
        <v>217</v>
      </c>
      <c r="H51" s="1" t="s">
        <v>391</v>
      </c>
      <c r="I51" s="1" t="s">
        <v>2</v>
      </c>
      <c r="J51" s="1" t="s">
        <v>251</v>
      </c>
      <c r="K51" s="1" t="s">
        <v>252</v>
      </c>
    </row>
    <row r="52" spans="1:11" x14ac:dyDescent="0.4">
      <c r="A52" t="s">
        <v>257</v>
      </c>
      <c r="B52" s="18">
        <v>25300</v>
      </c>
      <c r="C52">
        <v>3</v>
      </c>
      <c r="D52">
        <v>56</v>
      </c>
      <c r="E52">
        <f>LN(1+D52)^2</f>
        <v>16.346263554338563</v>
      </c>
      <c r="F52" s="5">
        <f>10/(E52)</f>
        <v>0.61176060001466437</v>
      </c>
      <c r="G52">
        <f t="shared" ref="G52:G86" si="8">C52*mole/F52</f>
        <v>4903879.0663015693</v>
      </c>
      <c r="H52" s="34">
        <f t="shared" ref="H52:H86" si="9">B52*keV_to_H/r_debuff</f>
        <v>2530000</v>
      </c>
      <c r="I52" s="34">
        <f>ROUND(G52,4-(1+INT(LOG10(ABS(G52)))))</f>
        <v>4904000</v>
      </c>
      <c r="J52" s="33">
        <f t="shared" ref="J52:J86" si="10">I52/I_b</f>
        <v>490.4</v>
      </c>
      <c r="K52" s="35">
        <f t="shared" ref="K52:K86" si="11">H52/J52</f>
        <v>5159.0538336052205</v>
      </c>
    </row>
    <row r="53" spans="1:11" x14ac:dyDescent="0.4">
      <c r="A53" t="s">
        <v>258</v>
      </c>
      <c r="B53" s="18">
        <v>34600</v>
      </c>
      <c r="C53">
        <v>4</v>
      </c>
      <c r="D53">
        <v>59</v>
      </c>
      <c r="E53">
        <f>LN(1+D53)^2</f>
        <v>16.763657394197683</v>
      </c>
      <c r="F53" s="5">
        <f t="shared" ref="F53:F85" si="12">10/(E53)</f>
        <v>0.59652853579918952</v>
      </c>
      <c r="G53">
        <f t="shared" si="8"/>
        <v>6705462.9576790724</v>
      </c>
      <c r="H53" s="34">
        <f t="shared" si="9"/>
        <v>3460000</v>
      </c>
      <c r="I53" s="34">
        <f t="shared" ref="I53:I85" si="13">ROUND(G53,4-(1+INT(LOG10(ABS(G53)))))</f>
        <v>6705000</v>
      </c>
      <c r="J53" s="33">
        <f t="shared" si="10"/>
        <v>670.5</v>
      </c>
      <c r="K53" s="35">
        <f t="shared" si="11"/>
        <v>5160.3281133482478</v>
      </c>
    </row>
    <row r="54" spans="1:11" x14ac:dyDescent="0.4">
      <c r="A54" t="s">
        <v>259</v>
      </c>
      <c r="B54" s="18">
        <v>24800</v>
      </c>
      <c r="C54">
        <v>3</v>
      </c>
      <c r="D54">
        <v>60</v>
      </c>
      <c r="E54">
        <f>LN(1+D54)^2</f>
        <v>16.899283927143212</v>
      </c>
      <c r="F54" s="5">
        <f>10/(E54)</f>
        <v>0.5917410490948819</v>
      </c>
      <c r="G54">
        <f t="shared" si="8"/>
        <v>5069785.1781429639</v>
      </c>
      <c r="H54" s="34">
        <f t="shared" si="9"/>
        <v>2480000</v>
      </c>
      <c r="I54" s="34">
        <f>ROUND(G54,4-(1+INT(LOG10(ABS(G54)))))</f>
        <v>5070000</v>
      </c>
      <c r="J54" s="33">
        <f t="shared" si="10"/>
        <v>507</v>
      </c>
      <c r="K54" s="35">
        <f t="shared" si="11"/>
        <v>4891.5187376725835</v>
      </c>
    </row>
    <row r="55" spans="1:11" x14ac:dyDescent="0.4">
      <c r="A55" t="s">
        <v>260</v>
      </c>
      <c r="B55" s="18">
        <v>7980</v>
      </c>
      <c r="C55">
        <v>1</v>
      </c>
      <c r="D55">
        <v>63</v>
      </c>
      <c r="E55">
        <f t="shared" ref="E55:E85" si="14">LN(1+D55)^2</f>
        <v>17.296308501055247</v>
      </c>
      <c r="F55" s="5">
        <f t="shared" si="12"/>
        <v>0.57815805027933564</v>
      </c>
      <c r="G55">
        <f t="shared" si="8"/>
        <v>1729630.8501055248</v>
      </c>
      <c r="H55" s="34">
        <f t="shared" si="9"/>
        <v>798000</v>
      </c>
      <c r="I55" s="34">
        <f t="shared" si="13"/>
        <v>1730000</v>
      </c>
      <c r="J55" s="33">
        <f t="shared" si="10"/>
        <v>173</v>
      </c>
      <c r="K55" s="35">
        <f t="shared" si="11"/>
        <v>4612.7167630057802</v>
      </c>
    </row>
    <row r="56" spans="1:11" x14ac:dyDescent="0.4">
      <c r="A56" t="s">
        <v>261</v>
      </c>
      <c r="B56" s="18">
        <v>94300</v>
      </c>
      <c r="C56">
        <v>11</v>
      </c>
      <c r="D56">
        <v>64</v>
      </c>
      <c r="E56">
        <f t="shared" si="14"/>
        <v>17.42550907906675</v>
      </c>
      <c r="F56" s="5">
        <f t="shared" si="12"/>
        <v>0.57387132591798951</v>
      </c>
      <c r="G56">
        <f t="shared" si="8"/>
        <v>19168059.986973424</v>
      </c>
      <c r="H56" s="34">
        <f t="shared" si="9"/>
        <v>9430000</v>
      </c>
      <c r="I56" s="34">
        <f t="shared" si="13"/>
        <v>19170000</v>
      </c>
      <c r="J56" s="33">
        <f t="shared" si="10"/>
        <v>1917</v>
      </c>
      <c r="K56" s="35">
        <f t="shared" si="11"/>
        <v>4919.1444966092849</v>
      </c>
    </row>
    <row r="57" spans="1:11" x14ac:dyDescent="0.4">
      <c r="A57" t="s">
        <v>262</v>
      </c>
      <c r="B57" s="18">
        <v>117000</v>
      </c>
      <c r="C57">
        <v>13</v>
      </c>
      <c r="D57">
        <v>75</v>
      </c>
      <c r="E57">
        <f t="shared" si="14"/>
        <v>18.755251264667603</v>
      </c>
      <c r="F57" s="5">
        <f t="shared" si="12"/>
        <v>0.53318400584900028</v>
      </c>
      <c r="G57">
        <f t="shared" si="8"/>
        <v>24381826.64406788</v>
      </c>
      <c r="H57" s="34">
        <f t="shared" si="9"/>
        <v>11700000</v>
      </c>
      <c r="I57" s="34">
        <f t="shared" si="13"/>
        <v>24380000</v>
      </c>
      <c r="J57" s="33">
        <f t="shared" si="10"/>
        <v>2438</v>
      </c>
      <c r="K57" s="35">
        <f t="shared" si="11"/>
        <v>4799.0155865463494</v>
      </c>
    </row>
    <row r="58" spans="1:11" x14ac:dyDescent="0.4">
      <c r="A58" t="s">
        <v>263</v>
      </c>
      <c r="B58" s="18">
        <v>14200</v>
      </c>
      <c r="C58">
        <v>2</v>
      </c>
      <c r="D58">
        <v>88</v>
      </c>
      <c r="E58">
        <f t="shared" si="14"/>
        <v>20.147856459682121</v>
      </c>
      <c r="F58" s="5">
        <f t="shared" si="12"/>
        <v>0.496330714883293</v>
      </c>
      <c r="G58">
        <f t="shared" si="8"/>
        <v>4029571.2919364241</v>
      </c>
      <c r="H58" s="34">
        <f t="shared" si="9"/>
        <v>1420000</v>
      </c>
      <c r="I58" s="34">
        <f t="shared" si="13"/>
        <v>4030000</v>
      </c>
      <c r="J58" s="33">
        <f t="shared" si="10"/>
        <v>403</v>
      </c>
      <c r="K58" s="35">
        <f t="shared" si="11"/>
        <v>3523.5732009925559</v>
      </c>
    </row>
    <row r="59" spans="1:11" x14ac:dyDescent="0.4">
      <c r="A59" t="s">
        <v>264</v>
      </c>
      <c r="B59" s="18">
        <v>62900</v>
      </c>
      <c r="C59">
        <v>8</v>
      </c>
      <c r="D59">
        <v>90</v>
      </c>
      <c r="E59">
        <f t="shared" si="14"/>
        <v>20.347853487533438</v>
      </c>
      <c r="F59" s="5">
        <f t="shared" si="12"/>
        <v>0.49145232965859131</v>
      </c>
      <c r="G59">
        <f t="shared" si="8"/>
        <v>16278282.79002675</v>
      </c>
      <c r="H59" s="34">
        <f t="shared" si="9"/>
        <v>6290000</v>
      </c>
      <c r="I59" s="34">
        <f t="shared" si="13"/>
        <v>16280000</v>
      </c>
      <c r="J59" s="33">
        <f t="shared" si="10"/>
        <v>1628</v>
      </c>
      <c r="K59" s="35">
        <f t="shared" si="11"/>
        <v>3863.6363636363635</v>
      </c>
    </row>
    <row r="60" spans="1:11" x14ac:dyDescent="0.4">
      <c r="A60" t="s">
        <v>265</v>
      </c>
      <c r="B60" s="18">
        <v>61800</v>
      </c>
      <c r="C60">
        <v>8</v>
      </c>
      <c r="D60">
        <v>98</v>
      </c>
      <c r="E60">
        <f t="shared" si="14"/>
        <v>21.115126437100933</v>
      </c>
      <c r="F60" s="5">
        <f t="shared" si="12"/>
        <v>0.47359413308694265</v>
      </c>
      <c r="G60">
        <f t="shared" si="8"/>
        <v>16892101.149680745</v>
      </c>
      <c r="H60" s="34">
        <f t="shared" si="9"/>
        <v>6180000</v>
      </c>
      <c r="I60" s="34">
        <f t="shared" si="13"/>
        <v>16890000</v>
      </c>
      <c r="J60" s="33">
        <f t="shared" si="10"/>
        <v>1689</v>
      </c>
      <c r="K60" s="35">
        <f t="shared" si="11"/>
        <v>3658.9698046181175</v>
      </c>
    </row>
    <row r="61" spans="1:11" x14ac:dyDescent="0.4">
      <c r="A61" t="s">
        <v>266</v>
      </c>
      <c r="B61" s="18">
        <v>25100</v>
      </c>
      <c r="C61">
        <v>3</v>
      </c>
      <c r="D61">
        <v>106</v>
      </c>
      <c r="E61">
        <f t="shared" si="14"/>
        <v>21.835329316178612</v>
      </c>
      <c r="F61" s="5">
        <f t="shared" si="12"/>
        <v>0.45797339967712902</v>
      </c>
      <c r="G61">
        <f t="shared" si="8"/>
        <v>6550598.7948535839</v>
      </c>
      <c r="H61" s="34">
        <f t="shared" si="9"/>
        <v>2510000</v>
      </c>
      <c r="I61" s="34">
        <f>ROUND(G61,4-(1+INT(LOG10(ABS(G61)))))</f>
        <v>6551000</v>
      </c>
      <c r="J61" s="33">
        <f t="shared" si="10"/>
        <v>655.1</v>
      </c>
      <c r="K61" s="35">
        <f t="shared" si="11"/>
        <v>3831.476110517478</v>
      </c>
    </row>
    <row r="62" spans="1:11" x14ac:dyDescent="0.4">
      <c r="A62" t="s">
        <v>267</v>
      </c>
      <c r="B62" s="18">
        <v>89600</v>
      </c>
      <c r="C62">
        <v>11</v>
      </c>
      <c r="D62">
        <v>109</v>
      </c>
      <c r="E62">
        <f t="shared" si="14"/>
        <v>22.09451566920001</v>
      </c>
      <c r="F62" s="5">
        <f t="shared" si="12"/>
        <v>0.45260100514174684</v>
      </c>
      <c r="G62">
        <f t="shared" si="8"/>
        <v>24303967.236120012</v>
      </c>
      <c r="H62" s="34">
        <f t="shared" si="9"/>
        <v>8960000</v>
      </c>
      <c r="I62" s="34">
        <f t="shared" si="13"/>
        <v>24300000</v>
      </c>
      <c r="J62" s="33">
        <f t="shared" si="10"/>
        <v>2430</v>
      </c>
      <c r="K62" s="35">
        <f t="shared" si="11"/>
        <v>3687.2427983539096</v>
      </c>
    </row>
    <row r="63" spans="1:11" x14ac:dyDescent="0.4">
      <c r="A63" t="s">
        <v>268</v>
      </c>
      <c r="B63" s="18">
        <v>52800</v>
      </c>
      <c r="C63">
        <v>7</v>
      </c>
      <c r="D63">
        <v>120</v>
      </c>
      <c r="E63">
        <f t="shared" si="14"/>
        <v>22.999606957235091</v>
      </c>
      <c r="F63" s="5">
        <f t="shared" si="12"/>
        <v>0.43479003874256444</v>
      </c>
      <c r="G63">
        <f t="shared" si="8"/>
        <v>16099724.870064564</v>
      </c>
      <c r="H63" s="34">
        <f t="shared" si="9"/>
        <v>5280000</v>
      </c>
      <c r="I63" s="34">
        <f t="shared" si="13"/>
        <v>16100000</v>
      </c>
      <c r="J63" s="33">
        <f t="shared" si="10"/>
        <v>1610</v>
      </c>
      <c r="K63" s="35">
        <f t="shared" si="11"/>
        <v>3279.5031055900622</v>
      </c>
    </row>
    <row r="64" spans="1:11" x14ac:dyDescent="0.4">
      <c r="A64" t="s">
        <v>269</v>
      </c>
      <c r="B64" s="18">
        <v>77300</v>
      </c>
      <c r="C64">
        <v>10</v>
      </c>
      <c r="D64">
        <v>127</v>
      </c>
      <c r="E64">
        <f t="shared" si="14"/>
        <v>23.542197681991865</v>
      </c>
      <c r="F64" s="5">
        <f t="shared" si="12"/>
        <v>0.42476917979706291</v>
      </c>
      <c r="G64">
        <f t="shared" si="8"/>
        <v>23542197.681991864</v>
      </c>
      <c r="H64" s="34">
        <f t="shared" si="9"/>
        <v>7730000</v>
      </c>
      <c r="I64" s="34">
        <f t="shared" si="13"/>
        <v>23540000</v>
      </c>
      <c r="J64" s="33">
        <f t="shared" si="10"/>
        <v>2354</v>
      </c>
      <c r="K64" s="35">
        <f t="shared" si="11"/>
        <v>3283.7723024638913</v>
      </c>
    </row>
    <row r="65" spans="1:11" x14ac:dyDescent="0.4">
      <c r="A65" t="s">
        <v>270</v>
      </c>
      <c r="B65" s="18">
        <v>43300</v>
      </c>
      <c r="C65">
        <v>6</v>
      </c>
      <c r="D65">
        <v>137</v>
      </c>
      <c r="E65">
        <f t="shared" si="14"/>
        <v>24.277828877895256</v>
      </c>
      <c r="F65" s="5">
        <f t="shared" si="12"/>
        <v>0.41189844653303859</v>
      </c>
      <c r="G65">
        <f t="shared" si="8"/>
        <v>14566697.326737154</v>
      </c>
      <c r="H65" s="34">
        <f t="shared" si="9"/>
        <v>4330000</v>
      </c>
      <c r="I65" s="34">
        <f t="shared" si="13"/>
        <v>14570000</v>
      </c>
      <c r="J65" s="33">
        <f t="shared" si="10"/>
        <v>1457</v>
      </c>
      <c r="K65" s="35">
        <f t="shared" si="11"/>
        <v>2971.8599862731639</v>
      </c>
    </row>
    <row r="66" spans="1:11" x14ac:dyDescent="0.4">
      <c r="A66" t="s">
        <v>271</v>
      </c>
      <c r="B66" s="18">
        <v>62400</v>
      </c>
      <c r="C66">
        <v>9</v>
      </c>
      <c r="D66">
        <v>143</v>
      </c>
      <c r="E66">
        <f t="shared" si="14"/>
        <v>24.699044232642496</v>
      </c>
      <c r="F66" s="5">
        <f t="shared" si="12"/>
        <v>0.40487396620732002</v>
      </c>
      <c r="G66">
        <f t="shared" si="8"/>
        <v>22229139.809378244</v>
      </c>
      <c r="H66" s="34">
        <f t="shared" si="9"/>
        <v>6240000</v>
      </c>
      <c r="I66" s="34">
        <f t="shared" si="13"/>
        <v>22230000</v>
      </c>
      <c r="J66" s="33">
        <f t="shared" si="10"/>
        <v>2223</v>
      </c>
      <c r="K66" s="35">
        <f t="shared" si="11"/>
        <v>2807.0175438596493</v>
      </c>
    </row>
    <row r="67" spans="1:11" x14ac:dyDescent="0.4">
      <c r="A67" t="s">
        <v>272</v>
      </c>
      <c r="B67" s="18">
        <v>49700</v>
      </c>
      <c r="C67">
        <v>7</v>
      </c>
      <c r="D67">
        <v>152</v>
      </c>
      <c r="E67">
        <f t="shared" si="14"/>
        <v>25.305305680983047</v>
      </c>
      <c r="F67" s="5">
        <f t="shared" si="12"/>
        <v>0.3951740447662328</v>
      </c>
      <c r="G67">
        <f t="shared" si="8"/>
        <v>17713713.976688132</v>
      </c>
      <c r="H67" s="34">
        <f t="shared" si="9"/>
        <v>4970000</v>
      </c>
      <c r="I67" s="34">
        <f t="shared" si="13"/>
        <v>17710000</v>
      </c>
      <c r="J67" s="33">
        <f t="shared" si="10"/>
        <v>1771</v>
      </c>
      <c r="K67" s="35">
        <f t="shared" si="11"/>
        <v>2806.324110671937</v>
      </c>
    </row>
    <row r="68" spans="1:11" x14ac:dyDescent="0.4">
      <c r="A68" t="s">
        <v>273</v>
      </c>
      <c r="B68" s="18">
        <v>29000</v>
      </c>
      <c r="C68">
        <v>4</v>
      </c>
      <c r="D68">
        <v>155</v>
      </c>
      <c r="E68">
        <f>LN(1+D68)^2</f>
        <v>25.501045693954236</v>
      </c>
      <c r="F68" s="5">
        <f>10/(E68)</f>
        <v>0.39214078199039465</v>
      </c>
      <c r="G68">
        <f t="shared" si="8"/>
        <v>10200418.277581694</v>
      </c>
      <c r="H68" s="34">
        <f t="shared" si="9"/>
        <v>2900000</v>
      </c>
      <c r="I68" s="34">
        <f>ROUND(G68,4-(1+INT(LOG10(ABS(G68)))))</f>
        <v>10200000</v>
      </c>
      <c r="J68" s="33">
        <f t="shared" si="10"/>
        <v>1020</v>
      </c>
      <c r="K68" s="35">
        <f t="shared" si="11"/>
        <v>2843.1372549019607</v>
      </c>
    </row>
    <row r="69" spans="1:11" x14ac:dyDescent="0.4">
      <c r="A69" t="s">
        <v>274</v>
      </c>
      <c r="B69" s="18">
        <v>64600</v>
      </c>
      <c r="C69">
        <v>9</v>
      </c>
      <c r="D69">
        <v>159</v>
      </c>
      <c r="E69">
        <f t="shared" si="14"/>
        <v>25.757389254835076</v>
      </c>
      <c r="F69" s="5">
        <f t="shared" si="12"/>
        <v>0.38823810523121399</v>
      </c>
      <c r="G69">
        <f t="shared" si="8"/>
        <v>23181650.329351567</v>
      </c>
      <c r="H69" s="34">
        <f t="shared" si="9"/>
        <v>6460000</v>
      </c>
      <c r="I69" s="34">
        <f t="shared" si="13"/>
        <v>23180000</v>
      </c>
      <c r="J69" s="33">
        <f t="shared" si="10"/>
        <v>2318</v>
      </c>
      <c r="K69" s="35">
        <f t="shared" si="11"/>
        <v>2786.8852459016393</v>
      </c>
    </row>
    <row r="70" spans="1:11" x14ac:dyDescent="0.4">
      <c r="A70" t="s">
        <v>275</v>
      </c>
      <c r="B70" s="18">
        <v>41400</v>
      </c>
      <c r="C70">
        <v>6</v>
      </c>
      <c r="D70">
        <v>168</v>
      </c>
      <c r="E70">
        <f t="shared" si="14"/>
        <v>26.315860825369402</v>
      </c>
      <c r="F70" s="5">
        <f t="shared" si="12"/>
        <v>0.3799989696844594</v>
      </c>
      <c r="G70">
        <f t="shared" si="8"/>
        <v>15789516.495221641</v>
      </c>
      <c r="H70" s="34">
        <f t="shared" si="9"/>
        <v>4140000</v>
      </c>
      <c r="I70" s="34">
        <f t="shared" si="13"/>
        <v>15790000</v>
      </c>
      <c r="J70" s="33">
        <f t="shared" si="10"/>
        <v>1579</v>
      </c>
      <c r="K70" s="35">
        <f t="shared" si="11"/>
        <v>2621.9126029132362</v>
      </c>
    </row>
    <row r="71" spans="1:11" x14ac:dyDescent="0.4">
      <c r="A71" t="s">
        <v>276</v>
      </c>
      <c r="B71" s="18">
        <v>40200</v>
      </c>
      <c r="C71">
        <v>6</v>
      </c>
      <c r="D71">
        <v>174</v>
      </c>
      <c r="E71">
        <f t="shared" si="14"/>
        <v>26.675014156437065</v>
      </c>
      <c r="F71" s="5">
        <f t="shared" si="12"/>
        <v>0.37488265015922612</v>
      </c>
      <c r="G71">
        <f t="shared" si="8"/>
        <v>16005008.493862238</v>
      </c>
      <c r="H71" s="34">
        <f t="shared" si="9"/>
        <v>4020000</v>
      </c>
      <c r="I71" s="34">
        <f t="shared" si="13"/>
        <v>16010000</v>
      </c>
      <c r="J71" s="33">
        <f t="shared" si="10"/>
        <v>1601</v>
      </c>
      <c r="K71" s="35">
        <f t="shared" si="11"/>
        <v>2510.9306683322925</v>
      </c>
    </row>
    <row r="72" spans="1:11" x14ac:dyDescent="0.4">
      <c r="A72" t="s">
        <v>277</v>
      </c>
      <c r="B72" s="18">
        <v>27200</v>
      </c>
      <c r="C72">
        <v>4</v>
      </c>
      <c r="D72">
        <v>180</v>
      </c>
      <c r="E72">
        <f t="shared" si="14"/>
        <v>27.024371384079608</v>
      </c>
      <c r="F72" s="5">
        <f t="shared" si="12"/>
        <v>0.37003635932457335</v>
      </c>
      <c r="G72">
        <f t="shared" si="8"/>
        <v>10809748.553631844</v>
      </c>
      <c r="H72" s="34">
        <f t="shared" si="9"/>
        <v>2720000</v>
      </c>
      <c r="I72" s="34">
        <f>ROUND(G72,4-(1+INT(LOG10(ABS(G72)))))</f>
        <v>10810000</v>
      </c>
      <c r="J72" s="33">
        <f t="shared" si="10"/>
        <v>1081</v>
      </c>
      <c r="K72" s="35">
        <f t="shared" si="11"/>
        <v>2516.1887141535617</v>
      </c>
    </row>
    <row r="73" spans="1:11" x14ac:dyDescent="0.4">
      <c r="A73" t="s">
        <v>278</v>
      </c>
      <c r="B73" s="18">
        <v>53700</v>
      </c>
      <c r="C73">
        <v>8</v>
      </c>
      <c r="D73">
        <v>184</v>
      </c>
      <c r="E73">
        <f t="shared" si="14"/>
        <v>27.252114940429195</v>
      </c>
      <c r="F73" s="5">
        <f t="shared" si="12"/>
        <v>0.36694399762584112</v>
      </c>
      <c r="G73">
        <f t="shared" si="8"/>
        <v>21801691.952343356</v>
      </c>
      <c r="H73" s="34">
        <f t="shared" si="9"/>
        <v>5370000</v>
      </c>
      <c r="I73" s="34">
        <f t="shared" si="13"/>
        <v>21800000</v>
      </c>
      <c r="J73" s="33">
        <f t="shared" si="10"/>
        <v>2180</v>
      </c>
      <c r="K73" s="35">
        <f t="shared" si="11"/>
        <v>2463.3027522935781</v>
      </c>
    </row>
    <row r="74" spans="1:11" x14ac:dyDescent="0.4">
      <c r="A74" t="s">
        <v>279</v>
      </c>
      <c r="B74" s="18">
        <v>6210</v>
      </c>
      <c r="C74">
        <v>1</v>
      </c>
      <c r="D74">
        <v>192</v>
      </c>
      <c r="E74">
        <f t="shared" si="14"/>
        <v>27.695908024395742</v>
      </c>
      <c r="F74" s="5">
        <f t="shared" si="12"/>
        <v>0.36106416843930778</v>
      </c>
      <c r="G74">
        <f t="shared" si="8"/>
        <v>2769590.8024395742</v>
      </c>
      <c r="H74" s="34">
        <f t="shared" si="9"/>
        <v>621000</v>
      </c>
      <c r="I74" s="34">
        <f>ROUND(G74,4-(1+INT(LOG10(ABS(G74)))))</f>
        <v>2770000</v>
      </c>
      <c r="J74" s="33">
        <f t="shared" si="10"/>
        <v>277</v>
      </c>
      <c r="K74" s="35">
        <f t="shared" si="11"/>
        <v>2241.8772563176894</v>
      </c>
    </row>
    <row r="75" spans="1:11" x14ac:dyDescent="0.4">
      <c r="A75" t="s">
        <v>280</v>
      </c>
      <c r="B75" s="18">
        <v>13900</v>
      </c>
      <c r="C75">
        <v>2</v>
      </c>
      <c r="D75">
        <v>193</v>
      </c>
      <c r="E75">
        <f t="shared" si="14"/>
        <v>27.750329584010078</v>
      </c>
      <c r="F75" s="5">
        <f t="shared" si="12"/>
        <v>0.36035608044677298</v>
      </c>
      <c r="G75">
        <f t="shared" si="8"/>
        <v>5550065.9168020161</v>
      </c>
      <c r="H75" s="34">
        <f t="shared" si="9"/>
        <v>1390000</v>
      </c>
      <c r="I75" s="34">
        <f t="shared" si="13"/>
        <v>5550000</v>
      </c>
      <c r="J75" s="33">
        <f t="shared" si="10"/>
        <v>555</v>
      </c>
      <c r="K75" s="35">
        <f t="shared" si="11"/>
        <v>2504.5045045045044</v>
      </c>
    </row>
    <row r="76" spans="1:11" x14ac:dyDescent="0.4">
      <c r="A76" t="s">
        <v>281</v>
      </c>
      <c r="B76" s="18">
        <v>14000</v>
      </c>
      <c r="C76">
        <v>2</v>
      </c>
      <c r="D76">
        <v>195</v>
      </c>
      <c r="E76">
        <f t="shared" si="14"/>
        <v>27.858494355984075</v>
      </c>
      <c r="F76" s="5">
        <f t="shared" si="12"/>
        <v>0.35895694405508943</v>
      </c>
      <c r="G76">
        <f t="shared" si="8"/>
        <v>5571698.8711968148</v>
      </c>
      <c r="H76" s="34">
        <f t="shared" si="9"/>
        <v>1400000</v>
      </c>
      <c r="I76" s="34">
        <f t="shared" si="13"/>
        <v>5572000</v>
      </c>
      <c r="J76" s="33">
        <f t="shared" si="10"/>
        <v>557.20000000000005</v>
      </c>
      <c r="K76" s="35">
        <f t="shared" si="11"/>
        <v>2512.5628140703516</v>
      </c>
    </row>
    <row r="77" spans="1:11" x14ac:dyDescent="0.4">
      <c r="A77" t="s">
        <v>282</v>
      </c>
      <c r="B77" s="18">
        <v>36100</v>
      </c>
      <c r="C77">
        <v>5</v>
      </c>
      <c r="D77">
        <v>197</v>
      </c>
      <c r="E77">
        <f t="shared" si="14"/>
        <v>27.965768187930795</v>
      </c>
      <c r="F77" s="5">
        <f t="shared" si="12"/>
        <v>0.35758002186100174</v>
      </c>
      <c r="G77">
        <f t="shared" si="8"/>
        <v>13982884.093965396</v>
      </c>
      <c r="H77" s="34">
        <f t="shared" si="9"/>
        <v>3610000</v>
      </c>
      <c r="I77" s="34">
        <f t="shared" si="13"/>
        <v>13980000</v>
      </c>
      <c r="J77" s="33">
        <f t="shared" si="10"/>
        <v>1398</v>
      </c>
      <c r="K77" s="35">
        <f t="shared" si="11"/>
        <v>2582.2603719599429</v>
      </c>
    </row>
    <row r="78" spans="1:11" x14ac:dyDescent="0.4">
      <c r="A78" t="s">
        <v>283</v>
      </c>
      <c r="B78" s="18">
        <v>41800</v>
      </c>
      <c r="C78">
        <v>6</v>
      </c>
      <c r="D78">
        <v>202</v>
      </c>
      <c r="E78">
        <f t="shared" si="14"/>
        <v>28.230157775725395</v>
      </c>
      <c r="F78" s="5">
        <f t="shared" si="12"/>
        <v>0.35423110559441578</v>
      </c>
      <c r="G78">
        <f t="shared" si="8"/>
        <v>16938094.665435236</v>
      </c>
      <c r="H78" s="34">
        <f t="shared" si="9"/>
        <v>4180000</v>
      </c>
      <c r="I78" s="34">
        <f t="shared" si="13"/>
        <v>16940000</v>
      </c>
      <c r="J78" s="33">
        <f t="shared" si="10"/>
        <v>1694</v>
      </c>
      <c r="K78" s="35">
        <f t="shared" si="11"/>
        <v>2467.5324675324673</v>
      </c>
    </row>
    <row r="79" spans="1:11" x14ac:dyDescent="0.4">
      <c r="A79" t="s">
        <v>284</v>
      </c>
      <c r="B79" s="18">
        <v>4070</v>
      </c>
      <c r="C79">
        <v>1</v>
      </c>
      <c r="D79">
        <v>208</v>
      </c>
      <c r="E79">
        <f t="shared" si="14"/>
        <v>28.540535259716417</v>
      </c>
      <c r="F79" s="5">
        <f t="shared" si="12"/>
        <v>0.35037885270899299</v>
      </c>
      <c r="G79">
        <f t="shared" si="8"/>
        <v>2854053.5259716418</v>
      </c>
      <c r="H79" s="34">
        <f t="shared" si="9"/>
        <v>407000</v>
      </c>
      <c r="I79" s="34">
        <f t="shared" si="13"/>
        <v>2854000</v>
      </c>
      <c r="J79" s="33">
        <f t="shared" si="10"/>
        <v>285.39999999999998</v>
      </c>
      <c r="K79" s="35">
        <f t="shared" si="11"/>
        <v>1426.0686755430975</v>
      </c>
    </row>
    <row r="80" spans="1:11" x14ac:dyDescent="0.4">
      <c r="A80" t="s">
        <v>285</v>
      </c>
      <c r="B80" s="18">
        <v>5250</v>
      </c>
      <c r="C80">
        <v>1</v>
      </c>
      <c r="D80">
        <v>209</v>
      </c>
      <c r="E80">
        <f t="shared" si="14"/>
        <v>28.591558945055464</v>
      </c>
      <c r="F80" s="5">
        <f t="shared" si="12"/>
        <v>0.34975357654393902</v>
      </c>
      <c r="G80">
        <f t="shared" si="8"/>
        <v>2859155.8945055464</v>
      </c>
      <c r="H80" s="34">
        <f t="shared" si="9"/>
        <v>525000</v>
      </c>
      <c r="I80" s="34">
        <f>ROUND(G80,4-(1+INT(LOG10(ABS(G80)))))</f>
        <v>2859000</v>
      </c>
      <c r="J80" s="33">
        <f t="shared" si="10"/>
        <v>285.89999999999998</v>
      </c>
      <c r="K80" s="35">
        <f t="shared" si="11"/>
        <v>1836.3064008394545</v>
      </c>
    </row>
    <row r="81" spans="1:11" x14ac:dyDescent="0.4">
      <c r="A81" t="s">
        <v>286</v>
      </c>
      <c r="B81" s="18">
        <v>87500</v>
      </c>
      <c r="C81">
        <v>16</v>
      </c>
      <c r="D81">
        <v>210</v>
      </c>
      <c r="E81">
        <f t="shared" si="14"/>
        <v>28.642385480853928</v>
      </c>
      <c r="F81" s="5">
        <f t="shared" si="12"/>
        <v>0.349132931217776</v>
      </c>
      <c r="G81">
        <f t="shared" si="8"/>
        <v>45827816.769366287</v>
      </c>
      <c r="H81" s="34">
        <f t="shared" si="9"/>
        <v>8750000</v>
      </c>
      <c r="I81" s="34">
        <f t="shared" si="13"/>
        <v>45830000</v>
      </c>
      <c r="J81" s="33">
        <f t="shared" si="10"/>
        <v>4583</v>
      </c>
      <c r="K81" s="35">
        <f t="shared" si="11"/>
        <v>1909.2297621645212</v>
      </c>
    </row>
    <row r="82" spans="1:11" x14ac:dyDescent="0.4">
      <c r="A82" t="s">
        <v>287</v>
      </c>
      <c r="B82" s="18">
        <v>35600</v>
      </c>
      <c r="C82">
        <v>6</v>
      </c>
      <c r="D82">
        <v>226</v>
      </c>
      <c r="E82">
        <f t="shared" si="14"/>
        <v>29.430082692171474</v>
      </c>
      <c r="F82" s="5">
        <f t="shared" si="12"/>
        <v>0.33978837588044025</v>
      </c>
      <c r="G82">
        <f t="shared" si="8"/>
        <v>17658049.615302883</v>
      </c>
      <c r="H82" s="34">
        <f t="shared" si="9"/>
        <v>3560000</v>
      </c>
      <c r="I82" s="34">
        <f t="shared" si="13"/>
        <v>17660000</v>
      </c>
      <c r="J82" s="33">
        <f t="shared" si="10"/>
        <v>1766</v>
      </c>
      <c r="K82" s="35">
        <f t="shared" si="11"/>
        <v>2015.855039637599</v>
      </c>
    </row>
    <row r="83" spans="1:11" x14ac:dyDescent="0.4">
      <c r="A83" t="s">
        <v>288</v>
      </c>
      <c r="B83" s="18">
        <v>35500</v>
      </c>
      <c r="C83">
        <v>6</v>
      </c>
      <c r="D83">
        <v>232</v>
      </c>
      <c r="E83">
        <f t="shared" si="14"/>
        <v>29.71382022225194</v>
      </c>
      <c r="F83" s="5">
        <f t="shared" si="12"/>
        <v>0.33654373369706425</v>
      </c>
      <c r="G83">
        <f t="shared" si="8"/>
        <v>17828292.133351166</v>
      </c>
      <c r="H83" s="34">
        <f t="shared" si="9"/>
        <v>3550000</v>
      </c>
      <c r="I83" s="34">
        <f t="shared" si="13"/>
        <v>17830000</v>
      </c>
      <c r="J83" s="33">
        <f t="shared" si="10"/>
        <v>1783</v>
      </c>
      <c r="K83" s="35">
        <f t="shared" si="11"/>
        <v>1991.0263600673022</v>
      </c>
    </row>
    <row r="84" spans="1:11" x14ac:dyDescent="0.4">
      <c r="A84" t="s">
        <v>289</v>
      </c>
      <c r="B84" s="18">
        <v>23900</v>
      </c>
      <c r="C84">
        <v>4</v>
      </c>
      <c r="D84">
        <v>238</v>
      </c>
      <c r="E84">
        <f t="shared" si="14"/>
        <v>29.9916530356343</v>
      </c>
      <c r="F84" s="5">
        <f t="shared" si="12"/>
        <v>0.33342610319339833</v>
      </c>
      <c r="G84">
        <f t="shared" si="8"/>
        <v>11996661.21425372</v>
      </c>
      <c r="H84" s="34">
        <f t="shared" si="9"/>
        <v>2390000</v>
      </c>
      <c r="I84" s="34">
        <f t="shared" si="13"/>
        <v>12000000</v>
      </c>
      <c r="J84" s="33">
        <f t="shared" si="10"/>
        <v>1200</v>
      </c>
      <c r="K84" s="35">
        <f t="shared" si="11"/>
        <v>1991.6666666666667</v>
      </c>
    </row>
    <row r="85" spans="1:11" x14ac:dyDescent="0.4">
      <c r="A85" t="s">
        <v>290</v>
      </c>
      <c r="B85" s="18">
        <v>28500</v>
      </c>
      <c r="C85">
        <v>5</v>
      </c>
      <c r="D85">
        <v>242</v>
      </c>
      <c r="E85">
        <f t="shared" si="14"/>
        <v>30.173724020314548</v>
      </c>
      <c r="F85" s="5">
        <f t="shared" si="12"/>
        <v>0.33141417987608923</v>
      </c>
      <c r="G85">
        <f t="shared" si="8"/>
        <v>15086862.010157274</v>
      </c>
      <c r="H85" s="34">
        <f t="shared" si="9"/>
        <v>2850000</v>
      </c>
      <c r="I85" s="34">
        <f t="shared" si="13"/>
        <v>15090000</v>
      </c>
      <c r="J85" s="33">
        <f t="shared" si="10"/>
        <v>1509</v>
      </c>
      <c r="K85" s="35">
        <f t="shared" si="11"/>
        <v>1888.6679920477138</v>
      </c>
    </row>
    <row r="86" spans="1:11" x14ac:dyDescent="0.4">
      <c r="A86" t="s">
        <v>291</v>
      </c>
      <c r="B86" s="18">
        <v>28800</v>
      </c>
      <c r="C86">
        <v>5</v>
      </c>
      <c r="D86">
        <v>247</v>
      </c>
      <c r="E86">
        <f>LN(1+D86)^2</f>
        <v>30.397896539038371</v>
      </c>
      <c r="F86" s="5">
        <f>10/(E86)</f>
        <v>0.32897013078380416</v>
      </c>
      <c r="G86">
        <f t="shared" si="8"/>
        <v>15198948.269519184</v>
      </c>
      <c r="H86" s="34">
        <f t="shared" si="9"/>
        <v>2880000</v>
      </c>
      <c r="I86" s="34">
        <f>ROUND(G86,4-(1+INT(LOG10(ABS(G86)))))</f>
        <v>15200000</v>
      </c>
      <c r="J86" s="33">
        <f t="shared" si="10"/>
        <v>1520</v>
      </c>
      <c r="K86" s="35">
        <f t="shared" si="11"/>
        <v>1894.7368421052631</v>
      </c>
    </row>
  </sheetData>
  <mergeCells count="9">
    <mergeCell ref="A47:O48"/>
    <mergeCell ref="R1:AE2"/>
    <mergeCell ref="A46:O46"/>
    <mergeCell ref="A5:N8"/>
    <mergeCell ref="A1:N2"/>
    <mergeCell ref="A4:N4"/>
    <mergeCell ref="R4:AE7"/>
    <mergeCell ref="R9:AE9"/>
    <mergeCell ref="R15:AE15"/>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07495-6D91-41DD-81CC-3BB0B8A6A59F}">
  <dimension ref="A1:F51"/>
  <sheetViews>
    <sheetView workbookViewId="0">
      <selection activeCell="A37" sqref="A37"/>
    </sheetView>
  </sheetViews>
  <sheetFormatPr defaultRowHeight="14.6" x14ac:dyDescent="0.4"/>
  <cols>
    <col min="1" max="1" width="17.69140625" bestFit="1" customWidth="1"/>
    <col min="2" max="2" width="11.15234375" customWidth="1"/>
    <col min="3" max="3" width="16.84375" customWidth="1"/>
    <col min="4" max="4" width="17.23046875" customWidth="1"/>
    <col min="5" max="5" width="13.61328125" customWidth="1"/>
    <col min="6" max="6" width="21" customWidth="1"/>
    <col min="7" max="7" width="19.3046875" bestFit="1" customWidth="1"/>
  </cols>
  <sheetData>
    <row r="1" spans="1:6" ht="14.6" customHeight="1" x14ac:dyDescent="0.4">
      <c r="A1" s="85" t="s">
        <v>206</v>
      </c>
      <c r="B1" s="85"/>
      <c r="C1" s="85"/>
      <c r="D1" s="85"/>
      <c r="E1" s="85"/>
      <c r="F1" s="85"/>
    </row>
    <row r="2" spans="1:6" ht="14.6" customHeight="1" x14ac:dyDescent="0.4">
      <c r="A2" s="85"/>
      <c r="B2" s="85"/>
      <c r="C2" s="85"/>
      <c r="D2" s="85"/>
      <c r="E2" s="85"/>
      <c r="F2" s="85"/>
    </row>
    <row r="3" spans="1:6" ht="14.6" customHeight="1" x14ac:dyDescent="0.4">
      <c r="A3" s="76" t="s">
        <v>1187</v>
      </c>
      <c r="B3" s="76"/>
      <c r="C3" s="76"/>
      <c r="D3" s="76"/>
      <c r="E3" s="76"/>
      <c r="F3" s="76"/>
    </row>
    <row r="4" spans="1:6" x14ac:dyDescent="0.4">
      <c r="A4" s="76"/>
      <c r="B4" s="76"/>
      <c r="C4" s="76"/>
      <c r="D4" s="76"/>
      <c r="E4" s="76"/>
      <c r="F4" s="76"/>
    </row>
    <row r="5" spans="1:6" x14ac:dyDescent="0.4">
      <c r="A5" s="76"/>
      <c r="B5" s="76"/>
      <c r="C5" s="76"/>
      <c r="D5" s="76"/>
      <c r="E5" s="76"/>
      <c r="F5" s="76"/>
    </row>
    <row r="6" spans="1:6" x14ac:dyDescent="0.4">
      <c r="A6" s="76"/>
      <c r="B6" s="76"/>
      <c r="C6" s="76"/>
      <c r="D6" s="76"/>
      <c r="E6" s="76"/>
      <c r="F6" s="76"/>
    </row>
    <row r="7" spans="1:6" x14ac:dyDescent="0.4">
      <c r="A7" s="76"/>
      <c r="B7" s="76"/>
      <c r="C7" s="76"/>
      <c r="D7" s="76"/>
      <c r="E7" s="76"/>
      <c r="F7" s="76"/>
    </row>
    <row r="8" spans="1:6" x14ac:dyDescent="0.4">
      <c r="A8" s="76"/>
      <c r="B8" s="76"/>
      <c r="C8" s="76"/>
      <c r="D8" s="76"/>
      <c r="E8" s="76"/>
      <c r="F8" s="76"/>
    </row>
    <row r="9" spans="1:6" x14ac:dyDescent="0.4">
      <c r="A9" s="76"/>
      <c r="B9" s="76"/>
      <c r="C9" s="76"/>
      <c r="D9" s="76"/>
      <c r="E9" s="76"/>
      <c r="F9" s="76"/>
    </row>
    <row r="10" spans="1:6" x14ac:dyDescent="0.4">
      <c r="A10" s="76"/>
      <c r="B10" s="76"/>
      <c r="C10" s="76"/>
      <c r="D10" s="76"/>
      <c r="E10" s="76"/>
      <c r="F10" s="76"/>
    </row>
    <row r="12" spans="1:6" ht="15" thickBot="1" x14ac:dyDescent="0.45">
      <c r="A12" s="59" t="s">
        <v>1</v>
      </c>
      <c r="B12" s="60" t="s">
        <v>3</v>
      </c>
      <c r="C12" s="60" t="s">
        <v>4</v>
      </c>
      <c r="D12" s="60" t="s">
        <v>5</v>
      </c>
      <c r="E12" s="60" t="s">
        <v>6</v>
      </c>
      <c r="F12" s="60" t="s">
        <v>7</v>
      </c>
    </row>
    <row r="13" spans="1:6" ht="15" thickTop="1" x14ac:dyDescent="0.4">
      <c r="A13" t="s">
        <v>1051</v>
      </c>
      <c r="B13">
        <v>5</v>
      </c>
      <c r="C13" s="18">
        <v>0</v>
      </c>
      <c r="D13" s="18">
        <v>30000</v>
      </c>
      <c r="E13" s="5">
        <v>0.5</v>
      </c>
      <c r="F13" s="18">
        <v>2220</v>
      </c>
    </row>
    <row r="14" spans="1:6" x14ac:dyDescent="0.4">
      <c r="A14" t="s">
        <v>1052</v>
      </c>
      <c r="B14">
        <v>5</v>
      </c>
      <c r="C14" s="18">
        <v>0</v>
      </c>
      <c r="D14" s="18">
        <v>30000</v>
      </c>
      <c r="E14" s="5">
        <v>0.5</v>
      </c>
      <c r="F14" s="18">
        <v>2220</v>
      </c>
    </row>
    <row r="15" spans="1:6" x14ac:dyDescent="0.4">
      <c r="A15" t="s">
        <v>1015</v>
      </c>
      <c r="B15">
        <v>5</v>
      </c>
      <c r="C15" s="18">
        <v>0</v>
      </c>
      <c r="D15" s="18">
        <v>30000</v>
      </c>
      <c r="E15" s="5">
        <v>0.5</v>
      </c>
      <c r="F15" s="18">
        <v>6260</v>
      </c>
    </row>
    <row r="16" spans="1:6" x14ac:dyDescent="0.4">
      <c r="A16" t="s">
        <v>1016</v>
      </c>
      <c r="B16">
        <v>5</v>
      </c>
      <c r="C16" s="18">
        <v>0</v>
      </c>
      <c r="D16" s="18">
        <v>30000</v>
      </c>
      <c r="E16" s="5">
        <v>0.5</v>
      </c>
      <c r="F16" s="18">
        <v>6260</v>
      </c>
    </row>
    <row r="17" spans="1:6" x14ac:dyDescent="0.4">
      <c r="A17" t="s">
        <v>1053</v>
      </c>
      <c r="B17">
        <v>5</v>
      </c>
      <c r="C17" s="18">
        <v>0</v>
      </c>
      <c r="D17" s="18">
        <v>30000</v>
      </c>
      <c r="E17" s="5">
        <v>0.5</v>
      </c>
      <c r="F17" s="18">
        <v>20600</v>
      </c>
    </row>
    <row r="18" spans="1:6" x14ac:dyDescent="0.4">
      <c r="A18" t="s">
        <v>1054</v>
      </c>
      <c r="B18">
        <v>5</v>
      </c>
      <c r="C18" s="18">
        <v>0</v>
      </c>
      <c r="D18" s="18">
        <v>30000</v>
      </c>
      <c r="E18" s="5">
        <v>0.5</v>
      </c>
      <c r="F18" s="18">
        <v>20600</v>
      </c>
    </row>
    <row r="19" spans="1:6" x14ac:dyDescent="0.4">
      <c r="A19" t="s">
        <v>1017</v>
      </c>
      <c r="B19">
        <v>5</v>
      </c>
      <c r="C19" s="18">
        <v>700</v>
      </c>
      <c r="D19" s="18">
        <v>10000</v>
      </c>
      <c r="E19" s="5">
        <v>0.25</v>
      </c>
      <c r="F19" s="18">
        <v>420</v>
      </c>
    </row>
    <row r="20" spans="1:6" x14ac:dyDescent="0.4">
      <c r="A20" t="s">
        <v>1018</v>
      </c>
      <c r="B20">
        <v>5</v>
      </c>
      <c r="C20" s="18">
        <v>700</v>
      </c>
      <c r="D20" s="18">
        <v>10000</v>
      </c>
      <c r="E20" s="5">
        <v>0.25</v>
      </c>
      <c r="F20" s="18">
        <v>420</v>
      </c>
    </row>
    <row r="21" spans="1:6" x14ac:dyDescent="0.4">
      <c r="A21" t="s">
        <v>1019</v>
      </c>
      <c r="B21">
        <v>5</v>
      </c>
      <c r="C21" s="18">
        <v>700</v>
      </c>
      <c r="D21" s="18">
        <v>10000</v>
      </c>
      <c r="E21" s="5">
        <v>0.5</v>
      </c>
      <c r="F21" s="18">
        <v>5490</v>
      </c>
    </row>
    <row r="22" spans="1:6" x14ac:dyDescent="0.4">
      <c r="A22" t="s">
        <v>1037</v>
      </c>
      <c r="B22">
        <v>5</v>
      </c>
      <c r="C22" s="18">
        <v>700</v>
      </c>
      <c r="D22" s="18">
        <v>10000</v>
      </c>
      <c r="E22" s="5">
        <v>0.5</v>
      </c>
      <c r="F22" s="18">
        <v>5490</v>
      </c>
    </row>
    <row r="23" spans="1:6" x14ac:dyDescent="0.4">
      <c r="A23" t="s">
        <v>1038</v>
      </c>
      <c r="B23">
        <v>5</v>
      </c>
      <c r="C23" s="18">
        <v>700</v>
      </c>
      <c r="D23" s="18">
        <v>10000</v>
      </c>
      <c r="E23" s="5">
        <v>0.5</v>
      </c>
      <c r="F23" s="18">
        <v>12900</v>
      </c>
    </row>
    <row r="24" spans="1:6" x14ac:dyDescent="0.4">
      <c r="A24" t="s">
        <v>1039</v>
      </c>
      <c r="B24">
        <v>5</v>
      </c>
      <c r="C24" s="18">
        <v>700</v>
      </c>
      <c r="D24" s="18">
        <v>10000</v>
      </c>
      <c r="E24" s="5">
        <v>0.5</v>
      </c>
      <c r="F24" s="18">
        <v>12900</v>
      </c>
    </row>
    <row r="25" spans="1:6" x14ac:dyDescent="0.4">
      <c r="A25" t="s">
        <v>1040</v>
      </c>
      <c r="B25">
        <v>5</v>
      </c>
      <c r="C25" s="18">
        <v>700</v>
      </c>
      <c r="D25" s="18">
        <v>10000</v>
      </c>
      <c r="E25" s="5">
        <v>0.5</v>
      </c>
      <c r="F25" s="18">
        <v>17600</v>
      </c>
    </row>
    <row r="26" spans="1:6" x14ac:dyDescent="0.4">
      <c r="A26" t="s">
        <v>1041</v>
      </c>
      <c r="B26">
        <v>5</v>
      </c>
      <c r="C26" s="18">
        <v>700</v>
      </c>
      <c r="D26" s="18">
        <v>10000</v>
      </c>
      <c r="E26" s="5">
        <v>0.5</v>
      </c>
      <c r="F26" s="18">
        <v>17600</v>
      </c>
    </row>
    <row r="27" spans="1:6" x14ac:dyDescent="0.4">
      <c r="A27" t="s">
        <v>1042</v>
      </c>
      <c r="B27">
        <v>5</v>
      </c>
      <c r="C27" s="18">
        <v>700</v>
      </c>
      <c r="D27" s="18">
        <v>10000</v>
      </c>
      <c r="E27" s="5">
        <v>0.5</v>
      </c>
      <c r="F27" s="18">
        <v>11300</v>
      </c>
    </row>
    <row r="28" spans="1:6" x14ac:dyDescent="0.4">
      <c r="A28" t="s">
        <v>1043</v>
      </c>
      <c r="B28">
        <v>5</v>
      </c>
      <c r="C28" s="18">
        <v>700</v>
      </c>
      <c r="D28" s="18">
        <v>10000</v>
      </c>
      <c r="E28" s="5">
        <v>0.5</v>
      </c>
      <c r="F28" s="18">
        <v>11300</v>
      </c>
    </row>
    <row r="29" spans="1:6" x14ac:dyDescent="0.4">
      <c r="A29" t="s">
        <v>1044</v>
      </c>
      <c r="B29">
        <v>5</v>
      </c>
      <c r="C29" s="18">
        <v>700</v>
      </c>
      <c r="D29" s="18">
        <v>10000</v>
      </c>
      <c r="E29" s="5">
        <v>0.5</v>
      </c>
      <c r="F29" s="18">
        <v>18400</v>
      </c>
    </row>
    <row r="30" spans="1:6" x14ac:dyDescent="0.4">
      <c r="A30" t="s">
        <v>1045</v>
      </c>
      <c r="B30">
        <v>5</v>
      </c>
      <c r="C30" s="18">
        <v>700</v>
      </c>
      <c r="D30" s="18">
        <v>10000</v>
      </c>
      <c r="E30" s="5">
        <v>0.5</v>
      </c>
      <c r="F30" s="18">
        <v>18400</v>
      </c>
    </row>
    <row r="31" spans="1:6" x14ac:dyDescent="0.4">
      <c r="A31" t="s">
        <v>1046</v>
      </c>
      <c r="B31">
        <v>5</v>
      </c>
      <c r="C31" s="18">
        <v>700</v>
      </c>
      <c r="D31" s="18">
        <v>10000</v>
      </c>
      <c r="E31" s="5">
        <v>0.5</v>
      </c>
      <c r="F31" s="18">
        <v>12100</v>
      </c>
    </row>
    <row r="32" spans="1:6" x14ac:dyDescent="0.4">
      <c r="A32" t="s">
        <v>1047</v>
      </c>
      <c r="B32">
        <v>5</v>
      </c>
      <c r="C32" s="18">
        <v>700</v>
      </c>
      <c r="D32" s="18">
        <v>10000</v>
      </c>
      <c r="E32" s="5">
        <v>0.5</v>
      </c>
      <c r="F32" s="18">
        <v>12100</v>
      </c>
    </row>
    <row r="33" spans="1:6" x14ac:dyDescent="0.4">
      <c r="A33" t="s">
        <v>1048</v>
      </c>
      <c r="B33">
        <v>5</v>
      </c>
      <c r="C33" s="18">
        <v>700</v>
      </c>
      <c r="D33" s="18">
        <v>10000</v>
      </c>
      <c r="E33" s="5">
        <v>0.5</v>
      </c>
      <c r="F33" s="18">
        <v>4030</v>
      </c>
    </row>
    <row r="34" spans="1:6" x14ac:dyDescent="0.4">
      <c r="A34" t="s">
        <v>1049</v>
      </c>
      <c r="B34">
        <v>5</v>
      </c>
      <c r="C34" s="18">
        <v>700</v>
      </c>
      <c r="D34" s="18">
        <v>10000</v>
      </c>
      <c r="E34" s="5">
        <v>0.5</v>
      </c>
      <c r="F34" s="18">
        <v>4030</v>
      </c>
    </row>
    <row r="35" spans="1:6" x14ac:dyDescent="0.4">
      <c r="A35" t="s">
        <v>1050</v>
      </c>
      <c r="B35">
        <v>5</v>
      </c>
      <c r="C35" s="18">
        <v>0</v>
      </c>
      <c r="D35" s="18">
        <v>50000000</v>
      </c>
      <c r="E35" s="5">
        <v>1</v>
      </c>
      <c r="F35" s="18">
        <v>220000</v>
      </c>
    </row>
    <row r="36" spans="1:6" x14ac:dyDescent="0.4">
      <c r="A36" t="s">
        <v>1055</v>
      </c>
      <c r="B36">
        <v>5</v>
      </c>
      <c r="C36" s="18">
        <v>0</v>
      </c>
      <c r="D36" s="18">
        <v>50000000</v>
      </c>
      <c r="E36" s="5">
        <v>1</v>
      </c>
      <c r="F36" s="18">
        <v>223000</v>
      </c>
    </row>
    <row r="37" spans="1:6" x14ac:dyDescent="0.4">
      <c r="A37" t="s">
        <v>1057</v>
      </c>
      <c r="B37">
        <v>5</v>
      </c>
      <c r="C37" s="18">
        <v>0</v>
      </c>
      <c r="D37" s="18">
        <v>50000000</v>
      </c>
      <c r="E37" s="5">
        <v>1</v>
      </c>
      <c r="F37" s="18">
        <v>81800</v>
      </c>
    </row>
    <row r="38" spans="1:6" x14ac:dyDescent="0.4">
      <c r="A38" t="s">
        <v>1058</v>
      </c>
      <c r="B38">
        <v>5</v>
      </c>
      <c r="C38" s="18">
        <v>0</v>
      </c>
      <c r="D38" s="18">
        <v>50000000</v>
      </c>
      <c r="E38" s="5">
        <v>1</v>
      </c>
      <c r="F38" s="18">
        <v>81800</v>
      </c>
    </row>
    <row r="39" spans="1:6" x14ac:dyDescent="0.4">
      <c r="A39" t="s">
        <v>1056</v>
      </c>
      <c r="B39">
        <v>5</v>
      </c>
      <c r="C39" s="18">
        <v>232000</v>
      </c>
      <c r="D39" s="18">
        <v>348000</v>
      </c>
      <c r="E39" s="5">
        <v>2.5000000000000001E-2</v>
      </c>
      <c r="F39" s="18">
        <v>-211000</v>
      </c>
    </row>
    <row r="40" spans="1:6" x14ac:dyDescent="0.4">
      <c r="A40" t="s">
        <v>1059</v>
      </c>
      <c r="B40">
        <v>5</v>
      </c>
      <c r="C40" s="18">
        <v>232000</v>
      </c>
      <c r="D40" s="18">
        <v>348000</v>
      </c>
      <c r="E40" s="5">
        <v>2.5000000000000001E-2</v>
      </c>
      <c r="F40" s="18">
        <v>-211000</v>
      </c>
    </row>
    <row r="41" spans="1:6" x14ac:dyDescent="0.4">
      <c r="A41" t="s">
        <v>1060</v>
      </c>
      <c r="B41">
        <v>5</v>
      </c>
      <c r="C41" s="18">
        <v>232000</v>
      </c>
      <c r="D41" s="18">
        <v>348000</v>
      </c>
      <c r="E41" s="5">
        <v>0.1</v>
      </c>
      <c r="F41" s="18">
        <v>-211000</v>
      </c>
    </row>
    <row r="42" spans="1:6" x14ac:dyDescent="0.4">
      <c r="A42" t="s">
        <v>1061</v>
      </c>
      <c r="B42">
        <v>5</v>
      </c>
      <c r="C42" s="18">
        <v>457000</v>
      </c>
      <c r="D42" s="18">
        <v>683000</v>
      </c>
      <c r="E42" s="5">
        <v>0.1</v>
      </c>
      <c r="F42" s="18">
        <v>-415000</v>
      </c>
    </row>
    <row r="43" spans="1:6" x14ac:dyDescent="0.4">
      <c r="A43" t="s">
        <v>1062</v>
      </c>
      <c r="B43">
        <v>5</v>
      </c>
      <c r="C43" s="18">
        <v>457000</v>
      </c>
      <c r="D43" s="18">
        <v>683000</v>
      </c>
      <c r="E43" s="5">
        <v>0.1</v>
      </c>
      <c r="F43" s="18">
        <v>-415000</v>
      </c>
    </row>
    <row r="44" spans="1:6" x14ac:dyDescent="0.4">
      <c r="A44" t="s">
        <v>1063</v>
      </c>
      <c r="B44">
        <v>5</v>
      </c>
      <c r="C44" s="18">
        <v>1300000</v>
      </c>
      <c r="D44" s="18">
        <v>1950000</v>
      </c>
      <c r="E44" s="5">
        <v>2.5000000000000001E-2</v>
      </c>
      <c r="F44" s="18">
        <v>-1180000</v>
      </c>
    </row>
    <row r="45" spans="1:6" x14ac:dyDescent="0.4">
      <c r="A45" t="s">
        <v>1064</v>
      </c>
      <c r="B45">
        <v>5</v>
      </c>
      <c r="C45" s="18">
        <v>1300000</v>
      </c>
      <c r="D45" s="18">
        <v>1950000</v>
      </c>
      <c r="E45" s="5">
        <v>2.5000000000000001E-2</v>
      </c>
      <c r="F45" s="18">
        <v>-1180000</v>
      </c>
    </row>
    <row r="46" spans="1:6" x14ac:dyDescent="0.4">
      <c r="A46" t="s">
        <v>1065</v>
      </c>
      <c r="B46">
        <v>5</v>
      </c>
      <c r="C46" s="18">
        <v>3910000</v>
      </c>
      <c r="D46" s="18">
        <v>5870000</v>
      </c>
      <c r="E46" s="5">
        <v>2.5000000000000001E-2</v>
      </c>
      <c r="F46" s="18">
        <v>-3560000</v>
      </c>
    </row>
    <row r="47" spans="1:6" x14ac:dyDescent="0.4">
      <c r="A47" t="s">
        <v>1066</v>
      </c>
      <c r="B47">
        <v>5</v>
      </c>
      <c r="C47" s="18">
        <v>101000000</v>
      </c>
      <c r="D47" s="18">
        <v>152000000</v>
      </c>
      <c r="E47" s="5">
        <v>2.5000000000000001E-2</v>
      </c>
      <c r="F47" s="18">
        <v>-91500000</v>
      </c>
    </row>
    <row r="48" spans="1:6" x14ac:dyDescent="0.4">
      <c r="A48" t="s">
        <v>1067</v>
      </c>
      <c r="B48">
        <v>5</v>
      </c>
      <c r="C48" s="18">
        <v>101000000</v>
      </c>
      <c r="D48" s="18">
        <v>152000000</v>
      </c>
      <c r="E48" s="5">
        <v>2.5000000000000001E-2</v>
      </c>
      <c r="F48" s="18">
        <v>-91500000</v>
      </c>
    </row>
    <row r="49" spans="1:6" x14ac:dyDescent="0.4">
      <c r="A49" t="s">
        <v>1068</v>
      </c>
      <c r="B49">
        <v>5</v>
      </c>
      <c r="C49" s="18">
        <v>180000000</v>
      </c>
      <c r="D49" s="18">
        <v>270000000</v>
      </c>
      <c r="E49" s="5">
        <v>2.5000000000000001E-2</v>
      </c>
      <c r="F49" s="18">
        <v>-164000000</v>
      </c>
    </row>
    <row r="50" spans="1:6" x14ac:dyDescent="0.4">
      <c r="A50" t="s">
        <v>1069</v>
      </c>
      <c r="B50">
        <v>5</v>
      </c>
      <c r="C50" s="18">
        <v>276000000</v>
      </c>
      <c r="D50" s="18">
        <v>414000000</v>
      </c>
      <c r="E50" s="5">
        <v>2.5000000000000001E-2</v>
      </c>
      <c r="F50" s="18">
        <v>-252000000</v>
      </c>
    </row>
    <row r="51" spans="1:6" x14ac:dyDescent="0.4">
      <c r="A51" t="s">
        <v>1070</v>
      </c>
      <c r="B51">
        <v>5</v>
      </c>
      <c r="C51" s="18">
        <v>276000000</v>
      </c>
      <c r="D51" s="18">
        <v>414000000</v>
      </c>
      <c r="E51" s="5">
        <v>2.5000000000000001E-2</v>
      </c>
      <c r="F51" s="18">
        <v>-252000000</v>
      </c>
    </row>
  </sheetData>
  <mergeCells count="2">
    <mergeCell ref="A1:F2"/>
    <mergeCell ref="A3:F10"/>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EB0D7-22DB-4CCA-BC01-551A42CEE1AE}">
  <dimension ref="A1:F49"/>
  <sheetViews>
    <sheetView workbookViewId="0">
      <selection activeCell="A15" sqref="A15"/>
    </sheetView>
  </sheetViews>
  <sheetFormatPr defaultRowHeight="14.6" x14ac:dyDescent="0.4"/>
  <cols>
    <col min="1" max="1" width="11.15234375" bestFit="1" customWidth="1"/>
    <col min="2" max="2" width="11.15234375" customWidth="1"/>
    <col min="3" max="3" width="16.84375" customWidth="1"/>
    <col min="4" max="4" width="17.23046875" customWidth="1"/>
    <col min="5" max="5" width="13.61328125" customWidth="1"/>
    <col min="6" max="6" width="21" customWidth="1"/>
  </cols>
  <sheetData>
    <row r="1" spans="1:6" x14ac:dyDescent="0.4">
      <c r="A1" s="85" t="s">
        <v>206</v>
      </c>
      <c r="B1" s="85"/>
      <c r="C1" s="85"/>
      <c r="D1" s="85"/>
      <c r="E1" s="85"/>
      <c r="F1" s="85"/>
    </row>
    <row r="2" spans="1:6" x14ac:dyDescent="0.4">
      <c r="A2" s="85"/>
      <c r="B2" s="85"/>
      <c r="C2" s="85"/>
      <c r="D2" s="85"/>
      <c r="E2" s="85"/>
      <c r="F2" s="85"/>
    </row>
    <row r="3" spans="1:6" ht="14.6" customHeight="1" x14ac:dyDescent="0.4">
      <c r="A3" s="76" t="s">
        <v>1226</v>
      </c>
      <c r="B3" s="76"/>
      <c r="C3" s="76"/>
      <c r="D3" s="76"/>
      <c r="E3" s="76"/>
      <c r="F3" s="76"/>
    </row>
    <row r="4" spans="1:6" x14ac:dyDescent="0.4">
      <c r="A4" s="76"/>
      <c r="B4" s="76"/>
      <c r="C4" s="76"/>
      <c r="D4" s="76"/>
      <c r="E4" s="76"/>
      <c r="F4" s="76"/>
    </row>
    <row r="5" spans="1:6" x14ac:dyDescent="0.4">
      <c r="A5" s="76"/>
      <c r="B5" s="76"/>
      <c r="C5" s="76"/>
      <c r="D5" s="76"/>
      <c r="E5" s="76"/>
      <c r="F5" s="76"/>
    </row>
    <row r="6" spans="1:6" x14ac:dyDescent="0.4">
      <c r="A6" s="76"/>
      <c r="B6" s="76"/>
      <c r="C6" s="76"/>
      <c r="D6" s="76"/>
      <c r="E6" s="76"/>
      <c r="F6" s="76"/>
    </row>
    <row r="7" spans="1:6" x14ac:dyDescent="0.4">
      <c r="A7" s="76"/>
      <c r="B7" s="76"/>
      <c r="C7" s="76"/>
      <c r="D7" s="76"/>
      <c r="E7" s="76"/>
      <c r="F7" s="76"/>
    </row>
    <row r="8" spans="1:6" x14ac:dyDescent="0.4">
      <c r="A8" s="76"/>
      <c r="B8" s="76"/>
      <c r="C8" s="76"/>
      <c r="D8" s="76"/>
      <c r="E8" s="76"/>
      <c r="F8" s="76"/>
    </row>
    <row r="9" spans="1:6" x14ac:dyDescent="0.4">
      <c r="A9" s="76"/>
      <c r="B9" s="76"/>
      <c r="C9" s="76"/>
      <c r="D9" s="76"/>
      <c r="E9" s="76"/>
      <c r="F9" s="76"/>
    </row>
    <row r="10" spans="1:6" x14ac:dyDescent="0.4">
      <c r="A10" s="76"/>
      <c r="B10" s="76"/>
      <c r="C10" s="76"/>
      <c r="D10" s="76"/>
      <c r="E10" s="76"/>
      <c r="F10" s="76"/>
    </row>
    <row r="11" spans="1:6" x14ac:dyDescent="0.4">
      <c r="A11" s="76"/>
      <c r="B11" s="76"/>
      <c r="C11" s="76"/>
      <c r="D11" s="76"/>
      <c r="E11" s="76"/>
      <c r="F11" s="76"/>
    </row>
    <row r="12" spans="1:6" x14ac:dyDescent="0.4">
      <c r="A12" s="76"/>
      <c r="B12" s="76"/>
      <c r="C12" s="76"/>
      <c r="D12" s="76"/>
      <c r="E12" s="76"/>
      <c r="F12" s="76"/>
    </row>
    <row r="13" spans="1:6" x14ac:dyDescent="0.4">
      <c r="A13" s="61"/>
      <c r="B13" s="61"/>
      <c r="C13" s="61"/>
      <c r="D13" s="61"/>
      <c r="E13" s="61"/>
      <c r="F13" s="61"/>
    </row>
    <row r="14" spans="1:6" x14ac:dyDescent="0.4">
      <c r="A14" s="61"/>
      <c r="B14" s="61"/>
      <c r="C14" s="61"/>
      <c r="D14" s="61"/>
      <c r="E14" s="61"/>
      <c r="F14" s="61"/>
    </row>
    <row r="15" spans="1:6" ht="15" thickBot="1" x14ac:dyDescent="0.45">
      <c r="A15" s="59" t="s">
        <v>1</v>
      </c>
      <c r="B15" s="60" t="s">
        <v>3</v>
      </c>
      <c r="C15" s="60" t="s">
        <v>4</v>
      </c>
      <c r="D15" s="60" t="s">
        <v>5</v>
      </c>
      <c r="E15" s="60" t="s">
        <v>6</v>
      </c>
      <c r="F15" s="60" t="s">
        <v>7</v>
      </c>
    </row>
    <row r="16" spans="1:6" ht="15" thickTop="1" x14ac:dyDescent="0.4">
      <c r="A16" t="s">
        <v>1188</v>
      </c>
      <c r="B16">
        <v>0</v>
      </c>
      <c r="C16">
        <v>0</v>
      </c>
      <c r="D16" t="s">
        <v>832</v>
      </c>
      <c r="E16" s="7">
        <v>1</v>
      </c>
      <c r="F16" s="18">
        <v>1490</v>
      </c>
    </row>
    <row r="17" spans="1:6" x14ac:dyDescent="0.4">
      <c r="A17" t="s">
        <v>1189</v>
      </c>
      <c r="B17">
        <v>0</v>
      </c>
      <c r="C17">
        <v>0</v>
      </c>
      <c r="D17" t="s">
        <v>832</v>
      </c>
      <c r="E17" s="7">
        <v>1</v>
      </c>
      <c r="F17" s="18">
        <v>1490</v>
      </c>
    </row>
    <row r="18" spans="1:6" x14ac:dyDescent="0.4">
      <c r="A18" t="s">
        <v>1191</v>
      </c>
      <c r="B18">
        <v>0</v>
      </c>
      <c r="C18">
        <v>0</v>
      </c>
      <c r="D18" t="s">
        <v>832</v>
      </c>
      <c r="E18" s="7">
        <v>0.98</v>
      </c>
      <c r="F18" s="18">
        <v>135000</v>
      </c>
    </row>
    <row r="19" spans="1:6" x14ac:dyDescent="0.4">
      <c r="A19" t="s">
        <v>1190</v>
      </c>
      <c r="B19">
        <v>0</v>
      </c>
      <c r="C19">
        <v>0</v>
      </c>
      <c r="D19" t="s">
        <v>832</v>
      </c>
      <c r="E19" s="7">
        <v>0.99</v>
      </c>
      <c r="F19" s="18">
        <v>34000</v>
      </c>
    </row>
    <row r="20" spans="1:6" x14ac:dyDescent="0.4">
      <c r="A20" t="s">
        <v>1192</v>
      </c>
      <c r="B20">
        <v>0</v>
      </c>
      <c r="C20">
        <v>0</v>
      </c>
      <c r="D20" t="s">
        <v>832</v>
      </c>
      <c r="E20" s="7">
        <v>0.99</v>
      </c>
      <c r="F20" s="18">
        <v>34000</v>
      </c>
    </row>
    <row r="21" spans="1:6" x14ac:dyDescent="0.4">
      <c r="A21" t="s">
        <v>1193</v>
      </c>
      <c r="B21">
        <v>0</v>
      </c>
      <c r="C21">
        <v>0</v>
      </c>
      <c r="D21" t="s">
        <v>832</v>
      </c>
      <c r="E21" s="7">
        <v>1</v>
      </c>
      <c r="F21" s="18">
        <v>105000</v>
      </c>
    </row>
    <row r="22" spans="1:6" x14ac:dyDescent="0.4">
      <c r="A22" t="s">
        <v>1194</v>
      </c>
      <c r="B22">
        <v>0</v>
      </c>
      <c r="C22">
        <v>0</v>
      </c>
      <c r="D22" t="s">
        <v>832</v>
      </c>
      <c r="E22" s="7">
        <v>1</v>
      </c>
      <c r="F22" s="18">
        <v>105000</v>
      </c>
    </row>
    <row r="23" spans="1:6" x14ac:dyDescent="0.4">
      <c r="A23" t="s">
        <v>1195</v>
      </c>
      <c r="B23">
        <v>0</v>
      </c>
      <c r="C23">
        <v>0</v>
      </c>
      <c r="D23" t="s">
        <v>832</v>
      </c>
      <c r="E23" s="7">
        <v>0.25</v>
      </c>
      <c r="F23" s="18">
        <v>1500000</v>
      </c>
    </row>
    <row r="24" spans="1:6" x14ac:dyDescent="0.4">
      <c r="A24" t="s">
        <v>1196</v>
      </c>
      <c r="B24">
        <v>0</v>
      </c>
      <c r="C24">
        <v>0</v>
      </c>
      <c r="D24" t="s">
        <v>832</v>
      </c>
      <c r="E24" s="7">
        <v>0.25</v>
      </c>
      <c r="F24" s="18">
        <v>1500000</v>
      </c>
    </row>
    <row r="25" spans="1:6" x14ac:dyDescent="0.4">
      <c r="A25" t="s">
        <v>1197</v>
      </c>
      <c r="B25">
        <v>0</v>
      </c>
      <c r="C25">
        <v>0</v>
      </c>
      <c r="D25" t="s">
        <v>832</v>
      </c>
      <c r="E25" s="7">
        <v>0.63</v>
      </c>
      <c r="F25" s="18">
        <v>388000</v>
      </c>
    </row>
    <row r="26" spans="1:6" x14ac:dyDescent="0.4">
      <c r="A26" t="s">
        <v>1198</v>
      </c>
      <c r="B26">
        <v>0</v>
      </c>
      <c r="C26">
        <v>0</v>
      </c>
      <c r="D26" t="s">
        <v>832</v>
      </c>
      <c r="E26" s="7">
        <v>0.63</v>
      </c>
      <c r="F26" s="18">
        <v>388000</v>
      </c>
    </row>
    <row r="27" spans="1:6" x14ac:dyDescent="0.4">
      <c r="A27" t="s">
        <v>1201</v>
      </c>
      <c r="B27">
        <v>0</v>
      </c>
      <c r="C27">
        <v>0</v>
      </c>
      <c r="D27" t="s">
        <v>832</v>
      </c>
      <c r="E27" s="7">
        <v>0.77</v>
      </c>
      <c r="F27" s="18">
        <v>218000</v>
      </c>
    </row>
    <row r="28" spans="1:6" x14ac:dyDescent="0.4">
      <c r="A28" t="s">
        <v>1200</v>
      </c>
      <c r="B28">
        <v>0</v>
      </c>
      <c r="C28">
        <v>0</v>
      </c>
      <c r="D28" t="s">
        <v>832</v>
      </c>
      <c r="E28" s="7">
        <v>0.77</v>
      </c>
      <c r="F28" s="18">
        <v>218000</v>
      </c>
    </row>
    <row r="29" spans="1:6" x14ac:dyDescent="0.4">
      <c r="A29" t="s">
        <v>1199</v>
      </c>
      <c r="B29">
        <v>0</v>
      </c>
      <c r="C29">
        <v>0</v>
      </c>
      <c r="D29" t="s">
        <v>832</v>
      </c>
      <c r="E29" s="7">
        <v>0.32</v>
      </c>
      <c r="F29" s="18">
        <v>80300000</v>
      </c>
    </row>
    <row r="30" spans="1:6" x14ac:dyDescent="0.4">
      <c r="A30" t="s">
        <v>1202</v>
      </c>
      <c r="B30">
        <v>0</v>
      </c>
      <c r="C30">
        <v>0</v>
      </c>
      <c r="D30" t="s">
        <v>832</v>
      </c>
      <c r="E30" s="7">
        <v>0.32</v>
      </c>
      <c r="F30" s="18">
        <v>80300000</v>
      </c>
    </row>
    <row r="31" spans="1:6" x14ac:dyDescent="0.4">
      <c r="A31" t="s">
        <v>1203</v>
      </c>
      <c r="B31">
        <v>0</v>
      </c>
      <c r="C31">
        <v>0</v>
      </c>
      <c r="D31" t="s">
        <v>832</v>
      </c>
      <c r="E31" s="7">
        <v>6.8000000000000005E-2</v>
      </c>
      <c r="F31" s="18">
        <v>91200000</v>
      </c>
    </row>
    <row r="32" spans="1:6" x14ac:dyDescent="0.4">
      <c r="A32" t="s">
        <v>1204</v>
      </c>
      <c r="B32">
        <v>0</v>
      </c>
      <c r="C32">
        <v>0</v>
      </c>
      <c r="D32" t="s">
        <v>832</v>
      </c>
      <c r="E32" s="7">
        <v>0.56999999999999995</v>
      </c>
      <c r="F32" s="18">
        <v>116000000</v>
      </c>
    </row>
    <row r="33" spans="1:6" x14ac:dyDescent="0.4">
      <c r="A33" t="s">
        <v>1205</v>
      </c>
      <c r="B33">
        <v>0</v>
      </c>
      <c r="C33">
        <v>0</v>
      </c>
      <c r="D33" t="s">
        <v>832</v>
      </c>
      <c r="E33" s="7">
        <v>0.33</v>
      </c>
      <c r="F33" s="18">
        <v>133000</v>
      </c>
    </row>
    <row r="34" spans="1:6" x14ac:dyDescent="0.4">
      <c r="A34" t="s">
        <v>1206</v>
      </c>
      <c r="B34">
        <v>0</v>
      </c>
      <c r="C34">
        <v>0</v>
      </c>
      <c r="D34" t="s">
        <v>832</v>
      </c>
      <c r="E34" s="7">
        <v>0.33</v>
      </c>
      <c r="F34" s="18">
        <v>130000</v>
      </c>
    </row>
    <row r="35" spans="1:6" x14ac:dyDescent="0.4">
      <c r="A35" t="s">
        <v>1207</v>
      </c>
      <c r="B35">
        <v>0</v>
      </c>
      <c r="C35">
        <v>0</v>
      </c>
      <c r="D35" t="s">
        <v>832</v>
      </c>
      <c r="E35" s="7">
        <v>7.0000000000000007E-2</v>
      </c>
      <c r="F35" s="18">
        <v>130000</v>
      </c>
    </row>
    <row r="36" spans="1:6" x14ac:dyDescent="0.4">
      <c r="A36" t="s">
        <v>1208</v>
      </c>
      <c r="B36">
        <v>0</v>
      </c>
      <c r="C36">
        <v>0</v>
      </c>
      <c r="D36" t="s">
        <v>832</v>
      </c>
      <c r="E36" s="7">
        <v>0.08</v>
      </c>
      <c r="F36" s="18">
        <v>5840000</v>
      </c>
    </row>
    <row r="37" spans="1:6" x14ac:dyDescent="0.4">
      <c r="A37" t="s">
        <v>1209</v>
      </c>
      <c r="B37">
        <v>0</v>
      </c>
      <c r="C37">
        <v>0</v>
      </c>
      <c r="D37" t="s">
        <v>832</v>
      </c>
      <c r="E37" s="7">
        <v>1</v>
      </c>
      <c r="F37" s="18">
        <v>19</v>
      </c>
    </row>
    <row r="38" spans="1:6" x14ac:dyDescent="0.4">
      <c r="A38" t="s">
        <v>1210</v>
      </c>
      <c r="B38">
        <v>0</v>
      </c>
      <c r="C38">
        <v>0</v>
      </c>
      <c r="D38" t="s">
        <v>832</v>
      </c>
      <c r="E38" s="7">
        <v>1</v>
      </c>
      <c r="F38" s="18">
        <v>19</v>
      </c>
    </row>
    <row r="39" spans="1:6" x14ac:dyDescent="0.4">
      <c r="A39" t="s">
        <v>1211</v>
      </c>
      <c r="B39">
        <v>0</v>
      </c>
      <c r="C39">
        <v>0</v>
      </c>
      <c r="D39" t="s">
        <v>832</v>
      </c>
      <c r="E39" s="7">
        <v>0.33</v>
      </c>
      <c r="F39" s="18">
        <v>742000</v>
      </c>
    </row>
    <row r="40" spans="1:6" x14ac:dyDescent="0.4">
      <c r="A40" t="s">
        <v>1213</v>
      </c>
      <c r="B40">
        <v>0</v>
      </c>
      <c r="C40">
        <v>0</v>
      </c>
      <c r="D40" t="s">
        <v>832</v>
      </c>
      <c r="E40" s="7">
        <v>0.52</v>
      </c>
      <c r="F40" s="18">
        <v>117000</v>
      </c>
    </row>
    <row r="41" spans="1:6" x14ac:dyDescent="0.4">
      <c r="A41" t="s">
        <v>1214</v>
      </c>
      <c r="B41">
        <v>0</v>
      </c>
      <c r="C41">
        <v>0</v>
      </c>
      <c r="D41" t="s">
        <v>832</v>
      </c>
      <c r="E41" s="7">
        <v>0.52</v>
      </c>
      <c r="F41" s="18">
        <v>117000</v>
      </c>
    </row>
    <row r="42" spans="1:6" x14ac:dyDescent="0.4">
      <c r="A42" t="s">
        <v>1216</v>
      </c>
      <c r="B42">
        <v>0</v>
      </c>
      <c r="C42">
        <v>0</v>
      </c>
      <c r="D42" t="s">
        <v>832</v>
      </c>
      <c r="E42" s="7">
        <v>0.99</v>
      </c>
      <c r="F42" s="18">
        <v>120000</v>
      </c>
    </row>
    <row r="43" spans="1:6" x14ac:dyDescent="0.4">
      <c r="A43" t="s">
        <v>1217</v>
      </c>
      <c r="B43">
        <v>0</v>
      </c>
      <c r="C43">
        <v>0</v>
      </c>
      <c r="D43" t="s">
        <v>832</v>
      </c>
      <c r="E43" s="7">
        <v>0.99</v>
      </c>
      <c r="F43" s="18">
        <v>120000</v>
      </c>
    </row>
    <row r="44" spans="1:6" x14ac:dyDescent="0.4">
      <c r="A44" t="s">
        <v>1219</v>
      </c>
      <c r="B44">
        <v>0</v>
      </c>
      <c r="C44">
        <v>0</v>
      </c>
      <c r="D44" t="s">
        <v>832</v>
      </c>
      <c r="E44" s="7">
        <v>1</v>
      </c>
      <c r="F44" s="18">
        <v>152000</v>
      </c>
    </row>
    <row r="45" spans="1:6" x14ac:dyDescent="0.4">
      <c r="A45" t="s">
        <v>1220</v>
      </c>
      <c r="B45">
        <v>0</v>
      </c>
      <c r="C45">
        <v>0</v>
      </c>
      <c r="D45" t="s">
        <v>832</v>
      </c>
      <c r="E45" s="7">
        <v>1</v>
      </c>
      <c r="F45" s="18">
        <v>152000</v>
      </c>
    </row>
    <row r="46" spans="1:6" x14ac:dyDescent="0.4">
      <c r="A46" t="s">
        <v>1222</v>
      </c>
      <c r="B46">
        <v>0</v>
      </c>
      <c r="C46">
        <v>0</v>
      </c>
      <c r="D46" t="s">
        <v>832</v>
      </c>
      <c r="E46" s="7">
        <v>1</v>
      </c>
      <c r="F46" s="18">
        <v>150000</v>
      </c>
    </row>
    <row r="47" spans="1:6" x14ac:dyDescent="0.4">
      <c r="A47" t="s">
        <v>1223</v>
      </c>
      <c r="B47">
        <v>0</v>
      </c>
      <c r="C47">
        <v>0</v>
      </c>
      <c r="D47" t="s">
        <v>832</v>
      </c>
      <c r="E47" s="7">
        <v>1</v>
      </c>
      <c r="F47" s="18">
        <v>150000</v>
      </c>
    </row>
    <row r="48" spans="1:6" x14ac:dyDescent="0.4">
      <c r="A48" t="s">
        <v>1224</v>
      </c>
      <c r="B48">
        <v>0</v>
      </c>
      <c r="C48" s="18">
        <v>1120</v>
      </c>
      <c r="D48" s="18">
        <v>230000</v>
      </c>
      <c r="E48" s="7">
        <v>1</v>
      </c>
      <c r="F48" s="18">
        <v>-1020</v>
      </c>
    </row>
    <row r="49" spans="1:6" x14ac:dyDescent="0.4">
      <c r="A49" t="s">
        <v>1225</v>
      </c>
      <c r="B49">
        <v>0</v>
      </c>
      <c r="C49" s="18">
        <v>233000</v>
      </c>
      <c r="D49" t="s">
        <v>832</v>
      </c>
      <c r="E49" s="7">
        <v>0.5</v>
      </c>
      <c r="F49" s="18">
        <v>-211000</v>
      </c>
    </row>
  </sheetData>
  <mergeCells count="2">
    <mergeCell ref="A1:F2"/>
    <mergeCell ref="A3:F1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96DE9-220A-4895-A0CC-52B92919257E}">
  <dimension ref="A1:H27"/>
  <sheetViews>
    <sheetView workbookViewId="0">
      <selection activeCell="A26" sqref="A26"/>
    </sheetView>
  </sheetViews>
  <sheetFormatPr defaultRowHeight="14.6" x14ac:dyDescent="0.4"/>
  <cols>
    <col min="1" max="1" width="9.921875" bestFit="1" customWidth="1"/>
    <col min="2" max="2" width="19.07421875" bestFit="1" customWidth="1"/>
    <col min="3" max="3" width="20.69140625" bestFit="1" customWidth="1"/>
    <col min="4" max="4" width="13.3046875" bestFit="1" customWidth="1"/>
    <col min="5" max="5" width="21.765625" bestFit="1" customWidth="1"/>
    <col min="6" max="6" width="25" bestFit="1" customWidth="1"/>
    <col min="7" max="7" width="23.921875" bestFit="1" customWidth="1"/>
    <col min="8" max="8" width="19.69140625" bestFit="1" customWidth="1"/>
  </cols>
  <sheetData>
    <row r="1" spans="1:8" ht="14.6" customHeight="1" x14ac:dyDescent="0.4">
      <c r="A1" s="85" t="s">
        <v>206</v>
      </c>
      <c r="B1" s="85"/>
      <c r="C1" s="85"/>
      <c r="D1" s="85"/>
      <c r="E1" s="85"/>
      <c r="F1" s="85"/>
      <c r="G1" s="85"/>
      <c r="H1" s="85"/>
    </row>
    <row r="2" spans="1:8" ht="14.6" customHeight="1" x14ac:dyDescent="0.4">
      <c r="A2" s="85"/>
      <c r="B2" s="85"/>
      <c r="C2" s="85"/>
      <c r="D2" s="85"/>
      <c r="E2" s="85"/>
      <c r="F2" s="85"/>
      <c r="G2" s="85"/>
      <c r="H2" s="85"/>
    </row>
    <row r="3" spans="1:8" x14ac:dyDescent="0.4">
      <c r="A3" s="104" t="s">
        <v>1379</v>
      </c>
      <c r="B3" s="104"/>
      <c r="C3" s="104"/>
      <c r="D3" s="104"/>
      <c r="E3" s="104"/>
      <c r="F3" s="104"/>
      <c r="G3" s="104"/>
      <c r="H3" s="104"/>
    </row>
    <row r="4" spans="1:8" x14ac:dyDescent="0.4">
      <c r="A4" s="105"/>
      <c r="B4" s="105"/>
      <c r="C4" s="105"/>
      <c r="D4" s="105"/>
      <c r="E4" s="105"/>
      <c r="F4" s="105"/>
      <c r="G4" s="105"/>
      <c r="H4" s="105"/>
    </row>
    <row r="5" spans="1:8" x14ac:dyDescent="0.4">
      <c r="A5" s="105"/>
      <c r="B5" s="105"/>
      <c r="C5" s="105"/>
      <c r="D5" s="105"/>
      <c r="E5" s="105"/>
      <c r="F5" s="105"/>
      <c r="G5" s="105"/>
      <c r="H5" s="105"/>
    </row>
    <row r="6" spans="1:8" x14ac:dyDescent="0.4">
      <c r="A6" s="105"/>
      <c r="B6" s="105"/>
      <c r="C6" s="105"/>
      <c r="D6" s="105"/>
      <c r="E6" s="105"/>
      <c r="F6" s="105"/>
      <c r="G6" s="105"/>
      <c r="H6" s="105"/>
    </row>
    <row r="7" spans="1:8" x14ac:dyDescent="0.4">
      <c r="A7" s="105"/>
      <c r="B7" s="105"/>
      <c r="C7" s="105"/>
      <c r="D7" s="105"/>
      <c r="E7" s="105"/>
      <c r="F7" s="105"/>
      <c r="G7" s="105"/>
      <c r="H7" s="105"/>
    </row>
    <row r="10" spans="1:8" x14ac:dyDescent="0.4">
      <c r="A10" s="102" t="s">
        <v>1333</v>
      </c>
      <c r="B10" s="102"/>
      <c r="C10" s="102"/>
      <c r="D10" s="102"/>
      <c r="E10" s="102"/>
      <c r="F10" s="102"/>
      <c r="G10" s="102"/>
      <c r="H10" s="102"/>
    </row>
    <row r="11" spans="1:8" x14ac:dyDescent="0.4">
      <c r="A11" s="1" t="s">
        <v>1315</v>
      </c>
      <c r="B11" s="1" t="s">
        <v>1314</v>
      </c>
      <c r="C11" s="1" t="s">
        <v>1316</v>
      </c>
      <c r="D11" s="1" t="s">
        <v>1317</v>
      </c>
      <c r="E11" s="1" t="s">
        <v>1318</v>
      </c>
      <c r="F11" s="1" t="s">
        <v>1335</v>
      </c>
      <c r="G11" s="1" t="s">
        <v>1319</v>
      </c>
      <c r="H11" s="1" t="s">
        <v>1336</v>
      </c>
    </row>
    <row r="12" spans="1:8" x14ac:dyDescent="0.4">
      <c r="A12" t="s">
        <v>1313</v>
      </c>
      <c r="B12">
        <v>64</v>
      </c>
      <c r="C12">
        <v>1</v>
      </c>
      <c r="D12">
        <v>50</v>
      </c>
      <c r="E12">
        <v>1000</v>
      </c>
      <c r="F12">
        <v>40</v>
      </c>
      <c r="G12">
        <v>400</v>
      </c>
      <c r="H12">
        <v>0.1</v>
      </c>
    </row>
    <row r="13" spans="1:8" x14ac:dyDescent="0.4">
      <c r="A13" t="s">
        <v>1324</v>
      </c>
      <c r="B13">
        <v>64</v>
      </c>
      <c r="C13">
        <v>1</v>
      </c>
      <c r="D13">
        <v>50</v>
      </c>
      <c r="E13">
        <v>1000</v>
      </c>
      <c r="F13">
        <v>600</v>
      </c>
      <c r="G13">
        <v>450</v>
      </c>
      <c r="H13">
        <v>0.25</v>
      </c>
    </row>
    <row r="14" spans="1:8" x14ac:dyDescent="0.4">
      <c r="A14" t="s">
        <v>1323</v>
      </c>
      <c r="B14">
        <v>64</v>
      </c>
      <c r="C14">
        <v>1</v>
      </c>
      <c r="D14">
        <v>50</v>
      </c>
      <c r="E14">
        <v>1000</v>
      </c>
      <c r="F14">
        <v>200</v>
      </c>
      <c r="G14">
        <v>400</v>
      </c>
      <c r="H14">
        <v>0.1</v>
      </c>
    </row>
    <row r="15" spans="1:8" x14ac:dyDescent="0.4">
      <c r="A15" t="s">
        <v>1320</v>
      </c>
      <c r="B15">
        <v>64</v>
      </c>
      <c r="C15">
        <v>1</v>
      </c>
      <c r="D15">
        <v>50</v>
      </c>
      <c r="E15">
        <v>1000</v>
      </c>
      <c r="F15">
        <v>230</v>
      </c>
      <c r="G15">
        <v>400</v>
      </c>
      <c r="H15">
        <v>0.2</v>
      </c>
    </row>
    <row r="16" spans="1:8" x14ac:dyDescent="0.4">
      <c r="A16" t="s">
        <v>1322</v>
      </c>
      <c r="B16">
        <v>64</v>
      </c>
      <c r="C16">
        <v>1</v>
      </c>
      <c r="D16">
        <v>50</v>
      </c>
      <c r="E16">
        <v>1000</v>
      </c>
      <c r="F16">
        <v>600</v>
      </c>
      <c r="G16">
        <v>450</v>
      </c>
      <c r="H16">
        <v>0.25</v>
      </c>
    </row>
    <row r="17" spans="1:8" x14ac:dyDescent="0.4">
      <c r="A17" t="s">
        <v>1325</v>
      </c>
      <c r="B17">
        <v>64</v>
      </c>
      <c r="C17">
        <v>1</v>
      </c>
      <c r="D17">
        <v>50</v>
      </c>
      <c r="E17">
        <v>1000</v>
      </c>
      <c r="F17">
        <v>700</v>
      </c>
      <c r="G17">
        <v>450</v>
      </c>
      <c r="H17">
        <v>0.25</v>
      </c>
    </row>
    <row r="18" spans="1:8" x14ac:dyDescent="0.4">
      <c r="A18" t="s">
        <v>1321</v>
      </c>
      <c r="B18">
        <v>64</v>
      </c>
      <c r="C18">
        <v>1</v>
      </c>
      <c r="D18">
        <v>25</v>
      </c>
      <c r="E18">
        <v>1000</v>
      </c>
      <c r="F18">
        <v>600</v>
      </c>
      <c r="G18">
        <v>450</v>
      </c>
      <c r="H18">
        <v>0.25</v>
      </c>
    </row>
    <row r="21" spans="1:8" x14ac:dyDescent="0.4">
      <c r="A21" s="102" t="s">
        <v>1334</v>
      </c>
      <c r="B21" s="102"/>
      <c r="C21" s="102"/>
      <c r="D21" s="102"/>
      <c r="E21" s="102"/>
      <c r="F21" s="102"/>
    </row>
    <row r="22" spans="1:8" ht="15" thickBot="1" x14ac:dyDescent="0.45">
      <c r="A22" s="1" t="s">
        <v>1315</v>
      </c>
      <c r="B22" s="71" t="s">
        <v>1314</v>
      </c>
      <c r="C22" s="71" t="s">
        <v>1316</v>
      </c>
      <c r="D22" s="1" t="s">
        <v>1332</v>
      </c>
      <c r="E22" s="71" t="s">
        <v>1326</v>
      </c>
      <c r="F22" s="71" t="s">
        <v>1327</v>
      </c>
    </row>
    <row r="23" spans="1:8" ht="15" thickTop="1" x14ac:dyDescent="0.4">
      <c r="A23" t="s">
        <v>1328</v>
      </c>
      <c r="B23">
        <v>1</v>
      </c>
      <c r="C23">
        <v>64</v>
      </c>
      <c r="D23">
        <v>1000</v>
      </c>
      <c r="E23">
        <v>4</v>
      </c>
      <c r="F23">
        <v>300</v>
      </c>
    </row>
    <row r="24" spans="1:8" x14ac:dyDescent="0.4">
      <c r="A24" t="s">
        <v>1329</v>
      </c>
      <c r="B24">
        <v>1</v>
      </c>
      <c r="C24">
        <v>64</v>
      </c>
      <c r="D24">
        <v>1000</v>
      </c>
      <c r="E24">
        <v>77</v>
      </c>
      <c r="F24">
        <v>300</v>
      </c>
    </row>
    <row r="25" spans="1:8" x14ac:dyDescent="0.4">
      <c r="A25" t="s">
        <v>1384</v>
      </c>
      <c r="B25">
        <v>1</v>
      </c>
      <c r="C25">
        <v>64</v>
      </c>
      <c r="D25">
        <v>1000</v>
      </c>
      <c r="E25">
        <v>27</v>
      </c>
      <c r="F25">
        <v>300</v>
      </c>
    </row>
    <row r="26" spans="1:8" x14ac:dyDescent="0.4">
      <c r="A26" t="s">
        <v>1330</v>
      </c>
      <c r="B26">
        <v>1</v>
      </c>
      <c r="C26">
        <v>64</v>
      </c>
      <c r="D26">
        <v>1000</v>
      </c>
      <c r="E26">
        <v>87</v>
      </c>
      <c r="F26">
        <v>300</v>
      </c>
    </row>
    <row r="27" spans="1:8" x14ac:dyDescent="0.4">
      <c r="A27" t="s">
        <v>1331</v>
      </c>
      <c r="B27">
        <v>1</v>
      </c>
      <c r="C27">
        <v>1</v>
      </c>
      <c r="D27">
        <v>32</v>
      </c>
      <c r="E27">
        <v>300</v>
      </c>
      <c r="F27">
        <v>350</v>
      </c>
    </row>
  </sheetData>
  <mergeCells count="4">
    <mergeCell ref="A10:H10"/>
    <mergeCell ref="A21:F21"/>
    <mergeCell ref="A1:H2"/>
    <mergeCell ref="A3:H7"/>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Explanation</vt:lpstr>
      <vt:lpstr>Settings</vt:lpstr>
      <vt:lpstr>Accelerator Calculator</vt:lpstr>
      <vt:lpstr>NSC Calculator</vt:lpstr>
      <vt:lpstr>Liquefier Calculator</vt:lpstr>
      <vt:lpstr>Mass Defect Calculator</vt:lpstr>
      <vt:lpstr>Target Chamber Recipes</vt:lpstr>
      <vt:lpstr>NSC Recipes</vt:lpstr>
      <vt:lpstr>Collision Chamber Recipes</vt:lpstr>
      <vt:lpstr>Decay Chamber Recipes</vt:lpstr>
      <vt:lpstr>Liquefier Recipes</vt:lpstr>
      <vt:lpstr>amu</vt:lpstr>
      <vt:lpstr>beam_atten</vt:lpstr>
      <vt:lpstr>E_smin</vt:lpstr>
      <vt:lpstr>I_b</vt:lpstr>
      <vt:lpstr>keV_to_H</vt:lpstr>
      <vt:lpstr>LiqNozzleSpeed</vt:lpstr>
      <vt:lpstr>m_e</vt:lpstr>
      <vt:lpstr>mole</vt:lpstr>
      <vt:lpstr>muon_ratio</vt:lpstr>
      <vt:lpstr>r_debuff</vt:lpstr>
      <vt:lpstr>sf_beam</vt:lpstr>
      <vt:lpstr>sf_NSC</vt:lpstr>
      <vt:lpstr>sf_TC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Lachlan Goulden</dc:creator>
  <cp:lastModifiedBy>Lachlan Goulden</cp:lastModifiedBy>
  <dcterms:created xsi:type="dcterms:W3CDTF">2015-06-05T18:17:20Z</dcterms:created>
  <dcterms:modified xsi:type="dcterms:W3CDTF">2026-04-12T01:56:34Z</dcterms:modified>
</cp:coreProperties>
</file>